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af\Desktop\"/>
    </mc:Choice>
  </mc:AlternateContent>
  <xr:revisionPtr revIDLastSave="0" documentId="8_{9D4B3ABC-953E-49D9-ADC2-DEC463F39F6B}" xr6:coauthVersionLast="37" xr6:coauthVersionMax="37" xr10:uidLastSave="{00000000-0000-0000-0000-000000000000}"/>
  <bookViews>
    <workbookView xWindow="0" yWindow="0" windowWidth="19040" windowHeight="5900" firstSheet="1" activeTab="1" xr2:uid="{00000000-000D-0000-FFFF-FFFF00000000}"/>
  </bookViews>
  <sheets>
    <sheet name="_CIQHiddenCacheSheet" sheetId="5" state="veryHidden" r:id="rId1"/>
    <sheet name="Sheet1  (5)" sheetId="9" r:id="rId2"/>
    <sheet name="Sheet1 " sheetId="4" r:id="rId3"/>
    <sheet name="Sheet1  (2)" sheetId="6" r:id="rId4"/>
    <sheet name="Sheet1  (3)" sheetId="7" r:id="rId5"/>
    <sheet name="Sheet1  (4)" sheetId="8" r:id="rId6"/>
    <sheet name="Sheet1  (6)" sheetId="10" r:id="rId7"/>
  </sheets>
  <definedNames>
    <definedName name="CIQWBGuid" hidden="1">"3a11f322-813c-4e98-8fd0-9481191e28c7"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43339.5523958333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QRSheet12A6" localSheetId="3" hidden="1">'Sheet1  (2)'!$A$7:$A$511</definedName>
    <definedName name="IQRSheet12A6" localSheetId="4" hidden="1">'Sheet1  (3)'!$A$7:$A$511</definedName>
    <definedName name="IQRSheet12A6" localSheetId="5" hidden="1">'Sheet1  (4)'!$A$7:$A$511</definedName>
    <definedName name="IQRSheet12A6" localSheetId="1" hidden="1">'Sheet1  (5)'!$A$7:$A$511</definedName>
    <definedName name="IQRSheet12A6" localSheetId="6" hidden="1">'Sheet1  (6)'!$A$7:$A$511</definedName>
    <definedName name="IQRSheet12A6" hidden="1">'Sheet1 '!$A$7:$A$511</definedName>
    <definedName name="IQRSheet12AB6" localSheetId="3" hidden="1">'Sheet1  (2)'!$AB$7:$AB$1213</definedName>
    <definedName name="IQRSheet12AB6" localSheetId="4" hidden="1">'Sheet1  (3)'!$AB$7:$AB$1213</definedName>
    <definedName name="IQRSheet12AB6" localSheetId="5" hidden="1">'Sheet1  (4)'!$AB$7:$AB$1213</definedName>
    <definedName name="IQRSheet12AB6" localSheetId="1" hidden="1">'Sheet1  (5)'!$AB$7:$AB$1213</definedName>
    <definedName name="IQRSheet12AB6" localSheetId="6" hidden="1">'Sheet1  (6)'!$AB$7:$AB$1213</definedName>
    <definedName name="IQRSheet12AB6" hidden="1">'Sheet1 '!$AB$7:$AB$1213</definedName>
    <definedName name="IQRSheet12AC6" localSheetId="3" hidden="1">'Sheet1  (2)'!$AC$7:$AC$1213</definedName>
    <definedName name="IQRSheet12AC6" localSheetId="4" hidden="1">'Sheet1  (3)'!$AC$7:$AC$1213</definedName>
    <definedName name="IQRSheet12AC6" localSheetId="5" hidden="1">'Sheet1  (4)'!$AC$7:$AC$1213</definedName>
    <definedName name="IQRSheet12AC6" localSheetId="1" hidden="1">'Sheet1  (5)'!$AC$7:$AC$1213</definedName>
    <definedName name="IQRSheet12AC6" localSheetId="6" hidden="1">'Sheet1  (6)'!$AC$7:$AC$1213</definedName>
    <definedName name="IQRSheet12AC6" hidden="1">'Sheet1 '!$AC$7:$AC$1213</definedName>
    <definedName name="IQRSheet1A6" localSheetId="3" hidden="1">'Sheet1  (2)'!$A$7:$A$511</definedName>
    <definedName name="IQRSheet1A6" localSheetId="4" hidden="1">'Sheet1  (3)'!$A$7:$A$511</definedName>
    <definedName name="IQRSheet1A6" localSheetId="5" hidden="1">'Sheet1  (4)'!$A$7:$A$511</definedName>
    <definedName name="IQRSheet1A6" localSheetId="1" hidden="1">'Sheet1  (5)'!$A$7:$A$511</definedName>
    <definedName name="IQRSheet1A6" localSheetId="6" hidden="1">'Sheet1  (6)'!$A$7:$A$511</definedName>
    <definedName name="IQRSheet1A6" hidden="1">'Sheet1 '!$A$7:$A$511</definedName>
    <definedName name="IQRSheet1AB6" localSheetId="3" hidden="1">'Sheet1  (2)'!$AB$7:$AB$1215</definedName>
    <definedName name="IQRSheet1AB6" localSheetId="4" hidden="1">'Sheet1  (3)'!$AB$7:$AB$1215</definedName>
    <definedName name="IQRSheet1AB6" localSheetId="5" hidden="1">'Sheet1  (4)'!$AB$7:$AB$1215</definedName>
    <definedName name="IQRSheet1AB6" localSheetId="1" hidden="1">'Sheet1  (5)'!$AB$7:$AB$1215</definedName>
    <definedName name="IQRSheet1AB6" localSheetId="6" hidden="1">'Sheet1  (6)'!$AB$7:$AB$1215</definedName>
    <definedName name="IQRSheet1AB6" hidden="1">'Sheet1 '!$AB$7:$AB$1215</definedName>
    <definedName name="IQRSheet1AB7" localSheetId="3" hidden="1">'Sheet1  (2)'!$AB$8:$AB$1214</definedName>
    <definedName name="IQRSheet1AB7" localSheetId="4" hidden="1">'Sheet1  (3)'!$AB$8:$AB$1214</definedName>
    <definedName name="IQRSheet1AB7" localSheetId="5" hidden="1">'Sheet1  (4)'!$AB$8:$AB$1214</definedName>
    <definedName name="IQRSheet1AB7" localSheetId="1" hidden="1">'Sheet1  (5)'!$AB$8:$AB$1214</definedName>
    <definedName name="IQRSheet1AB7" localSheetId="6" hidden="1">'Sheet1  (6)'!$AB$8:$AB$1214</definedName>
    <definedName name="IQRSheet1AB7" hidden="1">'Sheet1 '!$AB$8:$AB$1214</definedName>
    <definedName name="IQRSheet1AC6" localSheetId="3" hidden="1">'Sheet1  (2)'!$AC$7:$AC$1213</definedName>
    <definedName name="IQRSheet1AC6" localSheetId="4" hidden="1">'Sheet1  (3)'!$AC$7:$AC$1213</definedName>
    <definedName name="IQRSheet1AC6" localSheetId="5" hidden="1">'Sheet1  (4)'!$AC$7:$AC$1213</definedName>
    <definedName name="IQRSheet1AC6" localSheetId="1" hidden="1">'Sheet1  (5)'!$AC$7:$AC$1213</definedName>
    <definedName name="IQRSheet1AC6" localSheetId="6" hidden="1">'Sheet1  (6)'!$AC$7:$AC$1213</definedName>
    <definedName name="IQRSheet1AC6" hidden="1">'Sheet1 '!$AC$7:$AC$1213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10" l="1"/>
  <c r="G4" i="10"/>
  <c r="H4" i="9"/>
  <c r="G4" i="9"/>
  <c r="H4" i="8"/>
  <c r="G4" i="8"/>
  <c r="H4" i="7"/>
  <c r="G4" i="7"/>
  <c r="H4" i="6"/>
  <c r="G4" i="6"/>
  <c r="AB7" i="4" l="1"/>
  <c r="AB11" i="4"/>
  <c r="AB15" i="4"/>
  <c r="AB19" i="4"/>
  <c r="AB23" i="4"/>
  <c r="AB27" i="4"/>
  <c r="AB31" i="4"/>
  <c r="AB35" i="4"/>
  <c r="AB39" i="4"/>
  <c r="AB43" i="4"/>
  <c r="AB47" i="4"/>
  <c r="AB51" i="4"/>
  <c r="AB55" i="4"/>
  <c r="AB59" i="4"/>
  <c r="AB63" i="4"/>
  <c r="AB67" i="4"/>
  <c r="AB71" i="4"/>
  <c r="AB75" i="4"/>
  <c r="AB79" i="4"/>
  <c r="AB83" i="4"/>
  <c r="AB87" i="4"/>
  <c r="AB91" i="4"/>
  <c r="AB95" i="4"/>
  <c r="AB99" i="4"/>
  <c r="AB103" i="4"/>
  <c r="AB107" i="4"/>
  <c r="AB111" i="4"/>
  <c r="AB115" i="4"/>
  <c r="AB119" i="4"/>
  <c r="AB123" i="4"/>
  <c r="AB127" i="4"/>
  <c r="AB131" i="4"/>
  <c r="AB135" i="4"/>
  <c r="AB139" i="4"/>
  <c r="AB143" i="4"/>
  <c r="AB147" i="4"/>
  <c r="AB151" i="4"/>
  <c r="AB155" i="4"/>
  <c r="AB159" i="4"/>
  <c r="AB163" i="4"/>
  <c r="AB167" i="4"/>
  <c r="AB171" i="4"/>
  <c r="AB175" i="4"/>
  <c r="AB179" i="4"/>
  <c r="AB183" i="4"/>
  <c r="AB187" i="4"/>
  <c r="AB191" i="4"/>
  <c r="AB195" i="4"/>
  <c r="AB199" i="4"/>
  <c r="AB203" i="4"/>
  <c r="AB207" i="4"/>
  <c r="AB211" i="4"/>
  <c r="AB215" i="4"/>
  <c r="AB219" i="4"/>
  <c r="AB223" i="4"/>
  <c r="AB227" i="4"/>
  <c r="AB231" i="4"/>
  <c r="AB235" i="4"/>
  <c r="AB239" i="4"/>
  <c r="AB243" i="4"/>
  <c r="AB247" i="4"/>
  <c r="AB251" i="4"/>
  <c r="AB255" i="4"/>
  <c r="AB259" i="4"/>
  <c r="AB263" i="4"/>
  <c r="AB267" i="4"/>
  <c r="AB271" i="4"/>
  <c r="AB275" i="4"/>
  <c r="AB279" i="4"/>
  <c r="AB283" i="4"/>
  <c r="AB287" i="4"/>
  <c r="AB291" i="4"/>
  <c r="AB295" i="4"/>
  <c r="AB299" i="4"/>
  <c r="AB303" i="4"/>
  <c r="AB307" i="4"/>
  <c r="AB311" i="4"/>
  <c r="AB315" i="4"/>
  <c r="AB319" i="4"/>
  <c r="AB323" i="4"/>
  <c r="AB327" i="4"/>
  <c r="AB331" i="4"/>
  <c r="AB335" i="4"/>
  <c r="AB339" i="4"/>
  <c r="AB343" i="4"/>
  <c r="AB347" i="4"/>
  <c r="AB351" i="4"/>
  <c r="AB355" i="4"/>
  <c r="AB359" i="4"/>
  <c r="AB363" i="4"/>
  <c r="AB367" i="4"/>
  <c r="AB371" i="4"/>
  <c r="AB375" i="4"/>
  <c r="AB379" i="4"/>
  <c r="AB383" i="4"/>
  <c r="AB387" i="4"/>
  <c r="AB391" i="4"/>
  <c r="AB395" i="4"/>
  <c r="AB399" i="4"/>
  <c r="AB403" i="4"/>
  <c r="AB407" i="4"/>
  <c r="AB411" i="4"/>
  <c r="AB415" i="4"/>
  <c r="AB419" i="4"/>
  <c r="AB423" i="4"/>
  <c r="AB427" i="4"/>
  <c r="AB431" i="4"/>
  <c r="AB435" i="4"/>
  <c r="AB439" i="4"/>
  <c r="AB443" i="4"/>
  <c r="AB447" i="4"/>
  <c r="AB451" i="4"/>
  <c r="AB455" i="4"/>
  <c r="AB459" i="4"/>
  <c r="AB463" i="4"/>
  <c r="AB467" i="4"/>
  <c r="AB471" i="4"/>
  <c r="AB475" i="4"/>
  <c r="AB479" i="4"/>
  <c r="AB483" i="4"/>
  <c r="AB487" i="4"/>
  <c r="AB491" i="4"/>
  <c r="AB495" i="4"/>
  <c r="AB499" i="4"/>
  <c r="AB503" i="4"/>
  <c r="AB507" i="4"/>
  <c r="AB511" i="4"/>
  <c r="AB9" i="4"/>
  <c r="AB13" i="4"/>
  <c r="AB17" i="4"/>
  <c r="AB21" i="4"/>
  <c r="AB25" i="4"/>
  <c r="AB29" i="4"/>
  <c r="AB33" i="4"/>
  <c r="AB37" i="4"/>
  <c r="AB41" i="4"/>
  <c r="AB45" i="4"/>
  <c r="AB49" i="4"/>
  <c r="AB53" i="4"/>
  <c r="AB57" i="4"/>
  <c r="AB61" i="4"/>
  <c r="AB65" i="4"/>
  <c r="AB69" i="4"/>
  <c r="AB73" i="4"/>
  <c r="AB77" i="4"/>
  <c r="AB81" i="4"/>
  <c r="AB85" i="4"/>
  <c r="AB89" i="4"/>
  <c r="AB93" i="4"/>
  <c r="AB97" i="4"/>
  <c r="AB101" i="4"/>
  <c r="AB105" i="4"/>
  <c r="AB109" i="4"/>
  <c r="AB113" i="4"/>
  <c r="AB117" i="4"/>
  <c r="AB121" i="4"/>
  <c r="AB125" i="4"/>
  <c r="AB129" i="4"/>
  <c r="AB133" i="4"/>
  <c r="AB137" i="4"/>
  <c r="AB141" i="4"/>
  <c r="AB145" i="4"/>
  <c r="AB149" i="4"/>
  <c r="AB153" i="4"/>
  <c r="AB157" i="4"/>
  <c r="AB161" i="4"/>
  <c r="AB165" i="4"/>
  <c r="AB169" i="4"/>
  <c r="AB173" i="4"/>
  <c r="AB177" i="4"/>
  <c r="AB181" i="4"/>
  <c r="AB185" i="4"/>
  <c r="AB189" i="4"/>
  <c r="AB193" i="4"/>
  <c r="AB197" i="4"/>
  <c r="AB201" i="4"/>
  <c r="AB205" i="4"/>
  <c r="AB209" i="4"/>
  <c r="AB213" i="4"/>
  <c r="AB217" i="4"/>
  <c r="AB221" i="4"/>
  <c r="AB225" i="4"/>
  <c r="AB229" i="4"/>
  <c r="AB233" i="4"/>
  <c r="AB237" i="4"/>
  <c r="AB241" i="4"/>
  <c r="AB245" i="4"/>
  <c r="AB249" i="4"/>
  <c r="AB253" i="4"/>
  <c r="AB257" i="4"/>
  <c r="AB261" i="4"/>
  <c r="AB265" i="4"/>
  <c r="AB269" i="4"/>
  <c r="AB273" i="4"/>
  <c r="AB277" i="4"/>
  <c r="AB281" i="4"/>
  <c r="AB285" i="4"/>
  <c r="AB289" i="4"/>
  <c r="AB293" i="4"/>
  <c r="AB297" i="4"/>
  <c r="AB301" i="4"/>
  <c r="AB305" i="4"/>
  <c r="AB309" i="4"/>
  <c r="AB313" i="4"/>
  <c r="AB317" i="4"/>
  <c r="AB321" i="4"/>
  <c r="AB325" i="4"/>
  <c r="AB329" i="4"/>
  <c r="AB333" i="4"/>
  <c r="AB337" i="4"/>
  <c r="AB341" i="4"/>
  <c r="AB345" i="4"/>
  <c r="AB349" i="4"/>
  <c r="AB353" i="4"/>
  <c r="AB357" i="4"/>
  <c r="AB361" i="4"/>
  <c r="AB365" i="4"/>
  <c r="AB369" i="4"/>
  <c r="AB373" i="4"/>
  <c r="AB377" i="4"/>
  <c r="AB381" i="4"/>
  <c r="AB385" i="4"/>
  <c r="AB389" i="4"/>
  <c r="AB393" i="4"/>
  <c r="AB397" i="4"/>
  <c r="AB401" i="4"/>
  <c r="AB405" i="4"/>
  <c r="AB409" i="4"/>
  <c r="AB413" i="4"/>
  <c r="AB417" i="4"/>
  <c r="AB421" i="4"/>
  <c r="AB425" i="4"/>
  <c r="AB429" i="4"/>
  <c r="AB433" i="4"/>
  <c r="AB437" i="4"/>
  <c r="AB441" i="4"/>
  <c r="AB445" i="4"/>
  <c r="AB449" i="4"/>
  <c r="AB453" i="4"/>
  <c r="AB457" i="4"/>
  <c r="AB461" i="4"/>
  <c r="AB465" i="4"/>
  <c r="AB469" i="4"/>
  <c r="AB473" i="4"/>
  <c r="AB477" i="4"/>
  <c r="AB481" i="4"/>
  <c r="AB485" i="4"/>
  <c r="AB489" i="4"/>
  <c r="AB493" i="4"/>
  <c r="AB497" i="4"/>
  <c r="AB501" i="4"/>
  <c r="AB505" i="4"/>
  <c r="AB509" i="4"/>
  <c r="AB513" i="4"/>
  <c r="AB8" i="4"/>
  <c r="AB16" i="4"/>
  <c r="AB24" i="4"/>
  <c r="AB32" i="4"/>
  <c r="AB40" i="4"/>
  <c r="AB48" i="4"/>
  <c r="AB56" i="4"/>
  <c r="AB64" i="4"/>
  <c r="AB72" i="4"/>
  <c r="AB80" i="4"/>
  <c r="AB88" i="4"/>
  <c r="AB96" i="4"/>
  <c r="AB104" i="4"/>
  <c r="AB112" i="4"/>
  <c r="AB120" i="4"/>
  <c r="AB128" i="4"/>
  <c r="AB136" i="4"/>
  <c r="AB144" i="4"/>
  <c r="AB152" i="4"/>
  <c r="AB160" i="4"/>
  <c r="AB168" i="4"/>
  <c r="AB176" i="4"/>
  <c r="AB184" i="4"/>
  <c r="AB192" i="4"/>
  <c r="AB200" i="4"/>
  <c r="AB208" i="4"/>
  <c r="AB216" i="4"/>
  <c r="AB224" i="4"/>
  <c r="AB232" i="4"/>
  <c r="AB240" i="4"/>
  <c r="AB248" i="4"/>
  <c r="AB256" i="4"/>
  <c r="AB264" i="4"/>
  <c r="AB272" i="4"/>
  <c r="AB280" i="4"/>
  <c r="AB288" i="4"/>
  <c r="AB296" i="4"/>
  <c r="AB304" i="4"/>
  <c r="AB312" i="4"/>
  <c r="AB320" i="4"/>
  <c r="AB328" i="4"/>
  <c r="AB336" i="4"/>
  <c r="AB344" i="4"/>
  <c r="AB352" i="4"/>
  <c r="AB360" i="4"/>
  <c r="AB368" i="4"/>
  <c r="AB376" i="4"/>
  <c r="AB384" i="4"/>
  <c r="AB392" i="4"/>
  <c r="AB400" i="4"/>
  <c r="AB408" i="4"/>
  <c r="AB416" i="4"/>
  <c r="AB424" i="4"/>
  <c r="AB432" i="4"/>
  <c r="AB440" i="4"/>
  <c r="AB448" i="4"/>
  <c r="AB456" i="4"/>
  <c r="AB464" i="4"/>
  <c r="AB472" i="4"/>
  <c r="AB480" i="4"/>
  <c r="AB488" i="4"/>
  <c r="AB496" i="4"/>
  <c r="AB504" i="4"/>
  <c r="AB512" i="4"/>
  <c r="AB517" i="4"/>
  <c r="AB521" i="4"/>
  <c r="AB525" i="4"/>
  <c r="AB529" i="4"/>
  <c r="AB533" i="4"/>
  <c r="AB537" i="4"/>
  <c r="AB541" i="4"/>
  <c r="AB545" i="4"/>
  <c r="AB549" i="4"/>
  <c r="AB553" i="4"/>
  <c r="AB557" i="4"/>
  <c r="AB561" i="4"/>
  <c r="AB565" i="4"/>
  <c r="AB569" i="4"/>
  <c r="AB573" i="4"/>
  <c r="AB577" i="4"/>
  <c r="AB581" i="4"/>
  <c r="AB585" i="4"/>
  <c r="AB589" i="4"/>
  <c r="AB593" i="4"/>
  <c r="AB597" i="4"/>
  <c r="AB601" i="4"/>
  <c r="AB605" i="4"/>
  <c r="AB609" i="4"/>
  <c r="AB613" i="4"/>
  <c r="AB617" i="4"/>
  <c r="AB621" i="4"/>
  <c r="AB625" i="4"/>
  <c r="AB629" i="4"/>
  <c r="AB633" i="4"/>
  <c r="AB637" i="4"/>
  <c r="AB641" i="4"/>
  <c r="AB645" i="4"/>
  <c r="AB649" i="4"/>
  <c r="AB653" i="4"/>
  <c r="AB657" i="4"/>
  <c r="AB661" i="4"/>
  <c r="AB665" i="4"/>
  <c r="AB669" i="4"/>
  <c r="AB673" i="4"/>
  <c r="AB677" i="4"/>
  <c r="AB681" i="4"/>
  <c r="AB685" i="4"/>
  <c r="AB689" i="4"/>
  <c r="AB693" i="4"/>
  <c r="AB697" i="4"/>
  <c r="AB701" i="4"/>
  <c r="AB705" i="4"/>
  <c r="AB709" i="4"/>
  <c r="AB713" i="4"/>
  <c r="AB717" i="4"/>
  <c r="AB721" i="4"/>
  <c r="AB725" i="4"/>
  <c r="AB729" i="4"/>
  <c r="AB733" i="4"/>
  <c r="AB737" i="4"/>
  <c r="AB741" i="4"/>
  <c r="AB745" i="4"/>
  <c r="AB749" i="4"/>
  <c r="AB753" i="4"/>
  <c r="AB757" i="4"/>
  <c r="AB761" i="4"/>
  <c r="AB765" i="4"/>
  <c r="AB769" i="4"/>
  <c r="AB773" i="4"/>
  <c r="AB777" i="4"/>
  <c r="AB781" i="4"/>
  <c r="AB785" i="4"/>
  <c r="AB789" i="4"/>
  <c r="AB793" i="4"/>
  <c r="AB797" i="4"/>
  <c r="AB801" i="4"/>
  <c r="AB805" i="4"/>
  <c r="AB809" i="4"/>
  <c r="AB813" i="4"/>
  <c r="AB817" i="4"/>
  <c r="AB821" i="4"/>
  <c r="AB825" i="4"/>
  <c r="AB829" i="4"/>
  <c r="AB833" i="4"/>
  <c r="AB837" i="4"/>
  <c r="AB841" i="4"/>
  <c r="AB845" i="4"/>
  <c r="AB849" i="4"/>
  <c r="AB853" i="4"/>
  <c r="AB857" i="4"/>
  <c r="AB861" i="4"/>
  <c r="AB865" i="4"/>
  <c r="AB869" i="4"/>
  <c r="AB873" i="4"/>
  <c r="AB877" i="4"/>
  <c r="AB881" i="4"/>
  <c r="AB885" i="4"/>
  <c r="AB889" i="4"/>
  <c r="AB893" i="4"/>
  <c r="AB897" i="4"/>
  <c r="AB901" i="4"/>
  <c r="AB905" i="4"/>
  <c r="AB909" i="4"/>
  <c r="AB913" i="4"/>
  <c r="AB917" i="4"/>
  <c r="AB921" i="4"/>
  <c r="AB925" i="4"/>
  <c r="AB929" i="4"/>
  <c r="AB933" i="4"/>
  <c r="AB937" i="4"/>
  <c r="AB941" i="4"/>
  <c r="AB945" i="4"/>
  <c r="AB949" i="4"/>
  <c r="AB953" i="4"/>
  <c r="AB957" i="4"/>
  <c r="AB961" i="4"/>
  <c r="AB965" i="4"/>
  <c r="AB969" i="4"/>
  <c r="AB973" i="4"/>
  <c r="AB977" i="4"/>
  <c r="AB981" i="4"/>
  <c r="AB985" i="4"/>
  <c r="AB989" i="4"/>
  <c r="AB993" i="4"/>
  <c r="AB997" i="4"/>
  <c r="AB1001" i="4"/>
  <c r="AB1005" i="4"/>
  <c r="AB1009" i="4"/>
  <c r="AB1013" i="4"/>
  <c r="AB1017" i="4"/>
  <c r="AB1021" i="4"/>
  <c r="AB1025" i="4"/>
  <c r="AB1029" i="4"/>
  <c r="AB1033" i="4"/>
  <c r="AB1037" i="4"/>
  <c r="AB1041" i="4"/>
  <c r="AB1045" i="4"/>
  <c r="AB1049" i="4"/>
  <c r="AB1053" i="4"/>
  <c r="AB1057" i="4"/>
  <c r="AB1061" i="4"/>
  <c r="AB1065" i="4"/>
  <c r="AB1069" i="4"/>
  <c r="AB1073" i="4"/>
  <c r="AB1077" i="4"/>
  <c r="AB1081" i="4"/>
  <c r="AB1085" i="4"/>
  <c r="AB1089" i="4"/>
  <c r="AB1093" i="4"/>
  <c r="AB1097" i="4"/>
  <c r="AB1101" i="4"/>
  <c r="AB1105" i="4"/>
  <c r="AB1109" i="4"/>
  <c r="AB1113" i="4"/>
  <c r="AB1117" i="4"/>
  <c r="AB1121" i="4"/>
  <c r="AB1125" i="4"/>
  <c r="AB1129" i="4"/>
  <c r="AB1133" i="4"/>
  <c r="AB1137" i="4"/>
  <c r="AB1141" i="4"/>
  <c r="AB1145" i="4"/>
  <c r="AB1149" i="4"/>
  <c r="AB1153" i="4"/>
  <c r="AB1157" i="4"/>
  <c r="AB1161" i="4"/>
  <c r="AB1165" i="4"/>
  <c r="AB1169" i="4"/>
  <c r="AB1173" i="4"/>
  <c r="AB1177" i="4"/>
  <c r="AB1181" i="4"/>
  <c r="AB1185" i="4"/>
  <c r="AB1189" i="4"/>
  <c r="AB1193" i="4"/>
  <c r="AB1197" i="4"/>
  <c r="AB1201" i="4"/>
  <c r="AB1205" i="4"/>
  <c r="AB1209" i="4"/>
  <c r="AB1213" i="4"/>
  <c r="AB10" i="4"/>
  <c r="AB18" i="4"/>
  <c r="AB26" i="4"/>
  <c r="AB34" i="4"/>
  <c r="AB42" i="4"/>
  <c r="AB50" i="4"/>
  <c r="AB58" i="4"/>
  <c r="AB66" i="4"/>
  <c r="AB74" i="4"/>
  <c r="AB82" i="4"/>
  <c r="AB90" i="4"/>
  <c r="AB98" i="4"/>
  <c r="AB106" i="4"/>
  <c r="AB114" i="4"/>
  <c r="AB122" i="4"/>
  <c r="AB130" i="4"/>
  <c r="AB12" i="4"/>
  <c r="AB28" i="4"/>
  <c r="AB44" i="4"/>
  <c r="AB60" i="4"/>
  <c r="AB76" i="4"/>
  <c r="AB92" i="4"/>
  <c r="AB108" i="4"/>
  <c r="AB124" i="4"/>
  <c r="AB138" i="4"/>
  <c r="AB148" i="4"/>
  <c r="AB158" i="4"/>
  <c r="AB170" i="4"/>
  <c r="AB180" i="4"/>
  <c r="AB190" i="4"/>
  <c r="AB202" i="4"/>
  <c r="AB212" i="4"/>
  <c r="AB222" i="4"/>
  <c r="AB234" i="4"/>
  <c r="AB244" i="4"/>
  <c r="AB254" i="4"/>
  <c r="AB266" i="4"/>
  <c r="AB276" i="4"/>
  <c r="AB286" i="4"/>
  <c r="AB298" i="4"/>
  <c r="AB308" i="4"/>
  <c r="AB318" i="4"/>
  <c r="AB330" i="4"/>
  <c r="AB340" i="4"/>
  <c r="AB350" i="4"/>
  <c r="AB362" i="4"/>
  <c r="AB372" i="4"/>
  <c r="AB382" i="4"/>
  <c r="AB394" i="4"/>
  <c r="AB404" i="4"/>
  <c r="AB414" i="4"/>
  <c r="AB426" i="4"/>
  <c r="AB436" i="4"/>
  <c r="AB446" i="4"/>
  <c r="AB458" i="4"/>
  <c r="AB468" i="4"/>
  <c r="AB478" i="4"/>
  <c r="AB490" i="4"/>
  <c r="AB500" i="4"/>
  <c r="AB510" i="4"/>
  <c r="AB518" i="4"/>
  <c r="AB523" i="4"/>
  <c r="AB528" i="4"/>
  <c r="AB534" i="4"/>
  <c r="AB539" i="4"/>
  <c r="AB544" i="4"/>
  <c r="AB550" i="4"/>
  <c r="AB555" i="4"/>
  <c r="AB560" i="4"/>
  <c r="AB566" i="4"/>
  <c r="AB571" i="4"/>
  <c r="AB576" i="4"/>
  <c r="AB582" i="4"/>
  <c r="AB587" i="4"/>
  <c r="AB592" i="4"/>
  <c r="AB598" i="4"/>
  <c r="AB603" i="4"/>
  <c r="AB608" i="4"/>
  <c r="AB614" i="4"/>
  <c r="AB619" i="4"/>
  <c r="AB624" i="4"/>
  <c r="AB630" i="4"/>
  <c r="AB635" i="4"/>
  <c r="AB640" i="4"/>
  <c r="AB646" i="4"/>
  <c r="AB651" i="4"/>
  <c r="AB656" i="4"/>
  <c r="AB662" i="4"/>
  <c r="AB667" i="4"/>
  <c r="AB672" i="4"/>
  <c r="AB678" i="4"/>
  <c r="AB683" i="4"/>
  <c r="AB688" i="4"/>
  <c r="AB694" i="4"/>
  <c r="AB699" i="4"/>
  <c r="AB704" i="4"/>
  <c r="AB710" i="4"/>
  <c r="AB715" i="4"/>
  <c r="AB720" i="4"/>
  <c r="AB726" i="4"/>
  <c r="AB731" i="4"/>
  <c r="AB736" i="4"/>
  <c r="AB742" i="4"/>
  <c r="AB747" i="4"/>
  <c r="AB752" i="4"/>
  <c r="AB758" i="4"/>
  <c r="AB763" i="4"/>
  <c r="AB768" i="4"/>
  <c r="AB774" i="4"/>
  <c r="AB779" i="4"/>
  <c r="AB784" i="4"/>
  <c r="AB790" i="4"/>
  <c r="AB795" i="4"/>
  <c r="AB800" i="4"/>
  <c r="AB806" i="4"/>
  <c r="AB811" i="4"/>
  <c r="AB816" i="4"/>
  <c r="AB822" i="4"/>
  <c r="AB827" i="4"/>
  <c r="AB832" i="4"/>
  <c r="AB838" i="4"/>
  <c r="AB843" i="4"/>
  <c r="AB848" i="4"/>
  <c r="AB854" i="4"/>
  <c r="AB859" i="4"/>
  <c r="AB864" i="4"/>
  <c r="AB870" i="4"/>
  <c r="AB875" i="4"/>
  <c r="AB880" i="4"/>
  <c r="AB886" i="4"/>
  <c r="AB891" i="4"/>
  <c r="AB896" i="4"/>
  <c r="AB902" i="4"/>
  <c r="AB907" i="4"/>
  <c r="AB912" i="4"/>
  <c r="AB918" i="4"/>
  <c r="AB923" i="4"/>
  <c r="AB928" i="4"/>
  <c r="AB934" i="4"/>
  <c r="AB939" i="4"/>
  <c r="AB944" i="4"/>
  <c r="AB950" i="4"/>
  <c r="AB955" i="4"/>
  <c r="AB960" i="4"/>
  <c r="AB966" i="4"/>
  <c r="AB971" i="4"/>
  <c r="AB976" i="4"/>
  <c r="AB982" i="4"/>
  <c r="AB987" i="4"/>
  <c r="AB992" i="4"/>
  <c r="AB998" i="4"/>
  <c r="AB1003" i="4"/>
  <c r="AB1008" i="4"/>
  <c r="AB1014" i="4"/>
  <c r="AB1019" i="4"/>
  <c r="AB1024" i="4"/>
  <c r="AB1030" i="4"/>
  <c r="AB1035" i="4"/>
  <c r="AB1040" i="4"/>
  <c r="AB1046" i="4"/>
  <c r="AB1051" i="4"/>
  <c r="AB1056" i="4"/>
  <c r="AB1062" i="4"/>
  <c r="AB1067" i="4"/>
  <c r="AB1072" i="4"/>
  <c r="AB1078" i="4"/>
  <c r="AB1083" i="4"/>
  <c r="AB1088" i="4"/>
  <c r="AB1094" i="4"/>
  <c r="AB1099" i="4"/>
  <c r="AB1104" i="4"/>
  <c r="AB1110" i="4"/>
  <c r="AB1115" i="4"/>
  <c r="AB1120" i="4"/>
  <c r="AB1126" i="4"/>
  <c r="AB1131" i="4"/>
  <c r="AB1136" i="4"/>
  <c r="AB1142" i="4"/>
  <c r="AB1147" i="4"/>
  <c r="AB1152" i="4"/>
  <c r="AB1158" i="4"/>
  <c r="AB1163" i="4"/>
  <c r="AB1168" i="4"/>
  <c r="AB1174" i="4"/>
  <c r="AB1179" i="4"/>
  <c r="AB1184" i="4"/>
  <c r="AB1190" i="4"/>
  <c r="AB1195" i="4"/>
  <c r="AB1200" i="4"/>
  <c r="AB1206" i="4"/>
  <c r="AB1211" i="4"/>
  <c r="AB14" i="4"/>
  <c r="AB30" i="4"/>
  <c r="AB46" i="4"/>
  <c r="AB62" i="4"/>
  <c r="AB78" i="4"/>
  <c r="AB94" i="4"/>
  <c r="AB110" i="4"/>
  <c r="AB126" i="4"/>
  <c r="AB140" i="4"/>
  <c r="AB150" i="4"/>
  <c r="AB162" i="4"/>
  <c r="AB172" i="4"/>
  <c r="AB182" i="4"/>
  <c r="AB194" i="4"/>
  <c r="AB204" i="4"/>
  <c r="AB214" i="4"/>
  <c r="AB226" i="4"/>
  <c r="AB236" i="4"/>
  <c r="AB246" i="4"/>
  <c r="AB258" i="4"/>
  <c r="AB268" i="4"/>
  <c r="AB278" i="4"/>
  <c r="AB290" i="4"/>
  <c r="AB300" i="4"/>
  <c r="AB310" i="4"/>
  <c r="AB322" i="4"/>
  <c r="AB332" i="4"/>
  <c r="AB342" i="4"/>
  <c r="AB354" i="4"/>
  <c r="AB364" i="4"/>
  <c r="AB374" i="4"/>
  <c r="AB386" i="4"/>
  <c r="AB396" i="4"/>
  <c r="AB406" i="4"/>
  <c r="AB418" i="4"/>
  <c r="AB428" i="4"/>
  <c r="AB438" i="4"/>
  <c r="AB450" i="4"/>
  <c r="AB460" i="4"/>
  <c r="AB470" i="4"/>
  <c r="AB482" i="4"/>
  <c r="AB492" i="4"/>
  <c r="AB502" i="4"/>
  <c r="AB514" i="4"/>
  <c r="AB519" i="4"/>
  <c r="AB524" i="4"/>
  <c r="AB530" i="4"/>
  <c r="AB535" i="4"/>
  <c r="AB540" i="4"/>
  <c r="AB546" i="4"/>
  <c r="AB551" i="4"/>
  <c r="AB556" i="4"/>
  <c r="AB562" i="4"/>
  <c r="AB567" i="4"/>
  <c r="AB572" i="4"/>
  <c r="AB578" i="4"/>
  <c r="AB583" i="4"/>
  <c r="AB588" i="4"/>
  <c r="AB594" i="4"/>
  <c r="AB599" i="4"/>
  <c r="AB604" i="4"/>
  <c r="AB610" i="4"/>
  <c r="AB615" i="4"/>
  <c r="AB620" i="4"/>
  <c r="AB626" i="4"/>
  <c r="AB631" i="4"/>
  <c r="AB636" i="4"/>
  <c r="AB642" i="4"/>
  <c r="AB647" i="4"/>
  <c r="AB652" i="4"/>
  <c r="AB658" i="4"/>
  <c r="AB663" i="4"/>
  <c r="AB668" i="4"/>
  <c r="AB674" i="4"/>
  <c r="AB679" i="4"/>
  <c r="AB684" i="4"/>
  <c r="AB690" i="4"/>
  <c r="AB695" i="4"/>
  <c r="AB700" i="4"/>
  <c r="AB706" i="4"/>
  <c r="AB711" i="4"/>
  <c r="AB716" i="4"/>
  <c r="AB722" i="4"/>
  <c r="AB727" i="4"/>
  <c r="AB732" i="4"/>
  <c r="AB738" i="4"/>
  <c r="AB743" i="4"/>
  <c r="AB748" i="4"/>
  <c r="AB754" i="4"/>
  <c r="AB759" i="4"/>
  <c r="AB764" i="4"/>
  <c r="AB770" i="4"/>
  <c r="AB775" i="4"/>
  <c r="AB780" i="4"/>
  <c r="AB786" i="4"/>
  <c r="AB791" i="4"/>
  <c r="AB796" i="4"/>
  <c r="AB802" i="4"/>
  <c r="AB807" i="4"/>
  <c r="AB812" i="4"/>
  <c r="AB818" i="4"/>
  <c r="AB823" i="4"/>
  <c r="AB828" i="4"/>
  <c r="AB834" i="4"/>
  <c r="AB839" i="4"/>
  <c r="AB844" i="4"/>
  <c r="AB850" i="4"/>
  <c r="AB855" i="4"/>
  <c r="AB860" i="4"/>
  <c r="AB866" i="4"/>
  <c r="AB871" i="4"/>
  <c r="AB876" i="4"/>
  <c r="AB882" i="4"/>
  <c r="AB887" i="4"/>
  <c r="AB892" i="4"/>
  <c r="AB898" i="4"/>
  <c r="AB903" i="4"/>
  <c r="AB908" i="4"/>
  <c r="AB914" i="4"/>
  <c r="AB919" i="4"/>
  <c r="AB924" i="4"/>
  <c r="AB930" i="4"/>
  <c r="AB935" i="4"/>
  <c r="AB940" i="4"/>
  <c r="AB946" i="4"/>
  <c r="AB951" i="4"/>
  <c r="AB956" i="4"/>
  <c r="AB962" i="4"/>
  <c r="AB967" i="4"/>
  <c r="AB972" i="4"/>
  <c r="AB978" i="4"/>
  <c r="AB983" i="4"/>
  <c r="AB988" i="4"/>
  <c r="AB994" i="4"/>
  <c r="AB999" i="4"/>
  <c r="AB1004" i="4"/>
  <c r="AB1010" i="4"/>
  <c r="AB1015" i="4"/>
  <c r="AB1020" i="4"/>
  <c r="AB1026" i="4"/>
  <c r="AB1031" i="4"/>
  <c r="AB1036" i="4"/>
  <c r="AB1042" i="4"/>
  <c r="AB1047" i="4"/>
  <c r="AB1052" i="4"/>
  <c r="AB1058" i="4"/>
  <c r="AB1063" i="4"/>
  <c r="AB1068" i="4"/>
  <c r="AB1074" i="4"/>
  <c r="AB1079" i="4"/>
  <c r="AB1084" i="4"/>
  <c r="AB1090" i="4"/>
  <c r="AB1095" i="4"/>
  <c r="AB1100" i="4"/>
  <c r="AB1106" i="4"/>
  <c r="AB1111" i="4"/>
  <c r="AB1116" i="4"/>
  <c r="AB1122" i="4"/>
  <c r="AB1127" i="4"/>
  <c r="AB1132" i="4"/>
  <c r="AB1138" i="4"/>
  <c r="AB1143" i="4"/>
  <c r="AB1148" i="4"/>
  <c r="AB1154" i="4"/>
  <c r="AB1159" i="4"/>
  <c r="AB1164" i="4"/>
  <c r="AB1170" i="4"/>
  <c r="AB1175" i="4"/>
  <c r="AB1180" i="4"/>
  <c r="AB1186" i="4"/>
  <c r="AB1191" i="4"/>
  <c r="AB1196" i="4"/>
  <c r="AB1202" i="4"/>
  <c r="AB1207" i="4"/>
  <c r="AB1212" i="4"/>
  <c r="AB20" i="4"/>
  <c r="AB36" i="4"/>
  <c r="AB52" i="4"/>
  <c r="AB68" i="4"/>
  <c r="AB84" i="4"/>
  <c r="AB100" i="4"/>
  <c r="AB116" i="4"/>
  <c r="AB132" i="4"/>
  <c r="AB142" i="4"/>
  <c r="AB154" i="4"/>
  <c r="AB164" i="4"/>
  <c r="AB174" i="4"/>
  <c r="AB186" i="4"/>
  <c r="AB196" i="4"/>
  <c r="AB206" i="4"/>
  <c r="AB218" i="4"/>
  <c r="AB228" i="4"/>
  <c r="AB238" i="4"/>
  <c r="AB250" i="4"/>
  <c r="AB260" i="4"/>
  <c r="AB270" i="4"/>
  <c r="AB282" i="4"/>
  <c r="AB292" i="4"/>
  <c r="AB302" i="4"/>
  <c r="AB314" i="4"/>
  <c r="AB324" i="4"/>
  <c r="AB334" i="4"/>
  <c r="AB346" i="4"/>
  <c r="AB356" i="4"/>
  <c r="AB366" i="4"/>
  <c r="AB378" i="4"/>
  <c r="AB388" i="4"/>
  <c r="AB398" i="4"/>
  <c r="AB410" i="4"/>
  <c r="AB420" i="4"/>
  <c r="AB430" i="4"/>
  <c r="AB442" i="4"/>
  <c r="AB452" i="4"/>
  <c r="AB462" i="4"/>
  <c r="AB474" i="4"/>
  <c r="AB484" i="4"/>
  <c r="AB494" i="4"/>
  <c r="AB506" i="4"/>
  <c r="AB515" i="4"/>
  <c r="AB520" i="4"/>
  <c r="AB526" i="4"/>
  <c r="AB531" i="4"/>
  <c r="AB536" i="4"/>
  <c r="AB542" i="4"/>
  <c r="AB547" i="4"/>
  <c r="AB552" i="4"/>
  <c r="AB558" i="4"/>
  <c r="AB563" i="4"/>
  <c r="AB568" i="4"/>
  <c r="AB574" i="4"/>
  <c r="AB579" i="4"/>
  <c r="AB584" i="4"/>
  <c r="AB590" i="4"/>
  <c r="AB595" i="4"/>
  <c r="AB600" i="4"/>
  <c r="AB606" i="4"/>
  <c r="AB611" i="4"/>
  <c r="AB616" i="4"/>
  <c r="AB622" i="4"/>
  <c r="AB627" i="4"/>
  <c r="AB632" i="4"/>
  <c r="AB638" i="4"/>
  <c r="AB643" i="4"/>
  <c r="AB648" i="4"/>
  <c r="AB654" i="4"/>
  <c r="AB659" i="4"/>
  <c r="AB664" i="4"/>
  <c r="AB670" i="4"/>
  <c r="AB675" i="4"/>
  <c r="AB680" i="4"/>
  <c r="AB686" i="4"/>
  <c r="AB691" i="4"/>
  <c r="AB696" i="4"/>
  <c r="AB702" i="4"/>
  <c r="AB707" i="4"/>
  <c r="AB712" i="4"/>
  <c r="AB718" i="4"/>
  <c r="AB723" i="4"/>
  <c r="AB728" i="4"/>
  <c r="AB734" i="4"/>
  <c r="AB739" i="4"/>
  <c r="AB744" i="4"/>
  <c r="AB750" i="4"/>
  <c r="AB755" i="4"/>
  <c r="AB760" i="4"/>
  <c r="AB766" i="4"/>
  <c r="AB771" i="4"/>
  <c r="AB776" i="4"/>
  <c r="AB782" i="4"/>
  <c r="AB787" i="4"/>
  <c r="AB792" i="4"/>
  <c r="AB798" i="4"/>
  <c r="AB803" i="4"/>
  <c r="AB808" i="4"/>
  <c r="AB814" i="4"/>
  <c r="AB819" i="4"/>
  <c r="AB824" i="4"/>
  <c r="AB830" i="4"/>
  <c r="AB835" i="4"/>
  <c r="AB840" i="4"/>
  <c r="AB846" i="4"/>
  <c r="AB851" i="4"/>
  <c r="AB856" i="4"/>
  <c r="AB862" i="4"/>
  <c r="AB867" i="4"/>
  <c r="AB872" i="4"/>
  <c r="AB878" i="4"/>
  <c r="AB883" i="4"/>
  <c r="AB888" i="4"/>
  <c r="AB894" i="4"/>
  <c r="AB899" i="4"/>
  <c r="AB904" i="4"/>
  <c r="AB910" i="4"/>
  <c r="AB915" i="4"/>
  <c r="AB920" i="4"/>
  <c r="AB926" i="4"/>
  <c r="AB931" i="4"/>
  <c r="AB936" i="4"/>
  <c r="AB942" i="4"/>
  <c r="AB947" i="4"/>
  <c r="AB952" i="4"/>
  <c r="AB958" i="4"/>
  <c r="AB963" i="4"/>
  <c r="AB968" i="4"/>
  <c r="AB974" i="4"/>
  <c r="AB979" i="4"/>
  <c r="AB984" i="4"/>
  <c r="AB990" i="4"/>
  <c r="AB995" i="4"/>
  <c r="AB1000" i="4"/>
  <c r="AB1006" i="4"/>
  <c r="AB1011" i="4"/>
  <c r="AB1016" i="4"/>
  <c r="AB1022" i="4"/>
  <c r="AB1027" i="4"/>
  <c r="AB1032" i="4"/>
  <c r="AB1038" i="4"/>
  <c r="AB1043" i="4"/>
  <c r="AB1048" i="4"/>
  <c r="AB1054" i="4"/>
  <c r="AB1059" i="4"/>
  <c r="AB1064" i="4"/>
  <c r="AB1070" i="4"/>
  <c r="AB1075" i="4"/>
  <c r="AB1080" i="4"/>
  <c r="AB1086" i="4"/>
  <c r="AB1091" i="4"/>
  <c r="AB1096" i="4"/>
  <c r="AB1102" i="4"/>
  <c r="AB1107" i="4"/>
  <c r="AB1112" i="4"/>
  <c r="AB1118" i="4"/>
  <c r="AB1123" i="4"/>
  <c r="AB1128" i="4"/>
  <c r="AB1134" i="4"/>
  <c r="AB1139" i="4"/>
  <c r="AB22" i="4"/>
  <c r="AB86" i="4"/>
  <c r="AB146" i="4"/>
  <c r="AB188" i="4"/>
  <c r="AB230" i="4"/>
  <c r="AB274" i="4"/>
  <c r="AB316" i="4"/>
  <c r="AB358" i="4"/>
  <c r="AB402" i="4"/>
  <c r="AB444" i="4"/>
  <c r="AB486" i="4"/>
  <c r="AB522" i="4"/>
  <c r="AB543" i="4"/>
  <c r="AB564" i="4"/>
  <c r="AB586" i="4"/>
  <c r="AB607" i="4"/>
  <c r="AB628" i="4"/>
  <c r="AB650" i="4"/>
  <c r="AB671" i="4"/>
  <c r="AB692" i="4"/>
  <c r="AB714" i="4"/>
  <c r="AB735" i="4"/>
  <c r="AB756" i="4"/>
  <c r="AB778" i="4"/>
  <c r="AB799" i="4"/>
  <c r="AB820" i="4"/>
  <c r="AB842" i="4"/>
  <c r="AB863" i="4"/>
  <c r="AB884" i="4"/>
  <c r="AB906" i="4"/>
  <c r="AB927" i="4"/>
  <c r="AB948" i="4"/>
  <c r="AB970" i="4"/>
  <c r="AB991" i="4"/>
  <c r="AB1012" i="4"/>
  <c r="AB1034" i="4"/>
  <c r="AB1055" i="4"/>
  <c r="AB1076" i="4"/>
  <c r="AB1098" i="4"/>
  <c r="AB1119" i="4"/>
  <c r="AB1140" i="4"/>
  <c r="AB1151" i="4"/>
  <c r="AB1162" i="4"/>
  <c r="AB1172" i="4"/>
  <c r="AB1183" i="4"/>
  <c r="AB1194" i="4"/>
  <c r="AB1204" i="4"/>
  <c r="AB1215" i="4"/>
  <c r="AB38" i="4"/>
  <c r="AB102" i="4"/>
  <c r="AB156" i="4"/>
  <c r="AB198" i="4"/>
  <c r="AB242" i="4"/>
  <c r="AB284" i="4"/>
  <c r="AB326" i="4"/>
  <c r="AB370" i="4"/>
  <c r="AB412" i="4"/>
  <c r="AB454" i="4"/>
  <c r="AB498" i="4"/>
  <c r="AB527" i="4"/>
  <c r="AB548" i="4"/>
  <c r="AB570" i="4"/>
  <c r="AB591" i="4"/>
  <c r="AB612" i="4"/>
  <c r="AB634" i="4"/>
  <c r="AB655" i="4"/>
  <c r="AB676" i="4"/>
  <c r="AB698" i="4"/>
  <c r="AB719" i="4"/>
  <c r="AB740" i="4"/>
  <c r="AB762" i="4"/>
  <c r="AB783" i="4"/>
  <c r="AB804" i="4"/>
  <c r="AB826" i="4"/>
  <c r="AB847" i="4"/>
  <c r="AB868" i="4"/>
  <c r="AB890" i="4"/>
  <c r="AB911" i="4"/>
  <c r="AB932" i="4"/>
  <c r="AB954" i="4"/>
  <c r="AB975" i="4"/>
  <c r="AB996" i="4"/>
  <c r="AB1018" i="4"/>
  <c r="AB1039" i="4"/>
  <c r="AB1060" i="4"/>
  <c r="AB1082" i="4"/>
  <c r="AB1103" i="4"/>
  <c r="AB1124" i="4"/>
  <c r="AB1144" i="4"/>
  <c r="AB1155" i="4"/>
  <c r="AB1166" i="4"/>
  <c r="AB1176" i="4"/>
  <c r="AB1187" i="4"/>
  <c r="AB1198" i="4"/>
  <c r="AB1208" i="4"/>
  <c r="AB54" i="4"/>
  <c r="AB118" i="4"/>
  <c r="AB166" i="4"/>
  <c r="AB210" i="4"/>
  <c r="AB252" i="4"/>
  <c r="AB294" i="4"/>
  <c r="AB338" i="4"/>
  <c r="AB380" i="4"/>
  <c r="AB422" i="4"/>
  <c r="AB466" i="4"/>
  <c r="AB508" i="4"/>
  <c r="AB532" i="4"/>
  <c r="AB554" i="4"/>
  <c r="AB575" i="4"/>
  <c r="AB596" i="4"/>
  <c r="AB618" i="4"/>
  <c r="AB639" i="4"/>
  <c r="AB660" i="4"/>
  <c r="AB682" i="4"/>
  <c r="AB703" i="4"/>
  <c r="AB724" i="4"/>
  <c r="AB746" i="4"/>
  <c r="AB767" i="4"/>
  <c r="AB788" i="4"/>
  <c r="AB810" i="4"/>
  <c r="AB831" i="4"/>
  <c r="AB852" i="4"/>
  <c r="AB874" i="4"/>
  <c r="AB895" i="4"/>
  <c r="AB916" i="4"/>
  <c r="AB938" i="4"/>
  <c r="AB959" i="4"/>
  <c r="AB980" i="4"/>
  <c r="AB1002" i="4"/>
  <c r="AB1023" i="4"/>
  <c r="AB1044" i="4"/>
  <c r="AB1066" i="4"/>
  <c r="AB1087" i="4"/>
  <c r="AB1108" i="4"/>
  <c r="AB1130" i="4"/>
  <c r="AB1146" i="4"/>
  <c r="AB1156" i="4"/>
  <c r="AB1167" i="4"/>
  <c r="AB1178" i="4"/>
  <c r="AB1188" i="4"/>
  <c r="AB1199" i="4"/>
  <c r="AB1210" i="4"/>
  <c r="AB70" i="4"/>
  <c r="AB134" i="4"/>
  <c r="AB178" i="4"/>
  <c r="AB220" i="4"/>
  <c r="AB262" i="4"/>
  <c r="AB306" i="4"/>
  <c r="AB348" i="4"/>
  <c r="AB390" i="4"/>
  <c r="AB434" i="4"/>
  <c r="AB476" i="4"/>
  <c r="AB516" i="4"/>
  <c r="AB538" i="4"/>
  <c r="AB559" i="4"/>
  <c r="AB580" i="4"/>
  <c r="AB602" i="4"/>
  <c r="AB623" i="4"/>
  <c r="AB644" i="4"/>
  <c r="AB666" i="4"/>
  <c r="AB687" i="4"/>
  <c r="AB708" i="4"/>
  <c r="AB730" i="4"/>
  <c r="AB751" i="4"/>
  <c r="AB772" i="4"/>
  <c r="AB794" i="4"/>
  <c r="AB815" i="4"/>
  <c r="AB836" i="4"/>
  <c r="AB858" i="4"/>
  <c r="AB879" i="4"/>
  <c r="AB900" i="4"/>
  <c r="AB922" i="4"/>
  <c r="AB943" i="4"/>
  <c r="AB964" i="4"/>
  <c r="AB986" i="4"/>
  <c r="AB1007" i="4"/>
  <c r="AB1028" i="4"/>
  <c r="AB1050" i="4"/>
  <c r="AB1071" i="4"/>
  <c r="AB1092" i="4"/>
  <c r="AB1114" i="4"/>
  <c r="AB1135" i="4"/>
  <c r="AB1150" i="4"/>
  <c r="AB1160" i="4"/>
  <c r="AB1171" i="4"/>
  <c r="AB1182" i="4"/>
  <c r="AB1192" i="4"/>
  <c r="AB1203" i="4"/>
  <c r="AB1214" i="4"/>
  <c r="A6" i="4"/>
  <c r="M7" i="4"/>
  <c r="E7" i="4"/>
  <c r="F7" i="4"/>
  <c r="D1" i="4"/>
  <c r="AB5" i="4" s="1"/>
  <c r="B7" i="4"/>
  <c r="C7" i="4"/>
  <c r="D7" i="4"/>
  <c r="G4" i="4"/>
  <c r="H4" i="4"/>
  <c r="AC7" i="4"/>
  <c r="AB1207" i="10"/>
  <c r="AB1191" i="10"/>
  <c r="AB1175" i="10"/>
  <c r="AB1159" i="10"/>
  <c r="AB1143" i="10"/>
  <c r="AB1127" i="10"/>
  <c r="AB1111" i="10"/>
  <c r="AB1095" i="10"/>
  <c r="AB1079" i="10"/>
  <c r="AB1063" i="10"/>
  <c r="AB1047" i="10"/>
  <c r="AB1031" i="10"/>
  <c r="AB1015" i="10"/>
  <c r="AB999" i="10"/>
  <c r="AB983" i="10"/>
  <c r="AB967" i="10"/>
  <c r="AB951" i="10"/>
  <c r="AB935" i="10"/>
  <c r="AB919" i="10"/>
  <c r="AB903" i="10"/>
  <c r="AB887" i="10"/>
  <c r="AB871" i="10"/>
  <c r="AB855" i="10"/>
  <c r="AB839" i="10"/>
  <c r="AB823" i="10"/>
  <c r="AB807" i="10"/>
  <c r="AB791" i="10"/>
  <c r="AB775" i="10"/>
  <c r="AB759" i="10"/>
  <c r="AB743" i="10"/>
  <c r="AB727" i="10"/>
  <c r="AB711" i="10"/>
  <c r="AB1198" i="10"/>
  <c r="AB1177" i="10"/>
  <c r="AB1156" i="10"/>
  <c r="AB1134" i="10"/>
  <c r="AB1113" i="10"/>
  <c r="AB1092" i="10"/>
  <c r="AB1070" i="10"/>
  <c r="AB1049" i="10"/>
  <c r="AB1028" i="10"/>
  <c r="AB1006" i="10"/>
  <c r="AB985" i="10"/>
  <c r="AB964" i="10"/>
  <c r="AB942" i="10"/>
  <c r="AB1197" i="10"/>
  <c r="AB1176" i="10"/>
  <c r="AB1154" i="10"/>
  <c r="AB1133" i="10"/>
  <c r="AB1112" i="10"/>
  <c r="AB1090" i="10"/>
  <c r="AB1069" i="10"/>
  <c r="AB1048" i="10"/>
  <c r="AB1026" i="10"/>
  <c r="AB1005" i="10"/>
  <c r="AB984" i="10"/>
  <c r="AB962" i="10"/>
  <c r="AB941" i="10"/>
  <c r="AB920" i="10"/>
  <c r="AB898" i="10"/>
  <c r="AB877" i="10"/>
  <c r="AB856" i="10"/>
  <c r="AB834" i="10"/>
  <c r="AB813" i="10"/>
  <c r="AB792" i="10"/>
  <c r="AB770" i="10"/>
  <c r="AB749" i="10"/>
  <c r="AB728" i="10"/>
  <c r="AB707" i="10"/>
  <c r="AB691" i="10"/>
  <c r="AB675" i="10"/>
  <c r="AB659" i="10"/>
  <c r="AB643" i="10"/>
  <c r="AB627" i="10"/>
  <c r="AB611" i="10"/>
  <c r="AB595" i="10"/>
  <c r="AB1212" i="10"/>
  <c r="AB1169" i="10"/>
  <c r="AB1126" i="10"/>
  <c r="AB1084" i="10"/>
  <c r="AB1041" i="10"/>
  <c r="AB998" i="10"/>
  <c r="AB956" i="10"/>
  <c r="AB922" i="10"/>
  <c r="AB894" i="10"/>
  <c r="AB865" i="10"/>
  <c r="AB837" i="10"/>
  <c r="AB809" i="10"/>
  <c r="AB780" i="10"/>
  <c r="AB752" i="10"/>
  <c r="AB724" i="10"/>
  <c r="AB698" i="10"/>
  <c r="AB677" i="10"/>
  <c r="AB656" i="10"/>
  <c r="AB634" i="10"/>
  <c r="AB613" i="10"/>
  <c r="AB592" i="10"/>
  <c r="AB573" i="10"/>
  <c r="AB557" i="10"/>
  <c r="AB541" i="10"/>
  <c r="AB525" i="10"/>
  <c r="AB509" i="10"/>
  <c r="AB493" i="10"/>
  <c r="AB477" i="10"/>
  <c r="AB461" i="10"/>
  <c r="AB445" i="10"/>
  <c r="AB429" i="10"/>
  <c r="AB413" i="10"/>
  <c r="AB397" i="10"/>
  <c r="AB381" i="10"/>
  <c r="AB365" i="10"/>
  <c r="AB349" i="10"/>
  <c r="AB333" i="10"/>
  <c r="AB317" i="10"/>
  <c r="AB301" i="10"/>
  <c r="AB285" i="10"/>
  <c r="AB269" i="10"/>
  <c r="AB253" i="10"/>
  <c r="AB237" i="10"/>
  <c r="AB221" i="10"/>
  <c r="AB205" i="10"/>
  <c r="AB189" i="10"/>
  <c r="AB173" i="10"/>
  <c r="AB157" i="10"/>
  <c r="AB141" i="10"/>
  <c r="AB125" i="10"/>
  <c r="AB109" i="10"/>
  <c r="AB1203" i="10"/>
  <c r="AB1187" i="10"/>
  <c r="AB1171" i="10"/>
  <c r="AB1155" i="10"/>
  <c r="AB1139" i="10"/>
  <c r="AB1123" i="10"/>
  <c r="AB1107" i="10"/>
  <c r="AB1091" i="10"/>
  <c r="AB1075" i="10"/>
  <c r="AB1059" i="10"/>
  <c r="AB1043" i="10"/>
  <c r="AB1027" i="10"/>
  <c r="AB1011" i="10"/>
  <c r="AB995" i="10"/>
  <c r="AB979" i="10"/>
  <c r="AB963" i="10"/>
  <c r="AB947" i="10"/>
  <c r="AB931" i="10"/>
  <c r="AB915" i="10"/>
  <c r="AB899" i="10"/>
  <c r="AB883" i="10"/>
  <c r="AB867" i="10"/>
  <c r="AB851" i="10"/>
  <c r="AB835" i="10"/>
  <c r="AB819" i="10"/>
  <c r="AB803" i="10"/>
  <c r="AB787" i="10"/>
  <c r="AB771" i="10"/>
  <c r="AB755" i="10"/>
  <c r="AB739" i="10"/>
  <c r="AB723" i="10"/>
  <c r="AB1214" i="10"/>
  <c r="AB1193" i="10"/>
  <c r="AB1172" i="10"/>
  <c r="AB1150" i="10"/>
  <c r="AB1129" i="10"/>
  <c r="AB1108" i="10"/>
  <c r="AB1086" i="10"/>
  <c r="AB1065" i="10"/>
  <c r="AB1044" i="10"/>
  <c r="AB1022" i="10"/>
  <c r="AB1001" i="10"/>
  <c r="AB980" i="10"/>
  <c r="AB958" i="10"/>
  <c r="AB1213" i="10"/>
  <c r="AB1192" i="10"/>
  <c r="AB1170" i="10"/>
  <c r="AB1149" i="10"/>
  <c r="AB1128" i="10"/>
  <c r="AB1106" i="10"/>
  <c r="AB1085" i="10"/>
  <c r="AB1064" i="10"/>
  <c r="AB1042" i="10"/>
  <c r="AB1021" i="10"/>
  <c r="AB1000" i="10"/>
  <c r="AB978" i="10"/>
  <c r="AB957" i="10"/>
  <c r="AB936" i="10"/>
  <c r="AB914" i="10"/>
  <c r="AB893" i="10"/>
  <c r="AB872" i="10"/>
  <c r="AB850" i="10"/>
  <c r="AB829" i="10"/>
  <c r="AB808" i="10"/>
  <c r="AB786" i="10"/>
  <c r="AB765" i="10"/>
  <c r="AB744" i="10"/>
  <c r="AB722" i="10"/>
  <c r="AB703" i="10"/>
  <c r="AB687" i="10"/>
  <c r="AB671" i="10"/>
  <c r="AB655" i="10"/>
  <c r="AB639" i="10"/>
  <c r="AB623" i="10"/>
  <c r="AB607" i="10"/>
  <c r="AB591" i="10"/>
  <c r="AB1201" i="10"/>
  <c r="AB1158" i="10"/>
  <c r="AB1116" i="10"/>
  <c r="AB1073" i="10"/>
  <c r="AB1030" i="10"/>
  <c r="AB988" i="10"/>
  <c r="AB945" i="10"/>
  <c r="AB916" i="10"/>
  <c r="AB886" i="10"/>
  <c r="AB858" i="10"/>
  <c r="AB830" i="10"/>
  <c r="AB801" i="10"/>
  <c r="AB773" i="10"/>
  <c r="AB745" i="10"/>
  <c r="AB716" i="10"/>
  <c r="AB693" i="10"/>
  <c r="AB672" i="10"/>
  <c r="AB650" i="10"/>
  <c r="AB629" i="10"/>
  <c r="AB608" i="10"/>
  <c r="AB586" i="10"/>
  <c r="AB569" i="10"/>
  <c r="AB553" i="10"/>
  <c r="AB537" i="10"/>
  <c r="AB521" i="10"/>
  <c r="AB505" i="10"/>
  <c r="AB489" i="10"/>
  <c r="AB473" i="10"/>
  <c r="AB457" i="10"/>
  <c r="AB441" i="10"/>
  <c r="AB425" i="10"/>
  <c r="AB409" i="10"/>
  <c r="AB393" i="10"/>
  <c r="AB377" i="10"/>
  <c r="AB361" i="10"/>
  <c r="AB345" i="10"/>
  <c r="AB329" i="10"/>
  <c r="AB313" i="10"/>
  <c r="AB297" i="10"/>
  <c r="AB281" i="10"/>
  <c r="AB265" i="10"/>
  <c r="AB249" i="10"/>
  <c r="AB233" i="10"/>
  <c r="AB217" i="10"/>
  <c r="AB201" i="10"/>
  <c r="AB185" i="10"/>
  <c r="AB169" i="10"/>
  <c r="AB153" i="10"/>
  <c r="AB137" i="10"/>
  <c r="AB121" i="10"/>
  <c r="AB105" i="10"/>
  <c r="AB1215" i="10"/>
  <c r="AB1199" i="10"/>
  <c r="AB1183" i="10"/>
  <c r="AB1167" i="10"/>
  <c r="AB1151" i="10"/>
  <c r="AB1135" i="10"/>
  <c r="AB1119" i="10"/>
  <c r="AB1103" i="10"/>
  <c r="AB1087" i="10"/>
  <c r="AB1071" i="10"/>
  <c r="AB1055" i="10"/>
  <c r="AB1039" i="10"/>
  <c r="AB1023" i="10"/>
  <c r="AB1007" i="10"/>
  <c r="AB991" i="10"/>
  <c r="AB975" i="10"/>
  <c r="AB959" i="10"/>
  <c r="AB943" i="10"/>
  <c r="AB927" i="10"/>
  <c r="AB911" i="10"/>
  <c r="AB895" i="10"/>
  <c r="AB879" i="10"/>
  <c r="AB863" i="10"/>
  <c r="AB847" i="10"/>
  <c r="AB831" i="10"/>
  <c r="AB815" i="10"/>
  <c r="AB799" i="10"/>
  <c r="AB783" i="10"/>
  <c r="AB767" i="10"/>
  <c r="AB751" i="10"/>
  <c r="AB1195" i="10"/>
  <c r="AB1131" i="10"/>
  <c r="AB1067" i="10"/>
  <c r="AB1003" i="10"/>
  <c r="AB939" i="10"/>
  <c r="AB875" i="10"/>
  <c r="AB811" i="10"/>
  <c r="AB747" i="10"/>
  <c r="AB715" i="10"/>
  <c r="AB1182" i="10"/>
  <c r="AB1140" i="10"/>
  <c r="AB1097" i="10"/>
  <c r="AB1054" i="10"/>
  <c r="AB1012" i="10"/>
  <c r="AB969" i="10"/>
  <c r="AB1202" i="10"/>
  <c r="AB1160" i="10"/>
  <c r="AB1117" i="10"/>
  <c r="AB1074" i="10"/>
  <c r="AB1032" i="10"/>
  <c r="AB989" i="10"/>
  <c r="AB946" i="10"/>
  <c r="AB904" i="10"/>
  <c r="AB861" i="10"/>
  <c r="AB818" i="10"/>
  <c r="AB776" i="10"/>
  <c r="AB733" i="10"/>
  <c r="AB695" i="10"/>
  <c r="AB663" i="10"/>
  <c r="AB631" i="10"/>
  <c r="AB599" i="10"/>
  <c r="AB1180" i="10"/>
  <c r="AB1094" i="10"/>
  <c r="AB1009" i="10"/>
  <c r="AB929" i="10"/>
  <c r="AB873" i="10"/>
  <c r="AB816" i="10"/>
  <c r="AB758" i="10"/>
  <c r="AB704" i="10"/>
  <c r="AB661" i="10"/>
  <c r="AB618" i="10"/>
  <c r="AB577" i="10"/>
  <c r="AB545" i="10"/>
  <c r="AB513" i="10"/>
  <c r="AB481" i="10"/>
  <c r="AB449" i="10"/>
  <c r="AB417" i="10"/>
  <c r="AB385" i="10"/>
  <c r="AB353" i="10"/>
  <c r="AB321" i="10"/>
  <c r="AB289" i="10"/>
  <c r="AB257" i="10"/>
  <c r="AB225" i="10"/>
  <c r="AB193" i="10"/>
  <c r="AB161" i="10"/>
  <c r="AB129" i="10"/>
  <c r="AB97" i="10"/>
  <c r="AB81" i="10"/>
  <c r="AB65" i="10"/>
  <c r="AB49" i="10"/>
  <c r="AB33" i="10"/>
  <c r="AB17" i="10"/>
  <c r="U7" i="10"/>
  <c r="E7" i="10"/>
  <c r="AB1189" i="10"/>
  <c r="AB1146" i="10"/>
  <c r="AB1104" i="10"/>
  <c r="AB1061" i="10"/>
  <c r="AB1018" i="10"/>
  <c r="AB1206" i="10"/>
  <c r="AB1121" i="10"/>
  <c r="AB1036" i="10"/>
  <c r="AB961" i="10"/>
  <c r="AB917" i="10"/>
  <c r="AB878" i="10"/>
  <c r="AB841" i="10"/>
  <c r="AB804" i="10"/>
  <c r="AB764" i="10"/>
  <c r="AB726" i="10"/>
  <c r="AB694" i="10"/>
  <c r="AB665" i="10"/>
  <c r="AB637" i="10"/>
  <c r="AB609" i="10"/>
  <c r="AB580" i="10"/>
  <c r="AB559" i="10"/>
  <c r="AB538" i="10"/>
  <c r="AB516" i="10"/>
  <c r="AB495" i="10"/>
  <c r="AB474" i="10"/>
  <c r="AB452" i="10"/>
  <c r="AB431" i="10"/>
  <c r="AB410" i="10"/>
  <c r="AB388" i="10"/>
  <c r="AB367" i="10"/>
  <c r="AB346" i="10"/>
  <c r="AB324" i="10"/>
  <c r="AB303" i="10"/>
  <c r="AB282" i="10"/>
  <c r="AB260" i="10"/>
  <c r="AB239" i="10"/>
  <c r="AB218" i="10"/>
  <c r="AB196" i="10"/>
  <c r="AB175" i="10"/>
  <c r="AB154" i="10"/>
  <c r="AB132" i="10"/>
  <c r="AB111" i="10"/>
  <c r="AB90" i="10"/>
  <c r="AB68" i="10"/>
  <c r="AB47" i="10"/>
  <c r="AB26" i="10"/>
  <c r="X7" i="10"/>
  <c r="C7" i="10"/>
  <c r="AB790" i="10"/>
  <c r="AB706" i="10"/>
  <c r="AB636" i="10"/>
  <c r="AB579" i="10"/>
  <c r="AB542" i="10"/>
  <c r="AB499" i="10"/>
  <c r="AB456" i="10"/>
  <c r="AB414" i="10"/>
  <c r="AB376" i="10"/>
  <c r="AB334" i="10"/>
  <c r="AB286" i="10"/>
  <c r="AB243" i="10"/>
  <c r="AB195" i="10"/>
  <c r="AB158" i="10"/>
  <c r="AB110" i="10"/>
  <c r="AB72" i="10"/>
  <c r="AB1179" i="10"/>
  <c r="AB1115" i="10"/>
  <c r="AB1051" i="10"/>
  <c r="AB987" i="10"/>
  <c r="AB923" i="10"/>
  <c r="AB859" i="10"/>
  <c r="AB795" i="10"/>
  <c r="AB735" i="10"/>
  <c r="AB1209" i="10"/>
  <c r="AB1166" i="10"/>
  <c r="AB1124" i="10"/>
  <c r="AB1081" i="10"/>
  <c r="AB1038" i="10"/>
  <c r="AB996" i="10"/>
  <c r="AB953" i="10"/>
  <c r="AB1186" i="10"/>
  <c r="AB1144" i="10"/>
  <c r="AB1101" i="10"/>
  <c r="AB1058" i="10"/>
  <c r="AB1016" i="10"/>
  <c r="AB973" i="10"/>
  <c r="AB930" i="10"/>
  <c r="AB888" i="10"/>
  <c r="AB845" i="10"/>
  <c r="AB802" i="10"/>
  <c r="AB760" i="10"/>
  <c r="AB717" i="10"/>
  <c r="AB683" i="10"/>
  <c r="AB651" i="10"/>
  <c r="AB619" i="10"/>
  <c r="AB587" i="10"/>
  <c r="AB1148" i="10"/>
  <c r="AB1062" i="10"/>
  <c r="AB977" i="10"/>
  <c r="AB908" i="10"/>
  <c r="AB852" i="10"/>
  <c r="AB794" i="10"/>
  <c r="AB737" i="10"/>
  <c r="AB688" i="10"/>
  <c r="AB645" i="10"/>
  <c r="AB602" i="10"/>
  <c r="AB565" i="10"/>
  <c r="AB533" i="10"/>
  <c r="AB501" i="10"/>
  <c r="AB469" i="10"/>
  <c r="AB437" i="10"/>
  <c r="AB405" i="10"/>
  <c r="AB373" i="10"/>
  <c r="AB341" i="10"/>
  <c r="AB309" i="10"/>
  <c r="AB277" i="10"/>
  <c r="AB245" i="10"/>
  <c r="AB213" i="10"/>
  <c r="AB181" i="10"/>
  <c r="AB149" i="10"/>
  <c r="AB117" i="10"/>
  <c r="AB93" i="10"/>
  <c r="AB77" i="10"/>
  <c r="AB61" i="10"/>
  <c r="AB45" i="10"/>
  <c r="AB29" i="10"/>
  <c r="AB13" i="10"/>
  <c r="Q7" i="10"/>
  <c r="AB6" i="10"/>
  <c r="AB1178" i="10"/>
  <c r="AB1136" i="10"/>
  <c r="AB1093" i="10"/>
  <c r="AB1050" i="10"/>
  <c r="AB1008" i="10"/>
  <c r="AB1185" i="10"/>
  <c r="AB1100" i="10"/>
  <c r="AB1014" i="10"/>
  <c r="AB949" i="10"/>
  <c r="AB906" i="10"/>
  <c r="AB869" i="10"/>
  <c r="AB832" i="10"/>
  <c r="AB793" i="10"/>
  <c r="AB756" i="10"/>
  <c r="AB718" i="10"/>
  <c r="AB686" i="10"/>
  <c r="AB658" i="10"/>
  <c r="AB630" i="10"/>
  <c r="AB601" i="10"/>
  <c r="AB575" i="10"/>
  <c r="AB554" i="10"/>
  <c r="AB532" i="10"/>
  <c r="AB511" i="10"/>
  <c r="AB490" i="10"/>
  <c r="AB468" i="10"/>
  <c r="AB447" i="10"/>
  <c r="AB426" i="10"/>
  <c r="AB404" i="10"/>
  <c r="AB383" i="10"/>
  <c r="AB362" i="10"/>
  <c r="AB340" i="10"/>
  <c r="AB319" i="10"/>
  <c r="AB298" i="10"/>
  <c r="AB276" i="10"/>
  <c r="AB255" i="10"/>
  <c r="AB234" i="10"/>
  <c r="AB212" i="10"/>
  <c r="AB191" i="10"/>
  <c r="AB170" i="10"/>
  <c r="AB148" i="10"/>
  <c r="AB127" i="10"/>
  <c r="AB106" i="10"/>
  <c r="AB84" i="10"/>
  <c r="AB63" i="10"/>
  <c r="AB42" i="10"/>
  <c r="AB20" i="10"/>
  <c r="S7" i="10"/>
  <c r="AB960" i="10"/>
  <c r="AB762" i="10"/>
  <c r="AB685" i="10"/>
  <c r="AB614" i="10"/>
  <c r="AB574" i="10"/>
  <c r="AB531" i="10"/>
  <c r="AB1163" i="10"/>
  <c r="AB1099" i="10"/>
  <c r="AB1035" i="10"/>
  <c r="AB971" i="10"/>
  <c r="AB907" i="10"/>
  <c r="AB843" i="10"/>
  <c r="AB779" i="10"/>
  <c r="AB731" i="10"/>
  <c r="AB1204" i="10"/>
  <c r="AB1161" i="10"/>
  <c r="AB1118" i="10"/>
  <c r="AB1076" i="10"/>
  <c r="AB1033" i="10"/>
  <c r="AB990" i="10"/>
  <c r="AB948" i="10"/>
  <c r="AB1181" i="10"/>
  <c r="AB1138" i="10"/>
  <c r="AB1096" i="10"/>
  <c r="AB1053" i="10"/>
  <c r="AB1010" i="10"/>
  <c r="AB968" i="10"/>
  <c r="AB925" i="10"/>
  <c r="AB882" i="10"/>
  <c r="AB840" i="10"/>
  <c r="AB797" i="10"/>
  <c r="AB754" i="10"/>
  <c r="AB712" i="10"/>
  <c r="AB679" i="10"/>
  <c r="AB647" i="10"/>
  <c r="AB615" i="10"/>
  <c r="AB583" i="10"/>
  <c r="AB1137" i="10"/>
  <c r="AB1052" i="10"/>
  <c r="AB966" i="10"/>
  <c r="AB901" i="10"/>
  <c r="AB844" i="10"/>
  <c r="AB788" i="10"/>
  <c r="AB730" i="10"/>
  <c r="AB682" i="10"/>
  <c r="AB640" i="10"/>
  <c r="AB597" i="10"/>
  <c r="AB561" i="10"/>
  <c r="AB529" i="10"/>
  <c r="AB497" i="10"/>
  <c r="AB465" i="10"/>
  <c r="AB433" i="10"/>
  <c r="AB401" i="10"/>
  <c r="AB369" i="10"/>
  <c r="AB337" i="10"/>
  <c r="AB305" i="10"/>
  <c r="AB273" i="10"/>
  <c r="AB241" i="10"/>
  <c r="AB209" i="10"/>
  <c r="AB177" i="10"/>
  <c r="AB145" i="10"/>
  <c r="AB113" i="10"/>
  <c r="AB89" i="10"/>
  <c r="AB73" i="10"/>
  <c r="AB57" i="10"/>
  <c r="AB41" i="10"/>
  <c r="AB25" i="10"/>
  <c r="AB9" i="10"/>
  <c r="M7" i="10"/>
  <c r="AB1210" i="10"/>
  <c r="AB1168" i="10"/>
  <c r="AB1125" i="10"/>
  <c r="AB1082" i="10"/>
  <c r="AB1040" i="10"/>
  <c r="AB997" i="10"/>
  <c r="AB1164" i="10"/>
  <c r="AB1078" i="10"/>
  <c r="AB993" i="10"/>
  <c r="AB934" i="10"/>
  <c r="AB897" i="10"/>
  <c r="AB860" i="10"/>
  <c r="AB821" i="10"/>
  <c r="AB784" i="10"/>
  <c r="AB746" i="10"/>
  <c r="AB708" i="10"/>
  <c r="AB680" i="10"/>
  <c r="AB652" i="10"/>
  <c r="AB622" i="10"/>
  <c r="AB594" i="10"/>
  <c r="AB570" i="10"/>
  <c r="AB548" i="10"/>
  <c r="AB527" i="10"/>
  <c r="AB506" i="10"/>
  <c r="AB484" i="10"/>
  <c r="AB463" i="10"/>
  <c r="AB442" i="10"/>
  <c r="AB420" i="10"/>
  <c r="AB399" i="10"/>
  <c r="AB378" i="10"/>
  <c r="AB356" i="10"/>
  <c r="AB335" i="10"/>
  <c r="AB314" i="10"/>
  <c r="AB292" i="10"/>
  <c r="AB271" i="10"/>
  <c r="AB250" i="10"/>
  <c r="AB228" i="10"/>
  <c r="AB207" i="10"/>
  <c r="AB186" i="10"/>
  <c r="AB164" i="10"/>
  <c r="AB143" i="10"/>
  <c r="AB122" i="10"/>
  <c r="AB100" i="10"/>
  <c r="AB79" i="10"/>
  <c r="AB58" i="10"/>
  <c r="AB36" i="10"/>
  <c r="AB15" i="10"/>
  <c r="N7" i="10"/>
  <c r="AB838" i="10"/>
  <c r="AB734" i="10"/>
  <c r="AB670" i="10"/>
  <c r="AB606" i="10"/>
  <c r="AB563" i="10"/>
  <c r="AB520" i="10"/>
  <c r="AB478" i="10"/>
  <c r="AB435" i="10"/>
  <c r="AB398" i="10"/>
  <c r="AB350" i="10"/>
  <c r="AB312" i="10"/>
  <c r="AB264" i="10"/>
  <c r="AB216" i="10"/>
  <c r="AB174" i="10"/>
  <c r="AB131" i="10"/>
  <c r="AB94" i="10"/>
  <c r="AB1211" i="10"/>
  <c r="AB955" i="10"/>
  <c r="AB719" i="10"/>
  <c r="AB1060" i="10"/>
  <c r="AB1165" i="10"/>
  <c r="AB994" i="10"/>
  <c r="AB824" i="10"/>
  <c r="AB667" i="10"/>
  <c r="AB1105" i="10"/>
  <c r="AB822" i="10"/>
  <c r="AB624" i="10"/>
  <c r="AB485" i="10"/>
  <c r="AB357" i="10"/>
  <c r="AB229" i="10"/>
  <c r="AB101" i="10"/>
  <c r="AB37" i="10"/>
  <c r="AB1200" i="10"/>
  <c r="AB1029" i="10"/>
  <c r="AB976" i="10"/>
  <c r="AB812" i="10"/>
  <c r="AB673" i="10"/>
  <c r="AB564" i="10"/>
  <c r="AB479" i="10"/>
  <c r="AB394" i="10"/>
  <c r="AB308" i="10"/>
  <c r="AB223" i="10"/>
  <c r="AB138" i="10"/>
  <c r="AB52" i="10"/>
  <c r="AB810" i="10"/>
  <c r="AB552" i="10"/>
  <c r="AB451" i="10"/>
  <c r="AB360" i="10"/>
  <c r="AB275" i="10"/>
  <c r="AB184" i="10"/>
  <c r="AB104" i="10"/>
  <c r="AB46" i="10"/>
  <c r="W7" i="10"/>
  <c r="AB1132" i="10"/>
  <c r="AB982" i="10"/>
  <c r="AB892" i="10"/>
  <c r="AB817" i="10"/>
  <c r="AB741" i="10"/>
  <c r="AB676" i="10"/>
  <c r="AB620" i="10"/>
  <c r="AB572" i="10"/>
  <c r="AB524" i="10"/>
  <c r="AB482" i="10"/>
  <c r="AB444" i="10"/>
  <c r="AB396" i="10"/>
  <c r="AB370" i="10"/>
  <c r="AB338" i="10"/>
  <c r="AB290" i="10"/>
  <c r="AB247" i="10"/>
  <c r="AB210" i="10"/>
  <c r="AB172" i="10"/>
  <c r="AB146" i="10"/>
  <c r="AB103" i="10"/>
  <c r="AB66" i="10"/>
  <c r="AB18" i="10"/>
  <c r="AB1194" i="10"/>
  <c r="AB1002" i="10"/>
  <c r="AB890" i="10"/>
  <c r="AB805" i="10"/>
  <c r="AB740" i="10"/>
  <c r="AB660" i="10"/>
  <c r="AB617" i="10"/>
  <c r="AB566" i="10"/>
  <c r="AB528" i="10"/>
  <c r="AB496" i="10"/>
  <c r="AB448" i="10"/>
  <c r="AB400" i="10"/>
  <c r="AB352" i="10"/>
  <c r="AB310" i="10"/>
  <c r="AB272" i="10"/>
  <c r="AB208" i="10"/>
  <c r="AB171" i="10"/>
  <c r="AB134" i="10"/>
  <c r="AB91" i="10"/>
  <c r="AB48" i="10"/>
  <c r="AB1141" i="10"/>
  <c r="AB1056" i="10"/>
  <c r="AB972" i="10"/>
  <c r="AB913" i="10"/>
  <c r="AB876" i="10"/>
  <c r="AB828" i="10"/>
  <c r="AB772" i="10"/>
  <c r="AB700" i="10"/>
  <c r="AB657" i="10"/>
  <c r="AB600" i="10"/>
  <c r="AB547" i="10"/>
  <c r="AB504" i="10"/>
  <c r="AB462" i="10"/>
  <c r="AB419" i="10"/>
  <c r="AB371" i="10"/>
  <c r="AB328" i="10"/>
  <c r="AB291" i="10"/>
  <c r="AB248" i="10"/>
  <c r="AB211" i="10"/>
  <c r="AB163" i="10"/>
  <c r="AB126" i="10"/>
  <c r="AB78" i="10"/>
  <c r="AB30" i="10"/>
  <c r="G7" i="10"/>
  <c r="AB1046" i="10"/>
  <c r="AB912" i="10"/>
  <c r="AB836" i="10"/>
  <c r="AB769" i="10"/>
  <c r="AB705" i="10"/>
  <c r="AB641" i="10"/>
  <c r="AB578" i="10"/>
  <c r="AB540" i="10"/>
  <c r="AB498" i="10"/>
  <c r="AB455" i="10"/>
  <c r="AB407" i="10"/>
  <c r="AB343" i="10"/>
  <c r="AB306" i="10"/>
  <c r="AB263" i="10"/>
  <c r="AB220" i="10"/>
  <c r="AB162" i="10"/>
  <c r="AB108" i="10"/>
  <c r="AB60" i="10"/>
  <c r="AB23" i="10"/>
  <c r="A6" i="10"/>
  <c r="AB1066" i="10"/>
  <c r="AB938" i="10"/>
  <c r="AB862" i="10"/>
  <c r="AB785" i="10"/>
  <c r="AB710" i="10"/>
  <c r="AB668" i="10"/>
  <c r="AB582" i="10"/>
  <c r="AB550" i="10"/>
  <c r="AB491" i="10"/>
  <c r="AB454" i="10"/>
  <c r="AB416" i="10"/>
  <c r="AB374" i="10"/>
  <c r="AB336" i="10"/>
  <c r="AB288" i="10"/>
  <c r="AB256" i="10"/>
  <c r="AB219" i="10"/>
  <c r="AB182" i="10"/>
  <c r="AB128" i="10"/>
  <c r="AB86" i="10"/>
  <c r="AB43" i="10"/>
  <c r="AB16" i="10"/>
  <c r="J7" i="10"/>
  <c r="D1" i="10"/>
  <c r="AB1203" i="9"/>
  <c r="AB1187" i="9"/>
  <c r="AB1171" i="9"/>
  <c r="AB1155" i="9"/>
  <c r="AB1139" i="9"/>
  <c r="AB1123" i="9"/>
  <c r="AB1107" i="9"/>
  <c r="AB1091" i="9"/>
  <c r="AB1075" i="9"/>
  <c r="AB1059" i="9"/>
  <c r="AB1043" i="9"/>
  <c r="AB1027" i="9"/>
  <c r="AB1011" i="9"/>
  <c r="AB995" i="9"/>
  <c r="AB979" i="9"/>
  <c r="AB963" i="9"/>
  <c r="AB947" i="9"/>
  <c r="AB931" i="9"/>
  <c r="AB915" i="9"/>
  <c r="AB899" i="9"/>
  <c r="AB883" i="9"/>
  <c r="AB867" i="9"/>
  <c r="AB851" i="9"/>
  <c r="AB835" i="9"/>
  <c r="AB819" i="9"/>
  <c r="AB803" i="9"/>
  <c r="AB1147" i="10"/>
  <c r="AB891" i="10"/>
  <c r="AB1188" i="10"/>
  <c r="AB1017" i="10"/>
  <c r="AB1122" i="10"/>
  <c r="AB952" i="10"/>
  <c r="AB781" i="10"/>
  <c r="AB635" i="10"/>
  <c r="AB1020" i="10"/>
  <c r="AB766" i="10"/>
  <c r="AB581" i="10"/>
  <c r="AB453" i="10"/>
  <c r="AB325" i="10"/>
  <c r="AB197" i="10"/>
  <c r="AB85" i="10"/>
  <c r="AB21" i="10"/>
  <c r="AB1157" i="10"/>
  <c r="AB986" i="10"/>
  <c r="AB926" i="10"/>
  <c r="AB774" i="10"/>
  <c r="AB644" i="10"/>
  <c r="AB543" i="10"/>
  <c r="AB458" i="10"/>
  <c r="AB372" i="10"/>
  <c r="AB287" i="10"/>
  <c r="AB202" i="10"/>
  <c r="AB116" i="10"/>
  <c r="AB31" i="10"/>
  <c r="AB725" i="10"/>
  <c r="AB510" i="10"/>
  <c r="AB424" i="10"/>
  <c r="AB339" i="10"/>
  <c r="AB254" i="10"/>
  <c r="AB168" i="10"/>
  <c r="AB83" i="10"/>
  <c r="AB35" i="10"/>
  <c r="L7" i="10"/>
  <c r="AB1110" i="10"/>
  <c r="AB970" i="10"/>
  <c r="AB884" i="10"/>
  <c r="AB798" i="10"/>
  <c r="AB713" i="10"/>
  <c r="AB662" i="10"/>
  <c r="AB605" i="10"/>
  <c r="AB562" i="10"/>
  <c r="AB514" i="10"/>
  <c r="AB471" i="10"/>
  <c r="AB434" i="10"/>
  <c r="AB391" i="10"/>
  <c r="AB359" i="10"/>
  <c r="AB327" i="10"/>
  <c r="AB279" i="10"/>
  <c r="AB236" i="10"/>
  <c r="AB199" i="10"/>
  <c r="AB167" i="10"/>
  <c r="AB140" i="10"/>
  <c r="AB92" i="10"/>
  <c r="AB55" i="10"/>
  <c r="P7" i="10"/>
  <c r="AB1130" i="10"/>
  <c r="AB965" i="10"/>
  <c r="AB870" i="10"/>
  <c r="AB796" i="10"/>
  <c r="AB720" i="10"/>
  <c r="AB653" i="10"/>
  <c r="AB610" i="10"/>
  <c r="AB555" i="10"/>
  <c r="AB523" i="10"/>
  <c r="AB480" i="10"/>
  <c r="AB438" i="10"/>
  <c r="AB395" i="10"/>
  <c r="AB342" i="10"/>
  <c r="AB304" i="10"/>
  <c r="AB246" i="10"/>
  <c r="AB192" i="10"/>
  <c r="AB160" i="10"/>
  <c r="AB123" i="10"/>
  <c r="AB80" i="10"/>
  <c r="AB1205" i="10"/>
  <c r="AB1120" i="10"/>
  <c r="AB1034" i="10"/>
  <c r="AB944" i="10"/>
  <c r="AB905" i="10"/>
  <c r="AB868" i="10"/>
  <c r="AB820" i="10"/>
  <c r="AB753" i="10"/>
  <c r="AB692" i="10"/>
  <c r="AB642" i="10"/>
  <c r="AB585" i="10"/>
  <c r="AB536" i="10"/>
  <c r="AB494" i="10"/>
  <c r="AB446" i="10"/>
  <c r="AB408" i="10"/>
  <c r="AB366" i="10"/>
  <c r="AB318" i="10"/>
  <c r="AB280" i="10"/>
  <c r="AB238" i="10"/>
  <c r="AB200" i="10"/>
  <c r="AB152" i="10"/>
  <c r="AB115" i="10"/>
  <c r="AB67" i="10"/>
  <c r="AB19" i="10"/>
  <c r="AB1174" i="10"/>
  <c r="AB1004" i="10"/>
  <c r="AB902" i="10"/>
  <c r="AB826" i="10"/>
  <c r="AB750" i="10"/>
  <c r="AB697" i="10"/>
  <c r="AB626" i="10"/>
  <c r="AB567" i="10"/>
  <c r="AB530" i="10"/>
  <c r="AB487" i="10"/>
  <c r="AB439" i="10"/>
  <c r="AB402" i="10"/>
  <c r="AB332" i="10"/>
  <c r="AB295" i="10"/>
  <c r="AB252" i="10"/>
  <c r="AB204" i="10"/>
  <c r="AB130" i="10"/>
  <c r="AB98" i="10"/>
  <c r="AB50" i="10"/>
  <c r="AB12" i="10"/>
  <c r="AB1173" i="10"/>
  <c r="AB1024" i="10"/>
  <c r="AB918" i="10"/>
  <c r="AB853" i="10"/>
  <c r="AB768" i="10"/>
  <c r="AB702" i="10"/>
  <c r="AB646" i="10"/>
  <c r="AB576" i="10"/>
  <c r="AB539" i="10"/>
  <c r="AB486" i="10"/>
  <c r="AB443" i="10"/>
  <c r="AB406" i="10"/>
  <c r="AB363" i="10"/>
  <c r="AB326" i="10"/>
  <c r="AB278" i="10"/>
  <c r="AB251" i="10"/>
  <c r="AB214" i="10"/>
  <c r="AB166" i="10"/>
  <c r="AB118" i="10"/>
  <c r="AB75" i="10"/>
  <c r="AB22" i="10"/>
  <c r="O7" i="10"/>
  <c r="AB27" i="10"/>
  <c r="AB1215" i="9"/>
  <c r="AB1199" i="9"/>
  <c r="AB1183" i="9"/>
  <c r="AB1167" i="9"/>
  <c r="AB1151" i="9"/>
  <c r="AB1135" i="9"/>
  <c r="AB1119" i="9"/>
  <c r="AB1103" i="9"/>
  <c r="AB1087" i="9"/>
  <c r="AB1071" i="9"/>
  <c r="AB1055" i="9"/>
  <c r="AB1039" i="9"/>
  <c r="AB1023" i="9"/>
  <c r="AB1007" i="9"/>
  <c r="AB991" i="9"/>
  <c r="AB975" i="9"/>
  <c r="AB959" i="9"/>
  <c r="AB943" i="9"/>
  <c r="AB1083" i="10"/>
  <c r="AB827" i="10"/>
  <c r="AB1145" i="10"/>
  <c r="AB974" i="10"/>
  <c r="AB1080" i="10"/>
  <c r="AB909" i="10"/>
  <c r="AB738" i="10"/>
  <c r="AB603" i="10"/>
  <c r="AB937" i="10"/>
  <c r="AB709" i="10"/>
  <c r="AB549" i="10"/>
  <c r="AB421" i="10"/>
  <c r="AB293" i="10"/>
  <c r="AB165" i="10"/>
  <c r="AB69" i="10"/>
  <c r="Y7" i="10"/>
  <c r="AB1114" i="10"/>
  <c r="AB1142" i="10"/>
  <c r="AB889" i="10"/>
  <c r="AB736" i="10"/>
  <c r="AB616" i="10"/>
  <c r="AB522" i="10"/>
  <c r="AB436" i="10"/>
  <c r="AB351" i="10"/>
  <c r="AB266" i="10"/>
  <c r="AB180" i="10"/>
  <c r="AB95" i="10"/>
  <c r="AB10" i="10"/>
  <c r="AB649" i="10"/>
  <c r="AB488" i="10"/>
  <c r="AB403" i="10"/>
  <c r="AB323" i="10"/>
  <c r="AB232" i="10"/>
  <c r="AB142" i="10"/>
  <c r="AB62" i="10"/>
  <c r="AB24" i="10"/>
  <c r="B7" i="10"/>
  <c r="AB1068" i="10"/>
  <c r="AB940" i="10"/>
  <c r="AB864" i="10"/>
  <c r="AB778" i="10"/>
  <c r="AB690" i="10"/>
  <c r="AB648" i="10"/>
  <c r="AB590" i="10"/>
  <c r="AB546" i="10"/>
  <c r="AB503" i="10"/>
  <c r="AB460" i="10"/>
  <c r="AB423" i="10"/>
  <c r="AB380" i="10"/>
  <c r="AB354" i="10"/>
  <c r="AB316" i="10"/>
  <c r="AB268" i="10"/>
  <c r="AB226" i="10"/>
  <c r="AB188" i="10"/>
  <c r="AB156" i="10"/>
  <c r="AB135" i="10"/>
  <c r="AB82" i="10"/>
  <c r="AB44" i="10"/>
  <c r="K7" i="10"/>
  <c r="AB1088" i="10"/>
  <c r="AB928" i="10"/>
  <c r="AB842" i="10"/>
  <c r="AB777" i="10"/>
  <c r="AB689" i="10"/>
  <c r="AB632" i="10"/>
  <c r="AB596" i="10"/>
  <c r="AB544" i="10"/>
  <c r="AB512" i="10"/>
  <c r="AB470" i="10"/>
  <c r="AB422" i="10"/>
  <c r="AB384" i="10"/>
  <c r="AB331" i="10"/>
  <c r="AB294" i="10"/>
  <c r="AB235" i="10"/>
  <c r="AB187" i="10"/>
  <c r="AB155" i="10"/>
  <c r="AB112" i="10"/>
  <c r="AB70" i="10"/>
  <c r="AB1184" i="10"/>
  <c r="AB1098" i="10"/>
  <c r="AB1013" i="10"/>
  <c r="AB933" i="10"/>
  <c r="AB896" i="10"/>
  <c r="AB857" i="10"/>
  <c r="AB800" i="10"/>
  <c r="AB742" i="10"/>
  <c r="AB678" i="10"/>
  <c r="AB628" i="10"/>
  <c r="AB568" i="10"/>
  <c r="AB526" i="10"/>
  <c r="AB483" i="10"/>
  <c r="AB440" i="10"/>
  <c r="AB392" i="10"/>
  <c r="AB355" i="10"/>
  <c r="AB307" i="10"/>
  <c r="AB270" i="10"/>
  <c r="AB227" i="10"/>
  <c r="AB190" i="10"/>
  <c r="AB147" i="10"/>
  <c r="AB99" i="10"/>
  <c r="AB56" i="10"/>
  <c r="AB8" i="10"/>
  <c r="AB1153" i="10"/>
  <c r="AB954" i="10"/>
  <c r="AB874" i="10"/>
  <c r="AB806" i="10"/>
  <c r="AB732" i="10"/>
  <c r="AB669" i="10"/>
  <c r="AB612" i="10"/>
  <c r="AB556" i="10"/>
  <c r="AB519" i="10"/>
  <c r="AB476" i="10"/>
  <c r="AB428" i="10"/>
  <c r="AB386" i="10"/>
  <c r="AB322" i="10"/>
  <c r="AB284" i="10"/>
  <c r="AB242" i="10"/>
  <c r="AB194" i="10"/>
  <c r="AB124" i="10"/>
  <c r="AB87" i="10"/>
  <c r="AB39" i="10"/>
  <c r="V7" i="10"/>
  <c r="AB1152" i="10"/>
  <c r="AB981" i="10"/>
  <c r="AB900" i="10"/>
  <c r="AB825" i="10"/>
  <c r="AB748" i="10"/>
  <c r="AB696" i="10"/>
  <c r="AB638" i="10"/>
  <c r="AB571" i="10"/>
  <c r="AB518" i="10"/>
  <c r="AB475" i="10"/>
  <c r="AB432" i="10"/>
  <c r="AB390" i="10"/>
  <c r="AB358" i="10"/>
  <c r="AB315" i="10"/>
  <c r="AB267" i="10"/>
  <c r="AB240" i="10"/>
  <c r="AB203" i="10"/>
  <c r="AB150" i="10"/>
  <c r="AB107" i="10"/>
  <c r="AB64" i="10"/>
  <c r="T7" i="10"/>
  <c r="AB32" i="10"/>
  <c r="AB7" i="10"/>
  <c r="AB1211" i="9"/>
  <c r="AB1195" i="9"/>
  <c r="AB1179" i="9"/>
  <c r="AB1163" i="9"/>
  <c r="AB1147" i="9"/>
  <c r="AB1131" i="9"/>
  <c r="AB1115" i="9"/>
  <c r="AB1099" i="9"/>
  <c r="AB1083" i="9"/>
  <c r="AB1067" i="9"/>
  <c r="AB1051" i="9"/>
  <c r="AB1035" i="9"/>
  <c r="AB1019" i="9"/>
  <c r="AB1003" i="9"/>
  <c r="AB987" i="9"/>
  <c r="AB971" i="9"/>
  <c r="AB955" i="9"/>
  <c r="AB939" i="9"/>
  <c r="AB1019" i="10"/>
  <c r="AB763" i="10"/>
  <c r="AB1102" i="10"/>
  <c r="AB1208" i="10"/>
  <c r="AB1037" i="10"/>
  <c r="AB866" i="10"/>
  <c r="AB699" i="10"/>
  <c r="AB1190" i="10"/>
  <c r="AB880" i="10"/>
  <c r="AB666" i="10"/>
  <c r="AB517" i="10"/>
  <c r="AB389" i="10"/>
  <c r="AB261" i="10"/>
  <c r="AB133" i="10"/>
  <c r="AB53" i="10"/>
  <c r="I7" i="10"/>
  <c r="AB1072" i="10"/>
  <c r="AB1057" i="10"/>
  <c r="AB849" i="10"/>
  <c r="AB701" i="10"/>
  <c r="AB588" i="10"/>
  <c r="AB500" i="10"/>
  <c r="AB415" i="10"/>
  <c r="AB330" i="10"/>
  <c r="AB244" i="10"/>
  <c r="AB159" i="10"/>
  <c r="AB74" i="10"/>
  <c r="H7" i="10"/>
  <c r="AB593" i="10"/>
  <c r="AB467" i="10"/>
  <c r="AB382" i="10"/>
  <c r="AB302" i="10"/>
  <c r="AB206" i="10"/>
  <c r="AB120" i="10"/>
  <c r="AB51" i="10"/>
  <c r="AB14" i="10"/>
  <c r="AB1196" i="10"/>
  <c r="AB1025" i="10"/>
  <c r="AB921" i="10"/>
  <c r="AB846" i="10"/>
  <c r="AB761" i="10"/>
  <c r="AB684" i="10"/>
  <c r="AB633" i="10"/>
  <c r="AB584" i="10"/>
  <c r="AB535" i="10"/>
  <c r="AB492" i="10"/>
  <c r="AB450" i="10"/>
  <c r="AB412" i="10"/>
  <c r="AB375" i="10"/>
  <c r="AB348" i="10"/>
  <c r="AB300" i="10"/>
  <c r="AB258" i="10"/>
  <c r="AB215" i="10"/>
  <c r="AB178" i="10"/>
  <c r="AB151" i="10"/>
  <c r="AB119" i="10"/>
  <c r="AB76" i="10"/>
  <c r="AB34" i="10"/>
  <c r="B3" i="10"/>
  <c r="AB1045" i="10"/>
  <c r="AB910" i="10"/>
  <c r="AB833" i="10"/>
  <c r="AB757" i="10"/>
  <c r="AB674" i="10"/>
  <c r="AB625" i="10"/>
  <c r="AB589" i="10"/>
  <c r="AB534" i="10"/>
  <c r="AB507" i="10"/>
  <c r="AB459" i="10"/>
  <c r="AB411" i="10"/>
  <c r="AB368" i="10"/>
  <c r="AB320" i="10"/>
  <c r="AB283" i="10"/>
  <c r="AB224" i="10"/>
  <c r="AB176" i="10"/>
  <c r="AB139" i="10"/>
  <c r="AB102" i="10"/>
  <c r="AB59" i="10"/>
  <c r="AB1162" i="10"/>
  <c r="AB1077" i="10"/>
  <c r="AB992" i="10"/>
  <c r="AB924" i="10"/>
  <c r="AB885" i="10"/>
  <c r="AB848" i="10"/>
  <c r="AB782" i="10"/>
  <c r="AB714" i="10"/>
  <c r="AB664" i="10"/>
  <c r="AB621" i="10"/>
  <c r="AB558" i="10"/>
  <c r="AB515" i="10"/>
  <c r="AB472" i="10"/>
  <c r="AB430" i="10"/>
  <c r="AB387" i="10"/>
  <c r="AB344" i="10"/>
  <c r="AB296" i="10"/>
  <c r="AB259" i="10"/>
  <c r="AB222" i="10"/>
  <c r="AB179" i="10"/>
  <c r="AB136" i="10"/>
  <c r="AB88" i="10"/>
  <c r="AB40" i="10"/>
  <c r="R7" i="10"/>
  <c r="AB1089" i="10"/>
  <c r="AB932" i="10"/>
  <c r="AB854" i="10"/>
  <c r="AB789" i="10"/>
  <c r="AB721" i="10"/>
  <c r="AB654" i="10"/>
  <c r="AB598" i="10"/>
  <c r="AB551" i="10"/>
  <c r="AB508" i="10"/>
  <c r="AB466" i="10"/>
  <c r="AB418" i="10"/>
  <c r="AB364" i="10"/>
  <c r="AB311" i="10"/>
  <c r="AB274" i="10"/>
  <c r="AB231" i="10"/>
  <c r="AB183" i="10"/>
  <c r="AB114" i="10"/>
  <c r="AB71" i="10"/>
  <c r="AB28" i="10"/>
  <c r="F7" i="10"/>
  <c r="AB1109" i="10"/>
  <c r="AB950" i="10"/>
  <c r="AB881" i="10"/>
  <c r="AB814" i="10"/>
  <c r="AB729" i="10"/>
  <c r="AB681" i="10"/>
  <c r="AB464" i="10"/>
  <c r="AB299" i="10"/>
  <c r="AB144" i="10"/>
  <c r="AB11" i="10"/>
  <c r="AB1175" i="9"/>
  <c r="AB1111" i="9"/>
  <c r="AB1047" i="9"/>
  <c r="AB983" i="9"/>
  <c r="AB927" i="9"/>
  <c r="AB907" i="9"/>
  <c r="AB887" i="9"/>
  <c r="AB863" i="9"/>
  <c r="AB843" i="9"/>
  <c r="AB823" i="9"/>
  <c r="AB799" i="9"/>
  <c r="AB783" i="9"/>
  <c r="AB767" i="9"/>
  <c r="AB751" i="9"/>
  <c r="AB735" i="9"/>
  <c r="AB1210" i="9"/>
  <c r="AB1194" i="9"/>
  <c r="AB1178" i="9"/>
  <c r="AB1162" i="9"/>
  <c r="AB1146" i="9"/>
  <c r="AB1130" i="9"/>
  <c r="AB1114" i="9"/>
  <c r="AB1098" i="9"/>
  <c r="AB1082" i="9"/>
  <c r="AB1066" i="9"/>
  <c r="AB1050" i="9"/>
  <c r="AB1034" i="9"/>
  <c r="AB1018" i="9"/>
  <c r="AB1002" i="9"/>
  <c r="AB986" i="9"/>
  <c r="AB970" i="9"/>
  <c r="AB954" i="9"/>
  <c r="AB938" i="9"/>
  <c r="AB922" i="9"/>
  <c r="AB906" i="9"/>
  <c r="AB890" i="9"/>
  <c r="AB874" i="9"/>
  <c r="AB858" i="9"/>
  <c r="AB842" i="9"/>
  <c r="AB826" i="9"/>
  <c r="AB810" i="9"/>
  <c r="AB794" i="9"/>
  <c r="AB778" i="9"/>
  <c r="AB762" i="9"/>
  <c r="AB746" i="9"/>
  <c r="AB730" i="9"/>
  <c r="AB714" i="9"/>
  <c r="AB1205" i="9"/>
  <c r="AB1189" i="9"/>
  <c r="AB1173" i="9"/>
  <c r="AB1157" i="9"/>
  <c r="AB1141" i="9"/>
  <c r="AB1125" i="9"/>
  <c r="AB1109" i="9"/>
  <c r="AB1093" i="9"/>
  <c r="AB1077" i="9"/>
  <c r="AB1061" i="9"/>
  <c r="AB1045" i="9"/>
  <c r="AB1029" i="9"/>
  <c r="AB1013" i="9"/>
  <c r="AB997" i="9"/>
  <c r="AB981" i="9"/>
  <c r="AB965" i="9"/>
  <c r="AB949" i="9"/>
  <c r="AB933" i="9"/>
  <c r="AB917" i="9"/>
  <c r="AB901" i="9"/>
  <c r="AB885" i="9"/>
  <c r="AB869" i="9"/>
  <c r="AB853" i="9"/>
  <c r="AB837" i="9"/>
  <c r="AB1212" i="9"/>
  <c r="AB1148" i="9"/>
  <c r="AB1084" i="9"/>
  <c r="AB1020" i="9"/>
  <c r="AB956" i="9"/>
  <c r="AB892" i="9"/>
  <c r="AB828" i="9"/>
  <c r="AB793" i="9"/>
  <c r="AB761" i="9"/>
  <c r="AB729" i="9"/>
  <c r="AB707" i="9"/>
  <c r="AB691" i="9"/>
  <c r="AB675" i="9"/>
  <c r="AB659" i="9"/>
  <c r="AB643" i="9"/>
  <c r="AB627" i="9"/>
  <c r="AB611" i="9"/>
  <c r="AB595" i="9"/>
  <c r="AB579" i="9"/>
  <c r="AB563" i="9"/>
  <c r="AB547" i="9"/>
  <c r="AB531" i="9"/>
  <c r="AB515" i="9"/>
  <c r="AB499" i="9"/>
  <c r="AB483" i="9"/>
  <c r="AB467" i="9"/>
  <c r="AB451" i="9"/>
  <c r="AB435" i="9"/>
  <c r="AB419" i="9"/>
  <c r="AB403" i="9"/>
  <c r="AB387" i="9"/>
  <c r="AB371" i="9"/>
  <c r="AB1192" i="9"/>
  <c r="AB1128" i="9"/>
  <c r="AB1064" i="9"/>
  <c r="AB1000" i="9"/>
  <c r="AB936" i="9"/>
  <c r="AB872" i="9"/>
  <c r="AB816" i="9"/>
  <c r="AB784" i="9"/>
  <c r="AB752" i="9"/>
  <c r="AB721" i="9"/>
  <c r="AB702" i="9"/>
  <c r="AB686" i="9"/>
  <c r="AB670" i="9"/>
  <c r="AB654" i="9"/>
  <c r="AB638" i="9"/>
  <c r="AB622" i="9"/>
  <c r="AB606" i="9"/>
  <c r="AB590" i="9"/>
  <c r="AB574" i="9"/>
  <c r="AB558" i="9"/>
  <c r="AB542" i="9"/>
  <c r="AB526" i="9"/>
  <c r="AB510" i="9"/>
  <c r="AB494" i="9"/>
  <c r="AB478" i="9"/>
  <c r="AB462" i="9"/>
  <c r="AB446" i="9"/>
  <c r="AB430" i="9"/>
  <c r="AB414" i="9"/>
  <c r="AB398" i="9"/>
  <c r="AB382" i="9"/>
  <c r="AB366" i="9"/>
  <c r="AB1172" i="9"/>
  <c r="AB1108" i="9"/>
  <c r="AB1044" i="9"/>
  <c r="AB980" i="9"/>
  <c r="AB916" i="9"/>
  <c r="AB852" i="9"/>
  <c r="AB805" i="9"/>
  <c r="AB773" i="9"/>
  <c r="AB741" i="9"/>
  <c r="AB715" i="9"/>
  <c r="AB697" i="9"/>
  <c r="AB681" i="9"/>
  <c r="AB665" i="9"/>
  <c r="AB649" i="9"/>
  <c r="AB633" i="9"/>
  <c r="AB617" i="9"/>
  <c r="AB601" i="9"/>
  <c r="AB585" i="9"/>
  <c r="AB569" i="9"/>
  <c r="AB553" i="9"/>
  <c r="AB537" i="9"/>
  <c r="AB1072" i="9"/>
  <c r="AB820" i="9"/>
  <c r="AB704" i="9"/>
  <c r="AB640" i="9"/>
  <c r="AB576" i="9"/>
  <c r="AB521" i="9"/>
  <c r="AB489" i="9"/>
  <c r="AB457" i="9"/>
  <c r="AB425" i="9"/>
  <c r="AB393" i="9"/>
  <c r="AB361" i="9"/>
  <c r="AB345" i="9"/>
  <c r="AB329" i="9"/>
  <c r="AB313" i="9"/>
  <c r="AB297" i="9"/>
  <c r="AB281" i="9"/>
  <c r="AB265" i="9"/>
  <c r="AB249" i="9"/>
  <c r="AB233" i="9"/>
  <c r="AB217" i="9"/>
  <c r="AB201" i="9"/>
  <c r="AB185" i="9"/>
  <c r="AB169" i="9"/>
  <c r="AB153" i="9"/>
  <c r="AB137" i="9"/>
  <c r="AB121" i="9"/>
  <c r="AB105" i="9"/>
  <c r="AB89" i="9"/>
  <c r="AB73" i="9"/>
  <c r="AB57" i="9"/>
  <c r="AB41" i="9"/>
  <c r="AB25" i="9"/>
  <c r="AB1120" i="9"/>
  <c r="AB864" i="9"/>
  <c r="AB719" i="9"/>
  <c r="AB652" i="9"/>
  <c r="AB588" i="9"/>
  <c r="AB528" i="9"/>
  <c r="AB496" i="9"/>
  <c r="AB464" i="9"/>
  <c r="AB432" i="9"/>
  <c r="AB400" i="9"/>
  <c r="AB368" i="9"/>
  <c r="AB348" i="9"/>
  <c r="AB332" i="9"/>
  <c r="AB316" i="9"/>
  <c r="AB300" i="9"/>
  <c r="AB284" i="9"/>
  <c r="AB268" i="9"/>
  <c r="AB252" i="9"/>
  <c r="AB236" i="9"/>
  <c r="AB220" i="9"/>
  <c r="AB204" i="9"/>
  <c r="AB188" i="9"/>
  <c r="AB172" i="9"/>
  <c r="AB156" i="9"/>
  <c r="AB140" i="9"/>
  <c r="AB124" i="9"/>
  <c r="AB108" i="9"/>
  <c r="AB92" i="9"/>
  <c r="AB76" i="9"/>
  <c r="AB60" i="9"/>
  <c r="AB44" i="9"/>
  <c r="AB28" i="9"/>
  <c r="AB1168" i="9"/>
  <c r="AB912" i="9"/>
  <c r="AB740" i="9"/>
  <c r="AB664" i="9"/>
  <c r="AB600" i="9"/>
  <c r="AB536" i="9"/>
  <c r="AB501" i="9"/>
  <c r="AB469" i="9"/>
  <c r="AB437" i="9"/>
  <c r="AB405" i="9"/>
  <c r="AB373" i="9"/>
  <c r="AB351" i="9"/>
  <c r="AB335" i="9"/>
  <c r="AB319" i="9"/>
  <c r="AB303" i="9"/>
  <c r="AB287" i="9"/>
  <c r="AB271" i="9"/>
  <c r="AB255" i="9"/>
  <c r="AB239" i="9"/>
  <c r="AB223" i="9"/>
  <c r="AB207" i="9"/>
  <c r="AB191" i="9"/>
  <c r="AB175" i="9"/>
  <c r="AB159" i="9"/>
  <c r="AB143" i="9"/>
  <c r="AB127" i="9"/>
  <c r="AB111" i="9"/>
  <c r="AB95" i="9"/>
  <c r="AB79" i="9"/>
  <c r="AB63" i="9"/>
  <c r="AB604" i="10"/>
  <c r="AB427" i="10"/>
  <c r="AB262" i="10"/>
  <c r="AB96" i="10"/>
  <c r="D7" i="10"/>
  <c r="AB1159" i="9"/>
  <c r="AB1095" i="9"/>
  <c r="AB1031" i="9"/>
  <c r="AB967" i="9"/>
  <c r="AB923" i="9"/>
  <c r="AB903" i="9"/>
  <c r="AB879" i="9"/>
  <c r="AB859" i="9"/>
  <c r="AB839" i="9"/>
  <c r="AB815" i="9"/>
  <c r="AB795" i="9"/>
  <c r="AB779" i="9"/>
  <c r="AB763" i="9"/>
  <c r="AB747" i="9"/>
  <c r="AB731" i="9"/>
  <c r="AB1206" i="9"/>
  <c r="AB1190" i="9"/>
  <c r="AB1174" i="9"/>
  <c r="AB1158" i="9"/>
  <c r="AB1142" i="9"/>
  <c r="AB1126" i="9"/>
  <c r="AB1110" i="9"/>
  <c r="AB1094" i="9"/>
  <c r="AB1078" i="9"/>
  <c r="AB1062" i="9"/>
  <c r="AB1046" i="9"/>
  <c r="AB1030" i="9"/>
  <c r="AB1014" i="9"/>
  <c r="AB998" i="9"/>
  <c r="AB982" i="9"/>
  <c r="AB966" i="9"/>
  <c r="AB950" i="9"/>
  <c r="AB934" i="9"/>
  <c r="AB918" i="9"/>
  <c r="AB902" i="9"/>
  <c r="AB886" i="9"/>
  <c r="AB870" i="9"/>
  <c r="AB854" i="9"/>
  <c r="AB838" i="9"/>
  <c r="AB822" i="9"/>
  <c r="AB806" i="9"/>
  <c r="AB790" i="9"/>
  <c r="AB774" i="9"/>
  <c r="AB758" i="9"/>
  <c r="AB742" i="9"/>
  <c r="AB726" i="9"/>
  <c r="AB710" i="9"/>
  <c r="AB1201" i="9"/>
  <c r="AB1185" i="9"/>
  <c r="AB1169" i="9"/>
  <c r="AB1153" i="9"/>
  <c r="AB1137" i="9"/>
  <c r="AB1121" i="9"/>
  <c r="AB1105" i="9"/>
  <c r="AB1089" i="9"/>
  <c r="AB1073" i="9"/>
  <c r="AB1057" i="9"/>
  <c r="AB1041" i="9"/>
  <c r="AB1025" i="9"/>
  <c r="AB1009" i="9"/>
  <c r="AB993" i="9"/>
  <c r="AB977" i="9"/>
  <c r="AB961" i="9"/>
  <c r="AB945" i="9"/>
  <c r="AB929" i="9"/>
  <c r="AB913" i="9"/>
  <c r="AB897" i="9"/>
  <c r="AB881" i="9"/>
  <c r="AB865" i="9"/>
  <c r="AB849" i="9"/>
  <c r="AB833" i="9"/>
  <c r="AB1196" i="9"/>
  <c r="AB1132" i="9"/>
  <c r="AB1068" i="9"/>
  <c r="AB1004" i="9"/>
  <c r="AB940" i="9"/>
  <c r="AB876" i="9"/>
  <c r="AB817" i="9"/>
  <c r="AB785" i="9"/>
  <c r="AB753" i="9"/>
  <c r="AB723" i="9"/>
  <c r="AB703" i="9"/>
  <c r="AB687" i="9"/>
  <c r="AB671" i="9"/>
  <c r="AB655" i="9"/>
  <c r="AB639" i="9"/>
  <c r="AB623" i="9"/>
  <c r="AB607" i="9"/>
  <c r="AB591" i="9"/>
  <c r="AB575" i="9"/>
  <c r="AB559" i="9"/>
  <c r="AB543" i="9"/>
  <c r="AB527" i="9"/>
  <c r="AB511" i="9"/>
  <c r="AB495" i="9"/>
  <c r="AB479" i="9"/>
  <c r="AB463" i="9"/>
  <c r="AB447" i="9"/>
  <c r="AB431" i="9"/>
  <c r="AB415" i="9"/>
  <c r="AB399" i="9"/>
  <c r="AB383" i="9"/>
  <c r="AB367" i="9"/>
  <c r="AB1176" i="9"/>
  <c r="AB1112" i="9"/>
  <c r="AB1048" i="9"/>
  <c r="AB984" i="9"/>
  <c r="AB920" i="9"/>
  <c r="AB856" i="9"/>
  <c r="AB808" i="9"/>
  <c r="AB776" i="9"/>
  <c r="AB744" i="9"/>
  <c r="AB716" i="9"/>
  <c r="AB698" i="9"/>
  <c r="AB682" i="9"/>
  <c r="AB666" i="9"/>
  <c r="AB650" i="9"/>
  <c r="AB634" i="9"/>
  <c r="AB618" i="9"/>
  <c r="AB602" i="9"/>
  <c r="AB586" i="9"/>
  <c r="AB570" i="9"/>
  <c r="AB554" i="9"/>
  <c r="AB538" i="9"/>
  <c r="AB522" i="9"/>
  <c r="AB506" i="9"/>
  <c r="AB490" i="9"/>
  <c r="AB474" i="9"/>
  <c r="AB458" i="9"/>
  <c r="AB442" i="9"/>
  <c r="AB426" i="9"/>
  <c r="AB410" i="9"/>
  <c r="AB394" i="9"/>
  <c r="AB378" i="9"/>
  <c r="AB362" i="9"/>
  <c r="AB1156" i="9"/>
  <c r="AB1092" i="9"/>
  <c r="AB1028" i="9"/>
  <c r="AB964" i="9"/>
  <c r="AB900" i="9"/>
  <c r="AB836" i="9"/>
  <c r="AB797" i="9"/>
  <c r="AB765" i="9"/>
  <c r="AB733" i="9"/>
  <c r="AB709" i="9"/>
  <c r="AB693" i="9"/>
  <c r="AB677" i="9"/>
  <c r="AB661" i="9"/>
  <c r="AB645" i="9"/>
  <c r="AB629" i="9"/>
  <c r="AB613" i="9"/>
  <c r="AB597" i="9"/>
  <c r="AB581" i="9"/>
  <c r="AB565" i="9"/>
  <c r="AB549" i="9"/>
  <c r="AB533" i="9"/>
  <c r="AB1008" i="9"/>
  <c r="AB788" i="9"/>
  <c r="AB688" i="9"/>
  <c r="AB624" i="9"/>
  <c r="AB560" i="9"/>
  <c r="AB513" i="9"/>
  <c r="AB481" i="9"/>
  <c r="AB449" i="9"/>
  <c r="AB417" i="9"/>
  <c r="AB385" i="9"/>
  <c r="AB357" i="9"/>
  <c r="AB341" i="9"/>
  <c r="AB325" i="9"/>
  <c r="AB309" i="9"/>
  <c r="AB293" i="9"/>
  <c r="AB277" i="9"/>
  <c r="AB261" i="9"/>
  <c r="AB245" i="9"/>
  <c r="AB229" i="9"/>
  <c r="AB213" i="9"/>
  <c r="AB197" i="9"/>
  <c r="AB181" i="9"/>
  <c r="AB165" i="9"/>
  <c r="AB149" i="9"/>
  <c r="AB133" i="9"/>
  <c r="AB117" i="9"/>
  <c r="AB101" i="9"/>
  <c r="AB85" i="9"/>
  <c r="AB69" i="9"/>
  <c r="AB53" i="9"/>
  <c r="AB37" i="9"/>
  <c r="AB21" i="9"/>
  <c r="AB1056" i="9"/>
  <c r="AB812" i="9"/>
  <c r="AB700" i="9"/>
  <c r="AB636" i="9"/>
  <c r="AB572" i="9"/>
  <c r="AB520" i="9"/>
  <c r="AB488" i="9"/>
  <c r="AB456" i="9"/>
  <c r="AB424" i="9"/>
  <c r="AB392" i="9"/>
  <c r="AB360" i="9"/>
  <c r="AB344" i="9"/>
  <c r="AB328" i="9"/>
  <c r="AB312" i="9"/>
  <c r="AB296" i="9"/>
  <c r="AB280" i="9"/>
  <c r="AB264" i="9"/>
  <c r="AB248" i="9"/>
  <c r="AB232" i="9"/>
  <c r="AB216" i="9"/>
  <c r="AB200" i="9"/>
  <c r="AB184" i="9"/>
  <c r="AB168" i="9"/>
  <c r="AB152" i="9"/>
  <c r="AB136" i="9"/>
  <c r="AB120" i="9"/>
  <c r="AB104" i="9"/>
  <c r="AB88" i="9"/>
  <c r="AB72" i="9"/>
  <c r="AB56" i="9"/>
  <c r="AB40" i="9"/>
  <c r="AB24" i="9"/>
  <c r="AB1104" i="9"/>
  <c r="AB848" i="9"/>
  <c r="AB713" i="9"/>
  <c r="AB648" i="9"/>
  <c r="AB584" i="9"/>
  <c r="AB525" i="9"/>
  <c r="AB493" i="9"/>
  <c r="AB461" i="9"/>
  <c r="AB429" i="9"/>
  <c r="AB397" i="9"/>
  <c r="AB365" i="9"/>
  <c r="AB347" i="9"/>
  <c r="AB331" i="9"/>
  <c r="AB315" i="9"/>
  <c r="AB299" i="9"/>
  <c r="AB283" i="9"/>
  <c r="AB267" i="9"/>
  <c r="AB251" i="9"/>
  <c r="AB235" i="9"/>
  <c r="AB219" i="9"/>
  <c r="AB203" i="9"/>
  <c r="AB187" i="9"/>
  <c r="AB171" i="9"/>
  <c r="AB155" i="9"/>
  <c r="AB139" i="9"/>
  <c r="AB123" i="9"/>
  <c r="AB107" i="9"/>
  <c r="AB91" i="9"/>
  <c r="AB75" i="9"/>
  <c r="AB560" i="10"/>
  <c r="AB379" i="10"/>
  <c r="AB230" i="10"/>
  <c r="AB54" i="10"/>
  <c r="AB1207" i="9"/>
  <c r="AB1143" i="9"/>
  <c r="AB1079" i="9"/>
  <c r="AB1015" i="9"/>
  <c r="AB951" i="9"/>
  <c r="AB919" i="9"/>
  <c r="AB895" i="9"/>
  <c r="AB875" i="9"/>
  <c r="AB855" i="9"/>
  <c r="AB831" i="9"/>
  <c r="AB811" i="9"/>
  <c r="AB791" i="9"/>
  <c r="AB775" i="9"/>
  <c r="AB759" i="9"/>
  <c r="AB743" i="9"/>
  <c r="AB727" i="9"/>
  <c r="AB1202" i="9"/>
  <c r="AB1186" i="9"/>
  <c r="AB1170" i="9"/>
  <c r="AB1154" i="9"/>
  <c r="AB1138" i="9"/>
  <c r="AB1122" i="9"/>
  <c r="AB1106" i="9"/>
  <c r="AB1090" i="9"/>
  <c r="AB1074" i="9"/>
  <c r="AB1058" i="9"/>
  <c r="AB1042" i="9"/>
  <c r="AB1026" i="9"/>
  <c r="AB1010" i="9"/>
  <c r="AB994" i="9"/>
  <c r="AB978" i="9"/>
  <c r="AB962" i="9"/>
  <c r="AB946" i="9"/>
  <c r="AB930" i="9"/>
  <c r="AB914" i="9"/>
  <c r="AB898" i="9"/>
  <c r="AB882" i="9"/>
  <c r="AB866" i="9"/>
  <c r="AB850" i="9"/>
  <c r="AB834" i="9"/>
  <c r="AB818" i="9"/>
  <c r="AB802" i="9"/>
  <c r="AB786" i="9"/>
  <c r="AB770" i="9"/>
  <c r="AB754" i="9"/>
  <c r="AB738" i="9"/>
  <c r="AB722" i="9"/>
  <c r="AB1213" i="9"/>
  <c r="AB1197" i="9"/>
  <c r="AB1181" i="9"/>
  <c r="AB1165" i="9"/>
  <c r="AB1149" i="9"/>
  <c r="AB1133" i="9"/>
  <c r="AB1117" i="9"/>
  <c r="AB1101" i="9"/>
  <c r="AB1085" i="9"/>
  <c r="AB1069" i="9"/>
  <c r="AB1053" i="9"/>
  <c r="AB1037" i="9"/>
  <c r="AB1021" i="9"/>
  <c r="AB1005" i="9"/>
  <c r="AB989" i="9"/>
  <c r="AB973" i="9"/>
  <c r="AB957" i="9"/>
  <c r="AB941" i="9"/>
  <c r="AB925" i="9"/>
  <c r="AB909" i="9"/>
  <c r="AB893" i="9"/>
  <c r="AB877" i="9"/>
  <c r="AB861" i="9"/>
  <c r="AB845" i="9"/>
  <c r="AB829" i="9"/>
  <c r="AB1180" i="9"/>
  <c r="AB1116" i="9"/>
  <c r="AB1052" i="9"/>
  <c r="AB988" i="9"/>
  <c r="AB924" i="9"/>
  <c r="AB860" i="9"/>
  <c r="AB809" i="9"/>
  <c r="AB777" i="9"/>
  <c r="AB745" i="9"/>
  <c r="AB717" i="9"/>
  <c r="AB699" i="9"/>
  <c r="AB683" i="9"/>
  <c r="AB667" i="9"/>
  <c r="AB651" i="9"/>
  <c r="AB635" i="9"/>
  <c r="AB619" i="9"/>
  <c r="AB603" i="9"/>
  <c r="AB587" i="9"/>
  <c r="AB571" i="9"/>
  <c r="AB555" i="9"/>
  <c r="AB539" i="9"/>
  <c r="AB523" i="9"/>
  <c r="AB507" i="9"/>
  <c r="AB491" i="9"/>
  <c r="AB475" i="9"/>
  <c r="AB459" i="9"/>
  <c r="AB443" i="9"/>
  <c r="AB427" i="9"/>
  <c r="AB411" i="9"/>
  <c r="AB395" i="9"/>
  <c r="AB379" i="9"/>
  <c r="AB363" i="9"/>
  <c r="AB1160" i="9"/>
  <c r="AB1096" i="9"/>
  <c r="AB1032" i="9"/>
  <c r="AB968" i="9"/>
  <c r="AB904" i="9"/>
  <c r="AB840" i="9"/>
  <c r="AB800" i="9"/>
  <c r="AB768" i="9"/>
  <c r="AB736" i="9"/>
  <c r="AB711" i="9"/>
  <c r="AB694" i="9"/>
  <c r="AB678" i="9"/>
  <c r="AB662" i="9"/>
  <c r="AB646" i="9"/>
  <c r="AB630" i="9"/>
  <c r="AB614" i="9"/>
  <c r="AB598" i="9"/>
  <c r="AB582" i="9"/>
  <c r="AB566" i="9"/>
  <c r="AB550" i="9"/>
  <c r="AB534" i="9"/>
  <c r="AB518" i="9"/>
  <c r="AB502" i="9"/>
  <c r="AB486" i="9"/>
  <c r="AB470" i="9"/>
  <c r="AB454" i="9"/>
  <c r="AB438" i="9"/>
  <c r="AB422" i="9"/>
  <c r="AB406" i="9"/>
  <c r="AB390" i="9"/>
  <c r="AB374" i="9"/>
  <c r="AB1204" i="9"/>
  <c r="AB1140" i="9"/>
  <c r="AB1076" i="9"/>
  <c r="AB1012" i="9"/>
  <c r="AB948" i="9"/>
  <c r="AB884" i="9"/>
  <c r="AB821" i="9"/>
  <c r="AB789" i="9"/>
  <c r="AB757" i="9"/>
  <c r="AB725" i="9"/>
  <c r="AB705" i="9"/>
  <c r="AB689" i="9"/>
  <c r="AB673" i="9"/>
  <c r="AB657" i="9"/>
  <c r="AB641" i="9"/>
  <c r="AB625" i="9"/>
  <c r="AB609" i="9"/>
  <c r="AB593" i="9"/>
  <c r="AB577" i="9"/>
  <c r="AB561" i="9"/>
  <c r="AB545" i="9"/>
  <c r="AB1200" i="9"/>
  <c r="AB944" i="9"/>
  <c r="AB756" i="9"/>
  <c r="AB672" i="9"/>
  <c r="AB608" i="9"/>
  <c r="AB544" i="9"/>
  <c r="AB505" i="9"/>
  <c r="AB473" i="9"/>
  <c r="AB441" i="9"/>
  <c r="AB409" i="9"/>
  <c r="AB377" i="9"/>
  <c r="AB353" i="9"/>
  <c r="AB337" i="9"/>
  <c r="AB321" i="9"/>
  <c r="AB305" i="9"/>
  <c r="AB289" i="9"/>
  <c r="AB273" i="9"/>
  <c r="AB257" i="9"/>
  <c r="AB241" i="9"/>
  <c r="AB225" i="9"/>
  <c r="AB209" i="9"/>
  <c r="AB193" i="9"/>
  <c r="AB177" i="9"/>
  <c r="AB161" i="9"/>
  <c r="AB145" i="9"/>
  <c r="AB129" i="9"/>
  <c r="AB113" i="9"/>
  <c r="AB97" i="9"/>
  <c r="AB81" i="9"/>
  <c r="AB65" i="9"/>
  <c r="AB49" i="9"/>
  <c r="AB33" i="9"/>
  <c r="AB17" i="9"/>
  <c r="AB992" i="9"/>
  <c r="AB780" i="9"/>
  <c r="AB684" i="9"/>
  <c r="AB620" i="9"/>
  <c r="AB556" i="9"/>
  <c r="AB512" i="9"/>
  <c r="AB480" i="9"/>
  <c r="AB448" i="9"/>
  <c r="AB416" i="9"/>
  <c r="AB384" i="9"/>
  <c r="AB356" i="9"/>
  <c r="AB340" i="9"/>
  <c r="AB324" i="9"/>
  <c r="AB308" i="9"/>
  <c r="AB292" i="9"/>
  <c r="AB276" i="9"/>
  <c r="AB260" i="9"/>
  <c r="AB244" i="9"/>
  <c r="AB228" i="9"/>
  <c r="AB212" i="9"/>
  <c r="AB196" i="9"/>
  <c r="AB180" i="9"/>
  <c r="AB164" i="9"/>
  <c r="AB148" i="9"/>
  <c r="AB132" i="9"/>
  <c r="AB116" i="9"/>
  <c r="AB100" i="9"/>
  <c r="AB84" i="9"/>
  <c r="AB68" i="9"/>
  <c r="AB52" i="9"/>
  <c r="AB36" i="9"/>
  <c r="AB20" i="9"/>
  <c r="AB1040" i="9"/>
  <c r="AB804" i="9"/>
  <c r="AB696" i="9"/>
  <c r="AB632" i="9"/>
  <c r="AB568" i="9"/>
  <c r="AB517" i="9"/>
  <c r="AB485" i="9"/>
  <c r="AB453" i="9"/>
  <c r="AB421" i="9"/>
  <c r="AB389" i="9"/>
  <c r="AB359" i="9"/>
  <c r="AB343" i="9"/>
  <c r="AB327" i="9"/>
  <c r="AB311" i="9"/>
  <c r="AB295" i="9"/>
  <c r="AB279" i="9"/>
  <c r="AB263" i="9"/>
  <c r="AB247" i="9"/>
  <c r="AB231" i="9"/>
  <c r="AB215" i="9"/>
  <c r="AB199" i="9"/>
  <c r="AB183" i="9"/>
  <c r="AB167" i="9"/>
  <c r="AB151" i="9"/>
  <c r="AB135" i="9"/>
  <c r="AB119" i="9"/>
  <c r="AB103" i="9"/>
  <c r="AB87" i="9"/>
  <c r="AB71" i="9"/>
  <c r="AB502" i="10"/>
  <c r="AB347" i="10"/>
  <c r="AB198" i="10"/>
  <c r="AB38" i="10"/>
  <c r="AB1191" i="9"/>
  <c r="AB1127" i="9"/>
  <c r="AB1063" i="9"/>
  <c r="AB999" i="9"/>
  <c r="AB935" i="9"/>
  <c r="AB911" i="9"/>
  <c r="AB891" i="9"/>
  <c r="AB871" i="9"/>
  <c r="AB847" i="9"/>
  <c r="AB827" i="9"/>
  <c r="AB807" i="9"/>
  <c r="AB787" i="9"/>
  <c r="AB771" i="9"/>
  <c r="AB755" i="9"/>
  <c r="AB739" i="9"/>
  <c r="AB1214" i="9"/>
  <c r="AB1198" i="9"/>
  <c r="AB1182" i="9"/>
  <c r="AB1166" i="9"/>
  <c r="AB1150" i="9"/>
  <c r="AB1134" i="9"/>
  <c r="AB1118" i="9"/>
  <c r="AB1102" i="9"/>
  <c r="AB1086" i="9"/>
  <c r="AB1070" i="9"/>
  <c r="AB1054" i="9"/>
  <c r="AB1038" i="9"/>
  <c r="AB1022" i="9"/>
  <c r="AB1006" i="9"/>
  <c r="AB990" i="9"/>
  <c r="AB974" i="9"/>
  <c r="AB958" i="9"/>
  <c r="AB942" i="9"/>
  <c r="AB926" i="9"/>
  <c r="AB910" i="9"/>
  <c r="AB894" i="9"/>
  <c r="AB878" i="9"/>
  <c r="AB862" i="9"/>
  <c r="AB846" i="9"/>
  <c r="AB830" i="9"/>
  <c r="AB814" i="9"/>
  <c r="AB798" i="9"/>
  <c r="AB782" i="9"/>
  <c r="AB766" i="9"/>
  <c r="AB750" i="9"/>
  <c r="AB734" i="9"/>
  <c r="AB718" i="9"/>
  <c r="AB1209" i="9"/>
  <c r="AB1193" i="9"/>
  <c r="AB1177" i="9"/>
  <c r="AB1161" i="9"/>
  <c r="AB1145" i="9"/>
  <c r="AB1129" i="9"/>
  <c r="AB1113" i="9"/>
  <c r="AB1097" i="9"/>
  <c r="AB1081" i="9"/>
  <c r="AB1065" i="9"/>
  <c r="AB1049" i="9"/>
  <c r="AB1033" i="9"/>
  <c r="AB1017" i="9"/>
  <c r="AB1001" i="9"/>
  <c r="AB985" i="9"/>
  <c r="AB969" i="9"/>
  <c r="AB953" i="9"/>
  <c r="AB937" i="9"/>
  <c r="AB921" i="9"/>
  <c r="AB905" i="9"/>
  <c r="AB889" i="9"/>
  <c r="AB873" i="9"/>
  <c r="AB857" i="9"/>
  <c r="AB841" i="9"/>
  <c r="AB825" i="9"/>
  <c r="AB1164" i="9"/>
  <c r="AB1100" i="9"/>
  <c r="AB1036" i="9"/>
  <c r="AB972" i="9"/>
  <c r="AB908" i="9"/>
  <c r="AB844" i="9"/>
  <c r="AB801" i="9"/>
  <c r="AB769" i="9"/>
  <c r="AB737" i="9"/>
  <c r="AB712" i="9"/>
  <c r="AB695" i="9"/>
  <c r="AB679" i="9"/>
  <c r="AB663" i="9"/>
  <c r="AB647" i="9"/>
  <c r="AB631" i="9"/>
  <c r="AB615" i="9"/>
  <c r="AB599" i="9"/>
  <c r="AB583" i="9"/>
  <c r="AB567" i="9"/>
  <c r="AB551" i="9"/>
  <c r="AB535" i="9"/>
  <c r="AB519" i="9"/>
  <c r="AB503" i="9"/>
  <c r="AB487" i="9"/>
  <c r="AB471" i="9"/>
  <c r="AB455" i="9"/>
  <c r="AB439" i="9"/>
  <c r="AB423" i="9"/>
  <c r="AB407" i="9"/>
  <c r="AB391" i="9"/>
  <c r="AB375" i="9"/>
  <c r="AB1208" i="9"/>
  <c r="AB1144" i="9"/>
  <c r="AB1080" i="9"/>
  <c r="AB1016" i="9"/>
  <c r="AB952" i="9"/>
  <c r="AB888" i="9"/>
  <c r="AB824" i="9"/>
  <c r="AB792" i="9"/>
  <c r="AB760" i="9"/>
  <c r="AB728" i="9"/>
  <c r="AB706" i="9"/>
  <c r="AB690" i="9"/>
  <c r="AB674" i="9"/>
  <c r="AB658" i="9"/>
  <c r="AB642" i="9"/>
  <c r="AB626" i="9"/>
  <c r="AB610" i="9"/>
  <c r="AB594" i="9"/>
  <c r="AB578" i="9"/>
  <c r="AB562" i="9"/>
  <c r="AB546" i="9"/>
  <c r="AB530" i="9"/>
  <c r="AB514" i="9"/>
  <c r="AB498" i="9"/>
  <c r="AB482" i="9"/>
  <c r="AB466" i="9"/>
  <c r="AB450" i="9"/>
  <c r="AB434" i="9"/>
  <c r="AB418" i="9"/>
  <c r="AB402" i="9"/>
  <c r="AB386" i="9"/>
  <c r="AB370" i="9"/>
  <c r="AB1188" i="9"/>
  <c r="AB1124" i="9"/>
  <c r="AB1060" i="9"/>
  <c r="AB996" i="9"/>
  <c r="AB932" i="9"/>
  <c r="AB868" i="9"/>
  <c r="AB813" i="9"/>
  <c r="AB781" i="9"/>
  <c r="AB749" i="9"/>
  <c r="AB720" i="9"/>
  <c r="AB701" i="9"/>
  <c r="AB685" i="9"/>
  <c r="AB669" i="9"/>
  <c r="AB653" i="9"/>
  <c r="AB637" i="9"/>
  <c r="AB621" i="9"/>
  <c r="AB605" i="9"/>
  <c r="AB589" i="9"/>
  <c r="AB573" i="9"/>
  <c r="AB557" i="9"/>
  <c r="AB541" i="9"/>
  <c r="AB1136" i="9"/>
  <c r="AB880" i="9"/>
  <c r="AB724" i="9"/>
  <c r="AB656" i="9"/>
  <c r="AB592" i="9"/>
  <c r="AB529" i="9"/>
  <c r="AB497" i="9"/>
  <c r="AB465" i="9"/>
  <c r="AB433" i="9"/>
  <c r="AB401" i="9"/>
  <c r="AB369" i="9"/>
  <c r="AB349" i="9"/>
  <c r="AB333" i="9"/>
  <c r="AB317" i="9"/>
  <c r="AB301" i="9"/>
  <c r="AB285" i="9"/>
  <c r="AB269" i="9"/>
  <c r="AB253" i="9"/>
  <c r="AB237" i="9"/>
  <c r="AB221" i="9"/>
  <c r="AB205" i="9"/>
  <c r="AB189" i="9"/>
  <c r="AB173" i="9"/>
  <c r="AB157" i="9"/>
  <c r="AB141" i="9"/>
  <c r="AB125" i="9"/>
  <c r="AB109" i="9"/>
  <c r="AB93" i="9"/>
  <c r="AB77" i="9"/>
  <c r="AB61" i="9"/>
  <c r="AB45" i="9"/>
  <c r="AB29" i="9"/>
  <c r="AB1184" i="9"/>
  <c r="AB928" i="9"/>
  <c r="AB748" i="9"/>
  <c r="AB668" i="9"/>
  <c r="AB604" i="9"/>
  <c r="AB540" i="9"/>
  <c r="AB504" i="9"/>
  <c r="AB472" i="9"/>
  <c r="AB440" i="9"/>
  <c r="AB408" i="9"/>
  <c r="AB376" i="9"/>
  <c r="AB352" i="9"/>
  <c r="AB336" i="9"/>
  <c r="AB320" i="9"/>
  <c r="AB304" i="9"/>
  <c r="AB288" i="9"/>
  <c r="AB272" i="9"/>
  <c r="AB256" i="9"/>
  <c r="AB240" i="9"/>
  <c r="AB224" i="9"/>
  <c r="AB208" i="9"/>
  <c r="AB192" i="9"/>
  <c r="AB176" i="9"/>
  <c r="AB160" i="9"/>
  <c r="AB144" i="9"/>
  <c r="AB128" i="9"/>
  <c r="AB112" i="9"/>
  <c r="AB96" i="9"/>
  <c r="AB80" i="9"/>
  <c r="AB64" i="9"/>
  <c r="AB48" i="9"/>
  <c r="AB32" i="9"/>
  <c r="AB16" i="9"/>
  <c r="AB976" i="9"/>
  <c r="AB772" i="9"/>
  <c r="AB680" i="9"/>
  <c r="AB616" i="9"/>
  <c r="AB552" i="9"/>
  <c r="AB509" i="9"/>
  <c r="AB477" i="9"/>
  <c r="AB445" i="9"/>
  <c r="AB413" i="9"/>
  <c r="AB381" i="9"/>
  <c r="AB355" i="9"/>
  <c r="AB339" i="9"/>
  <c r="AB323" i="9"/>
  <c r="AB307" i="9"/>
  <c r="AB291" i="9"/>
  <c r="AB275" i="9"/>
  <c r="AB259" i="9"/>
  <c r="AB243" i="9"/>
  <c r="AB227" i="9"/>
  <c r="AB211" i="9"/>
  <c r="AB195" i="9"/>
  <c r="AB179" i="9"/>
  <c r="AB163" i="9"/>
  <c r="AB147" i="9"/>
  <c r="AB131" i="9"/>
  <c r="AB115" i="9"/>
  <c r="AB99" i="9"/>
  <c r="AB55" i="9"/>
  <c r="AB39" i="9"/>
  <c r="AB23" i="9"/>
  <c r="AB660" i="9"/>
  <c r="AB468" i="9"/>
  <c r="AB350" i="9"/>
  <c r="AB286" i="9"/>
  <c r="AB222" i="9"/>
  <c r="AB158" i="9"/>
  <c r="AB94" i="9"/>
  <c r="AB30" i="9"/>
  <c r="X7" i="9"/>
  <c r="H7" i="9"/>
  <c r="AB548" i="9"/>
  <c r="AB146" i="9"/>
  <c r="Q7" i="9"/>
  <c r="AB708" i="9"/>
  <c r="AB492" i="9"/>
  <c r="AB364" i="9"/>
  <c r="AB298" i="9"/>
  <c r="AB234" i="9"/>
  <c r="AB170" i="9"/>
  <c r="AB106" i="9"/>
  <c r="AB42" i="9"/>
  <c r="W7" i="9"/>
  <c r="G7" i="9"/>
  <c r="AB612" i="9"/>
  <c r="AB322" i="9"/>
  <c r="AB130" i="9"/>
  <c r="U7" i="9"/>
  <c r="AB692" i="9"/>
  <c r="AB484" i="9"/>
  <c r="AB358" i="9"/>
  <c r="AB294" i="9"/>
  <c r="AB230" i="9"/>
  <c r="AB166" i="9"/>
  <c r="AB102" i="9"/>
  <c r="AB38" i="9"/>
  <c r="AB7" i="9"/>
  <c r="J7" i="9"/>
  <c r="AB676" i="9"/>
  <c r="AB338" i="9"/>
  <c r="AB162" i="9"/>
  <c r="Y7" i="9"/>
  <c r="AB1211" i="8"/>
  <c r="AB1195" i="8"/>
  <c r="AB1179" i="8"/>
  <c r="AB1163" i="8"/>
  <c r="AB1147" i="8"/>
  <c r="AB1131" i="8"/>
  <c r="AB1115" i="8"/>
  <c r="AB1099" i="8"/>
  <c r="AB1083" i="8"/>
  <c r="AB1067" i="8"/>
  <c r="AB1051" i="8"/>
  <c r="AB1035" i="8"/>
  <c r="AB1019" i="8"/>
  <c r="AB1003" i="8"/>
  <c r="AB987" i="8"/>
  <c r="AB971" i="8"/>
  <c r="AB955" i="8"/>
  <c r="AB939" i="8"/>
  <c r="AB923" i="8"/>
  <c r="AB907" i="8"/>
  <c r="AB891" i="8"/>
  <c r="AB875" i="8"/>
  <c r="AB859" i="8"/>
  <c r="AB843" i="8"/>
  <c r="AB827" i="8"/>
  <c r="AB811" i="8"/>
  <c r="AB795" i="8"/>
  <c r="AB779" i="8"/>
  <c r="AB763" i="8"/>
  <c r="AB747" i="8"/>
  <c r="AB731" i="8"/>
  <c r="AB715" i="8"/>
  <c r="AB1206" i="8"/>
  <c r="AB1190" i="8"/>
  <c r="AB1174" i="8"/>
  <c r="AB1158" i="8"/>
  <c r="AB1142" i="8"/>
  <c r="AB1126" i="8"/>
  <c r="AB1110" i="8"/>
  <c r="AB1094" i="8"/>
  <c r="AB1078" i="8"/>
  <c r="AB1062" i="8"/>
  <c r="AB1046" i="8"/>
  <c r="AB1030" i="8"/>
  <c r="AB1014" i="8"/>
  <c r="AB998" i="8"/>
  <c r="AB982" i="8"/>
  <c r="AB966" i="8"/>
  <c r="AB950" i="8"/>
  <c r="AB934" i="8"/>
  <c r="AB918" i="8"/>
  <c r="AB902" i="8"/>
  <c r="AB886" i="8"/>
  <c r="AB870" i="8"/>
  <c r="AB854" i="8"/>
  <c r="AB838" i="8"/>
  <c r="AB822" i="8"/>
  <c r="AB806" i="8"/>
  <c r="AB790" i="8"/>
  <c r="AB774" i="8"/>
  <c r="AB758" i="8"/>
  <c r="AB742" i="8"/>
  <c r="AB726" i="8"/>
  <c r="AB710" i="8"/>
  <c r="AB1201" i="8"/>
  <c r="AB1185" i="8"/>
  <c r="AB1169" i="8"/>
  <c r="AB1153" i="8"/>
  <c r="AB1137" i="8"/>
  <c r="AB1121" i="8"/>
  <c r="AB1105" i="8"/>
  <c r="AB1089" i="8"/>
  <c r="AB1073" i="8"/>
  <c r="AB1057" i="8"/>
  <c r="AB1041" i="8"/>
  <c r="AB1025" i="8"/>
  <c r="AB1009" i="8"/>
  <c r="AB993" i="8"/>
  <c r="AB977" i="8"/>
  <c r="AB961" i="8"/>
  <c r="AB945" i="8"/>
  <c r="AB929" i="8"/>
  <c r="AB913" i="8"/>
  <c r="AB897" i="8"/>
  <c r="AB881" i="8"/>
  <c r="AB865" i="8"/>
  <c r="AB849" i="8"/>
  <c r="AB833" i="8"/>
  <c r="AB817" i="8"/>
  <c r="AB801" i="8"/>
  <c r="AB785" i="8"/>
  <c r="AB769" i="8"/>
  <c r="AB753" i="8"/>
  <c r="AB737" i="8"/>
  <c r="AB721" i="8"/>
  <c r="AB1212" i="8"/>
  <c r="AB1148" i="8"/>
  <c r="AB1084" i="8"/>
  <c r="AB1020" i="8"/>
  <c r="AB956" i="8"/>
  <c r="AB892" i="8"/>
  <c r="AB828" i="8"/>
  <c r="AB764" i="8"/>
  <c r="AB706" i="8"/>
  <c r="AB690" i="8"/>
  <c r="AB674" i="8"/>
  <c r="AB658" i="8"/>
  <c r="AB642" i="8"/>
  <c r="AB626" i="8"/>
  <c r="AB610" i="8"/>
  <c r="AB594" i="8"/>
  <c r="AB578" i="8"/>
  <c r="AB562" i="8"/>
  <c r="AB546" i="8"/>
  <c r="AB530" i="8"/>
  <c r="AB514" i="8"/>
  <c r="AB498" i="8"/>
  <c r="AB482" i="8"/>
  <c r="AB466" i="8"/>
  <c r="AB450" i="8"/>
  <c r="AB434" i="8"/>
  <c r="AB418" i="8"/>
  <c r="AB402" i="8"/>
  <c r="AB386" i="8"/>
  <c r="AB370" i="8"/>
  <c r="AB354" i="8"/>
  <c r="AB338" i="8"/>
  <c r="AB1208" i="8"/>
  <c r="AB1144" i="8"/>
  <c r="AB1080" i="8"/>
  <c r="AB1016" i="8"/>
  <c r="AB952" i="8"/>
  <c r="AB888" i="8"/>
  <c r="AB824" i="8"/>
  <c r="AB760" i="8"/>
  <c r="AB705" i="8"/>
  <c r="AB689" i="8"/>
  <c r="AB673" i="8"/>
  <c r="AB657" i="8"/>
  <c r="AB641" i="8"/>
  <c r="AB625" i="8"/>
  <c r="AB609" i="8"/>
  <c r="AB593" i="8"/>
  <c r="AB577" i="8"/>
  <c r="AB561" i="8"/>
  <c r="AB545" i="8"/>
  <c r="AB529" i="8"/>
  <c r="AB513" i="8"/>
  <c r="AB497" i="8"/>
  <c r="AB481" i="8"/>
  <c r="AB465" i="8"/>
  <c r="AB449" i="8"/>
  <c r="AB433" i="8"/>
  <c r="AB417" i="8"/>
  <c r="AB401" i="8"/>
  <c r="AB385" i="8"/>
  <c r="AB369" i="8"/>
  <c r="AB353" i="8"/>
  <c r="AB337" i="8"/>
  <c r="AB1188" i="8"/>
  <c r="AB1124" i="8"/>
  <c r="AB1060" i="8"/>
  <c r="AB996" i="8"/>
  <c r="AB932" i="8"/>
  <c r="AB868" i="8"/>
  <c r="AB804" i="8"/>
  <c r="AB740" i="8"/>
  <c r="AB700" i="8"/>
  <c r="AB684" i="8"/>
  <c r="AB668" i="8"/>
  <c r="AB652" i="8"/>
  <c r="AB636" i="8"/>
  <c r="AB620" i="8"/>
  <c r="AB604" i="8"/>
  <c r="AB588" i="8"/>
  <c r="AB572" i="8"/>
  <c r="AB556" i="8"/>
  <c r="AB540" i="8"/>
  <c r="AB524" i="8"/>
  <c r="AB508" i="8"/>
  <c r="AB492" i="8"/>
  <c r="AB476" i="8"/>
  <c r="AB460" i="8"/>
  <c r="AB444" i="8"/>
  <c r="AB428" i="8"/>
  <c r="AB412" i="8"/>
  <c r="AB396" i="8"/>
  <c r="AB380" i="8"/>
  <c r="AB364" i="8"/>
  <c r="AB348" i="8"/>
  <c r="AB332" i="8"/>
  <c r="AB1072" i="8"/>
  <c r="AB816" i="8"/>
  <c r="AB671" i="8"/>
  <c r="AB607" i="8"/>
  <c r="AB543" i="8"/>
  <c r="AB479" i="8"/>
  <c r="AB415" i="8"/>
  <c r="AB351" i="8"/>
  <c r="AB316" i="8"/>
  <c r="AB300" i="8"/>
  <c r="AB284" i="8"/>
  <c r="AB268" i="8"/>
  <c r="AB252" i="8"/>
  <c r="AB236" i="8"/>
  <c r="AB220" i="8"/>
  <c r="AB204" i="8"/>
  <c r="AB188" i="8"/>
  <c r="AB172" i="8"/>
  <c r="AB156" i="8"/>
  <c r="AB140" i="8"/>
  <c r="AB124" i="8"/>
  <c r="AB83" i="9"/>
  <c r="AB51" i="9"/>
  <c r="AB35" i="9"/>
  <c r="AB1152" i="9"/>
  <c r="AB596" i="9"/>
  <c r="AB436" i="9"/>
  <c r="AB334" i="9"/>
  <c r="AB270" i="9"/>
  <c r="AB206" i="9"/>
  <c r="AB142" i="9"/>
  <c r="AB78" i="9"/>
  <c r="AB18" i="9"/>
  <c r="T7" i="9"/>
  <c r="D7" i="9"/>
  <c r="AB306" i="9"/>
  <c r="AB82" i="9"/>
  <c r="E7" i="9"/>
  <c r="AB644" i="9"/>
  <c r="AB460" i="9"/>
  <c r="AB346" i="9"/>
  <c r="AB282" i="9"/>
  <c r="AB218" i="9"/>
  <c r="AB154" i="9"/>
  <c r="AB90" i="9"/>
  <c r="AB26" i="9"/>
  <c r="S7" i="9"/>
  <c r="C7" i="9"/>
  <c r="AB476" i="9"/>
  <c r="AB274" i="9"/>
  <c r="AB98" i="9"/>
  <c r="I7" i="9"/>
  <c r="AB628" i="9"/>
  <c r="AB452" i="9"/>
  <c r="AB342" i="9"/>
  <c r="AB278" i="9"/>
  <c r="AB214" i="9"/>
  <c r="AB150" i="9"/>
  <c r="AB86" i="9"/>
  <c r="AB22" i="9"/>
  <c r="V7" i="9"/>
  <c r="F7" i="9"/>
  <c r="AB508" i="9"/>
  <c r="AB290" i="9"/>
  <c r="AB114" i="9"/>
  <c r="M7" i="9"/>
  <c r="AB1207" i="8"/>
  <c r="AB1191" i="8"/>
  <c r="AB1175" i="8"/>
  <c r="AB1159" i="8"/>
  <c r="AB1143" i="8"/>
  <c r="AB1127" i="8"/>
  <c r="AB1111" i="8"/>
  <c r="AB1095" i="8"/>
  <c r="AB1079" i="8"/>
  <c r="AB1063" i="8"/>
  <c r="AB1047" i="8"/>
  <c r="AB1031" i="8"/>
  <c r="AB1015" i="8"/>
  <c r="AB999" i="8"/>
  <c r="AB983" i="8"/>
  <c r="AB967" i="8"/>
  <c r="AB951" i="8"/>
  <c r="AB935" i="8"/>
  <c r="AB919" i="8"/>
  <c r="AB903" i="8"/>
  <c r="AB887" i="8"/>
  <c r="AB871" i="8"/>
  <c r="AB855" i="8"/>
  <c r="AB839" i="8"/>
  <c r="AB823" i="8"/>
  <c r="AB807" i="8"/>
  <c r="AB791" i="8"/>
  <c r="AB775" i="8"/>
  <c r="AB759" i="8"/>
  <c r="AB743" i="8"/>
  <c r="AB727" i="8"/>
  <c r="AB711" i="8"/>
  <c r="AB1202" i="8"/>
  <c r="AB1186" i="8"/>
  <c r="AB1170" i="8"/>
  <c r="AB1154" i="8"/>
  <c r="AB1138" i="8"/>
  <c r="AB1122" i="8"/>
  <c r="AB1106" i="8"/>
  <c r="AB1090" i="8"/>
  <c r="AB1074" i="8"/>
  <c r="AB1058" i="8"/>
  <c r="AB1042" i="8"/>
  <c r="AB1026" i="8"/>
  <c r="AB1010" i="8"/>
  <c r="AB994" i="8"/>
  <c r="AB978" i="8"/>
  <c r="AB962" i="8"/>
  <c r="AB946" i="8"/>
  <c r="AB930" i="8"/>
  <c r="AB914" i="8"/>
  <c r="AB898" i="8"/>
  <c r="AB882" i="8"/>
  <c r="AB866" i="8"/>
  <c r="AB850" i="8"/>
  <c r="AB834" i="8"/>
  <c r="AB818" i="8"/>
  <c r="AB802" i="8"/>
  <c r="AB786" i="8"/>
  <c r="AB770" i="8"/>
  <c r="AB754" i="8"/>
  <c r="AB738" i="8"/>
  <c r="AB722" i="8"/>
  <c r="AB1213" i="8"/>
  <c r="AB1197" i="8"/>
  <c r="AB1181" i="8"/>
  <c r="AB1165" i="8"/>
  <c r="AB1149" i="8"/>
  <c r="AB1133" i="8"/>
  <c r="AB1117" i="8"/>
  <c r="AB1101" i="8"/>
  <c r="AB1085" i="8"/>
  <c r="AB1069" i="8"/>
  <c r="AB1053" i="8"/>
  <c r="AB1037" i="8"/>
  <c r="AB1021" i="8"/>
  <c r="AB1005" i="8"/>
  <c r="AB989" i="8"/>
  <c r="AB973" i="8"/>
  <c r="AB957" i="8"/>
  <c r="AB941" i="8"/>
  <c r="AB925" i="8"/>
  <c r="AB909" i="8"/>
  <c r="AB893" i="8"/>
  <c r="AB877" i="8"/>
  <c r="AB861" i="8"/>
  <c r="AB845" i="8"/>
  <c r="AB829" i="8"/>
  <c r="AB813" i="8"/>
  <c r="AB797" i="8"/>
  <c r="AB781" i="8"/>
  <c r="AB765" i="8"/>
  <c r="AB749" i="8"/>
  <c r="AB733" i="8"/>
  <c r="AB717" i="8"/>
  <c r="AB1196" i="8"/>
  <c r="AB1132" i="8"/>
  <c r="AB1068" i="8"/>
  <c r="AB1004" i="8"/>
  <c r="AB940" i="8"/>
  <c r="AB876" i="8"/>
  <c r="AB812" i="8"/>
  <c r="AB748" i="8"/>
  <c r="AB702" i="8"/>
  <c r="AB686" i="8"/>
  <c r="AB670" i="8"/>
  <c r="AB654" i="8"/>
  <c r="AB638" i="8"/>
  <c r="AB622" i="8"/>
  <c r="AB606" i="8"/>
  <c r="AB590" i="8"/>
  <c r="AB574" i="8"/>
  <c r="AB558" i="8"/>
  <c r="AB542" i="8"/>
  <c r="AB526" i="8"/>
  <c r="AB510" i="8"/>
  <c r="AB494" i="8"/>
  <c r="AB478" i="8"/>
  <c r="AB462" i="8"/>
  <c r="AB446" i="8"/>
  <c r="AB430" i="8"/>
  <c r="AB414" i="8"/>
  <c r="AB398" i="8"/>
  <c r="AB382" i="8"/>
  <c r="AB366" i="8"/>
  <c r="AB350" i="8"/>
  <c r="AB334" i="8"/>
  <c r="AB1192" i="8"/>
  <c r="AB1128" i="8"/>
  <c r="AB1064" i="8"/>
  <c r="AB1000" i="8"/>
  <c r="AB936" i="8"/>
  <c r="AB872" i="8"/>
  <c r="AB808" i="8"/>
  <c r="AB744" i="8"/>
  <c r="AB701" i="8"/>
  <c r="AB685" i="8"/>
  <c r="AB669" i="8"/>
  <c r="AB653" i="8"/>
  <c r="AB637" i="8"/>
  <c r="AB621" i="8"/>
  <c r="AB605" i="8"/>
  <c r="AB589" i="8"/>
  <c r="AB573" i="8"/>
  <c r="AB557" i="8"/>
  <c r="AB541" i="8"/>
  <c r="AB525" i="8"/>
  <c r="AB509" i="8"/>
  <c r="AB493" i="8"/>
  <c r="AB477" i="8"/>
  <c r="AB461" i="8"/>
  <c r="AB445" i="8"/>
  <c r="AB429" i="8"/>
  <c r="AB413" i="8"/>
  <c r="AB397" i="8"/>
  <c r="AB381" i="8"/>
  <c r="AB365" i="8"/>
  <c r="AB349" i="8"/>
  <c r="AB333" i="8"/>
  <c r="AB1172" i="8"/>
  <c r="AB1108" i="8"/>
  <c r="AB1044" i="8"/>
  <c r="AB980" i="8"/>
  <c r="AB916" i="8"/>
  <c r="AB852" i="8"/>
  <c r="AB788" i="8"/>
  <c r="AB724" i="8"/>
  <c r="AB696" i="8"/>
  <c r="AB680" i="8"/>
  <c r="AB664" i="8"/>
  <c r="AB648" i="8"/>
  <c r="AB632" i="8"/>
  <c r="AB616" i="8"/>
  <c r="AB600" i="8"/>
  <c r="AB584" i="8"/>
  <c r="AB568" i="8"/>
  <c r="AB552" i="8"/>
  <c r="AB536" i="8"/>
  <c r="AB520" i="8"/>
  <c r="AB504" i="8"/>
  <c r="AB488" i="8"/>
  <c r="AB472" i="8"/>
  <c r="AB456" i="8"/>
  <c r="AB440" i="8"/>
  <c r="AB424" i="8"/>
  <c r="AB408" i="8"/>
  <c r="AB392" i="8"/>
  <c r="AB376" i="8"/>
  <c r="AB360" i="8"/>
  <c r="AB344" i="8"/>
  <c r="AB328" i="8"/>
  <c r="AB1008" i="8"/>
  <c r="AB752" i="8"/>
  <c r="AB655" i="8"/>
  <c r="AB591" i="8"/>
  <c r="AB527" i="8"/>
  <c r="AB463" i="8"/>
  <c r="AB399" i="8"/>
  <c r="AB335" i="8"/>
  <c r="AB312" i="8"/>
  <c r="AB296" i="8"/>
  <c r="AB280" i="8"/>
  <c r="AB264" i="8"/>
  <c r="AB248" i="8"/>
  <c r="AB232" i="8"/>
  <c r="AB216" i="8"/>
  <c r="AB200" i="8"/>
  <c r="AB184" i="8"/>
  <c r="AB67" i="9"/>
  <c r="AB47" i="9"/>
  <c r="AB31" i="9"/>
  <c r="AB896" i="9"/>
  <c r="AB532" i="9"/>
  <c r="AB404" i="9"/>
  <c r="AB318" i="9"/>
  <c r="AB254" i="9"/>
  <c r="AB190" i="9"/>
  <c r="AB126" i="9"/>
  <c r="AB62" i="9"/>
  <c r="AB12" i="9"/>
  <c r="P7" i="9"/>
  <c r="A6" i="9"/>
  <c r="AB242" i="9"/>
  <c r="AB34" i="9"/>
  <c r="AB1088" i="9"/>
  <c r="AB580" i="9"/>
  <c r="AB428" i="9"/>
  <c r="AB330" i="9"/>
  <c r="AB266" i="9"/>
  <c r="AB202" i="9"/>
  <c r="AB138" i="9"/>
  <c r="AB74" i="9"/>
  <c r="AB15" i="9"/>
  <c r="O7" i="9"/>
  <c r="D1" i="9"/>
  <c r="AB412" i="9"/>
  <c r="AB226" i="9"/>
  <c r="AB50" i="9"/>
  <c r="AB1024" i="9"/>
  <c r="AB564" i="9"/>
  <c r="AB420" i="9"/>
  <c r="AB326" i="9"/>
  <c r="AB262" i="9"/>
  <c r="AB198" i="9"/>
  <c r="AB134" i="9"/>
  <c r="AB70" i="9"/>
  <c r="AB14" i="9"/>
  <c r="R7" i="9"/>
  <c r="B7" i="9"/>
  <c r="AB444" i="9"/>
  <c r="AB258" i="9"/>
  <c r="AB66" i="9"/>
  <c r="AB6" i="9"/>
  <c r="AB1203" i="8"/>
  <c r="AB1187" i="8"/>
  <c r="AB1171" i="8"/>
  <c r="AB1155" i="8"/>
  <c r="AB1139" i="8"/>
  <c r="AB1123" i="8"/>
  <c r="AB1107" i="8"/>
  <c r="AB1091" i="8"/>
  <c r="AB1075" i="8"/>
  <c r="AB1059" i="8"/>
  <c r="AB1043" i="8"/>
  <c r="AB1027" i="8"/>
  <c r="AB1011" i="8"/>
  <c r="AB995" i="8"/>
  <c r="AB979" i="8"/>
  <c r="AB963" i="8"/>
  <c r="AB947" i="8"/>
  <c r="AB931" i="8"/>
  <c r="AB915" i="8"/>
  <c r="AB899" i="8"/>
  <c r="AB883" i="8"/>
  <c r="AB867" i="8"/>
  <c r="AB851" i="8"/>
  <c r="AB835" i="8"/>
  <c r="AB819" i="8"/>
  <c r="AB803" i="8"/>
  <c r="AB787" i="8"/>
  <c r="AB771" i="8"/>
  <c r="AB755" i="8"/>
  <c r="AB739" i="8"/>
  <c r="AB723" i="8"/>
  <c r="AB1214" i="8"/>
  <c r="AB1198" i="8"/>
  <c r="AB1182" i="8"/>
  <c r="AB1166" i="8"/>
  <c r="AB1150" i="8"/>
  <c r="AB1134" i="8"/>
  <c r="AB1118" i="8"/>
  <c r="AB1102" i="8"/>
  <c r="AB1086" i="8"/>
  <c r="AB1070" i="8"/>
  <c r="AB1054" i="8"/>
  <c r="AB1038" i="8"/>
  <c r="AB1022" i="8"/>
  <c r="AB1006" i="8"/>
  <c r="AB990" i="8"/>
  <c r="AB974" i="8"/>
  <c r="AB958" i="8"/>
  <c r="AB942" i="8"/>
  <c r="AB926" i="8"/>
  <c r="AB910" i="8"/>
  <c r="AB894" i="8"/>
  <c r="AB878" i="8"/>
  <c r="AB862" i="8"/>
  <c r="AB846" i="8"/>
  <c r="AB830" i="8"/>
  <c r="AB814" i="8"/>
  <c r="AB798" i="8"/>
  <c r="AB782" i="8"/>
  <c r="AB766" i="8"/>
  <c r="AB750" i="8"/>
  <c r="AB734" i="8"/>
  <c r="AB718" i="8"/>
  <c r="AB1209" i="8"/>
  <c r="AB1193" i="8"/>
  <c r="AB1177" i="8"/>
  <c r="AB1161" i="8"/>
  <c r="AB1145" i="8"/>
  <c r="AB1129" i="8"/>
  <c r="AB1113" i="8"/>
  <c r="AB1097" i="8"/>
  <c r="AB1081" i="8"/>
  <c r="AB1065" i="8"/>
  <c r="AB1049" i="8"/>
  <c r="AB1033" i="8"/>
  <c r="AB1017" i="8"/>
  <c r="AB1001" i="8"/>
  <c r="AB985" i="8"/>
  <c r="AB969" i="8"/>
  <c r="AB953" i="8"/>
  <c r="AB937" i="8"/>
  <c r="AB921" i="8"/>
  <c r="AB905" i="8"/>
  <c r="AB889" i="8"/>
  <c r="AB873" i="8"/>
  <c r="AB857" i="8"/>
  <c r="AB841" i="8"/>
  <c r="AB825" i="8"/>
  <c r="AB809" i="8"/>
  <c r="AB793" i="8"/>
  <c r="AB777" i="8"/>
  <c r="AB761" i="8"/>
  <c r="AB745" i="8"/>
  <c r="AB729" i="8"/>
  <c r="AB713" i="8"/>
  <c r="AB1180" i="8"/>
  <c r="AB1116" i="8"/>
  <c r="AB1052" i="8"/>
  <c r="AB988" i="8"/>
  <c r="AB924" i="8"/>
  <c r="AB860" i="8"/>
  <c r="AB796" i="8"/>
  <c r="AB732" i="8"/>
  <c r="AB698" i="8"/>
  <c r="AB682" i="8"/>
  <c r="AB666" i="8"/>
  <c r="AB650" i="8"/>
  <c r="AB634" i="8"/>
  <c r="AB618" i="8"/>
  <c r="AB602" i="8"/>
  <c r="AB586" i="8"/>
  <c r="AB570" i="8"/>
  <c r="AB554" i="8"/>
  <c r="AB538" i="8"/>
  <c r="AB522" i="8"/>
  <c r="AB506" i="8"/>
  <c r="AB490" i="8"/>
  <c r="AB474" i="8"/>
  <c r="AB458" i="8"/>
  <c r="AB442" i="8"/>
  <c r="AB426" i="8"/>
  <c r="AB410" i="8"/>
  <c r="AB394" i="8"/>
  <c r="AB378" i="8"/>
  <c r="AB362" i="8"/>
  <c r="AB346" i="8"/>
  <c r="AB330" i="8"/>
  <c r="AB1176" i="8"/>
  <c r="AB1112" i="8"/>
  <c r="AB1048" i="8"/>
  <c r="AB984" i="8"/>
  <c r="AB920" i="8"/>
  <c r="AB856" i="8"/>
  <c r="AB792" i="8"/>
  <c r="AB728" i="8"/>
  <c r="AB697" i="8"/>
  <c r="AB681" i="8"/>
  <c r="AB665" i="8"/>
  <c r="AB649" i="8"/>
  <c r="AB633" i="8"/>
  <c r="AB617" i="8"/>
  <c r="AB601" i="8"/>
  <c r="AB585" i="8"/>
  <c r="AB569" i="8"/>
  <c r="AB553" i="8"/>
  <c r="AB537" i="8"/>
  <c r="AB521" i="8"/>
  <c r="AB505" i="8"/>
  <c r="AB489" i="8"/>
  <c r="AB473" i="8"/>
  <c r="AB457" i="8"/>
  <c r="AB441" i="8"/>
  <c r="AB425" i="8"/>
  <c r="AB409" i="8"/>
  <c r="AB393" i="8"/>
  <c r="AB377" i="8"/>
  <c r="AB361" i="8"/>
  <c r="AB345" i="8"/>
  <c r="AB329" i="8"/>
  <c r="AB1156" i="8"/>
  <c r="AB1092" i="8"/>
  <c r="AB1028" i="8"/>
  <c r="AB964" i="8"/>
  <c r="AB900" i="8"/>
  <c r="AB836" i="8"/>
  <c r="AB772" i="8"/>
  <c r="AB708" i="8"/>
  <c r="AB692" i="8"/>
  <c r="AB676" i="8"/>
  <c r="AB660" i="8"/>
  <c r="AB644" i="8"/>
  <c r="AB628" i="8"/>
  <c r="AB612" i="8"/>
  <c r="AB596" i="8"/>
  <c r="AB580" i="8"/>
  <c r="AB564" i="8"/>
  <c r="AB548" i="8"/>
  <c r="AB532" i="8"/>
  <c r="AB516" i="8"/>
  <c r="AB500" i="8"/>
  <c r="AB484" i="8"/>
  <c r="AB468" i="8"/>
  <c r="AB452" i="8"/>
  <c r="AB436" i="8"/>
  <c r="AB420" i="8"/>
  <c r="AB404" i="8"/>
  <c r="AB388" i="8"/>
  <c r="AB372" i="8"/>
  <c r="AB356" i="8"/>
  <c r="AB340" i="8"/>
  <c r="AB1200" i="8"/>
  <c r="AB944" i="8"/>
  <c r="AB703" i="8"/>
  <c r="AB639" i="8"/>
  <c r="AB575" i="8"/>
  <c r="AB511" i="8"/>
  <c r="AB447" i="8"/>
  <c r="AB383" i="8"/>
  <c r="AB324" i="8"/>
  <c r="AB308" i="8"/>
  <c r="AB292" i="8"/>
  <c r="AB276" i="8"/>
  <c r="AB260" i="8"/>
  <c r="AB244" i="8"/>
  <c r="AB228" i="8"/>
  <c r="AB212" i="8"/>
  <c r="AB196" i="8"/>
  <c r="AB180" i="8"/>
  <c r="AB164" i="8"/>
  <c r="AB59" i="9"/>
  <c r="AB43" i="9"/>
  <c r="AB27" i="9"/>
  <c r="AB732" i="9"/>
  <c r="AB500" i="9"/>
  <c r="AB372" i="9"/>
  <c r="AB302" i="9"/>
  <c r="AB238" i="9"/>
  <c r="AB174" i="9"/>
  <c r="AB110" i="9"/>
  <c r="AB46" i="9"/>
  <c r="AB8" i="9"/>
  <c r="L7" i="9"/>
  <c r="B3" i="9"/>
  <c r="AB194" i="9"/>
  <c r="AB9" i="9"/>
  <c r="AB832" i="9"/>
  <c r="AB524" i="9"/>
  <c r="AB396" i="9"/>
  <c r="AB314" i="9"/>
  <c r="AB250" i="9"/>
  <c r="AB186" i="9"/>
  <c r="AB122" i="9"/>
  <c r="AB58" i="9"/>
  <c r="AB11" i="9"/>
  <c r="K7" i="9"/>
  <c r="AB960" i="9"/>
  <c r="AB354" i="9"/>
  <c r="AB178" i="9"/>
  <c r="AB13" i="9"/>
  <c r="AB796" i="9"/>
  <c r="AB516" i="9"/>
  <c r="AB388" i="9"/>
  <c r="AB310" i="9"/>
  <c r="AB246" i="9"/>
  <c r="AB182" i="9"/>
  <c r="AB118" i="9"/>
  <c r="AB54" i="9"/>
  <c r="AB10" i="9"/>
  <c r="N7" i="9"/>
  <c r="AB764" i="9"/>
  <c r="AB380" i="9"/>
  <c r="AB210" i="9"/>
  <c r="AB19" i="9"/>
  <c r="AB1215" i="8"/>
  <c r="AB1199" i="8"/>
  <c r="AB1183" i="8"/>
  <c r="AB1167" i="8"/>
  <c r="AB1151" i="8"/>
  <c r="AB1135" i="8"/>
  <c r="AB1119" i="8"/>
  <c r="AB1103" i="8"/>
  <c r="AB1087" i="8"/>
  <c r="AB1071" i="8"/>
  <c r="AB1055" i="8"/>
  <c r="AB1039" i="8"/>
  <c r="AB1023" i="8"/>
  <c r="AB1007" i="8"/>
  <c r="AB991" i="8"/>
  <c r="AB975" i="8"/>
  <c r="AB959" i="8"/>
  <c r="AB943" i="8"/>
  <c r="AB927" i="8"/>
  <c r="AB911" i="8"/>
  <c r="AB895" i="8"/>
  <c r="AB879" i="8"/>
  <c r="AB863" i="8"/>
  <c r="AB847" i="8"/>
  <c r="AB831" i="8"/>
  <c r="AB815" i="8"/>
  <c r="AB799" i="8"/>
  <c r="AB783" i="8"/>
  <c r="AB767" i="8"/>
  <c r="AB751" i="8"/>
  <c r="AB735" i="8"/>
  <c r="AB719" i="8"/>
  <c r="AB1210" i="8"/>
  <c r="AB1194" i="8"/>
  <c r="AB1178" i="8"/>
  <c r="AB1162" i="8"/>
  <c r="AB1146" i="8"/>
  <c r="AB1130" i="8"/>
  <c r="AB1114" i="8"/>
  <c r="AB1098" i="8"/>
  <c r="AB1082" i="8"/>
  <c r="AB1066" i="8"/>
  <c r="AB1050" i="8"/>
  <c r="AB1034" i="8"/>
  <c r="AB1018" i="8"/>
  <c r="AB1002" i="8"/>
  <c r="AB986" i="8"/>
  <c r="AB970" i="8"/>
  <c r="AB954" i="8"/>
  <c r="AB938" i="8"/>
  <c r="AB922" i="8"/>
  <c r="AB906" i="8"/>
  <c r="AB890" i="8"/>
  <c r="AB874" i="8"/>
  <c r="AB858" i="8"/>
  <c r="AB842" i="8"/>
  <c r="AB826" i="8"/>
  <c r="AB810" i="8"/>
  <c r="AB794" i="8"/>
  <c r="AB778" i="8"/>
  <c r="AB762" i="8"/>
  <c r="AB746" i="8"/>
  <c r="AB730" i="8"/>
  <c r="AB714" i="8"/>
  <c r="AB1205" i="8"/>
  <c r="AB1189" i="8"/>
  <c r="AB1173" i="8"/>
  <c r="AB1157" i="8"/>
  <c r="AB1141" i="8"/>
  <c r="AB1125" i="8"/>
  <c r="AB1109" i="8"/>
  <c r="AB1093" i="8"/>
  <c r="AB1077" i="8"/>
  <c r="AB1061" i="8"/>
  <c r="AB1045" i="8"/>
  <c r="AB1029" i="8"/>
  <c r="AB1013" i="8"/>
  <c r="AB997" i="8"/>
  <c r="AB981" i="8"/>
  <c r="AB965" i="8"/>
  <c r="AB949" i="8"/>
  <c r="AB933" i="8"/>
  <c r="AB917" i="8"/>
  <c r="AB901" i="8"/>
  <c r="AB885" i="8"/>
  <c r="AB869" i="8"/>
  <c r="AB853" i="8"/>
  <c r="AB837" i="8"/>
  <c r="AB821" i="8"/>
  <c r="AB805" i="8"/>
  <c r="AB789" i="8"/>
  <c r="AB773" i="8"/>
  <c r="AB757" i="8"/>
  <c r="AB741" i="8"/>
  <c r="AB725" i="8"/>
  <c r="AB709" i="8"/>
  <c r="AB1164" i="8"/>
  <c r="AB1100" i="8"/>
  <c r="AB1036" i="8"/>
  <c r="AB972" i="8"/>
  <c r="AB908" i="8"/>
  <c r="AB844" i="8"/>
  <c r="AB780" i="8"/>
  <c r="AB716" i="8"/>
  <c r="AB694" i="8"/>
  <c r="AB678" i="8"/>
  <c r="AB662" i="8"/>
  <c r="AB646" i="8"/>
  <c r="AB630" i="8"/>
  <c r="AB614" i="8"/>
  <c r="AB598" i="8"/>
  <c r="AB582" i="8"/>
  <c r="AB566" i="8"/>
  <c r="AB550" i="8"/>
  <c r="AB534" i="8"/>
  <c r="AB518" i="8"/>
  <c r="AB502" i="8"/>
  <c r="AB486" i="8"/>
  <c r="AB470" i="8"/>
  <c r="AB454" i="8"/>
  <c r="AB438" i="8"/>
  <c r="AB422" i="8"/>
  <c r="AB406" i="8"/>
  <c r="AB390" i="8"/>
  <c r="AB374" i="8"/>
  <c r="AB358" i="8"/>
  <c r="AB342" i="8"/>
  <c r="AB326" i="8"/>
  <c r="AB1160" i="8"/>
  <c r="AB1096" i="8"/>
  <c r="AB1032" i="8"/>
  <c r="AB968" i="8"/>
  <c r="AB904" i="8"/>
  <c r="AB840" i="8"/>
  <c r="AB776" i="8"/>
  <c r="AB712" i="8"/>
  <c r="AB693" i="8"/>
  <c r="AB677" i="8"/>
  <c r="AB661" i="8"/>
  <c r="AB645" i="8"/>
  <c r="AB629" i="8"/>
  <c r="AB613" i="8"/>
  <c r="AB597" i="8"/>
  <c r="AB581" i="8"/>
  <c r="AB565" i="8"/>
  <c r="AB549" i="8"/>
  <c r="AB533" i="8"/>
  <c r="AB517" i="8"/>
  <c r="AB501" i="8"/>
  <c r="AB485" i="8"/>
  <c r="AB469" i="8"/>
  <c r="AB453" i="8"/>
  <c r="AB437" i="8"/>
  <c r="AB421" i="8"/>
  <c r="AB405" i="8"/>
  <c r="AB389" i="8"/>
  <c r="AB373" i="8"/>
  <c r="AB357" i="8"/>
  <c r="AB341" i="8"/>
  <c r="AB1204" i="8"/>
  <c r="AB1140" i="8"/>
  <c r="AB1076" i="8"/>
  <c r="AB1012" i="8"/>
  <c r="AB948" i="8"/>
  <c r="AB884" i="8"/>
  <c r="AB820" i="8"/>
  <c r="AB756" i="8"/>
  <c r="AB704" i="8"/>
  <c r="AB688" i="8"/>
  <c r="AB672" i="8"/>
  <c r="AB656" i="8"/>
  <c r="AB640" i="8"/>
  <c r="AB624" i="8"/>
  <c r="AB608" i="8"/>
  <c r="AB592" i="8"/>
  <c r="AB576" i="8"/>
  <c r="AB560" i="8"/>
  <c r="AB544" i="8"/>
  <c r="AB528" i="8"/>
  <c r="AB512" i="8"/>
  <c r="AB496" i="8"/>
  <c r="AB480" i="8"/>
  <c r="AB464" i="8"/>
  <c r="AB448" i="8"/>
  <c r="AB432" i="8"/>
  <c r="AB416" i="8"/>
  <c r="AB400" i="8"/>
  <c r="AB384" i="8"/>
  <c r="AB368" i="8"/>
  <c r="AB352" i="8"/>
  <c r="AB336" i="8"/>
  <c r="AB1136" i="8"/>
  <c r="AB880" i="8"/>
  <c r="AB687" i="8"/>
  <c r="AB623" i="8"/>
  <c r="AB559" i="8"/>
  <c r="AB495" i="8"/>
  <c r="AB431" i="8"/>
  <c r="AB367" i="8"/>
  <c r="AB320" i="8"/>
  <c r="AB304" i="8"/>
  <c r="AB288" i="8"/>
  <c r="AB272" i="8"/>
  <c r="AB256" i="8"/>
  <c r="AB240" i="8"/>
  <c r="AB224" i="8"/>
  <c r="AB208" i="8"/>
  <c r="AB192" i="8"/>
  <c r="AB176" i="8"/>
  <c r="AB160" i="8"/>
  <c r="AB144" i="8"/>
  <c r="AB168" i="8"/>
  <c r="AB132" i="8"/>
  <c r="AB112" i="8"/>
  <c r="AB96" i="8"/>
  <c r="AB80" i="8"/>
  <c r="AB64" i="8"/>
  <c r="AB48" i="8"/>
  <c r="AB32" i="8"/>
  <c r="AB16" i="8"/>
  <c r="T7" i="8"/>
  <c r="D7" i="8"/>
  <c r="AB547" i="8"/>
  <c r="AB1056" i="8"/>
  <c r="AB800" i="8"/>
  <c r="AB667" i="8"/>
  <c r="AB603" i="8"/>
  <c r="AB539" i="8"/>
  <c r="AB475" i="8"/>
  <c r="AB411" i="8"/>
  <c r="AB347" i="8"/>
  <c r="AB315" i="8"/>
  <c r="AB299" i="8"/>
  <c r="AB283" i="8"/>
  <c r="AB267" i="8"/>
  <c r="AB251" i="8"/>
  <c r="AB235" i="8"/>
  <c r="AB219" i="8"/>
  <c r="AB203" i="8"/>
  <c r="AB187" i="8"/>
  <c r="AB171" i="8"/>
  <c r="AB155" i="8"/>
  <c r="AB139" i="8"/>
  <c r="AB123" i="8"/>
  <c r="AB107" i="8"/>
  <c r="AB91" i="8"/>
  <c r="AB75" i="8"/>
  <c r="AB59" i="8"/>
  <c r="AB43" i="8"/>
  <c r="AB27" i="8"/>
  <c r="AB11" i="8"/>
  <c r="K7" i="8"/>
  <c r="AB1152" i="8"/>
  <c r="AB675" i="8"/>
  <c r="AB531" i="8"/>
  <c r="AB1040" i="8"/>
  <c r="AB784" i="8"/>
  <c r="AB663" i="8"/>
  <c r="AB599" i="8"/>
  <c r="AB535" i="8"/>
  <c r="AB471" i="8"/>
  <c r="AB407" i="8"/>
  <c r="AB343" i="8"/>
  <c r="AB314" i="8"/>
  <c r="AB298" i="8"/>
  <c r="AB282" i="8"/>
  <c r="AB266" i="8"/>
  <c r="AB250" i="8"/>
  <c r="AB234" i="8"/>
  <c r="AB218" i="8"/>
  <c r="AB202" i="8"/>
  <c r="AB186" i="8"/>
  <c r="AB170" i="8"/>
  <c r="AB154" i="8"/>
  <c r="AB138" i="8"/>
  <c r="AB122" i="8"/>
  <c r="AB106" i="8"/>
  <c r="AB90" i="8"/>
  <c r="AB74" i="8"/>
  <c r="AB58" i="8"/>
  <c r="AB42" i="8"/>
  <c r="AB26" i="8"/>
  <c r="AB10" i="8"/>
  <c r="N7" i="8"/>
  <c r="AB1088" i="8"/>
  <c r="AB659" i="8"/>
  <c r="AB515" i="8"/>
  <c r="AB313" i="8"/>
  <c r="AB249" i="8"/>
  <c r="AB185" i="8"/>
  <c r="AB121" i="8"/>
  <c r="AB57" i="8"/>
  <c r="M7" i="8"/>
  <c r="AB221" i="8"/>
  <c r="AB93" i="8"/>
  <c r="AB387" i="8"/>
  <c r="AB277" i="8"/>
  <c r="AB213" i="8"/>
  <c r="AB149" i="8"/>
  <c r="AB85" i="8"/>
  <c r="AB21" i="8"/>
  <c r="AB285" i="8"/>
  <c r="AB77" i="8"/>
  <c r="AB371" i="8"/>
  <c r="AB273" i="8"/>
  <c r="AB209" i="8"/>
  <c r="AB145" i="8"/>
  <c r="AB81" i="8"/>
  <c r="AB17" i="8"/>
  <c r="AB253" i="8"/>
  <c r="AB13" i="8"/>
  <c r="AB1203" i="7"/>
  <c r="AB1187" i="7"/>
  <c r="AB1171" i="7"/>
  <c r="AB1155" i="7"/>
  <c r="AB1139" i="7"/>
  <c r="AB1123" i="7"/>
  <c r="AB1107" i="7"/>
  <c r="AB1091" i="7"/>
  <c r="AB1075" i="7"/>
  <c r="AB1059" i="7"/>
  <c r="AB1043" i="7"/>
  <c r="AB1027" i="7"/>
  <c r="AB1011" i="7"/>
  <c r="AB995" i="7"/>
  <c r="AB979" i="7"/>
  <c r="AB963" i="7"/>
  <c r="AB947" i="7"/>
  <c r="AB931" i="7"/>
  <c r="AB915" i="7"/>
  <c r="AB899" i="7"/>
  <c r="AB883" i="7"/>
  <c r="AB867" i="7"/>
  <c r="AB851" i="7"/>
  <c r="AB835" i="7"/>
  <c r="AB819" i="7"/>
  <c r="AB803" i="7"/>
  <c r="AB787" i="7"/>
  <c r="AB771" i="7"/>
  <c r="AB755" i="7"/>
  <c r="AB739" i="7"/>
  <c r="AB723" i="7"/>
  <c r="AB1214" i="7"/>
  <c r="AB1198" i="7"/>
  <c r="AB1182" i="7"/>
  <c r="AB1166" i="7"/>
  <c r="AB1150" i="7"/>
  <c r="AB1134" i="7"/>
  <c r="AB1118" i="7"/>
  <c r="AB1102" i="7"/>
  <c r="AB1086" i="7"/>
  <c r="AB1070" i="7"/>
  <c r="AB1054" i="7"/>
  <c r="AB1038" i="7"/>
  <c r="AB1022" i="7"/>
  <c r="AB1006" i="7"/>
  <c r="AB990" i="7"/>
  <c r="AB974" i="7"/>
  <c r="AB958" i="7"/>
  <c r="AB942" i="7"/>
  <c r="AB926" i="7"/>
  <c r="AB910" i="7"/>
  <c r="AB894" i="7"/>
  <c r="AB878" i="7"/>
  <c r="AB862" i="7"/>
  <c r="AB846" i="7"/>
  <c r="AB830" i="7"/>
  <c r="AB814" i="7"/>
  <c r="AB798" i="7"/>
  <c r="AB782" i="7"/>
  <c r="AB766" i="7"/>
  <c r="AB750" i="7"/>
  <c r="AB734" i="7"/>
  <c r="AB718" i="7"/>
  <c r="AB1209" i="7"/>
  <c r="AB1193" i="7"/>
  <c r="AB1177" i="7"/>
  <c r="AB1161" i="7"/>
  <c r="AB1145" i="7"/>
  <c r="AB1129" i="7"/>
  <c r="AB1113" i="7"/>
  <c r="AB1097" i="7"/>
  <c r="AB1081" i="7"/>
  <c r="AB1065" i="7"/>
  <c r="AB1049" i="7"/>
  <c r="AB1033" i="7"/>
  <c r="AB1017" i="7"/>
  <c r="AB1001" i="7"/>
  <c r="AB985" i="7"/>
  <c r="AB969" i="7"/>
  <c r="AB953" i="7"/>
  <c r="AB937" i="7"/>
  <c r="AB921" i="7"/>
  <c r="AB905" i="7"/>
  <c r="AB889" i="7"/>
  <c r="AB873" i="7"/>
  <c r="AB857" i="7"/>
  <c r="AB841" i="7"/>
  <c r="AB825" i="7"/>
  <c r="AB809" i="7"/>
  <c r="AB793" i="7"/>
  <c r="AB777" i="7"/>
  <c r="AB761" i="7"/>
  <c r="AB745" i="7"/>
  <c r="AB729" i="7"/>
  <c r="AB713" i="7"/>
  <c r="AB1180" i="7"/>
  <c r="AB1116" i="7"/>
  <c r="AB1052" i="7"/>
  <c r="AB988" i="7"/>
  <c r="AB924" i="7"/>
  <c r="AB860" i="7"/>
  <c r="AB796" i="7"/>
  <c r="AB732" i="7"/>
  <c r="AB698" i="7"/>
  <c r="AB682" i="7"/>
  <c r="AB666" i="7"/>
  <c r="AB650" i="7"/>
  <c r="AB634" i="7"/>
  <c r="AB618" i="7"/>
  <c r="AB602" i="7"/>
  <c r="AB586" i="7"/>
  <c r="AB570" i="7"/>
  <c r="AB554" i="7"/>
  <c r="AB538" i="7"/>
  <c r="AB522" i="7"/>
  <c r="AB506" i="7"/>
  <c r="AB490" i="7"/>
  <c r="AB474" i="7"/>
  <c r="AB458" i="7"/>
  <c r="AB442" i="7"/>
  <c r="AB426" i="7"/>
  <c r="AB410" i="7"/>
  <c r="AB394" i="7"/>
  <c r="AB378" i="7"/>
  <c r="AB362" i="7"/>
  <c r="AB346" i="7"/>
  <c r="AB330" i="7"/>
  <c r="AB314" i="7"/>
  <c r="AB1176" i="7"/>
  <c r="AB1112" i="7"/>
  <c r="AB1048" i="7"/>
  <c r="AB984" i="7"/>
  <c r="AB920" i="7"/>
  <c r="AB856" i="7"/>
  <c r="AB792" i="7"/>
  <c r="AB728" i="7"/>
  <c r="AB697" i="7"/>
  <c r="AB681" i="7"/>
  <c r="AB665" i="7"/>
  <c r="AB649" i="7"/>
  <c r="AB633" i="7"/>
  <c r="AB617" i="7"/>
  <c r="AB601" i="7"/>
  <c r="AB585" i="7"/>
  <c r="AB569" i="7"/>
  <c r="AB553" i="7"/>
  <c r="AB537" i="7"/>
  <c r="AB521" i="7"/>
  <c r="AB505" i="7"/>
  <c r="AB489" i="7"/>
  <c r="AB473" i="7"/>
  <c r="AB457" i="7"/>
  <c r="AB441" i="7"/>
  <c r="AB425" i="7"/>
  <c r="AB409" i="7"/>
  <c r="AB393" i="7"/>
  <c r="AB377" i="7"/>
  <c r="AB361" i="7"/>
  <c r="AB345" i="7"/>
  <c r="AB152" i="8"/>
  <c r="AB128" i="8"/>
  <c r="AB108" i="8"/>
  <c r="AB92" i="8"/>
  <c r="AB76" i="8"/>
  <c r="AB60" i="8"/>
  <c r="AB44" i="8"/>
  <c r="AB28" i="8"/>
  <c r="AB12" i="8"/>
  <c r="P7" i="8"/>
  <c r="A6" i="8"/>
  <c r="AB483" i="8"/>
  <c r="AB992" i="8"/>
  <c r="AB736" i="8"/>
  <c r="AB651" i="8"/>
  <c r="AB587" i="8"/>
  <c r="AB523" i="8"/>
  <c r="AB459" i="8"/>
  <c r="AB395" i="8"/>
  <c r="AB331" i="8"/>
  <c r="AB311" i="8"/>
  <c r="AB295" i="8"/>
  <c r="AB279" i="8"/>
  <c r="AB263" i="8"/>
  <c r="AB247" i="8"/>
  <c r="AB231" i="8"/>
  <c r="AB215" i="8"/>
  <c r="AB199" i="8"/>
  <c r="AB183" i="8"/>
  <c r="AB167" i="8"/>
  <c r="AB151" i="8"/>
  <c r="AB135" i="8"/>
  <c r="AB119" i="8"/>
  <c r="AB103" i="8"/>
  <c r="AB87" i="8"/>
  <c r="AB71" i="8"/>
  <c r="AB55" i="8"/>
  <c r="AB39" i="8"/>
  <c r="AB23" i="8"/>
  <c r="W7" i="8"/>
  <c r="G7" i="8"/>
  <c r="AB960" i="8"/>
  <c r="AB643" i="8"/>
  <c r="AB499" i="8"/>
  <c r="AB976" i="8"/>
  <c r="AB720" i="8"/>
  <c r="AB647" i="8"/>
  <c r="AB583" i="8"/>
  <c r="AB519" i="8"/>
  <c r="AB455" i="8"/>
  <c r="AB391" i="8"/>
  <c r="AB327" i="8"/>
  <c r="AB310" i="8"/>
  <c r="AB294" i="8"/>
  <c r="AB278" i="8"/>
  <c r="AB262" i="8"/>
  <c r="AB246" i="8"/>
  <c r="AB230" i="8"/>
  <c r="AB214" i="8"/>
  <c r="AB198" i="8"/>
  <c r="AB182" i="8"/>
  <c r="AB166" i="8"/>
  <c r="AB150" i="8"/>
  <c r="AB134" i="8"/>
  <c r="AB118" i="8"/>
  <c r="AB102" i="8"/>
  <c r="AB86" i="8"/>
  <c r="AB70" i="8"/>
  <c r="AB54" i="8"/>
  <c r="AB38" i="8"/>
  <c r="AB22" i="8"/>
  <c r="AB7" i="8"/>
  <c r="J7" i="8"/>
  <c r="AB896" i="8"/>
  <c r="AB627" i="8"/>
  <c r="AB467" i="8"/>
  <c r="AB297" i="8"/>
  <c r="AB233" i="8"/>
  <c r="AB169" i="8"/>
  <c r="AB105" i="8"/>
  <c r="AB41" i="8"/>
  <c r="AB419" i="8"/>
  <c r="AB173" i="8"/>
  <c r="AB45" i="8"/>
  <c r="AB325" i="8"/>
  <c r="AB261" i="8"/>
  <c r="AB197" i="8"/>
  <c r="AB133" i="8"/>
  <c r="AB69" i="8"/>
  <c r="Y7" i="8"/>
  <c r="AB237" i="8"/>
  <c r="AB29" i="8"/>
  <c r="AB321" i="8"/>
  <c r="AB257" i="8"/>
  <c r="AB193" i="8"/>
  <c r="AB129" i="8"/>
  <c r="AB65" i="8"/>
  <c r="U7" i="8"/>
  <c r="AB205" i="8"/>
  <c r="AB1215" i="7"/>
  <c r="AB1199" i="7"/>
  <c r="AB1183" i="7"/>
  <c r="AB1167" i="7"/>
  <c r="AB1151" i="7"/>
  <c r="AB1135" i="7"/>
  <c r="AB1119" i="7"/>
  <c r="AB1103" i="7"/>
  <c r="AB1087" i="7"/>
  <c r="AB1071" i="7"/>
  <c r="AB1055" i="7"/>
  <c r="AB1039" i="7"/>
  <c r="AB1023" i="7"/>
  <c r="AB1007" i="7"/>
  <c r="AB991" i="7"/>
  <c r="AB975" i="7"/>
  <c r="AB959" i="7"/>
  <c r="AB943" i="7"/>
  <c r="AB927" i="7"/>
  <c r="AB911" i="7"/>
  <c r="AB895" i="7"/>
  <c r="AB879" i="7"/>
  <c r="AB863" i="7"/>
  <c r="AB847" i="7"/>
  <c r="AB831" i="7"/>
  <c r="AB815" i="7"/>
  <c r="AB799" i="7"/>
  <c r="AB783" i="7"/>
  <c r="AB767" i="7"/>
  <c r="AB751" i="7"/>
  <c r="AB735" i="7"/>
  <c r="AB719" i="7"/>
  <c r="AB1210" i="7"/>
  <c r="AB1194" i="7"/>
  <c r="AB1178" i="7"/>
  <c r="AB1162" i="7"/>
  <c r="AB1146" i="7"/>
  <c r="AB1130" i="7"/>
  <c r="AB1114" i="7"/>
  <c r="AB1098" i="7"/>
  <c r="AB1082" i="7"/>
  <c r="AB1066" i="7"/>
  <c r="AB1050" i="7"/>
  <c r="AB1034" i="7"/>
  <c r="AB1018" i="7"/>
  <c r="AB1002" i="7"/>
  <c r="AB986" i="7"/>
  <c r="AB970" i="7"/>
  <c r="AB954" i="7"/>
  <c r="AB938" i="7"/>
  <c r="AB922" i="7"/>
  <c r="AB906" i="7"/>
  <c r="AB890" i="7"/>
  <c r="AB874" i="7"/>
  <c r="AB858" i="7"/>
  <c r="AB842" i="7"/>
  <c r="AB826" i="7"/>
  <c r="AB810" i="7"/>
  <c r="AB794" i="7"/>
  <c r="AB778" i="7"/>
  <c r="AB762" i="7"/>
  <c r="AB746" i="7"/>
  <c r="AB730" i="7"/>
  <c r="AB714" i="7"/>
  <c r="AB1205" i="7"/>
  <c r="AB1189" i="7"/>
  <c r="AB1173" i="7"/>
  <c r="AB1157" i="7"/>
  <c r="AB1141" i="7"/>
  <c r="AB1125" i="7"/>
  <c r="AB1109" i="7"/>
  <c r="AB1093" i="7"/>
  <c r="AB1077" i="7"/>
  <c r="AB1061" i="7"/>
  <c r="AB1045" i="7"/>
  <c r="AB1029" i="7"/>
  <c r="AB1013" i="7"/>
  <c r="AB997" i="7"/>
  <c r="AB981" i="7"/>
  <c r="AB965" i="7"/>
  <c r="AB949" i="7"/>
  <c r="AB933" i="7"/>
  <c r="AB917" i="7"/>
  <c r="AB901" i="7"/>
  <c r="AB885" i="7"/>
  <c r="AB869" i="7"/>
  <c r="AB853" i="7"/>
  <c r="AB837" i="7"/>
  <c r="AB821" i="7"/>
  <c r="AB805" i="7"/>
  <c r="AB789" i="7"/>
  <c r="AB773" i="7"/>
  <c r="AB757" i="7"/>
  <c r="AB741" i="7"/>
  <c r="AB725" i="7"/>
  <c r="AB709" i="7"/>
  <c r="AB1164" i="7"/>
  <c r="AB1100" i="7"/>
  <c r="AB1036" i="7"/>
  <c r="AB972" i="7"/>
  <c r="AB908" i="7"/>
  <c r="AB844" i="7"/>
  <c r="AB780" i="7"/>
  <c r="AB716" i="7"/>
  <c r="AB694" i="7"/>
  <c r="AB678" i="7"/>
  <c r="AB662" i="7"/>
  <c r="AB646" i="7"/>
  <c r="AB630" i="7"/>
  <c r="AB614" i="7"/>
  <c r="AB598" i="7"/>
  <c r="AB582" i="7"/>
  <c r="AB566" i="7"/>
  <c r="AB550" i="7"/>
  <c r="AB534" i="7"/>
  <c r="AB518" i="7"/>
  <c r="AB502" i="7"/>
  <c r="AB486" i="7"/>
  <c r="AB470" i="7"/>
  <c r="AB454" i="7"/>
  <c r="AB438" i="7"/>
  <c r="AB422" i="7"/>
  <c r="AB406" i="7"/>
  <c r="AB390" i="7"/>
  <c r="AB374" i="7"/>
  <c r="AB358" i="7"/>
  <c r="AB342" i="7"/>
  <c r="AB326" i="7"/>
  <c r="AB310" i="7"/>
  <c r="AB1160" i="7"/>
  <c r="AB1096" i="7"/>
  <c r="AB1032" i="7"/>
  <c r="AB968" i="7"/>
  <c r="AB904" i="7"/>
  <c r="AB840" i="7"/>
  <c r="AB776" i="7"/>
  <c r="AB712" i="7"/>
  <c r="AB693" i="7"/>
  <c r="AB677" i="7"/>
  <c r="AB661" i="7"/>
  <c r="AB645" i="7"/>
  <c r="AB629" i="7"/>
  <c r="AB613" i="7"/>
  <c r="AB597" i="7"/>
  <c r="AB581" i="7"/>
  <c r="AB565" i="7"/>
  <c r="AB549" i="7"/>
  <c r="AB533" i="7"/>
  <c r="AB517" i="7"/>
  <c r="AB501" i="7"/>
  <c r="AB485" i="7"/>
  <c r="AB469" i="7"/>
  <c r="AB453" i="7"/>
  <c r="AB437" i="7"/>
  <c r="AB421" i="7"/>
  <c r="AB405" i="7"/>
  <c r="AB148" i="8"/>
  <c r="AB120" i="8"/>
  <c r="AB104" i="8"/>
  <c r="AB88" i="8"/>
  <c r="AB72" i="8"/>
  <c r="AB56" i="8"/>
  <c r="AB40" i="8"/>
  <c r="AB24" i="8"/>
  <c r="AB8" i="8"/>
  <c r="L7" i="8"/>
  <c r="B3" i="8"/>
  <c r="AB1184" i="8"/>
  <c r="AB928" i="8"/>
  <c r="AB699" i="8"/>
  <c r="AB635" i="8"/>
  <c r="AB571" i="8"/>
  <c r="AB507" i="8"/>
  <c r="AB443" i="8"/>
  <c r="AB379" i="8"/>
  <c r="AB323" i="8"/>
  <c r="AB307" i="8"/>
  <c r="AB291" i="8"/>
  <c r="AB275" i="8"/>
  <c r="AB259" i="8"/>
  <c r="AB243" i="8"/>
  <c r="AB227" i="8"/>
  <c r="AB211" i="8"/>
  <c r="AB195" i="8"/>
  <c r="AB179" i="8"/>
  <c r="AB163" i="8"/>
  <c r="AB147" i="8"/>
  <c r="AB131" i="8"/>
  <c r="AB115" i="8"/>
  <c r="AB99" i="8"/>
  <c r="AB83" i="8"/>
  <c r="AB67" i="8"/>
  <c r="AB51" i="8"/>
  <c r="AB35" i="8"/>
  <c r="AB19" i="8"/>
  <c r="S7" i="8"/>
  <c r="C7" i="8"/>
  <c r="AB832" i="8"/>
  <c r="AB611" i="8"/>
  <c r="AB1168" i="8"/>
  <c r="AB912" i="8"/>
  <c r="AB695" i="8"/>
  <c r="AB631" i="8"/>
  <c r="AB567" i="8"/>
  <c r="AB503" i="8"/>
  <c r="AB439" i="8"/>
  <c r="AB375" i="8"/>
  <c r="AB322" i="8"/>
  <c r="AB306" i="8"/>
  <c r="AB290" i="8"/>
  <c r="AB274" i="8"/>
  <c r="AB258" i="8"/>
  <c r="AB242" i="8"/>
  <c r="AB226" i="8"/>
  <c r="AB210" i="8"/>
  <c r="AB194" i="8"/>
  <c r="AB178" i="8"/>
  <c r="AB162" i="8"/>
  <c r="AB146" i="8"/>
  <c r="AB130" i="8"/>
  <c r="AB114" i="8"/>
  <c r="AB98" i="8"/>
  <c r="AB82" i="8"/>
  <c r="AB66" i="8"/>
  <c r="AB50" i="8"/>
  <c r="AB34" i="8"/>
  <c r="AB18" i="8"/>
  <c r="V7" i="8"/>
  <c r="F7" i="8"/>
  <c r="AB768" i="8"/>
  <c r="AB595" i="8"/>
  <c r="AB403" i="8"/>
  <c r="AB281" i="8"/>
  <c r="AB217" i="8"/>
  <c r="AB153" i="8"/>
  <c r="AB89" i="8"/>
  <c r="AB25" i="8"/>
  <c r="AB301" i="8"/>
  <c r="AB157" i="8"/>
  <c r="Q7" i="8"/>
  <c r="AB309" i="8"/>
  <c r="AB245" i="8"/>
  <c r="AB181" i="8"/>
  <c r="AB117" i="8"/>
  <c r="AB53" i="8"/>
  <c r="I7" i="8"/>
  <c r="AB189" i="8"/>
  <c r="AB6" i="8"/>
  <c r="AB305" i="8"/>
  <c r="AB241" i="8"/>
  <c r="AB177" i="8"/>
  <c r="AB113" i="8"/>
  <c r="AB49" i="8"/>
  <c r="E7" i="8"/>
  <c r="AB109" i="8"/>
  <c r="AB1211" i="7"/>
  <c r="AB1195" i="7"/>
  <c r="AB1179" i="7"/>
  <c r="AB1163" i="7"/>
  <c r="AB1147" i="7"/>
  <c r="AB1131" i="7"/>
  <c r="AB1115" i="7"/>
  <c r="AB1099" i="7"/>
  <c r="AB1083" i="7"/>
  <c r="AB1067" i="7"/>
  <c r="AB1051" i="7"/>
  <c r="AB1035" i="7"/>
  <c r="AB1019" i="7"/>
  <c r="AB1003" i="7"/>
  <c r="AB987" i="7"/>
  <c r="AB971" i="7"/>
  <c r="AB955" i="7"/>
  <c r="AB939" i="7"/>
  <c r="AB923" i="7"/>
  <c r="AB907" i="7"/>
  <c r="AB891" i="7"/>
  <c r="AB875" i="7"/>
  <c r="AB859" i="7"/>
  <c r="AB843" i="7"/>
  <c r="AB827" i="7"/>
  <c r="AB811" i="7"/>
  <c r="AB795" i="7"/>
  <c r="AB779" i="7"/>
  <c r="AB763" i="7"/>
  <c r="AB747" i="7"/>
  <c r="AB731" i="7"/>
  <c r="AB715" i="7"/>
  <c r="AB1206" i="7"/>
  <c r="AB1190" i="7"/>
  <c r="AB1174" i="7"/>
  <c r="AB1158" i="7"/>
  <c r="AB1142" i="7"/>
  <c r="AB1126" i="7"/>
  <c r="AB1110" i="7"/>
  <c r="AB1094" i="7"/>
  <c r="AB1078" i="7"/>
  <c r="AB1062" i="7"/>
  <c r="AB1046" i="7"/>
  <c r="AB1030" i="7"/>
  <c r="AB1014" i="7"/>
  <c r="AB998" i="7"/>
  <c r="AB982" i="7"/>
  <c r="AB966" i="7"/>
  <c r="AB950" i="7"/>
  <c r="AB934" i="7"/>
  <c r="AB918" i="7"/>
  <c r="AB902" i="7"/>
  <c r="AB886" i="7"/>
  <c r="AB870" i="7"/>
  <c r="AB854" i="7"/>
  <c r="AB838" i="7"/>
  <c r="AB822" i="7"/>
  <c r="AB806" i="7"/>
  <c r="AB790" i="7"/>
  <c r="AB774" i="7"/>
  <c r="AB758" i="7"/>
  <c r="AB742" i="7"/>
  <c r="AB726" i="7"/>
  <c r="AB710" i="7"/>
  <c r="AB1201" i="7"/>
  <c r="AB1185" i="7"/>
  <c r="AB1169" i="7"/>
  <c r="AB1153" i="7"/>
  <c r="AB1137" i="7"/>
  <c r="AB1121" i="7"/>
  <c r="AB1105" i="7"/>
  <c r="AB1089" i="7"/>
  <c r="AB1073" i="7"/>
  <c r="AB1057" i="7"/>
  <c r="AB1041" i="7"/>
  <c r="AB1025" i="7"/>
  <c r="AB1009" i="7"/>
  <c r="AB993" i="7"/>
  <c r="AB977" i="7"/>
  <c r="AB961" i="7"/>
  <c r="AB945" i="7"/>
  <c r="AB929" i="7"/>
  <c r="AB913" i="7"/>
  <c r="AB897" i="7"/>
  <c r="AB881" i="7"/>
  <c r="AB865" i="7"/>
  <c r="AB849" i="7"/>
  <c r="AB833" i="7"/>
  <c r="AB817" i="7"/>
  <c r="AB801" i="7"/>
  <c r="AB785" i="7"/>
  <c r="AB769" i="7"/>
  <c r="AB753" i="7"/>
  <c r="AB737" i="7"/>
  <c r="AB721" i="7"/>
  <c r="AB1212" i="7"/>
  <c r="AB1148" i="7"/>
  <c r="AB1084" i="7"/>
  <c r="AB1020" i="7"/>
  <c r="AB956" i="7"/>
  <c r="AB892" i="7"/>
  <c r="AB828" i="7"/>
  <c r="AB764" i="7"/>
  <c r="AB706" i="7"/>
  <c r="AB690" i="7"/>
  <c r="AB674" i="7"/>
  <c r="AB658" i="7"/>
  <c r="AB642" i="7"/>
  <c r="AB626" i="7"/>
  <c r="AB610" i="7"/>
  <c r="AB594" i="7"/>
  <c r="AB578" i="7"/>
  <c r="AB562" i="7"/>
  <c r="AB546" i="7"/>
  <c r="AB530" i="7"/>
  <c r="AB514" i="7"/>
  <c r="AB498" i="7"/>
  <c r="AB482" i="7"/>
  <c r="AB466" i="7"/>
  <c r="AB450" i="7"/>
  <c r="AB434" i="7"/>
  <c r="AB418" i="7"/>
  <c r="AB402" i="7"/>
  <c r="AB386" i="7"/>
  <c r="AB370" i="7"/>
  <c r="AB354" i="7"/>
  <c r="AB338" i="7"/>
  <c r="AB322" i="7"/>
  <c r="AB1208" i="7"/>
  <c r="AB1144" i="7"/>
  <c r="AB1080" i="7"/>
  <c r="AB1016" i="7"/>
  <c r="AB952" i="7"/>
  <c r="AB888" i="7"/>
  <c r="AB824" i="7"/>
  <c r="AB760" i="7"/>
  <c r="AB705" i="7"/>
  <c r="AB689" i="7"/>
  <c r="AB673" i="7"/>
  <c r="AB657" i="7"/>
  <c r="AB641" i="7"/>
  <c r="AB625" i="7"/>
  <c r="AB609" i="7"/>
  <c r="AB593" i="7"/>
  <c r="AB577" i="7"/>
  <c r="AB561" i="7"/>
  <c r="AB545" i="7"/>
  <c r="AB529" i="7"/>
  <c r="AB513" i="7"/>
  <c r="AB497" i="7"/>
  <c r="AB481" i="7"/>
  <c r="AB465" i="7"/>
  <c r="AB449" i="7"/>
  <c r="AB433" i="7"/>
  <c r="AB417" i="7"/>
  <c r="AB401" i="7"/>
  <c r="AB136" i="8"/>
  <c r="AB116" i="8"/>
  <c r="AB100" i="8"/>
  <c r="AB84" i="8"/>
  <c r="AB68" i="8"/>
  <c r="AB52" i="8"/>
  <c r="AB36" i="8"/>
  <c r="AB20" i="8"/>
  <c r="X7" i="8"/>
  <c r="H7" i="8"/>
  <c r="AB1024" i="8"/>
  <c r="AB1120" i="8"/>
  <c r="AB864" i="8"/>
  <c r="AB683" i="8"/>
  <c r="AB619" i="8"/>
  <c r="AB555" i="8"/>
  <c r="AB491" i="8"/>
  <c r="AB427" i="8"/>
  <c r="AB363" i="8"/>
  <c r="AB319" i="8"/>
  <c r="AB303" i="8"/>
  <c r="AB287" i="8"/>
  <c r="AB271" i="8"/>
  <c r="AB255" i="8"/>
  <c r="AB239" i="8"/>
  <c r="AB223" i="8"/>
  <c r="AB207" i="8"/>
  <c r="AB191" i="8"/>
  <c r="AB175" i="8"/>
  <c r="AB159" i="8"/>
  <c r="AB143" i="8"/>
  <c r="AB127" i="8"/>
  <c r="AB111" i="8"/>
  <c r="AB95" i="8"/>
  <c r="AB79" i="8"/>
  <c r="AB63" i="8"/>
  <c r="AB47" i="8"/>
  <c r="AB31" i="8"/>
  <c r="AB15" i="8"/>
  <c r="O7" i="8"/>
  <c r="D1" i="8"/>
  <c r="AB707" i="8"/>
  <c r="AB579" i="8"/>
  <c r="AB1104" i="8"/>
  <c r="AB848" i="8"/>
  <c r="AB679" i="8"/>
  <c r="AB615" i="8"/>
  <c r="AB551" i="8"/>
  <c r="AB487" i="8"/>
  <c r="AB423" i="8"/>
  <c r="AB359" i="8"/>
  <c r="AB318" i="8"/>
  <c r="AB302" i="8"/>
  <c r="AB286" i="8"/>
  <c r="AB270" i="8"/>
  <c r="AB254" i="8"/>
  <c r="AB238" i="8"/>
  <c r="AB222" i="8"/>
  <c r="AB206" i="8"/>
  <c r="AB190" i="8"/>
  <c r="AB174" i="8"/>
  <c r="AB158" i="8"/>
  <c r="AB142" i="8"/>
  <c r="AB126" i="8"/>
  <c r="AB110" i="8"/>
  <c r="AB94" i="8"/>
  <c r="AB78" i="8"/>
  <c r="AB62" i="8"/>
  <c r="AB46" i="8"/>
  <c r="AB30" i="8"/>
  <c r="AB14" i="8"/>
  <c r="R7" i="8"/>
  <c r="B7" i="8"/>
  <c r="AB691" i="8"/>
  <c r="AB563" i="8"/>
  <c r="AB339" i="8"/>
  <c r="AB265" i="8"/>
  <c r="AB201" i="8"/>
  <c r="AB137" i="8"/>
  <c r="AB73" i="8"/>
  <c r="AB9" i="8"/>
  <c r="AB269" i="8"/>
  <c r="AB141" i="8"/>
  <c r="AB451" i="8"/>
  <c r="AB293" i="8"/>
  <c r="AB229" i="8"/>
  <c r="AB165" i="8"/>
  <c r="AB101" i="8"/>
  <c r="AB37" i="8"/>
  <c r="AB317" i="8"/>
  <c r="AB125" i="8"/>
  <c r="AB435" i="8"/>
  <c r="AB289" i="8"/>
  <c r="AB225" i="8"/>
  <c r="AB161" i="8"/>
  <c r="AB97" i="8"/>
  <c r="AB33" i="8"/>
  <c r="AB355" i="8"/>
  <c r="AB61" i="8"/>
  <c r="AB1207" i="7"/>
  <c r="AB1191" i="7"/>
  <c r="AB1175" i="7"/>
  <c r="AB1159" i="7"/>
  <c r="AB1143" i="7"/>
  <c r="AB1127" i="7"/>
  <c r="AB1111" i="7"/>
  <c r="AB1095" i="7"/>
  <c r="AB1079" i="7"/>
  <c r="AB1063" i="7"/>
  <c r="AB1047" i="7"/>
  <c r="AB1031" i="7"/>
  <c r="AB1015" i="7"/>
  <c r="AB999" i="7"/>
  <c r="AB983" i="7"/>
  <c r="AB967" i="7"/>
  <c r="AB951" i="7"/>
  <c r="AB935" i="7"/>
  <c r="AB919" i="7"/>
  <c r="AB903" i="7"/>
  <c r="AB887" i="7"/>
  <c r="AB871" i="7"/>
  <c r="AB855" i="7"/>
  <c r="AB839" i="7"/>
  <c r="AB823" i="7"/>
  <c r="AB807" i="7"/>
  <c r="AB791" i="7"/>
  <c r="AB775" i="7"/>
  <c r="AB759" i="7"/>
  <c r="AB743" i="7"/>
  <c r="AB727" i="7"/>
  <c r="AB711" i="7"/>
  <c r="AB1202" i="7"/>
  <c r="AB1186" i="7"/>
  <c r="AB1170" i="7"/>
  <c r="AB1154" i="7"/>
  <c r="AB1138" i="7"/>
  <c r="AB1122" i="7"/>
  <c r="AB1106" i="7"/>
  <c r="AB1090" i="7"/>
  <c r="AB1074" i="7"/>
  <c r="AB1058" i="7"/>
  <c r="AB1042" i="7"/>
  <c r="AB1026" i="7"/>
  <c r="AB1010" i="7"/>
  <c r="AB994" i="7"/>
  <c r="AB978" i="7"/>
  <c r="AB962" i="7"/>
  <c r="AB946" i="7"/>
  <c r="AB930" i="7"/>
  <c r="AB914" i="7"/>
  <c r="AB898" i="7"/>
  <c r="AB882" i="7"/>
  <c r="AB866" i="7"/>
  <c r="AB850" i="7"/>
  <c r="AB834" i="7"/>
  <c r="AB818" i="7"/>
  <c r="AB802" i="7"/>
  <c r="AB786" i="7"/>
  <c r="AB770" i="7"/>
  <c r="AB754" i="7"/>
  <c r="AB738" i="7"/>
  <c r="AB722" i="7"/>
  <c r="AB1213" i="7"/>
  <c r="AB1197" i="7"/>
  <c r="AB1181" i="7"/>
  <c r="AB1165" i="7"/>
  <c r="AB1149" i="7"/>
  <c r="AB1133" i="7"/>
  <c r="AB1117" i="7"/>
  <c r="AB1101" i="7"/>
  <c r="AB1085" i="7"/>
  <c r="AB1069" i="7"/>
  <c r="AB1053" i="7"/>
  <c r="AB1037" i="7"/>
  <c r="AB1021" i="7"/>
  <c r="AB1005" i="7"/>
  <c r="AB989" i="7"/>
  <c r="AB973" i="7"/>
  <c r="AB957" i="7"/>
  <c r="AB941" i="7"/>
  <c r="AB925" i="7"/>
  <c r="AB909" i="7"/>
  <c r="AB893" i="7"/>
  <c r="AB877" i="7"/>
  <c r="AB861" i="7"/>
  <c r="AB845" i="7"/>
  <c r="AB829" i="7"/>
  <c r="AB813" i="7"/>
  <c r="AB797" i="7"/>
  <c r="AB781" i="7"/>
  <c r="AB765" i="7"/>
  <c r="AB749" i="7"/>
  <c r="AB733" i="7"/>
  <c r="AB717" i="7"/>
  <c r="AB1196" i="7"/>
  <c r="AB1132" i="7"/>
  <c r="AB1068" i="7"/>
  <c r="AB1004" i="7"/>
  <c r="AB940" i="7"/>
  <c r="AB876" i="7"/>
  <c r="AB812" i="7"/>
  <c r="AB748" i="7"/>
  <c r="AB702" i="7"/>
  <c r="AB686" i="7"/>
  <c r="AB670" i="7"/>
  <c r="AB654" i="7"/>
  <c r="AB638" i="7"/>
  <c r="AB622" i="7"/>
  <c r="AB606" i="7"/>
  <c r="AB590" i="7"/>
  <c r="AB574" i="7"/>
  <c r="AB558" i="7"/>
  <c r="AB542" i="7"/>
  <c r="AB526" i="7"/>
  <c r="AB510" i="7"/>
  <c r="AB494" i="7"/>
  <c r="AB478" i="7"/>
  <c r="AB462" i="7"/>
  <c r="AB446" i="7"/>
  <c r="AB430" i="7"/>
  <c r="AB414" i="7"/>
  <c r="AB398" i="7"/>
  <c r="AB382" i="7"/>
  <c r="AB366" i="7"/>
  <c r="AB350" i="7"/>
  <c r="AB334" i="7"/>
  <c r="AB318" i="7"/>
  <c r="AB1192" i="7"/>
  <c r="AB1128" i="7"/>
  <c r="AB1064" i="7"/>
  <c r="AB1000" i="7"/>
  <c r="AB936" i="7"/>
  <c r="AB872" i="7"/>
  <c r="AB808" i="7"/>
  <c r="AB744" i="7"/>
  <c r="AB701" i="7"/>
  <c r="AB685" i="7"/>
  <c r="AB669" i="7"/>
  <c r="AB653" i="7"/>
  <c r="AB637" i="7"/>
  <c r="AB621" i="7"/>
  <c r="AB605" i="7"/>
  <c r="AB589" i="7"/>
  <c r="AB573" i="7"/>
  <c r="AB557" i="7"/>
  <c r="AB541" i="7"/>
  <c r="AB525" i="7"/>
  <c r="AB509" i="7"/>
  <c r="AB493" i="7"/>
  <c r="AB477" i="7"/>
  <c r="AB461" i="7"/>
  <c r="AB445" i="7"/>
  <c r="AB429" i="7"/>
  <c r="AB413" i="7"/>
  <c r="AB397" i="7"/>
  <c r="AB381" i="7"/>
  <c r="AB365" i="7"/>
  <c r="AB349" i="7"/>
  <c r="AB389" i="7"/>
  <c r="AB357" i="7"/>
  <c r="AB333" i="7"/>
  <c r="AB1172" i="7"/>
  <c r="AB1108" i="7"/>
  <c r="AB1044" i="7"/>
  <c r="AB980" i="7"/>
  <c r="AB916" i="7"/>
  <c r="AB852" i="7"/>
  <c r="AB788" i="7"/>
  <c r="AB724" i="7"/>
  <c r="AB696" i="7"/>
  <c r="AB680" i="7"/>
  <c r="AB664" i="7"/>
  <c r="AB648" i="7"/>
  <c r="AB632" i="7"/>
  <c r="AB616" i="7"/>
  <c r="AB600" i="7"/>
  <c r="AB584" i="7"/>
  <c r="AB568" i="7"/>
  <c r="AB552" i="7"/>
  <c r="AB536" i="7"/>
  <c r="AB520" i="7"/>
  <c r="AB504" i="7"/>
  <c r="AB488" i="7"/>
  <c r="AB472" i="7"/>
  <c r="AB456" i="7"/>
  <c r="AB440" i="7"/>
  <c r="AB424" i="7"/>
  <c r="AB408" i="7"/>
  <c r="AB392" i="7"/>
  <c r="AB376" i="7"/>
  <c r="AB360" i="7"/>
  <c r="AB344" i="7"/>
  <c r="AB328" i="7"/>
  <c r="AB1008" i="7"/>
  <c r="AB752" i="7"/>
  <c r="AB655" i="7"/>
  <c r="AB591" i="7"/>
  <c r="AB527" i="7"/>
  <c r="AB463" i="7"/>
  <c r="AB399" i="7"/>
  <c r="AB335" i="7"/>
  <c r="AB308" i="7"/>
  <c r="AB292" i="7"/>
  <c r="AB276" i="7"/>
  <c r="AB260" i="7"/>
  <c r="AB244" i="7"/>
  <c r="AB228" i="7"/>
  <c r="AB212" i="7"/>
  <c r="AB196" i="7"/>
  <c r="AB180" i="7"/>
  <c r="AB164" i="7"/>
  <c r="AB148" i="7"/>
  <c r="AB132" i="7"/>
  <c r="AB116" i="7"/>
  <c r="AB100" i="7"/>
  <c r="AB84" i="7"/>
  <c r="AB68" i="7"/>
  <c r="AB52" i="7"/>
  <c r="AB36" i="7"/>
  <c r="AB20" i="7"/>
  <c r="X7" i="7"/>
  <c r="H7" i="7"/>
  <c r="AB1024" i="7"/>
  <c r="AB627" i="7"/>
  <c r="AB451" i="7"/>
  <c r="AB992" i="7"/>
  <c r="AB736" i="7"/>
  <c r="AB651" i="7"/>
  <c r="AB587" i="7"/>
  <c r="AB523" i="7"/>
  <c r="AB459" i="7"/>
  <c r="AB395" i="7"/>
  <c r="AB331" i="7"/>
  <c r="AB307" i="7"/>
  <c r="AB291" i="7"/>
  <c r="AB275" i="7"/>
  <c r="AB259" i="7"/>
  <c r="AB243" i="7"/>
  <c r="AB227" i="7"/>
  <c r="AB211" i="7"/>
  <c r="AB195" i="7"/>
  <c r="AB179" i="7"/>
  <c r="AB163" i="7"/>
  <c r="AB147" i="7"/>
  <c r="AB131" i="7"/>
  <c r="AB115" i="7"/>
  <c r="AB99" i="7"/>
  <c r="AB83" i="7"/>
  <c r="AB67" i="7"/>
  <c r="AB51" i="7"/>
  <c r="AB35" i="7"/>
  <c r="AB19" i="7"/>
  <c r="S7" i="7"/>
  <c r="C7" i="7"/>
  <c r="AB691" i="7"/>
  <c r="AB483" i="7"/>
  <c r="AB976" i="7"/>
  <c r="AB720" i="7"/>
  <c r="AB647" i="7"/>
  <c r="AB583" i="7"/>
  <c r="AB519" i="7"/>
  <c r="AB455" i="7"/>
  <c r="AB391" i="7"/>
  <c r="AB327" i="7"/>
  <c r="AB306" i="7"/>
  <c r="AB290" i="7"/>
  <c r="AB274" i="7"/>
  <c r="AB258" i="7"/>
  <c r="AB242" i="7"/>
  <c r="AB226" i="7"/>
  <c r="AB210" i="7"/>
  <c r="AB194" i="7"/>
  <c r="AB178" i="7"/>
  <c r="AB162" i="7"/>
  <c r="AB146" i="7"/>
  <c r="AB130" i="7"/>
  <c r="AB114" i="7"/>
  <c r="AB98" i="7"/>
  <c r="AB82" i="7"/>
  <c r="AB66" i="7"/>
  <c r="AB50" i="7"/>
  <c r="AB34" i="7"/>
  <c r="AB18" i="7"/>
  <c r="V7" i="7"/>
  <c r="F7" i="7"/>
  <c r="AB707" i="7"/>
  <c r="AB515" i="7"/>
  <c r="AB320" i="7"/>
  <c r="AB253" i="7"/>
  <c r="AB189" i="7"/>
  <c r="AB125" i="7"/>
  <c r="AB61" i="7"/>
  <c r="Q7" i="7"/>
  <c r="AB97" i="7"/>
  <c r="AB355" i="7"/>
  <c r="AB265" i="7"/>
  <c r="AB201" i="7"/>
  <c r="AB137" i="7"/>
  <c r="AB73" i="7"/>
  <c r="AB9" i="7"/>
  <c r="AB257" i="7"/>
  <c r="AB113" i="7"/>
  <c r="AB339" i="7"/>
  <c r="AB261" i="7"/>
  <c r="AB197" i="7"/>
  <c r="AB133" i="7"/>
  <c r="AB69" i="7"/>
  <c r="Y7" i="7"/>
  <c r="AB273" i="7"/>
  <c r="AB81" i="7"/>
  <c r="AB1214" i="6"/>
  <c r="AB1198" i="6"/>
  <c r="AB1182" i="6"/>
  <c r="AB1166" i="6"/>
  <c r="AB1150" i="6"/>
  <c r="AB1134" i="6"/>
  <c r="AB1118" i="6"/>
  <c r="AB1102" i="6"/>
  <c r="AB1086" i="6"/>
  <c r="AB1070" i="6"/>
  <c r="AB1054" i="6"/>
  <c r="AB1038" i="6"/>
  <c r="AB1022" i="6"/>
  <c r="AB1006" i="6"/>
  <c r="AB990" i="6"/>
  <c r="AB974" i="6"/>
  <c r="AB958" i="6"/>
  <c r="AB942" i="6"/>
  <c r="AB926" i="6"/>
  <c r="AB910" i="6"/>
  <c r="AB894" i="6"/>
  <c r="AB878" i="6"/>
  <c r="AB862" i="6"/>
  <c r="AB846" i="6"/>
  <c r="AB830" i="6"/>
  <c r="AB814" i="6"/>
  <c r="AB798" i="6"/>
  <c r="AB782" i="6"/>
  <c r="AB766" i="6"/>
  <c r="AB750" i="6"/>
  <c r="AB734" i="6"/>
  <c r="AB718" i="6"/>
  <c r="AB1209" i="6"/>
  <c r="AB1193" i="6"/>
  <c r="AB1177" i="6"/>
  <c r="AB1161" i="6"/>
  <c r="AB1145" i="6"/>
  <c r="AB1129" i="6"/>
  <c r="AB1113" i="6"/>
  <c r="AB1097" i="6"/>
  <c r="AB1081" i="6"/>
  <c r="AB1065" i="6"/>
  <c r="AB1049" i="6"/>
  <c r="AB1033" i="6"/>
  <c r="AB1017" i="6"/>
  <c r="AB1001" i="6"/>
  <c r="AB985" i="6"/>
  <c r="AB969" i="6"/>
  <c r="AB953" i="6"/>
  <c r="AB937" i="6"/>
  <c r="AB921" i="6"/>
  <c r="AB905" i="6"/>
  <c r="AB889" i="6"/>
  <c r="AB873" i="6"/>
  <c r="AB857" i="6"/>
  <c r="AB841" i="6"/>
  <c r="AB825" i="6"/>
  <c r="AB809" i="6"/>
  <c r="AB793" i="6"/>
  <c r="AB777" i="6"/>
  <c r="AB761" i="6"/>
  <c r="AB745" i="6"/>
  <c r="AB729" i="6"/>
  <c r="AB1212" i="6"/>
  <c r="AB1196" i="6"/>
  <c r="AB1180" i="6"/>
  <c r="AB1164" i="6"/>
  <c r="AB1148" i="6"/>
  <c r="AB1132" i="6"/>
  <c r="AB1116" i="6"/>
  <c r="AB1100" i="6"/>
  <c r="AB1084" i="6"/>
  <c r="AB1068" i="6"/>
  <c r="AB1052" i="6"/>
  <c r="AB1036" i="6"/>
  <c r="AB1020" i="6"/>
  <c r="AB1004" i="6"/>
  <c r="AB988" i="6"/>
  <c r="AB972" i="6"/>
  <c r="AB956" i="6"/>
  <c r="AB940" i="6"/>
  <c r="AB924" i="6"/>
  <c r="AB908" i="6"/>
  <c r="AB892" i="6"/>
  <c r="AB876" i="6"/>
  <c r="AB860" i="6"/>
  <c r="AB844" i="6"/>
  <c r="AB828" i="6"/>
  <c r="AB812" i="6"/>
  <c r="AB796" i="6"/>
  <c r="AB780" i="6"/>
  <c r="AB764" i="6"/>
  <c r="AB748" i="6"/>
  <c r="AB732" i="6"/>
  <c r="AB716" i="6"/>
  <c r="AB1195" i="6"/>
  <c r="AB1131" i="6"/>
  <c r="AB1067" i="6"/>
  <c r="AB1003" i="6"/>
  <c r="AB939" i="6"/>
  <c r="AB875" i="6"/>
  <c r="AB811" i="6"/>
  <c r="AB747" i="6"/>
  <c r="AB703" i="6"/>
  <c r="AB687" i="6"/>
  <c r="AB671" i="6"/>
  <c r="AB655" i="6"/>
  <c r="AB639" i="6"/>
  <c r="AB623" i="6"/>
  <c r="AB385" i="7"/>
  <c r="AB353" i="7"/>
  <c r="AB329" i="7"/>
  <c r="AB1156" i="7"/>
  <c r="AB1092" i="7"/>
  <c r="AB1028" i="7"/>
  <c r="AB964" i="7"/>
  <c r="AB900" i="7"/>
  <c r="AB836" i="7"/>
  <c r="AB772" i="7"/>
  <c r="AB708" i="7"/>
  <c r="AB692" i="7"/>
  <c r="AB676" i="7"/>
  <c r="AB660" i="7"/>
  <c r="AB644" i="7"/>
  <c r="AB628" i="7"/>
  <c r="AB612" i="7"/>
  <c r="AB596" i="7"/>
  <c r="AB580" i="7"/>
  <c r="AB564" i="7"/>
  <c r="AB548" i="7"/>
  <c r="AB532" i="7"/>
  <c r="AB516" i="7"/>
  <c r="AB500" i="7"/>
  <c r="AB484" i="7"/>
  <c r="AB468" i="7"/>
  <c r="AB452" i="7"/>
  <c r="AB436" i="7"/>
  <c r="AB420" i="7"/>
  <c r="AB404" i="7"/>
  <c r="AB388" i="7"/>
  <c r="AB372" i="7"/>
  <c r="AB356" i="7"/>
  <c r="AB340" i="7"/>
  <c r="AB1200" i="7"/>
  <c r="AB944" i="7"/>
  <c r="AB703" i="7"/>
  <c r="AB639" i="7"/>
  <c r="AB575" i="7"/>
  <c r="AB511" i="7"/>
  <c r="AB447" i="7"/>
  <c r="AB383" i="7"/>
  <c r="AB324" i="7"/>
  <c r="AB304" i="7"/>
  <c r="AB288" i="7"/>
  <c r="AB272" i="7"/>
  <c r="AB256" i="7"/>
  <c r="AB240" i="7"/>
  <c r="AB224" i="7"/>
  <c r="AB208" i="7"/>
  <c r="AB192" i="7"/>
  <c r="AB176" i="7"/>
  <c r="AB160" i="7"/>
  <c r="AB144" i="7"/>
  <c r="AB128" i="7"/>
  <c r="AB112" i="7"/>
  <c r="AB96" i="7"/>
  <c r="AB80" i="7"/>
  <c r="AB64" i="7"/>
  <c r="AB48" i="7"/>
  <c r="AB32" i="7"/>
  <c r="AB16" i="7"/>
  <c r="T7" i="7"/>
  <c r="D7" i="7"/>
  <c r="AB960" i="7"/>
  <c r="AB595" i="7"/>
  <c r="AB1184" i="7"/>
  <c r="AB928" i="7"/>
  <c r="AB699" i="7"/>
  <c r="AB635" i="7"/>
  <c r="AB571" i="7"/>
  <c r="AB507" i="7"/>
  <c r="AB443" i="7"/>
  <c r="AB379" i="7"/>
  <c r="AB323" i="7"/>
  <c r="AB303" i="7"/>
  <c r="AB287" i="7"/>
  <c r="AB271" i="7"/>
  <c r="AB255" i="7"/>
  <c r="AB239" i="7"/>
  <c r="AB223" i="7"/>
  <c r="AB207" i="7"/>
  <c r="AB191" i="7"/>
  <c r="AB175" i="7"/>
  <c r="AB159" i="7"/>
  <c r="AB143" i="7"/>
  <c r="AB127" i="7"/>
  <c r="AB111" i="7"/>
  <c r="AB95" i="7"/>
  <c r="AB79" i="7"/>
  <c r="AB63" i="7"/>
  <c r="AB47" i="7"/>
  <c r="AB31" i="7"/>
  <c r="AB15" i="7"/>
  <c r="O7" i="7"/>
  <c r="D1" i="7"/>
  <c r="AB643" i="7"/>
  <c r="AB1168" i="7"/>
  <c r="AB912" i="7"/>
  <c r="AB695" i="7"/>
  <c r="AB631" i="7"/>
  <c r="AB567" i="7"/>
  <c r="AB503" i="7"/>
  <c r="AB439" i="7"/>
  <c r="AB375" i="7"/>
  <c r="AB321" i="7"/>
  <c r="AB302" i="7"/>
  <c r="AB286" i="7"/>
  <c r="AB270" i="7"/>
  <c r="AB254" i="7"/>
  <c r="AB238" i="7"/>
  <c r="AB222" i="7"/>
  <c r="AB206" i="7"/>
  <c r="AB190" i="7"/>
  <c r="AB174" i="7"/>
  <c r="AB158" i="7"/>
  <c r="AB142" i="7"/>
  <c r="AB126" i="7"/>
  <c r="AB110" i="7"/>
  <c r="AB94" i="7"/>
  <c r="AB78" i="7"/>
  <c r="AB62" i="7"/>
  <c r="AB46" i="7"/>
  <c r="AB30" i="7"/>
  <c r="AB14" i="7"/>
  <c r="R7" i="7"/>
  <c r="B7" i="7"/>
  <c r="AB659" i="7"/>
  <c r="AB467" i="7"/>
  <c r="AB301" i="7"/>
  <c r="AB237" i="7"/>
  <c r="AB173" i="7"/>
  <c r="AB109" i="7"/>
  <c r="AB45" i="7"/>
  <c r="AB6" i="7"/>
  <c r="AB49" i="7"/>
  <c r="AB315" i="7"/>
  <c r="AB249" i="7"/>
  <c r="AB185" i="7"/>
  <c r="AB121" i="7"/>
  <c r="AB57" i="7"/>
  <c r="M7" i="7"/>
  <c r="AB209" i="7"/>
  <c r="AB65" i="7"/>
  <c r="AB309" i="7"/>
  <c r="AB245" i="7"/>
  <c r="AB181" i="7"/>
  <c r="AB117" i="7"/>
  <c r="AB53" i="7"/>
  <c r="I7" i="7"/>
  <c r="AB225" i="7"/>
  <c r="AB33" i="7"/>
  <c r="AB1210" i="6"/>
  <c r="AB1194" i="6"/>
  <c r="AB1178" i="6"/>
  <c r="AB1162" i="6"/>
  <c r="AB1146" i="6"/>
  <c r="AB1130" i="6"/>
  <c r="AB1114" i="6"/>
  <c r="AB1098" i="6"/>
  <c r="AB1082" i="6"/>
  <c r="AB1066" i="6"/>
  <c r="AB1050" i="6"/>
  <c r="AB1034" i="6"/>
  <c r="AB1018" i="6"/>
  <c r="AB1002" i="6"/>
  <c r="AB986" i="6"/>
  <c r="AB970" i="6"/>
  <c r="AB954" i="6"/>
  <c r="AB938" i="6"/>
  <c r="AB922" i="6"/>
  <c r="AB906" i="6"/>
  <c r="AB890" i="6"/>
  <c r="AB874" i="6"/>
  <c r="AB858" i="6"/>
  <c r="AB842" i="6"/>
  <c r="AB826" i="6"/>
  <c r="AB810" i="6"/>
  <c r="AB794" i="6"/>
  <c r="AB778" i="6"/>
  <c r="AB762" i="6"/>
  <c r="AB746" i="6"/>
  <c r="AB730" i="6"/>
  <c r="AB714" i="6"/>
  <c r="AB1205" i="6"/>
  <c r="AB1189" i="6"/>
  <c r="AB1173" i="6"/>
  <c r="AB1157" i="6"/>
  <c r="AB1141" i="6"/>
  <c r="AB1125" i="6"/>
  <c r="AB1109" i="6"/>
  <c r="AB1093" i="6"/>
  <c r="AB1077" i="6"/>
  <c r="AB1061" i="6"/>
  <c r="AB1045" i="6"/>
  <c r="AB1029" i="6"/>
  <c r="AB1013" i="6"/>
  <c r="AB997" i="6"/>
  <c r="AB981" i="6"/>
  <c r="AB965" i="6"/>
  <c r="AB949" i="6"/>
  <c r="AB933" i="6"/>
  <c r="AB917" i="6"/>
  <c r="AB901" i="6"/>
  <c r="AB885" i="6"/>
  <c r="AB869" i="6"/>
  <c r="AB853" i="6"/>
  <c r="AB837" i="6"/>
  <c r="AB821" i="6"/>
  <c r="AB805" i="6"/>
  <c r="AB789" i="6"/>
  <c r="AB773" i="6"/>
  <c r="AB757" i="6"/>
  <c r="AB741" i="6"/>
  <c r="AB725" i="6"/>
  <c r="AB1208" i="6"/>
  <c r="AB1192" i="6"/>
  <c r="AB1176" i="6"/>
  <c r="AB1160" i="6"/>
  <c r="AB1144" i="6"/>
  <c r="AB1128" i="6"/>
  <c r="AB1112" i="6"/>
  <c r="AB1096" i="6"/>
  <c r="AB1080" i="6"/>
  <c r="AB1064" i="6"/>
  <c r="AB1048" i="6"/>
  <c r="AB1032" i="6"/>
  <c r="AB1016" i="6"/>
  <c r="AB1000" i="6"/>
  <c r="AB984" i="6"/>
  <c r="AB968" i="6"/>
  <c r="AB952" i="6"/>
  <c r="AB936" i="6"/>
  <c r="AB920" i="6"/>
  <c r="AB904" i="6"/>
  <c r="AB888" i="6"/>
  <c r="AB872" i="6"/>
  <c r="AB856" i="6"/>
  <c r="AB840" i="6"/>
  <c r="AB824" i="6"/>
  <c r="AB808" i="6"/>
  <c r="AB792" i="6"/>
  <c r="AB776" i="6"/>
  <c r="AB760" i="6"/>
  <c r="AB744" i="6"/>
  <c r="AB728" i="6"/>
  <c r="AB712" i="6"/>
  <c r="AB1179" i="6"/>
  <c r="AB1115" i="6"/>
  <c r="AB1051" i="6"/>
  <c r="AB987" i="6"/>
  <c r="AB923" i="6"/>
  <c r="AB859" i="6"/>
  <c r="AB795" i="6"/>
  <c r="AB731" i="6"/>
  <c r="AB373" i="7"/>
  <c r="AB341" i="7"/>
  <c r="AB1204" i="7"/>
  <c r="AB1140" i="7"/>
  <c r="AB1076" i="7"/>
  <c r="AB1012" i="7"/>
  <c r="AB948" i="7"/>
  <c r="AB884" i="7"/>
  <c r="AB820" i="7"/>
  <c r="AB756" i="7"/>
  <c r="AB704" i="7"/>
  <c r="AB688" i="7"/>
  <c r="AB672" i="7"/>
  <c r="AB656" i="7"/>
  <c r="AB640" i="7"/>
  <c r="AB624" i="7"/>
  <c r="AB608" i="7"/>
  <c r="AB592" i="7"/>
  <c r="AB576" i="7"/>
  <c r="AB560" i="7"/>
  <c r="AB544" i="7"/>
  <c r="AB528" i="7"/>
  <c r="AB512" i="7"/>
  <c r="AB496" i="7"/>
  <c r="AB480" i="7"/>
  <c r="AB464" i="7"/>
  <c r="AB448" i="7"/>
  <c r="AB432" i="7"/>
  <c r="AB416" i="7"/>
  <c r="AB400" i="7"/>
  <c r="AB384" i="7"/>
  <c r="AB368" i="7"/>
  <c r="AB352" i="7"/>
  <c r="AB336" i="7"/>
  <c r="AB1136" i="7"/>
  <c r="AB880" i="7"/>
  <c r="AB687" i="7"/>
  <c r="AB623" i="7"/>
  <c r="AB559" i="7"/>
  <c r="AB495" i="7"/>
  <c r="AB431" i="7"/>
  <c r="AB367" i="7"/>
  <c r="AB319" i="7"/>
  <c r="AB300" i="7"/>
  <c r="AB284" i="7"/>
  <c r="AB268" i="7"/>
  <c r="AB252" i="7"/>
  <c r="AB236" i="7"/>
  <c r="AB220" i="7"/>
  <c r="AB204" i="7"/>
  <c r="AB188" i="7"/>
  <c r="AB172" i="7"/>
  <c r="AB156" i="7"/>
  <c r="AB140" i="7"/>
  <c r="AB124" i="7"/>
  <c r="AB108" i="7"/>
  <c r="AB92" i="7"/>
  <c r="AB76" i="7"/>
  <c r="AB60" i="7"/>
  <c r="AB44" i="7"/>
  <c r="AB28" i="7"/>
  <c r="AB12" i="7"/>
  <c r="P7" i="7"/>
  <c r="A6" i="7"/>
  <c r="AB768" i="7"/>
  <c r="AB547" i="7"/>
  <c r="AB1120" i="7"/>
  <c r="AB864" i="7"/>
  <c r="AB683" i="7"/>
  <c r="AB619" i="7"/>
  <c r="AB555" i="7"/>
  <c r="AB491" i="7"/>
  <c r="AB427" i="7"/>
  <c r="AB363" i="7"/>
  <c r="AB317" i="7"/>
  <c r="AB299" i="7"/>
  <c r="AB283" i="7"/>
  <c r="AB267" i="7"/>
  <c r="AB251" i="7"/>
  <c r="AB235" i="7"/>
  <c r="AB219" i="7"/>
  <c r="AB203" i="7"/>
  <c r="AB187" i="7"/>
  <c r="AB171" i="7"/>
  <c r="AB155" i="7"/>
  <c r="AB139" i="7"/>
  <c r="AB123" i="7"/>
  <c r="AB107" i="7"/>
  <c r="AB91" i="7"/>
  <c r="AB75" i="7"/>
  <c r="AB59" i="7"/>
  <c r="AB43" i="7"/>
  <c r="AB27" i="7"/>
  <c r="AB11" i="7"/>
  <c r="K7" i="7"/>
  <c r="AB1152" i="7"/>
  <c r="AB579" i="7"/>
  <c r="AB1104" i="7"/>
  <c r="AB848" i="7"/>
  <c r="AB679" i="7"/>
  <c r="AB615" i="7"/>
  <c r="AB551" i="7"/>
  <c r="AB487" i="7"/>
  <c r="AB423" i="7"/>
  <c r="AB359" i="7"/>
  <c r="AB316" i="7"/>
  <c r="AB298" i="7"/>
  <c r="AB282" i="7"/>
  <c r="AB266" i="7"/>
  <c r="AB250" i="7"/>
  <c r="AB234" i="7"/>
  <c r="AB218" i="7"/>
  <c r="AB202" i="7"/>
  <c r="AB186" i="7"/>
  <c r="AB170" i="7"/>
  <c r="AB154" i="7"/>
  <c r="AB138" i="7"/>
  <c r="AB122" i="7"/>
  <c r="AB106" i="7"/>
  <c r="AB90" i="7"/>
  <c r="AB74" i="7"/>
  <c r="AB58" i="7"/>
  <c r="AB42" i="7"/>
  <c r="AB26" i="7"/>
  <c r="AB10" i="7"/>
  <c r="N7" i="7"/>
  <c r="AB1088" i="7"/>
  <c r="AB611" i="7"/>
  <c r="AB435" i="7"/>
  <c r="AB285" i="7"/>
  <c r="AB221" i="7"/>
  <c r="AB157" i="7"/>
  <c r="AB93" i="7"/>
  <c r="AB29" i="7"/>
  <c r="AB241" i="7"/>
  <c r="E7" i="7"/>
  <c r="AB297" i="7"/>
  <c r="AB233" i="7"/>
  <c r="AB169" i="7"/>
  <c r="AB105" i="7"/>
  <c r="AB41" i="7"/>
  <c r="AB325" i="7"/>
  <c r="AB177" i="7"/>
  <c r="AB17" i="7"/>
  <c r="AB293" i="7"/>
  <c r="AB229" i="7"/>
  <c r="AB165" i="7"/>
  <c r="AB101" i="7"/>
  <c r="AB37" i="7"/>
  <c r="AB387" i="7"/>
  <c r="AB193" i="7"/>
  <c r="U7" i="7"/>
  <c r="AB1206" i="6"/>
  <c r="AB1190" i="6"/>
  <c r="AB1174" i="6"/>
  <c r="AB1158" i="6"/>
  <c r="AB1142" i="6"/>
  <c r="AB1126" i="6"/>
  <c r="AB1110" i="6"/>
  <c r="AB1094" i="6"/>
  <c r="AB1078" i="6"/>
  <c r="AB1062" i="6"/>
  <c r="AB1046" i="6"/>
  <c r="AB1030" i="6"/>
  <c r="AB1014" i="6"/>
  <c r="AB998" i="6"/>
  <c r="AB982" i="6"/>
  <c r="AB966" i="6"/>
  <c r="AB950" i="6"/>
  <c r="AB934" i="6"/>
  <c r="AB918" i="6"/>
  <c r="AB902" i="6"/>
  <c r="AB886" i="6"/>
  <c r="AB870" i="6"/>
  <c r="AB854" i="6"/>
  <c r="AB838" i="6"/>
  <c r="AB822" i="6"/>
  <c r="AB806" i="6"/>
  <c r="AB790" i="6"/>
  <c r="AB774" i="6"/>
  <c r="AB758" i="6"/>
  <c r="AB742" i="6"/>
  <c r="AB726" i="6"/>
  <c r="AB710" i="6"/>
  <c r="AB1201" i="6"/>
  <c r="AB1185" i="6"/>
  <c r="AB1169" i="6"/>
  <c r="AB1153" i="6"/>
  <c r="AB1137" i="6"/>
  <c r="AB1121" i="6"/>
  <c r="AB1105" i="6"/>
  <c r="AB1089" i="6"/>
  <c r="AB1073" i="6"/>
  <c r="AB1057" i="6"/>
  <c r="AB1041" i="6"/>
  <c r="AB1025" i="6"/>
  <c r="AB1009" i="6"/>
  <c r="AB993" i="6"/>
  <c r="AB977" i="6"/>
  <c r="AB961" i="6"/>
  <c r="AB945" i="6"/>
  <c r="AB929" i="6"/>
  <c r="AB913" i="6"/>
  <c r="AB897" i="6"/>
  <c r="AB881" i="6"/>
  <c r="AB865" i="6"/>
  <c r="AB849" i="6"/>
  <c r="AB833" i="6"/>
  <c r="AB817" i="6"/>
  <c r="AB801" i="6"/>
  <c r="AB785" i="6"/>
  <c r="AB769" i="6"/>
  <c r="AB753" i="6"/>
  <c r="AB737" i="6"/>
  <c r="AB721" i="6"/>
  <c r="AB1204" i="6"/>
  <c r="AB1188" i="6"/>
  <c r="AB1172" i="6"/>
  <c r="AB1156" i="6"/>
  <c r="AB1140" i="6"/>
  <c r="AB1124" i="6"/>
  <c r="AB1108" i="6"/>
  <c r="AB1092" i="6"/>
  <c r="AB1076" i="6"/>
  <c r="AB1060" i="6"/>
  <c r="AB1044" i="6"/>
  <c r="AB1028" i="6"/>
  <c r="AB1012" i="6"/>
  <c r="AB996" i="6"/>
  <c r="AB980" i="6"/>
  <c r="AB964" i="6"/>
  <c r="AB948" i="6"/>
  <c r="AB932" i="6"/>
  <c r="AB916" i="6"/>
  <c r="AB900" i="6"/>
  <c r="AB884" i="6"/>
  <c r="AB868" i="6"/>
  <c r="AB852" i="6"/>
  <c r="AB836" i="6"/>
  <c r="AB820" i="6"/>
  <c r="AB804" i="6"/>
  <c r="AB788" i="6"/>
  <c r="AB772" i="6"/>
  <c r="AB756" i="6"/>
  <c r="AB740" i="6"/>
  <c r="AB724" i="6"/>
  <c r="AB708" i="6"/>
  <c r="AB1163" i="6"/>
  <c r="AB1099" i="6"/>
  <c r="AB1035" i="6"/>
  <c r="AB971" i="6"/>
  <c r="AB907" i="6"/>
  <c r="AB843" i="6"/>
  <c r="AB779" i="6"/>
  <c r="AB715" i="6"/>
  <c r="AB369" i="7"/>
  <c r="AB337" i="7"/>
  <c r="AB1188" i="7"/>
  <c r="AB1124" i="7"/>
  <c r="AB1060" i="7"/>
  <c r="AB996" i="7"/>
  <c r="AB932" i="7"/>
  <c r="AB868" i="7"/>
  <c r="AB804" i="7"/>
  <c r="AB740" i="7"/>
  <c r="AB700" i="7"/>
  <c r="AB684" i="7"/>
  <c r="AB668" i="7"/>
  <c r="AB652" i="7"/>
  <c r="AB636" i="7"/>
  <c r="AB620" i="7"/>
  <c r="AB604" i="7"/>
  <c r="AB588" i="7"/>
  <c r="AB572" i="7"/>
  <c r="AB556" i="7"/>
  <c r="AB540" i="7"/>
  <c r="AB524" i="7"/>
  <c r="AB508" i="7"/>
  <c r="AB492" i="7"/>
  <c r="AB476" i="7"/>
  <c r="AB460" i="7"/>
  <c r="AB444" i="7"/>
  <c r="AB428" i="7"/>
  <c r="AB412" i="7"/>
  <c r="AB396" i="7"/>
  <c r="AB380" i="7"/>
  <c r="AB364" i="7"/>
  <c r="AB348" i="7"/>
  <c r="AB332" i="7"/>
  <c r="AB1072" i="7"/>
  <c r="AB816" i="7"/>
  <c r="AB671" i="7"/>
  <c r="AB607" i="7"/>
  <c r="AB543" i="7"/>
  <c r="AB479" i="7"/>
  <c r="AB415" i="7"/>
  <c r="AB351" i="7"/>
  <c r="AB313" i="7"/>
  <c r="AB296" i="7"/>
  <c r="AB280" i="7"/>
  <c r="AB264" i="7"/>
  <c r="AB248" i="7"/>
  <c r="AB232" i="7"/>
  <c r="AB216" i="7"/>
  <c r="AB200" i="7"/>
  <c r="AB184" i="7"/>
  <c r="AB168" i="7"/>
  <c r="AB152" i="7"/>
  <c r="AB136" i="7"/>
  <c r="AB120" i="7"/>
  <c r="AB104" i="7"/>
  <c r="AB88" i="7"/>
  <c r="AB72" i="7"/>
  <c r="AB56" i="7"/>
  <c r="AB40" i="7"/>
  <c r="AB24" i="7"/>
  <c r="AB8" i="7"/>
  <c r="L7" i="7"/>
  <c r="B3" i="7"/>
  <c r="AB675" i="7"/>
  <c r="AB499" i="7"/>
  <c r="AB1056" i="7"/>
  <c r="AB800" i="7"/>
  <c r="AB667" i="7"/>
  <c r="AB603" i="7"/>
  <c r="AB539" i="7"/>
  <c r="AB475" i="7"/>
  <c r="AB411" i="7"/>
  <c r="AB347" i="7"/>
  <c r="AB312" i="7"/>
  <c r="AB295" i="7"/>
  <c r="AB279" i="7"/>
  <c r="AB263" i="7"/>
  <c r="AB247" i="7"/>
  <c r="AB231" i="7"/>
  <c r="AB215" i="7"/>
  <c r="AB199" i="7"/>
  <c r="AB183" i="7"/>
  <c r="AB167" i="7"/>
  <c r="AB151" i="7"/>
  <c r="AB135" i="7"/>
  <c r="AB119" i="7"/>
  <c r="AB103" i="7"/>
  <c r="AB87" i="7"/>
  <c r="AB71" i="7"/>
  <c r="AB55" i="7"/>
  <c r="AB39" i="7"/>
  <c r="AB23" i="7"/>
  <c r="W7" i="7"/>
  <c r="G7" i="7"/>
  <c r="AB832" i="7"/>
  <c r="AB531" i="7"/>
  <c r="AB1040" i="7"/>
  <c r="AB784" i="7"/>
  <c r="AB663" i="7"/>
  <c r="AB599" i="7"/>
  <c r="AB535" i="7"/>
  <c r="AB471" i="7"/>
  <c r="AB407" i="7"/>
  <c r="AB343" i="7"/>
  <c r="AB311" i="7"/>
  <c r="AB294" i="7"/>
  <c r="AB278" i="7"/>
  <c r="AB262" i="7"/>
  <c r="AB246" i="7"/>
  <c r="AB230" i="7"/>
  <c r="AB214" i="7"/>
  <c r="AB198" i="7"/>
  <c r="AB182" i="7"/>
  <c r="AB166" i="7"/>
  <c r="AB150" i="7"/>
  <c r="AB134" i="7"/>
  <c r="AB118" i="7"/>
  <c r="AB102" i="7"/>
  <c r="AB86" i="7"/>
  <c r="AB70" i="7"/>
  <c r="AB54" i="7"/>
  <c r="AB38" i="7"/>
  <c r="AB22" i="7"/>
  <c r="AB7" i="7"/>
  <c r="J7" i="7"/>
  <c r="AB896" i="7"/>
  <c r="AB563" i="7"/>
  <c r="AB371" i="7"/>
  <c r="AB269" i="7"/>
  <c r="AB205" i="7"/>
  <c r="AB141" i="7"/>
  <c r="AB77" i="7"/>
  <c r="AB13" i="7"/>
  <c r="AB161" i="7"/>
  <c r="AB419" i="7"/>
  <c r="AB281" i="7"/>
  <c r="AB217" i="7"/>
  <c r="AB153" i="7"/>
  <c r="AB89" i="7"/>
  <c r="AB25" i="7"/>
  <c r="AB289" i="7"/>
  <c r="AB145" i="7"/>
  <c r="AB403" i="7"/>
  <c r="AB277" i="7"/>
  <c r="AB213" i="7"/>
  <c r="AB149" i="7"/>
  <c r="AB85" i="7"/>
  <c r="AB21" i="7"/>
  <c r="AB305" i="7"/>
  <c r="AB129" i="7"/>
  <c r="AB1215" i="6"/>
  <c r="AB1202" i="6"/>
  <c r="AB1186" i="6"/>
  <c r="AB1170" i="6"/>
  <c r="AB1154" i="6"/>
  <c r="AB1138" i="6"/>
  <c r="AB1122" i="6"/>
  <c r="AB1106" i="6"/>
  <c r="AB1090" i="6"/>
  <c r="AB1074" i="6"/>
  <c r="AB1058" i="6"/>
  <c r="AB1042" i="6"/>
  <c r="AB1026" i="6"/>
  <c r="AB1010" i="6"/>
  <c r="AB994" i="6"/>
  <c r="AB978" i="6"/>
  <c r="AB962" i="6"/>
  <c r="AB946" i="6"/>
  <c r="AB930" i="6"/>
  <c r="AB914" i="6"/>
  <c r="AB898" i="6"/>
  <c r="AB882" i="6"/>
  <c r="AB866" i="6"/>
  <c r="AB850" i="6"/>
  <c r="AB834" i="6"/>
  <c r="AB818" i="6"/>
  <c r="AB802" i="6"/>
  <c r="AB786" i="6"/>
  <c r="AB770" i="6"/>
  <c r="AB754" i="6"/>
  <c r="AB738" i="6"/>
  <c r="AB722" i="6"/>
  <c r="AB1213" i="6"/>
  <c r="AB1197" i="6"/>
  <c r="AB1181" i="6"/>
  <c r="AB1165" i="6"/>
  <c r="AB1149" i="6"/>
  <c r="AB1133" i="6"/>
  <c r="AB1117" i="6"/>
  <c r="AB1101" i="6"/>
  <c r="AB1085" i="6"/>
  <c r="AB1069" i="6"/>
  <c r="AB1053" i="6"/>
  <c r="AB1037" i="6"/>
  <c r="AB1021" i="6"/>
  <c r="AB1005" i="6"/>
  <c r="AB989" i="6"/>
  <c r="AB973" i="6"/>
  <c r="AB957" i="6"/>
  <c r="AB941" i="6"/>
  <c r="AB925" i="6"/>
  <c r="AB909" i="6"/>
  <c r="AB893" i="6"/>
  <c r="AB877" i="6"/>
  <c r="AB861" i="6"/>
  <c r="AB845" i="6"/>
  <c r="AB829" i="6"/>
  <c r="AB813" i="6"/>
  <c r="AB797" i="6"/>
  <c r="AB781" i="6"/>
  <c r="AB765" i="6"/>
  <c r="AB749" i="6"/>
  <c r="AB733" i="6"/>
  <c r="AB717" i="6"/>
  <c r="AB1200" i="6"/>
  <c r="AB1184" i="6"/>
  <c r="AB1168" i="6"/>
  <c r="AB1152" i="6"/>
  <c r="AB1136" i="6"/>
  <c r="AB1120" i="6"/>
  <c r="AB1104" i="6"/>
  <c r="AB1088" i="6"/>
  <c r="AB1072" i="6"/>
  <c r="AB1056" i="6"/>
  <c r="AB1040" i="6"/>
  <c r="AB1024" i="6"/>
  <c r="AB1008" i="6"/>
  <c r="AB992" i="6"/>
  <c r="AB976" i="6"/>
  <c r="AB960" i="6"/>
  <c r="AB944" i="6"/>
  <c r="AB928" i="6"/>
  <c r="AB912" i="6"/>
  <c r="AB896" i="6"/>
  <c r="AB880" i="6"/>
  <c r="AB864" i="6"/>
  <c r="AB848" i="6"/>
  <c r="AB832" i="6"/>
  <c r="AB816" i="6"/>
  <c r="AB800" i="6"/>
  <c r="AB784" i="6"/>
  <c r="AB768" i="6"/>
  <c r="AB752" i="6"/>
  <c r="AB736" i="6"/>
  <c r="AB720" i="6"/>
  <c r="AB1211" i="6"/>
  <c r="AB1147" i="6"/>
  <c r="AB1083" i="6"/>
  <c r="AB1019" i="6"/>
  <c r="AB955" i="6"/>
  <c r="AB891" i="6"/>
  <c r="AB827" i="6"/>
  <c r="AB763" i="6"/>
  <c r="AB707" i="6"/>
  <c r="AB691" i="6"/>
  <c r="AB675" i="6"/>
  <c r="AB659" i="6"/>
  <c r="AB643" i="6"/>
  <c r="AB627" i="6"/>
  <c r="AB699" i="6"/>
  <c r="AB667" i="6"/>
  <c r="AB635" i="6"/>
  <c r="AB611" i="6"/>
  <c r="AB595" i="6"/>
  <c r="AB579" i="6"/>
  <c r="AB563" i="6"/>
  <c r="AB547" i="6"/>
  <c r="AB531" i="6"/>
  <c r="AB515" i="6"/>
  <c r="AB499" i="6"/>
  <c r="AB483" i="6"/>
  <c r="AB467" i="6"/>
  <c r="AB451" i="6"/>
  <c r="AB435" i="6"/>
  <c r="AB419" i="6"/>
  <c r="AB403" i="6"/>
  <c r="AB387" i="6"/>
  <c r="AB371" i="6"/>
  <c r="AB355" i="6"/>
  <c r="AB339" i="6"/>
  <c r="AB1191" i="6"/>
  <c r="AB1127" i="6"/>
  <c r="AB1063" i="6"/>
  <c r="AB999" i="6"/>
  <c r="AB935" i="6"/>
  <c r="AB871" i="6"/>
  <c r="AB807" i="6"/>
  <c r="AB743" i="6"/>
  <c r="AB702" i="6"/>
  <c r="AB686" i="6"/>
  <c r="AB670" i="6"/>
  <c r="AB654" i="6"/>
  <c r="AB638" i="6"/>
  <c r="AB622" i="6"/>
  <c r="AB606" i="6"/>
  <c r="AB590" i="6"/>
  <c r="AB574" i="6"/>
  <c r="AB558" i="6"/>
  <c r="AB542" i="6"/>
  <c r="AB526" i="6"/>
  <c r="AB510" i="6"/>
  <c r="AB494" i="6"/>
  <c r="AB478" i="6"/>
  <c r="AB462" i="6"/>
  <c r="AB446" i="6"/>
  <c r="AB430" i="6"/>
  <c r="AB414" i="6"/>
  <c r="AB398" i="6"/>
  <c r="AB382" i="6"/>
  <c r="AB366" i="6"/>
  <c r="AB350" i="6"/>
  <c r="AB334" i="6"/>
  <c r="AB1171" i="6"/>
  <c r="AB1107" i="6"/>
  <c r="AB1043" i="6"/>
  <c r="AB979" i="6"/>
  <c r="AB915" i="6"/>
  <c r="AB851" i="6"/>
  <c r="AB787" i="6"/>
  <c r="AB723" i="6"/>
  <c r="AB697" i="6"/>
  <c r="AB681" i="6"/>
  <c r="AB665" i="6"/>
  <c r="AB649" i="6"/>
  <c r="AB633" i="6"/>
  <c r="AB617" i="6"/>
  <c r="AB601" i="6"/>
  <c r="AB585" i="6"/>
  <c r="AB569" i="6"/>
  <c r="AB553" i="6"/>
  <c r="AB537" i="6"/>
  <c r="AB521" i="6"/>
  <c r="AB505" i="6"/>
  <c r="AB489" i="6"/>
  <c r="AB473" i="6"/>
  <c r="AB457" i="6"/>
  <c r="AB441" i="6"/>
  <c r="AB425" i="6"/>
  <c r="AB409" i="6"/>
  <c r="AB393" i="6"/>
  <c r="AB377" i="6"/>
  <c r="AB361" i="6"/>
  <c r="AB345" i="6"/>
  <c r="AB329" i="6"/>
  <c r="AB1007" i="6"/>
  <c r="AB751" i="6"/>
  <c r="AB656" i="6"/>
  <c r="AB592" i="6"/>
  <c r="AB528" i="6"/>
  <c r="AB464" i="6"/>
  <c r="AB400" i="6"/>
  <c r="AB336" i="6"/>
  <c r="AB314" i="6"/>
  <c r="AB298" i="6"/>
  <c r="AB282" i="6"/>
  <c r="AB266" i="6"/>
  <c r="AB250" i="6"/>
  <c r="AB234" i="6"/>
  <c r="AB218" i="6"/>
  <c r="AB202" i="6"/>
  <c r="AB186" i="6"/>
  <c r="AB170" i="6"/>
  <c r="AB154" i="6"/>
  <c r="AB138" i="6"/>
  <c r="AB122" i="6"/>
  <c r="AB106" i="6"/>
  <c r="AB90" i="6"/>
  <c r="AB74" i="6"/>
  <c r="AB58" i="6"/>
  <c r="AB42" i="6"/>
  <c r="AB26" i="6"/>
  <c r="AB10" i="6"/>
  <c r="N7" i="6"/>
  <c r="AB1183" i="6"/>
  <c r="AB927" i="6"/>
  <c r="AB700" i="6"/>
  <c r="AB636" i="6"/>
  <c r="AB572" i="6"/>
  <c r="AB508" i="6"/>
  <c r="AB444" i="6"/>
  <c r="AB380" i="6"/>
  <c r="AB325" i="6"/>
  <c r="AB309" i="6"/>
  <c r="AB293" i="6"/>
  <c r="AB277" i="6"/>
  <c r="AB261" i="6"/>
  <c r="AB245" i="6"/>
  <c r="AB229" i="6"/>
  <c r="AB213" i="6"/>
  <c r="AB197" i="6"/>
  <c r="AB181" i="6"/>
  <c r="AB165" i="6"/>
  <c r="AB149" i="6"/>
  <c r="AB133" i="6"/>
  <c r="AB117" i="6"/>
  <c r="AB101" i="6"/>
  <c r="AB85" i="6"/>
  <c r="AB69" i="6"/>
  <c r="AB53" i="6"/>
  <c r="AB37" i="6"/>
  <c r="AB21" i="6"/>
  <c r="Y7" i="6"/>
  <c r="I7" i="6"/>
  <c r="AB1103" i="6"/>
  <c r="AB847" i="6"/>
  <c r="AB680" i="6"/>
  <c r="AB616" i="6"/>
  <c r="AB552" i="6"/>
  <c r="AB488" i="6"/>
  <c r="AB424" i="6"/>
  <c r="AB360" i="6"/>
  <c r="AB320" i="6"/>
  <c r="AB304" i="6"/>
  <c r="AB288" i="6"/>
  <c r="AB272" i="6"/>
  <c r="AB256" i="6"/>
  <c r="AB240" i="6"/>
  <c r="AB224" i="6"/>
  <c r="AB208" i="6"/>
  <c r="AB192" i="6"/>
  <c r="AB176" i="6"/>
  <c r="AB160" i="6"/>
  <c r="AB144" i="6"/>
  <c r="AB128" i="6"/>
  <c r="AB112" i="6"/>
  <c r="AB96" i="6"/>
  <c r="AB80" i="6"/>
  <c r="AB64" i="6"/>
  <c r="AB48" i="6"/>
  <c r="AB32" i="6"/>
  <c r="AB16" i="6"/>
  <c r="T7" i="6"/>
  <c r="D7" i="6"/>
  <c r="AB1087" i="6"/>
  <c r="AB831" i="6"/>
  <c r="AB580" i="6"/>
  <c r="AB327" i="6"/>
  <c r="AB263" i="6"/>
  <c r="AB199" i="6"/>
  <c r="AB135" i="6"/>
  <c r="AB71" i="6"/>
  <c r="K7" i="6"/>
  <c r="AB187" i="6"/>
  <c r="AB692" i="6"/>
  <c r="AB436" i="6"/>
  <c r="AB291" i="6"/>
  <c r="AB227" i="6"/>
  <c r="AB163" i="6"/>
  <c r="AB99" i="6"/>
  <c r="AB35" i="6"/>
  <c r="AB596" i="6"/>
  <c r="AB267" i="6"/>
  <c r="AB59" i="6"/>
  <c r="AB548" i="6"/>
  <c r="AB319" i="6"/>
  <c r="AB255" i="6"/>
  <c r="AB191" i="6"/>
  <c r="AB127" i="6"/>
  <c r="AB63" i="6"/>
  <c r="S7" i="6"/>
  <c r="AB315" i="6"/>
  <c r="O7" i="6"/>
  <c r="AB695" i="6"/>
  <c r="AB663" i="6"/>
  <c r="AB631" i="6"/>
  <c r="AB607" i="6"/>
  <c r="AB591" i="6"/>
  <c r="AB575" i="6"/>
  <c r="AB559" i="6"/>
  <c r="AB543" i="6"/>
  <c r="AB527" i="6"/>
  <c r="AB511" i="6"/>
  <c r="AB495" i="6"/>
  <c r="AB479" i="6"/>
  <c r="AB463" i="6"/>
  <c r="AB447" i="6"/>
  <c r="AB431" i="6"/>
  <c r="AB415" i="6"/>
  <c r="AB399" i="6"/>
  <c r="AB383" i="6"/>
  <c r="AB367" i="6"/>
  <c r="AB351" i="6"/>
  <c r="AB335" i="6"/>
  <c r="AB1175" i="6"/>
  <c r="AB1111" i="6"/>
  <c r="AB1047" i="6"/>
  <c r="AB983" i="6"/>
  <c r="AB919" i="6"/>
  <c r="AB855" i="6"/>
  <c r="AB791" i="6"/>
  <c r="AB727" i="6"/>
  <c r="AB698" i="6"/>
  <c r="AB682" i="6"/>
  <c r="AB666" i="6"/>
  <c r="AB650" i="6"/>
  <c r="AB634" i="6"/>
  <c r="AB618" i="6"/>
  <c r="AB602" i="6"/>
  <c r="AB586" i="6"/>
  <c r="AB570" i="6"/>
  <c r="AB554" i="6"/>
  <c r="AB538" i="6"/>
  <c r="AB522" i="6"/>
  <c r="AB506" i="6"/>
  <c r="AB490" i="6"/>
  <c r="AB474" i="6"/>
  <c r="AB458" i="6"/>
  <c r="AB442" i="6"/>
  <c r="AB426" i="6"/>
  <c r="AB410" i="6"/>
  <c r="AB394" i="6"/>
  <c r="AB378" i="6"/>
  <c r="AB362" i="6"/>
  <c r="AB346" i="6"/>
  <c r="AB330" i="6"/>
  <c r="AB1155" i="6"/>
  <c r="AB1091" i="6"/>
  <c r="AB1027" i="6"/>
  <c r="AB963" i="6"/>
  <c r="AB899" i="6"/>
  <c r="AB835" i="6"/>
  <c r="AB771" i="6"/>
  <c r="AB711" i="6"/>
  <c r="AB693" i="6"/>
  <c r="AB677" i="6"/>
  <c r="AB661" i="6"/>
  <c r="AB645" i="6"/>
  <c r="AB629" i="6"/>
  <c r="AB613" i="6"/>
  <c r="AB597" i="6"/>
  <c r="AB581" i="6"/>
  <c r="AB565" i="6"/>
  <c r="AB549" i="6"/>
  <c r="AB533" i="6"/>
  <c r="AB517" i="6"/>
  <c r="AB501" i="6"/>
  <c r="AB485" i="6"/>
  <c r="AB469" i="6"/>
  <c r="AB453" i="6"/>
  <c r="AB437" i="6"/>
  <c r="AB421" i="6"/>
  <c r="AB405" i="6"/>
  <c r="AB389" i="6"/>
  <c r="AB373" i="6"/>
  <c r="AB357" i="6"/>
  <c r="AB341" i="6"/>
  <c r="AB1199" i="6"/>
  <c r="AB943" i="6"/>
  <c r="AB704" i="6"/>
  <c r="AB640" i="6"/>
  <c r="AB576" i="6"/>
  <c r="AB512" i="6"/>
  <c r="AB448" i="6"/>
  <c r="AB384" i="6"/>
  <c r="AB326" i="6"/>
  <c r="AB310" i="6"/>
  <c r="AB294" i="6"/>
  <c r="AB278" i="6"/>
  <c r="AB262" i="6"/>
  <c r="AB246" i="6"/>
  <c r="AB230" i="6"/>
  <c r="AB214" i="6"/>
  <c r="AB198" i="6"/>
  <c r="AB182" i="6"/>
  <c r="AB166" i="6"/>
  <c r="AB150" i="6"/>
  <c r="AB134" i="6"/>
  <c r="AB118" i="6"/>
  <c r="AB102" i="6"/>
  <c r="AB86" i="6"/>
  <c r="AB70" i="6"/>
  <c r="AB54" i="6"/>
  <c r="AB38" i="6"/>
  <c r="AB22" i="6"/>
  <c r="AB7" i="6"/>
  <c r="J7" i="6"/>
  <c r="AB1119" i="6"/>
  <c r="AB863" i="6"/>
  <c r="AB684" i="6"/>
  <c r="AB620" i="6"/>
  <c r="AB556" i="6"/>
  <c r="AB492" i="6"/>
  <c r="AB428" i="6"/>
  <c r="AB364" i="6"/>
  <c r="AB321" i="6"/>
  <c r="AB305" i="6"/>
  <c r="AB289" i="6"/>
  <c r="AB273" i="6"/>
  <c r="AB257" i="6"/>
  <c r="AB241" i="6"/>
  <c r="AB225" i="6"/>
  <c r="AB209" i="6"/>
  <c r="AB193" i="6"/>
  <c r="AB177" i="6"/>
  <c r="AB161" i="6"/>
  <c r="AB145" i="6"/>
  <c r="AB129" i="6"/>
  <c r="AB113" i="6"/>
  <c r="AB97" i="6"/>
  <c r="AB81" i="6"/>
  <c r="AB65" i="6"/>
  <c r="AB49" i="6"/>
  <c r="AB33" i="6"/>
  <c r="AB17" i="6"/>
  <c r="U7" i="6"/>
  <c r="E7" i="6"/>
  <c r="AB1039" i="6"/>
  <c r="AB783" i="6"/>
  <c r="AB664" i="6"/>
  <c r="AB600" i="6"/>
  <c r="AB536" i="6"/>
  <c r="AB472" i="6"/>
  <c r="AB408" i="6"/>
  <c r="AB344" i="6"/>
  <c r="AB316" i="6"/>
  <c r="AB300" i="6"/>
  <c r="AB284" i="6"/>
  <c r="AB268" i="6"/>
  <c r="AB252" i="6"/>
  <c r="AB236" i="6"/>
  <c r="AB220" i="6"/>
  <c r="AB204" i="6"/>
  <c r="AB188" i="6"/>
  <c r="AB172" i="6"/>
  <c r="AB156" i="6"/>
  <c r="AB140" i="6"/>
  <c r="AB124" i="6"/>
  <c r="AB108" i="6"/>
  <c r="AB92" i="6"/>
  <c r="AB76" i="6"/>
  <c r="AB60" i="6"/>
  <c r="AB44" i="6"/>
  <c r="AB28" i="6"/>
  <c r="AB12" i="6"/>
  <c r="P7" i="6"/>
  <c r="A6" i="6"/>
  <c r="AB1023" i="6"/>
  <c r="AB767" i="6"/>
  <c r="AB516" i="6"/>
  <c r="AB311" i="6"/>
  <c r="AB247" i="6"/>
  <c r="AB183" i="6"/>
  <c r="AB119" i="6"/>
  <c r="AB55" i="6"/>
  <c r="D1" i="6"/>
  <c r="AB139" i="6"/>
  <c r="AB628" i="6"/>
  <c r="AB372" i="6"/>
  <c r="AB275" i="6"/>
  <c r="AB211" i="6"/>
  <c r="AB147" i="6"/>
  <c r="AB83" i="6"/>
  <c r="AB19" i="6"/>
  <c r="AB468" i="6"/>
  <c r="AB219" i="6"/>
  <c r="AB11" i="6"/>
  <c r="AB484" i="6"/>
  <c r="AB303" i="6"/>
  <c r="AB239" i="6"/>
  <c r="AB175" i="6"/>
  <c r="AB111" i="6"/>
  <c r="AB47" i="6"/>
  <c r="C7" i="6"/>
  <c r="AB283" i="6"/>
  <c r="AB107" i="6"/>
  <c r="AB91" i="6"/>
  <c r="AB683" i="6"/>
  <c r="AB651" i="6"/>
  <c r="AB619" i="6"/>
  <c r="AB603" i="6"/>
  <c r="AB587" i="6"/>
  <c r="AB571" i="6"/>
  <c r="AB555" i="6"/>
  <c r="AB539" i="6"/>
  <c r="AB523" i="6"/>
  <c r="AB507" i="6"/>
  <c r="AB491" i="6"/>
  <c r="AB475" i="6"/>
  <c r="AB459" i="6"/>
  <c r="AB443" i="6"/>
  <c r="AB427" i="6"/>
  <c r="AB411" i="6"/>
  <c r="AB395" i="6"/>
  <c r="AB379" i="6"/>
  <c r="AB363" i="6"/>
  <c r="AB347" i="6"/>
  <c r="AB331" i="6"/>
  <c r="AB1159" i="6"/>
  <c r="AB1095" i="6"/>
  <c r="AB1031" i="6"/>
  <c r="AB967" i="6"/>
  <c r="AB903" i="6"/>
  <c r="AB839" i="6"/>
  <c r="AB775" i="6"/>
  <c r="AB713" i="6"/>
  <c r="AB694" i="6"/>
  <c r="AB678" i="6"/>
  <c r="AB662" i="6"/>
  <c r="AB646" i="6"/>
  <c r="AB630" i="6"/>
  <c r="AB614" i="6"/>
  <c r="AB598" i="6"/>
  <c r="AB582" i="6"/>
  <c r="AB566" i="6"/>
  <c r="AB550" i="6"/>
  <c r="AB534" i="6"/>
  <c r="AB518" i="6"/>
  <c r="AB502" i="6"/>
  <c r="AB486" i="6"/>
  <c r="AB470" i="6"/>
  <c r="AB454" i="6"/>
  <c r="AB438" i="6"/>
  <c r="AB422" i="6"/>
  <c r="AB406" i="6"/>
  <c r="AB390" i="6"/>
  <c r="AB374" i="6"/>
  <c r="AB358" i="6"/>
  <c r="AB342" i="6"/>
  <c r="AB1203" i="6"/>
  <c r="AB1139" i="6"/>
  <c r="AB1075" i="6"/>
  <c r="AB1011" i="6"/>
  <c r="AB947" i="6"/>
  <c r="AB883" i="6"/>
  <c r="AB819" i="6"/>
  <c r="AB755" i="6"/>
  <c r="AB705" i="6"/>
  <c r="AB689" i="6"/>
  <c r="AB673" i="6"/>
  <c r="AB657" i="6"/>
  <c r="AB641" i="6"/>
  <c r="AB625" i="6"/>
  <c r="AB609" i="6"/>
  <c r="AB593" i="6"/>
  <c r="AB577" i="6"/>
  <c r="AB561" i="6"/>
  <c r="AB545" i="6"/>
  <c r="AB529" i="6"/>
  <c r="AB513" i="6"/>
  <c r="AB497" i="6"/>
  <c r="AB481" i="6"/>
  <c r="AB465" i="6"/>
  <c r="AB449" i="6"/>
  <c r="AB433" i="6"/>
  <c r="AB417" i="6"/>
  <c r="AB401" i="6"/>
  <c r="AB385" i="6"/>
  <c r="AB369" i="6"/>
  <c r="AB353" i="6"/>
  <c r="AB337" i="6"/>
  <c r="AB1135" i="6"/>
  <c r="AB879" i="6"/>
  <c r="AB688" i="6"/>
  <c r="AB624" i="6"/>
  <c r="AB560" i="6"/>
  <c r="AB496" i="6"/>
  <c r="AB432" i="6"/>
  <c r="AB368" i="6"/>
  <c r="AB322" i="6"/>
  <c r="AB306" i="6"/>
  <c r="AB290" i="6"/>
  <c r="AB274" i="6"/>
  <c r="AB258" i="6"/>
  <c r="AB242" i="6"/>
  <c r="AB226" i="6"/>
  <c r="AB210" i="6"/>
  <c r="AB194" i="6"/>
  <c r="AB178" i="6"/>
  <c r="AB162" i="6"/>
  <c r="AB146" i="6"/>
  <c r="AB130" i="6"/>
  <c r="AB114" i="6"/>
  <c r="AB98" i="6"/>
  <c r="AB82" i="6"/>
  <c r="AB66" i="6"/>
  <c r="AB50" i="6"/>
  <c r="AB34" i="6"/>
  <c r="AB18" i="6"/>
  <c r="V7" i="6"/>
  <c r="F7" i="6"/>
  <c r="AB1055" i="6"/>
  <c r="AB799" i="6"/>
  <c r="AB668" i="6"/>
  <c r="AB604" i="6"/>
  <c r="AB540" i="6"/>
  <c r="AB476" i="6"/>
  <c r="AB412" i="6"/>
  <c r="AB348" i="6"/>
  <c r="AB317" i="6"/>
  <c r="AB301" i="6"/>
  <c r="AB285" i="6"/>
  <c r="AB269" i="6"/>
  <c r="AB253" i="6"/>
  <c r="AB237" i="6"/>
  <c r="AB221" i="6"/>
  <c r="AB205" i="6"/>
  <c r="AB189" i="6"/>
  <c r="AB173" i="6"/>
  <c r="AB157" i="6"/>
  <c r="AB141" i="6"/>
  <c r="AB125" i="6"/>
  <c r="AB109" i="6"/>
  <c r="AB93" i="6"/>
  <c r="AB77" i="6"/>
  <c r="AB61" i="6"/>
  <c r="AB45" i="6"/>
  <c r="AB29" i="6"/>
  <c r="AB13" i="6"/>
  <c r="Q7" i="6"/>
  <c r="AB6" i="6"/>
  <c r="AB975" i="6"/>
  <c r="AB719" i="6"/>
  <c r="AB648" i="6"/>
  <c r="AB584" i="6"/>
  <c r="AB520" i="6"/>
  <c r="AB456" i="6"/>
  <c r="AB392" i="6"/>
  <c r="AB328" i="6"/>
  <c r="AB312" i="6"/>
  <c r="AB296" i="6"/>
  <c r="AB280" i="6"/>
  <c r="AB264" i="6"/>
  <c r="AB248" i="6"/>
  <c r="AB232" i="6"/>
  <c r="AB216" i="6"/>
  <c r="AB200" i="6"/>
  <c r="AB184" i="6"/>
  <c r="AB168" i="6"/>
  <c r="AB152" i="6"/>
  <c r="AB136" i="6"/>
  <c r="AB120" i="6"/>
  <c r="AB104" i="6"/>
  <c r="AB88" i="6"/>
  <c r="AB72" i="6"/>
  <c r="AB56" i="6"/>
  <c r="AB40" i="6"/>
  <c r="AB24" i="6"/>
  <c r="AB8" i="6"/>
  <c r="L7" i="6"/>
  <c r="B3" i="6"/>
  <c r="AB959" i="6"/>
  <c r="AB709" i="6"/>
  <c r="AB452" i="6"/>
  <c r="AB295" i="6"/>
  <c r="AB231" i="6"/>
  <c r="AB167" i="6"/>
  <c r="AB103" i="6"/>
  <c r="AB39" i="6"/>
  <c r="AB532" i="6"/>
  <c r="AB75" i="6"/>
  <c r="AB564" i="6"/>
  <c r="AB323" i="6"/>
  <c r="AB259" i="6"/>
  <c r="AB195" i="6"/>
  <c r="AB131" i="6"/>
  <c r="AB67" i="6"/>
  <c r="W7" i="6"/>
  <c r="AB340" i="6"/>
  <c r="AB171" i="6"/>
  <c r="AB676" i="6"/>
  <c r="AB420" i="6"/>
  <c r="AB287" i="6"/>
  <c r="AB223" i="6"/>
  <c r="AB159" i="6"/>
  <c r="AB95" i="6"/>
  <c r="AB31" i="6"/>
  <c r="AB660" i="6"/>
  <c r="AB235" i="6"/>
  <c r="AB679" i="6"/>
  <c r="AB647" i="6"/>
  <c r="AB615" i="6"/>
  <c r="AB599" i="6"/>
  <c r="AB583" i="6"/>
  <c r="AB567" i="6"/>
  <c r="AB551" i="6"/>
  <c r="AB535" i="6"/>
  <c r="AB519" i="6"/>
  <c r="AB503" i="6"/>
  <c r="AB487" i="6"/>
  <c r="AB471" i="6"/>
  <c r="AB455" i="6"/>
  <c r="AB439" i="6"/>
  <c r="AB423" i="6"/>
  <c r="AB407" i="6"/>
  <c r="AB391" i="6"/>
  <c r="AB375" i="6"/>
  <c r="AB359" i="6"/>
  <c r="AB343" i="6"/>
  <c r="AB1207" i="6"/>
  <c r="AB1143" i="6"/>
  <c r="AB1079" i="6"/>
  <c r="AB1015" i="6"/>
  <c r="AB951" i="6"/>
  <c r="AB887" i="6"/>
  <c r="AB823" i="6"/>
  <c r="AB759" i="6"/>
  <c r="AB706" i="6"/>
  <c r="AB690" i="6"/>
  <c r="AB674" i="6"/>
  <c r="AB658" i="6"/>
  <c r="AB642" i="6"/>
  <c r="AB626" i="6"/>
  <c r="AB610" i="6"/>
  <c r="AB594" i="6"/>
  <c r="AB578" i="6"/>
  <c r="AB562" i="6"/>
  <c r="AB546" i="6"/>
  <c r="AB530" i="6"/>
  <c r="AB514" i="6"/>
  <c r="AB498" i="6"/>
  <c r="AB482" i="6"/>
  <c r="AB466" i="6"/>
  <c r="AB450" i="6"/>
  <c r="AB434" i="6"/>
  <c r="AB418" i="6"/>
  <c r="AB402" i="6"/>
  <c r="AB386" i="6"/>
  <c r="AB370" i="6"/>
  <c r="AB354" i="6"/>
  <c r="AB338" i="6"/>
  <c r="AB1187" i="6"/>
  <c r="AB1123" i="6"/>
  <c r="AB1059" i="6"/>
  <c r="AB995" i="6"/>
  <c r="AB931" i="6"/>
  <c r="AB867" i="6"/>
  <c r="AB803" i="6"/>
  <c r="AB739" i="6"/>
  <c r="AB701" i="6"/>
  <c r="AB685" i="6"/>
  <c r="AB669" i="6"/>
  <c r="AB653" i="6"/>
  <c r="AB637" i="6"/>
  <c r="AB621" i="6"/>
  <c r="AB605" i="6"/>
  <c r="AB589" i="6"/>
  <c r="AB573" i="6"/>
  <c r="AB557" i="6"/>
  <c r="AB541" i="6"/>
  <c r="AB525" i="6"/>
  <c r="AB509" i="6"/>
  <c r="AB493" i="6"/>
  <c r="AB477" i="6"/>
  <c r="AB461" i="6"/>
  <c r="AB445" i="6"/>
  <c r="AB429" i="6"/>
  <c r="AB413" i="6"/>
  <c r="AB397" i="6"/>
  <c r="AB381" i="6"/>
  <c r="AB365" i="6"/>
  <c r="AB349" i="6"/>
  <c r="AB333" i="6"/>
  <c r="AB1071" i="6"/>
  <c r="AB815" i="6"/>
  <c r="AB672" i="6"/>
  <c r="AB608" i="6"/>
  <c r="AB544" i="6"/>
  <c r="AB480" i="6"/>
  <c r="AB416" i="6"/>
  <c r="AB352" i="6"/>
  <c r="AB318" i="6"/>
  <c r="AB302" i="6"/>
  <c r="AB286" i="6"/>
  <c r="AB270" i="6"/>
  <c r="AB254" i="6"/>
  <c r="AB238" i="6"/>
  <c r="AB222" i="6"/>
  <c r="AB206" i="6"/>
  <c r="AB190" i="6"/>
  <c r="AB174" i="6"/>
  <c r="AB158" i="6"/>
  <c r="AB142" i="6"/>
  <c r="AB126" i="6"/>
  <c r="AB110" i="6"/>
  <c r="AB94" i="6"/>
  <c r="AB78" i="6"/>
  <c r="AB62" i="6"/>
  <c r="AB46" i="6"/>
  <c r="AB30" i="6"/>
  <c r="AB14" i="6"/>
  <c r="R7" i="6"/>
  <c r="B7" i="6"/>
  <c r="AB991" i="6"/>
  <c r="AB735" i="6"/>
  <c r="AB652" i="6"/>
  <c r="AB588" i="6"/>
  <c r="AB524" i="6"/>
  <c r="AB460" i="6"/>
  <c r="AB396" i="6"/>
  <c r="AB332" i="6"/>
  <c r="AB313" i="6"/>
  <c r="AB297" i="6"/>
  <c r="AB281" i="6"/>
  <c r="AB265" i="6"/>
  <c r="AB249" i="6"/>
  <c r="AB233" i="6"/>
  <c r="AB217" i="6"/>
  <c r="AB201" i="6"/>
  <c r="AB185" i="6"/>
  <c r="AB169" i="6"/>
  <c r="AB153" i="6"/>
  <c r="AB137" i="6"/>
  <c r="AB121" i="6"/>
  <c r="AB105" i="6"/>
  <c r="AB89" i="6"/>
  <c r="AB73" i="6"/>
  <c r="AB57" i="6"/>
  <c r="AB41" i="6"/>
  <c r="AB25" i="6"/>
  <c r="AB9" i="6"/>
  <c r="M7" i="6"/>
  <c r="AB1167" i="6"/>
  <c r="AB911" i="6"/>
  <c r="AB696" i="6"/>
  <c r="AB632" i="6"/>
  <c r="AB568" i="6"/>
  <c r="AB504" i="6"/>
  <c r="AB440" i="6"/>
  <c r="AB376" i="6"/>
  <c r="AB324" i="6"/>
  <c r="AB308" i="6"/>
  <c r="AB292" i="6"/>
  <c r="AB276" i="6"/>
  <c r="AB260" i="6"/>
  <c r="AB244" i="6"/>
  <c r="AB228" i="6"/>
  <c r="AB212" i="6"/>
  <c r="AB196" i="6"/>
  <c r="AB180" i="6"/>
  <c r="AB164" i="6"/>
  <c r="AB148" i="6"/>
  <c r="AB132" i="6"/>
  <c r="AB116" i="6"/>
  <c r="AB100" i="6"/>
  <c r="AB84" i="6"/>
  <c r="AB68" i="6"/>
  <c r="AB52" i="6"/>
  <c r="AB36" i="6"/>
  <c r="AB20" i="6"/>
  <c r="X7" i="6"/>
  <c r="H7" i="6"/>
  <c r="AB1151" i="6"/>
  <c r="AB895" i="6"/>
  <c r="AB644" i="6"/>
  <c r="AB388" i="6"/>
  <c r="AB279" i="6"/>
  <c r="AB215" i="6"/>
  <c r="AB151" i="6"/>
  <c r="AB87" i="6"/>
  <c r="AB23" i="6"/>
  <c r="AB251" i="6"/>
  <c r="AB27" i="6"/>
  <c r="AB500" i="6"/>
  <c r="AB307" i="6"/>
  <c r="AB243" i="6"/>
  <c r="AB179" i="6"/>
  <c r="AB115" i="6"/>
  <c r="AB51" i="6"/>
  <c r="G7" i="6"/>
  <c r="AB299" i="6"/>
  <c r="AB123" i="6"/>
  <c r="AB612" i="6"/>
  <c r="AB356" i="6"/>
  <c r="AB271" i="6"/>
  <c r="AB207" i="6"/>
  <c r="AB143" i="6"/>
  <c r="AB79" i="6"/>
  <c r="AB15" i="6"/>
  <c r="AB404" i="6"/>
  <c r="AB203" i="6"/>
  <c r="AB43" i="6"/>
  <c r="AB155" i="6"/>
  <c r="T7" i="4"/>
  <c r="P7" i="4"/>
  <c r="Q7" i="4"/>
  <c r="K7" i="4"/>
  <c r="B3" i="4"/>
  <c r="X7" i="4"/>
  <c r="S7" i="4"/>
  <c r="U7" i="4"/>
  <c r="O7" i="4"/>
  <c r="L7" i="4"/>
  <c r="Y7" i="4"/>
  <c r="J7" i="4"/>
  <c r="G7" i="4"/>
  <c r="R7" i="4"/>
  <c r="W7" i="4"/>
  <c r="H7" i="4"/>
  <c r="AB6" i="4"/>
  <c r="N7" i="4"/>
  <c r="I7" i="4"/>
  <c r="V7" i="4"/>
  <c r="AB5" i="6" l="1"/>
  <c r="AB5" i="7"/>
  <c r="AB5" i="8"/>
  <c r="AB5" i="9"/>
  <c r="AB5" i="10"/>
  <c r="AC7" i="10"/>
  <c r="AC7" i="6"/>
  <c r="AC7" i="8"/>
  <c r="AC7" i="7"/>
  <c r="AC7" i="9"/>
</calcChain>
</file>

<file path=xl/sharedStrings.xml><?xml version="1.0" encoding="utf-8"?>
<sst xmlns="http://schemas.openxmlformats.org/spreadsheetml/2006/main" count="22982" uniqueCount="1850">
  <si>
    <t>Index</t>
  </si>
  <si>
    <t>^SPX</t>
  </si>
  <si>
    <t xml:space="preserve">Valuation Date </t>
  </si>
  <si>
    <t>Currency</t>
  </si>
  <si>
    <t>USD</t>
  </si>
  <si>
    <t>Company Name </t>
  </si>
  <si>
    <t>Sector </t>
  </si>
  <si>
    <t>Industry Group </t>
  </si>
  <si>
    <t>Industry </t>
  </si>
  <si>
    <t>Sub Ind </t>
  </si>
  <si>
    <t>Dividend adjusted, split adjusted closing stock price </t>
  </si>
  <si>
    <t>BEV/EBITDA multiples </t>
  </si>
  <si>
    <t>Price/Earnings multiples </t>
  </si>
  <si>
    <t>Price /Tangible Book </t>
  </si>
  <si>
    <t>Dividend Yield </t>
  </si>
  <si>
    <t>Market capitalization </t>
  </si>
  <si>
    <t>Headquarter location </t>
  </si>
  <si>
    <t>NYSE:MMM</t>
  </si>
  <si>
    <t>NYSE:AOS</t>
  </si>
  <si>
    <t>NYSE:ABT</t>
  </si>
  <si>
    <t>NYSE:ABBV</t>
  </si>
  <si>
    <t>NasdaqGS:ABMD</t>
  </si>
  <si>
    <t>NYSE:ACN</t>
  </si>
  <si>
    <t>NasdaqGS:ATVI</t>
  </si>
  <si>
    <t>NasdaqGS:ADBE</t>
  </si>
  <si>
    <t>NYSE:AAP</t>
  </si>
  <si>
    <t>NasdaqGS:AMD</t>
  </si>
  <si>
    <t>NYSE:AET</t>
  </si>
  <si>
    <t>NYSE:AMG</t>
  </si>
  <si>
    <t>NYSE:AFL</t>
  </si>
  <si>
    <t>NYSE:A</t>
  </si>
  <si>
    <t>NYSE:APD</t>
  </si>
  <si>
    <t>NasdaqGS:AKAM</t>
  </si>
  <si>
    <t>NYSE:ALK</t>
  </si>
  <si>
    <t>NYSE:ALB</t>
  </si>
  <si>
    <t>NYSE:ARE</t>
  </si>
  <si>
    <t>NasdaqGS:ALXN</t>
  </si>
  <si>
    <t>NasdaqGS:ALGN</t>
  </si>
  <si>
    <t>NYSE:ALLE</t>
  </si>
  <si>
    <t>NYSE:AGN</t>
  </si>
  <si>
    <t>NYSE:ADS</t>
  </si>
  <si>
    <t>NYSE:LNT</t>
  </si>
  <si>
    <t>NasdaqGS:GOOG</t>
  </si>
  <si>
    <t>NasdaqGS:GOOG.L</t>
  </si>
  <si>
    <t>NYSE:MO</t>
  </si>
  <si>
    <t>NasdaqGS:AMZN</t>
  </si>
  <si>
    <t>NYSE:AEE</t>
  </si>
  <si>
    <t>NasdaqGS:AAL</t>
  </si>
  <si>
    <t>NYSE:AEP</t>
  </si>
  <si>
    <t>NYSE:AXP</t>
  </si>
  <si>
    <t>NYSE:AIG</t>
  </si>
  <si>
    <t>NYSE:AMT</t>
  </si>
  <si>
    <t>NYSE:AWK</t>
  </si>
  <si>
    <t>NYSE:AMP</t>
  </si>
  <si>
    <t>NYSE:ABC</t>
  </si>
  <si>
    <t>NYSE:AME</t>
  </si>
  <si>
    <t>NasdaqGS:AMGN</t>
  </si>
  <si>
    <t>NYSE:APH</t>
  </si>
  <si>
    <t>NYSE:APC</t>
  </si>
  <si>
    <t>NasdaqGS:ADI</t>
  </si>
  <si>
    <t>NasdaqGS:ANSS</t>
  </si>
  <si>
    <t>NYSE:ANTM</t>
  </si>
  <si>
    <t>NYSE:AON</t>
  </si>
  <si>
    <t>NYSE:APA</t>
  </si>
  <si>
    <t>NYSE:AIV</t>
  </si>
  <si>
    <t>NasdaqGS:AAPL</t>
  </si>
  <si>
    <t>NasdaqGS:AMAT</t>
  </si>
  <si>
    <t>NYSE:APTV</t>
  </si>
  <si>
    <t>NYSE:ADM</t>
  </si>
  <si>
    <t>NYSE:ARNC</t>
  </si>
  <si>
    <t>NYSE:ANET</t>
  </si>
  <si>
    <t>NYSE:AJG</t>
  </si>
  <si>
    <t>NYSE:AIZ</t>
  </si>
  <si>
    <t>NYSE:T</t>
  </si>
  <si>
    <t>NasdaqGS:ADSK</t>
  </si>
  <si>
    <t>NasdaqGS:ADP</t>
  </si>
  <si>
    <t>NYSE:AZO</t>
  </si>
  <si>
    <t>NYSE:AVB</t>
  </si>
  <si>
    <t>NYSE:AVY</t>
  </si>
  <si>
    <t>NYSE:BHGE</t>
  </si>
  <si>
    <t>NYSE:BLL</t>
  </si>
  <si>
    <t>NYSE:BAC</t>
  </si>
  <si>
    <t>NYSE:BAX</t>
  </si>
  <si>
    <t>NYSE:BBT</t>
  </si>
  <si>
    <t>NYSE:BDX</t>
  </si>
  <si>
    <t>NYSE:BRK.B</t>
  </si>
  <si>
    <t>NYSE:BBY</t>
  </si>
  <si>
    <t>NasdaqGS:BIIB</t>
  </si>
  <si>
    <t>NYSE:BLK</t>
  </si>
  <si>
    <t>NasdaqGS:BKNG</t>
  </si>
  <si>
    <t>NYSE:BWA</t>
  </si>
  <si>
    <t>NYSE:BXP</t>
  </si>
  <si>
    <t>NYSE:BSX</t>
  </si>
  <si>
    <t>NasdaqGS:BHF</t>
  </si>
  <si>
    <t>NYSE:BMY</t>
  </si>
  <si>
    <t>NasdaqGS:AVGO</t>
  </si>
  <si>
    <t>NYSE:BR</t>
  </si>
  <si>
    <t>NYSE:BF.B</t>
  </si>
  <si>
    <t>NasdaqGS:CHRW</t>
  </si>
  <si>
    <t>NasdaqGS:CA</t>
  </si>
  <si>
    <t>NYSE:COG</t>
  </si>
  <si>
    <t>NasdaqGS:CDNS</t>
  </si>
  <si>
    <t>NYSE:CPB</t>
  </si>
  <si>
    <t>NYSE:COF</t>
  </si>
  <si>
    <t>NYSE:CAH</t>
  </si>
  <si>
    <t>NYSE:KMX</t>
  </si>
  <si>
    <t>NYSE:CCL</t>
  </si>
  <si>
    <t>NYSE:CAT</t>
  </si>
  <si>
    <t>BATS:CBOE</t>
  </si>
  <si>
    <t>NYSE:CBRE</t>
  </si>
  <si>
    <t>NYSE:CBS</t>
  </si>
  <si>
    <t>NasdaqGS:CELG</t>
  </si>
  <si>
    <t>NYSE:CNC</t>
  </si>
  <si>
    <t>NYSE:CNP</t>
  </si>
  <si>
    <t>NYSE:CTL</t>
  </si>
  <si>
    <t>NasdaqGS:CERN</t>
  </si>
  <si>
    <t>NYSE:CF</t>
  </si>
  <si>
    <t>NasdaqGS:CHTR</t>
  </si>
  <si>
    <t>NYSE:CVX</t>
  </si>
  <si>
    <t>NYSE:CMG</t>
  </si>
  <si>
    <t>NYSE:CB</t>
  </si>
  <si>
    <t>NYSE:CHD</t>
  </si>
  <si>
    <t>NYSE:CI</t>
  </si>
  <si>
    <t>NYSE:XEC</t>
  </si>
  <si>
    <t>NasdaqGS:CINF</t>
  </si>
  <si>
    <t>NasdaqGS:CTAS</t>
  </si>
  <si>
    <t>NasdaqGS:CSCO</t>
  </si>
  <si>
    <t>NYSE:C</t>
  </si>
  <si>
    <t>NYSE:CFG</t>
  </si>
  <si>
    <t>NasdaqGS:CTXS</t>
  </si>
  <si>
    <t>NasdaqGS:CME</t>
  </si>
  <si>
    <t>NYSE:CMS</t>
  </si>
  <si>
    <t>NasdaqGS:CTSH</t>
  </si>
  <si>
    <t>NYSE:CL</t>
  </si>
  <si>
    <t>NasdaqGS:CMCS.A</t>
  </si>
  <si>
    <t>NYSE:CMA</t>
  </si>
  <si>
    <t>NYSE:CAG</t>
  </si>
  <si>
    <t>NYSE:CXO</t>
  </si>
  <si>
    <t>NYSE:COP</t>
  </si>
  <si>
    <t>NYSE:ED</t>
  </si>
  <si>
    <t>NYSE:STZ</t>
  </si>
  <si>
    <t>NasdaqGS:CPRT</t>
  </si>
  <si>
    <t>NYSE:GLW</t>
  </si>
  <si>
    <t>NasdaqGS:COST</t>
  </si>
  <si>
    <t>NYSE:COTY</t>
  </si>
  <si>
    <t>NYSE:CCI</t>
  </si>
  <si>
    <t>NasdaqGS:CSX</t>
  </si>
  <si>
    <t>NYSE:CMI</t>
  </si>
  <si>
    <t>NYSE:CVS</t>
  </si>
  <si>
    <t>NYSE:DHI</t>
  </si>
  <si>
    <t>NYSE:DHR</t>
  </si>
  <si>
    <t>NYSE:DRI</t>
  </si>
  <si>
    <t>NYSE:DVA</t>
  </si>
  <si>
    <t>NYSE:DE</t>
  </si>
  <si>
    <t>NYSE:DAL</t>
  </si>
  <si>
    <t>NasdaqGS:XRAY</t>
  </si>
  <si>
    <t>NYSE:DVN</t>
  </si>
  <si>
    <t>NYSE:DLR</t>
  </si>
  <si>
    <t>NYSE:DFS</t>
  </si>
  <si>
    <t>NasdaqGS:DISC.A</t>
  </si>
  <si>
    <t>NasdaqGS:DISC.K</t>
  </si>
  <si>
    <t>NasdaqGS:DISH</t>
  </si>
  <si>
    <t>NYSE:DG</t>
  </si>
  <si>
    <t>NasdaqGS:DLTR</t>
  </si>
  <si>
    <t>NYSE:D</t>
  </si>
  <si>
    <t>NYSE:DOV</t>
  </si>
  <si>
    <t>NYSE:DWDP</t>
  </si>
  <si>
    <t>NYSE:DTE</t>
  </si>
  <si>
    <t>NYSE:DUK</t>
  </si>
  <si>
    <t>NYSE:DRE</t>
  </si>
  <si>
    <t>NYSE:DXC</t>
  </si>
  <si>
    <t>NasdaqGS:ETFC</t>
  </si>
  <si>
    <t>NYSE:EMN</t>
  </si>
  <si>
    <t>NYSE:ETN</t>
  </si>
  <si>
    <t>NasdaqGS:EBAY</t>
  </si>
  <si>
    <t>NYSE:ECL</t>
  </si>
  <si>
    <t>NYSE:EIX</t>
  </si>
  <si>
    <t>NYSE:EW</t>
  </si>
  <si>
    <t>NasdaqGS:EA</t>
  </si>
  <si>
    <t>NYSE:LLY</t>
  </si>
  <si>
    <t>NYSE:EMR</t>
  </si>
  <si>
    <t>NYSE:ETR</t>
  </si>
  <si>
    <t>NYSE:EOG</t>
  </si>
  <si>
    <t>NYSE:EQT</t>
  </si>
  <si>
    <t>NYSE:EFX</t>
  </si>
  <si>
    <t>NasdaqGS:EQIX</t>
  </si>
  <si>
    <t>NYSE:EQR</t>
  </si>
  <si>
    <t>NYSE:ESS</t>
  </si>
  <si>
    <t>NYSE:RE</t>
  </si>
  <si>
    <t>NYSE:EVRG</t>
  </si>
  <si>
    <t>NYSE:ES</t>
  </si>
  <si>
    <t>NYSE:EXC</t>
  </si>
  <si>
    <t>NasdaqGS:EXPE</t>
  </si>
  <si>
    <t>NasdaqGS:EXPD</t>
  </si>
  <si>
    <t>NasdaqGS:ESRX</t>
  </si>
  <si>
    <t>NYSE:EXR</t>
  </si>
  <si>
    <t>NYSE:XOM</t>
  </si>
  <si>
    <t>NasdaqGS:FFIV</t>
  </si>
  <si>
    <t>NasdaqGS:FB</t>
  </si>
  <si>
    <t>NasdaqGS:FAST</t>
  </si>
  <si>
    <t>NYSE:FRT</t>
  </si>
  <si>
    <t>NYSE:FDX</t>
  </si>
  <si>
    <t>NYSE:FIS</t>
  </si>
  <si>
    <t>NasdaqGS:FITB</t>
  </si>
  <si>
    <t>NYSE:FE</t>
  </si>
  <si>
    <t>NasdaqGS:FISV</t>
  </si>
  <si>
    <t>NYSE:FLT</t>
  </si>
  <si>
    <t>NasdaqGS:FLIR</t>
  </si>
  <si>
    <t>NYSE:FLS</t>
  </si>
  <si>
    <t>NYSE:FLR</t>
  </si>
  <si>
    <t>NYSE:FMC</t>
  </si>
  <si>
    <t>NYSE:FL</t>
  </si>
  <si>
    <t>NYSE:F</t>
  </si>
  <si>
    <t>NasdaqGS:FTNT</t>
  </si>
  <si>
    <t>NYSE:FTV</t>
  </si>
  <si>
    <t>NYSE:FBHS</t>
  </si>
  <si>
    <t>NYSE:BEN</t>
  </si>
  <si>
    <t>NYSE:FCX</t>
  </si>
  <si>
    <t>NasdaqGS:GRMN</t>
  </si>
  <si>
    <t>NYSE:IT</t>
  </si>
  <si>
    <t>NYSE:GD</t>
  </si>
  <si>
    <t>NYSE:GE</t>
  </si>
  <si>
    <t>NYSE:GIS</t>
  </si>
  <si>
    <t>NYSE:GM</t>
  </si>
  <si>
    <t>NYSE:GPC</t>
  </si>
  <si>
    <t>NasdaqGS:GILD</t>
  </si>
  <si>
    <t>NYSE:GPN</t>
  </si>
  <si>
    <t>NYSE:HRB</t>
  </si>
  <si>
    <t>NYSE:HAL</t>
  </si>
  <si>
    <t>NYSE:HBI</t>
  </si>
  <si>
    <t>NYSE:HOG</t>
  </si>
  <si>
    <t>NYSE:HRS</t>
  </si>
  <si>
    <t>NasdaqGS:HAS</t>
  </si>
  <si>
    <t>NYSE:HCA</t>
  </si>
  <si>
    <t>NYSE:HCP</t>
  </si>
  <si>
    <t>NYSE:HP</t>
  </si>
  <si>
    <t>NasdaqGS:HSIC</t>
  </si>
  <si>
    <t>NYSE:HES</t>
  </si>
  <si>
    <t>NYSE:HPE</t>
  </si>
  <si>
    <t>NYSE:HLT</t>
  </si>
  <si>
    <t>NYSE:HFC</t>
  </si>
  <si>
    <t>NasdaqGS:HOLX</t>
  </si>
  <si>
    <t>NYSE:HON</t>
  </si>
  <si>
    <t>NYSE:HRL</t>
  </si>
  <si>
    <t>NYSE:HST</t>
  </si>
  <si>
    <t>NYSE:HPQ</t>
  </si>
  <si>
    <t>NYSE:HUM</t>
  </si>
  <si>
    <t>NasdaqGS:HBAN</t>
  </si>
  <si>
    <t>NYSE:HII</t>
  </si>
  <si>
    <t>NasdaqGS:IDXX</t>
  </si>
  <si>
    <t>NasdaqGS:INFO</t>
  </si>
  <si>
    <t>NYSE:ITW</t>
  </si>
  <si>
    <t>NasdaqGS:ILMN</t>
  </si>
  <si>
    <t>NasdaqGS:INCY</t>
  </si>
  <si>
    <t>NYSE:IR</t>
  </si>
  <si>
    <t>NasdaqGS:INTC</t>
  </si>
  <si>
    <t>NYSE:ICE</t>
  </si>
  <si>
    <t>NYSE:IBM</t>
  </si>
  <si>
    <t>NYSE:IFF</t>
  </si>
  <si>
    <t>NYSE:IP</t>
  </si>
  <si>
    <t>NasdaqGS:INTU</t>
  </si>
  <si>
    <t>NasdaqGS:ISRG</t>
  </si>
  <si>
    <t>NYSE:IVZ</t>
  </si>
  <si>
    <t>NasdaqGS:IPGP</t>
  </si>
  <si>
    <t>NYSE:IQV</t>
  </si>
  <si>
    <t>NYSE:IRM</t>
  </si>
  <si>
    <t>NasdaqGS:JBHT</t>
  </si>
  <si>
    <t>NYSE:JEC</t>
  </si>
  <si>
    <t>NYSE:JEF</t>
  </si>
  <si>
    <t>NYSE:JNJ</t>
  </si>
  <si>
    <t>NYSE:JCI</t>
  </si>
  <si>
    <t>NYSE:JPM</t>
  </si>
  <si>
    <t>NYSE:JNPR</t>
  </si>
  <si>
    <t>NYSE:KSU</t>
  </si>
  <si>
    <t>NYSE:K</t>
  </si>
  <si>
    <t>NYSE:KEY</t>
  </si>
  <si>
    <t>NYSE:KMB</t>
  </si>
  <si>
    <t>NYSE:KIM</t>
  </si>
  <si>
    <t>NYSE:KMI</t>
  </si>
  <si>
    <t>NasdaqGS:KLAC</t>
  </si>
  <si>
    <t>NYSE:KSS</t>
  </si>
  <si>
    <t>NYSE:LB</t>
  </si>
  <si>
    <t>NYSE:LLL</t>
  </si>
  <si>
    <t>NYSE:LH</t>
  </si>
  <si>
    <t>NasdaqGS:LRCX</t>
  </si>
  <si>
    <t>NYSE:LEG</t>
  </si>
  <si>
    <t>NYSE:LEN</t>
  </si>
  <si>
    <t>NYSE:LNC</t>
  </si>
  <si>
    <t>NasdaqGS:LKQ</t>
  </si>
  <si>
    <t>NYSE:LMT</t>
  </si>
  <si>
    <t>NYSE:L</t>
  </si>
  <si>
    <t>NYSE:LOW</t>
  </si>
  <si>
    <t>NYSE:LYB</t>
  </si>
  <si>
    <t>NYSE:MTB</t>
  </si>
  <si>
    <t>NYSE:MAC</t>
  </si>
  <si>
    <t>NYSE:M</t>
  </si>
  <si>
    <t>NYSE:MRO</t>
  </si>
  <si>
    <t>NYSE:MPC</t>
  </si>
  <si>
    <t>NasdaqGS:MAR</t>
  </si>
  <si>
    <t>NYSE:MMC</t>
  </si>
  <si>
    <t>NYSE:MLM</t>
  </si>
  <si>
    <t>NYSE:MAS</t>
  </si>
  <si>
    <t>NYSE:MA</t>
  </si>
  <si>
    <t>NasdaqGS:MAT</t>
  </si>
  <si>
    <t>NYSE:MKC</t>
  </si>
  <si>
    <t>NYSE:MCD</t>
  </si>
  <si>
    <t>NYSE:MCK</t>
  </si>
  <si>
    <t>NYSE:MDT</t>
  </si>
  <si>
    <t>NYSE:MRK</t>
  </si>
  <si>
    <t>NYSE:MET</t>
  </si>
  <si>
    <t>NYSE:MTD</t>
  </si>
  <si>
    <t>NYSE:MGM</t>
  </si>
  <si>
    <t>NYSE:KORS</t>
  </si>
  <si>
    <t>NasdaqGS:MCHP</t>
  </si>
  <si>
    <t>NasdaqGS:MU</t>
  </si>
  <si>
    <t>NasdaqGS:MSFT</t>
  </si>
  <si>
    <t>NYSE:MAA</t>
  </si>
  <si>
    <t>NYSE:MHK</t>
  </si>
  <si>
    <t>NYSE:TAP</t>
  </si>
  <si>
    <t>NasdaqGS:MDLZ</t>
  </si>
  <si>
    <t>NasdaqGS:MNST</t>
  </si>
  <si>
    <t>NYSE:MCO</t>
  </si>
  <si>
    <t>NYSE:MS</t>
  </si>
  <si>
    <t>NYSE:MSI</t>
  </si>
  <si>
    <t>NYSE:MSCI</t>
  </si>
  <si>
    <t>NasdaqGS:MYL</t>
  </si>
  <si>
    <t>NasdaqGS:NDAQ</t>
  </si>
  <si>
    <t>NYSE:NOV</t>
  </si>
  <si>
    <t>NasdaqGS:NKTR</t>
  </si>
  <si>
    <t>NasdaqGS:NTAP</t>
  </si>
  <si>
    <t>NasdaqGS:NFLX</t>
  </si>
  <si>
    <t>NYSE:NWL</t>
  </si>
  <si>
    <t>NYSE:NFX</t>
  </si>
  <si>
    <t>NYSE:NEM</t>
  </si>
  <si>
    <t>NasdaqGS:NWS</t>
  </si>
  <si>
    <t>NasdaqGS:NWSA</t>
  </si>
  <si>
    <t>NYSE:NEE</t>
  </si>
  <si>
    <t>NYSE:NLSN</t>
  </si>
  <si>
    <t>NYSE:NKE</t>
  </si>
  <si>
    <t>NYSE:NI</t>
  </si>
  <si>
    <t>NYSE:NBL</t>
  </si>
  <si>
    <t>NYSE:JWN</t>
  </si>
  <si>
    <t>NYSE:NSC</t>
  </si>
  <si>
    <t>NasdaqGS:NTRS</t>
  </si>
  <si>
    <t>NYSE:NOC</t>
  </si>
  <si>
    <t>NYSE:NCLH</t>
  </si>
  <si>
    <t>NYSE:NRG</t>
  </si>
  <si>
    <t>NYSE:NUE</t>
  </si>
  <si>
    <t>NasdaqGS:NVDA</t>
  </si>
  <si>
    <t>NasdaqGS:ORLY</t>
  </si>
  <si>
    <t>NYSE:OXY</t>
  </si>
  <si>
    <t>NYSE:OMC</t>
  </si>
  <si>
    <t>NYSE:OKE</t>
  </si>
  <si>
    <t>NYSE:ORCL</t>
  </si>
  <si>
    <t>NasdaqGS:PCAR</t>
  </si>
  <si>
    <t>NYSE:PKG</t>
  </si>
  <si>
    <t>NYSE:PH</t>
  </si>
  <si>
    <t>NasdaqGS:PAYX</t>
  </si>
  <si>
    <t>NasdaqGS:PYPL</t>
  </si>
  <si>
    <t>NYSE:PNR</t>
  </si>
  <si>
    <t>NasdaqGS:PBCT</t>
  </si>
  <si>
    <t>NasdaqGS:PEP</t>
  </si>
  <si>
    <t>NYSE:PKI</t>
  </si>
  <si>
    <t>NYSE:PRGO</t>
  </si>
  <si>
    <t>NYSE:PFE</t>
  </si>
  <si>
    <t>NYSE:PCG</t>
  </si>
  <si>
    <t>NYSE:PM</t>
  </si>
  <si>
    <t>NYSE:PSX</t>
  </si>
  <si>
    <t>NYSE:PNW</t>
  </si>
  <si>
    <t>NYSE:PXD</t>
  </si>
  <si>
    <t>NYSE:PPG</t>
  </si>
  <si>
    <t>NYSE:PPL</t>
  </si>
  <si>
    <t>NYSE:PX</t>
  </si>
  <si>
    <t>NasdaqGS:PFG</t>
  </si>
  <si>
    <t>NYSE:PLD</t>
  </si>
  <si>
    <t>NYSE:PRU</t>
  </si>
  <si>
    <t>NYSE:PEG</t>
  </si>
  <si>
    <t>NYSE:PSA</t>
  </si>
  <si>
    <t>NYSE:PHM</t>
  </si>
  <si>
    <t>NYSE:PVH</t>
  </si>
  <si>
    <t>NasdaqGS:QRVO</t>
  </si>
  <si>
    <t>NasdaqGS:QCOM</t>
  </si>
  <si>
    <t>NYSE:PWR</t>
  </si>
  <si>
    <t>NYSE:DGX</t>
  </si>
  <si>
    <t>NYSE:RL</t>
  </si>
  <si>
    <t>NYSE:RJF</t>
  </si>
  <si>
    <t>NYSE:RTN</t>
  </si>
  <si>
    <t>NYSE:O</t>
  </si>
  <si>
    <t>NYSE:RHT</t>
  </si>
  <si>
    <t>NYSE:REG</t>
  </si>
  <si>
    <t>NasdaqGS:REGN</t>
  </si>
  <si>
    <t>NYSE:RF</t>
  </si>
  <si>
    <t>NYSE:RSG</t>
  </si>
  <si>
    <t>NYSE:RMD</t>
  </si>
  <si>
    <t>NYSE:RHI</t>
  </si>
  <si>
    <t>NYSE:ROK</t>
  </si>
  <si>
    <t>NYSE:COL</t>
  </si>
  <si>
    <t>NYSE:ROL</t>
  </si>
  <si>
    <t>NYSE:ROP</t>
  </si>
  <si>
    <t>NasdaqGS:ROST</t>
  </si>
  <si>
    <t>NYSE:RCL</t>
  </si>
  <si>
    <t>NYSE:SPGI</t>
  </si>
  <si>
    <t>NYSE:CRM</t>
  </si>
  <si>
    <t>NasdaqGS:SBAC</t>
  </si>
  <si>
    <t>NYSE:SCG</t>
  </si>
  <si>
    <t>NYSE:SLB</t>
  </si>
  <si>
    <t>NasdaqGS:STX</t>
  </si>
  <si>
    <t>NYSE:SEE</t>
  </si>
  <si>
    <t>NYSE:SRE</t>
  </si>
  <si>
    <t>NYSE:SPG</t>
  </si>
  <si>
    <t>NasdaqGS:SWKS</t>
  </si>
  <si>
    <t>NYSE:SLG</t>
  </si>
  <si>
    <t>NYSE:SNA</t>
  </si>
  <si>
    <t>NYSE:LUV</t>
  </si>
  <si>
    <t>NYSE:SWK</t>
  </si>
  <si>
    <t>NasdaqGS:SBUX</t>
  </si>
  <si>
    <t>NYSE:STT</t>
  </si>
  <si>
    <t>NasdaqGS:SRCL</t>
  </si>
  <si>
    <t>NYSE:SYK</t>
  </si>
  <si>
    <t>NYSE:STI</t>
  </si>
  <si>
    <t>NasdaqGS:SIVB</t>
  </si>
  <si>
    <t>NasdaqGS:SYMC</t>
  </si>
  <si>
    <t>NYSE:SYF</t>
  </si>
  <si>
    <t>NasdaqGS:SNPS</t>
  </si>
  <si>
    <t>NYSE:SYY</t>
  </si>
  <si>
    <t>NasdaqGS:TROW</t>
  </si>
  <si>
    <t>NasdaqGS:TTWO</t>
  </si>
  <si>
    <t>NYSE:TPR</t>
  </si>
  <si>
    <t>NYSE:TGT</t>
  </si>
  <si>
    <t>NYSE:TEL</t>
  </si>
  <si>
    <t>NYSE:FTI</t>
  </si>
  <si>
    <t>NasdaqGS:TXN</t>
  </si>
  <si>
    <t>NYSE:TXT</t>
  </si>
  <si>
    <t>NYSE:AES</t>
  </si>
  <si>
    <t>NYSE:ALL</t>
  </si>
  <si>
    <t>NYSE:BK</t>
  </si>
  <si>
    <t>NYSE:BA</t>
  </si>
  <si>
    <t>NYSE:SCHW</t>
  </si>
  <si>
    <t>NYSE:CLX</t>
  </si>
  <si>
    <t>NYSE:KO</t>
  </si>
  <si>
    <t>NYSE:COO</t>
  </si>
  <si>
    <t>NYSE:EL</t>
  </si>
  <si>
    <t>NYSE:GPS</t>
  </si>
  <si>
    <t>NYSE:GS</t>
  </si>
  <si>
    <t>NasdaqGS:GT</t>
  </si>
  <si>
    <t>NYSE:HIG</t>
  </si>
  <si>
    <t>NYSE:HSY</t>
  </si>
  <si>
    <t>NYSE:HD</t>
  </si>
  <si>
    <t>NYSE:IPG</t>
  </si>
  <si>
    <t>NYSE:SJM</t>
  </si>
  <si>
    <t>NasdaqGS:KHC</t>
  </si>
  <si>
    <t>NYSE:KR</t>
  </si>
  <si>
    <t>NYSE:MOS</t>
  </si>
  <si>
    <t>NYSE:PNC</t>
  </si>
  <si>
    <t>NYSE:PG</t>
  </si>
  <si>
    <t>NYSE:PGR</t>
  </si>
  <si>
    <t>NYSE:SHW</t>
  </si>
  <si>
    <t>NYSE:SO</t>
  </si>
  <si>
    <t>NYSE:TJX</t>
  </si>
  <si>
    <t>NYSE:TRV</t>
  </si>
  <si>
    <t>NYSE:DIS</t>
  </si>
  <si>
    <t>NYSE:WU</t>
  </si>
  <si>
    <t>NYSE:WMB</t>
  </si>
  <si>
    <t>NYSE:TMO</t>
  </si>
  <si>
    <t>NYSE:TIF</t>
  </si>
  <si>
    <t>NYSE:TMK</t>
  </si>
  <si>
    <t>NYSE:TSS</t>
  </si>
  <si>
    <t>NasdaqGS:TSCO</t>
  </si>
  <si>
    <t>NYSE:TDG</t>
  </si>
  <si>
    <t>NasdaqGS:TRIP</t>
  </si>
  <si>
    <t>NasdaqGS:FOX</t>
  </si>
  <si>
    <t>NasdaqGS:FOXA</t>
  </si>
  <si>
    <t>NYSE:TWTR</t>
  </si>
  <si>
    <t>NYSE:TSN</t>
  </si>
  <si>
    <t>NYSE:USB</t>
  </si>
  <si>
    <t>NYSE:UDR</t>
  </si>
  <si>
    <t>NasdaqGS:ULTA</t>
  </si>
  <si>
    <t>NYSE:UA</t>
  </si>
  <si>
    <t>NYSE:UAA</t>
  </si>
  <si>
    <t>NYSE:UNP</t>
  </si>
  <si>
    <t>NasdaqGS:UAL</t>
  </si>
  <si>
    <t>NYSE:UPS</t>
  </si>
  <si>
    <t>NYSE:URI</t>
  </si>
  <si>
    <t>NYSE:UTX</t>
  </si>
  <si>
    <t>NYSE:UNH</t>
  </si>
  <si>
    <t>NYSE:UHS</t>
  </si>
  <si>
    <t>NYSE:UNM</t>
  </si>
  <si>
    <t>NYSE:VFC</t>
  </si>
  <si>
    <t>NYSE:VLO</t>
  </si>
  <si>
    <t>NYSE:VAR</t>
  </si>
  <si>
    <t>NYSE:VTR</t>
  </si>
  <si>
    <t>NasdaqGS:VRSN</t>
  </si>
  <si>
    <t>NasdaqGS:VRSK</t>
  </si>
  <si>
    <t>NYSE:VZ</t>
  </si>
  <si>
    <t>NasdaqGS:VRTX</t>
  </si>
  <si>
    <t>NasdaqGS:VIAB</t>
  </si>
  <si>
    <t>NYSE:V</t>
  </si>
  <si>
    <t>NYSE:VNO</t>
  </si>
  <si>
    <t>NYSE:VMC</t>
  </si>
  <si>
    <t>NYSE:GWW</t>
  </si>
  <si>
    <t>NasdaqGS:WBA</t>
  </si>
  <si>
    <t>NYSE:WMT</t>
  </si>
  <si>
    <t>NYSE:WM</t>
  </si>
  <si>
    <t>NYSE:WAT</t>
  </si>
  <si>
    <t>NYSE:WEC</t>
  </si>
  <si>
    <t>NYSE:WCG</t>
  </si>
  <si>
    <t>NYSE:WFC</t>
  </si>
  <si>
    <t>NYSE:WELL</t>
  </si>
  <si>
    <t>NasdaqGS:WDC</t>
  </si>
  <si>
    <t>NYSE:WRK</t>
  </si>
  <si>
    <t>NYSE:WY</t>
  </si>
  <si>
    <t>NYSE:WHR</t>
  </si>
  <si>
    <t>NasdaqGS:WLTW</t>
  </si>
  <si>
    <t>NasdaqGS:WYNN</t>
  </si>
  <si>
    <t>NasdaqGS:XEL</t>
  </si>
  <si>
    <t>NYSE:XRX</t>
  </si>
  <si>
    <t>NasdaqGS:XLNX</t>
  </si>
  <si>
    <t>NYSE:XYL</t>
  </si>
  <si>
    <t>NYSE:YUM</t>
  </si>
  <si>
    <t>NYSE:ZBH</t>
  </si>
  <si>
    <t>NasdaqGS:ZION</t>
  </si>
  <si>
    <t>NYSE:ZTS</t>
  </si>
  <si>
    <t>Price</t>
  </si>
  <si>
    <t>Date</t>
  </si>
  <si>
    <t>A. O. Smith Corporation</t>
  </si>
  <si>
    <t>Industrials</t>
  </si>
  <si>
    <t>Capital Goods</t>
  </si>
  <si>
    <t>Building Products</t>
  </si>
  <si>
    <t>11270 West Park Place, Milwaukee, Wisconsin, 53224, United States</t>
  </si>
  <si>
    <t>Abbott Laboratories</t>
  </si>
  <si>
    <t>Health Care</t>
  </si>
  <si>
    <t>Health Care Equipment and Services</t>
  </si>
  <si>
    <t>Health Care Equipment and Supplies</t>
  </si>
  <si>
    <t>Health Care Equipment</t>
  </si>
  <si>
    <t>NM</t>
  </si>
  <si>
    <t>100 Abbott Park Road, Abbott Park, Illinois, 60064, United States</t>
  </si>
  <si>
    <t>AbbVie Inc.</t>
  </si>
  <si>
    <t>Pharmaceuticals, Biotechnology and Life Sciences</t>
  </si>
  <si>
    <t>Biotechnology</t>
  </si>
  <si>
    <t>1 North Waukegan Road, North Chicago, Illinois, 60064, United States</t>
  </si>
  <si>
    <t>ABIOMED, Inc.</t>
  </si>
  <si>
    <t>22 Cherry Hill Drive, Danvers, Massachusetts, 01923, United States</t>
  </si>
  <si>
    <t>Accenture plc</t>
  </si>
  <si>
    <t>Information Technology</t>
  </si>
  <si>
    <t>Software and Services</t>
  </si>
  <si>
    <t>IT Services</t>
  </si>
  <si>
    <t>IT Consulting and Other Services</t>
  </si>
  <si>
    <t>1 Grand Canal Square, Grand Canal Harbour, Dublin, Co. Dublin, 2, Ireland</t>
  </si>
  <si>
    <t>Activision Blizzard, Inc.</t>
  </si>
  <si>
    <t>Communication Services</t>
  </si>
  <si>
    <t>Media and Entertainment</t>
  </si>
  <si>
    <t>Entertainment</t>
  </si>
  <si>
    <t>Interactive Home Entertainment</t>
  </si>
  <si>
    <t>3100 Ocean Park Boulevard, Santa Monica, California, 90405, United States</t>
  </si>
  <si>
    <t>Adobe Inc.</t>
  </si>
  <si>
    <t>Software</t>
  </si>
  <si>
    <t>Application Software</t>
  </si>
  <si>
    <t>345 Park Avenue, San Jose, California, 95110, United States</t>
  </si>
  <si>
    <t>Advance Auto Parts, Inc.</t>
  </si>
  <si>
    <t>Consumer Discretionary</t>
  </si>
  <si>
    <t>Retailing</t>
  </si>
  <si>
    <t>Specialty Retail</t>
  </si>
  <si>
    <t>Automotive Retail</t>
  </si>
  <si>
    <t>5008 Airport Road, Roanoke, Virginia, 24012, United States</t>
  </si>
  <si>
    <t>Advanced Micro Devices, Inc.</t>
  </si>
  <si>
    <t>Semiconductors and Semiconductor Equipment</t>
  </si>
  <si>
    <t>Semiconductors</t>
  </si>
  <si>
    <t>2485 Augustine Drive, Santa Clara, California, 95054, United States</t>
  </si>
  <si>
    <t>Aetna Inc.</t>
  </si>
  <si>
    <t>Health Care Providers and Services</t>
  </si>
  <si>
    <t>Managed Health Care</t>
  </si>
  <si>
    <t>151 Farmington Avenue, Hartford, Connecticut, 06156, United States</t>
  </si>
  <si>
    <t>Affiliated Managers Group, Inc.</t>
  </si>
  <si>
    <t>Financials</t>
  </si>
  <si>
    <t>Diversified Financials</t>
  </si>
  <si>
    <t>Capital Markets</t>
  </si>
  <si>
    <t>Asset Management and Custody Banks</t>
  </si>
  <si>
    <t>777 South Flagler Drive, West Palm Beach, Florida, 33401, United States</t>
  </si>
  <si>
    <t>Aflac Incorporated</t>
  </si>
  <si>
    <t>Insurance</t>
  </si>
  <si>
    <t>Life and Health Insurance</t>
  </si>
  <si>
    <t>1932 Wynnton Road, Columbus, Georgia, 31999, United States</t>
  </si>
  <si>
    <t>Agilent Technologies, Inc.</t>
  </si>
  <si>
    <t>Life Sciences Tools and Services</t>
  </si>
  <si>
    <t>5301 Stevens Creek Boulevard, Santa Clara, California, 95051, United States</t>
  </si>
  <si>
    <t>Air Products and Chemicals, Inc.</t>
  </si>
  <si>
    <t>Materials</t>
  </si>
  <si>
    <t>Chemicals</t>
  </si>
  <si>
    <t>Industrial Gases</t>
  </si>
  <si>
    <t>7201 Hamilton Boulevard, Allentown, Pennsylvania, 18195, United States</t>
  </si>
  <si>
    <t>Akamai Technologies, Inc.</t>
  </si>
  <si>
    <t>Internet Services and Infrastructure</t>
  </si>
  <si>
    <t>150 Broadway, Cambridge, Massachusetts, 02142, United States</t>
  </si>
  <si>
    <t>Alaska Air Group, Inc.</t>
  </si>
  <si>
    <t>Transportation</t>
  </si>
  <si>
    <t>Airlines</t>
  </si>
  <si>
    <t>19300 International Boulevard, Seattle, Washington, 98188, United States</t>
  </si>
  <si>
    <t>Albemarle Corporation</t>
  </si>
  <si>
    <t>Specialty Chemicals</t>
  </si>
  <si>
    <t>4350 Congress Street, Suite 700, Charlotte, North Carolina, 28209, United States</t>
  </si>
  <si>
    <t>Alexandria Real Estate Equities, Inc.</t>
  </si>
  <si>
    <t>Real Estate</t>
  </si>
  <si>
    <t>Equity Real Estate Investment Trusts (REITs)</t>
  </si>
  <si>
    <t>Office REITs</t>
  </si>
  <si>
    <t>385 East Colorado Boulevard, Suite 299, Pasadena, California, 91101, United States</t>
  </si>
  <si>
    <t>Alexion Pharmaceuticals, Inc.</t>
  </si>
  <si>
    <t>121 Seaport Boulevard, Boston, Massachusetts, 02210, United States</t>
  </si>
  <si>
    <t>Align Technology, Inc.</t>
  </si>
  <si>
    <t>Health Care Supplies</t>
  </si>
  <si>
    <t>2820 Orchard Parkway, San Jose, California, 95134, United States</t>
  </si>
  <si>
    <t>Allegion plc</t>
  </si>
  <si>
    <t>Iveagh Court, Block D, Harcourt Road, Dublin, Co. Dublin, 2, Ireland</t>
  </si>
  <si>
    <t>Allergan plc</t>
  </si>
  <si>
    <t>Pharmaceuticals</t>
  </si>
  <si>
    <t>Clonshaugh Business and Technology Park, Coolock, Dublin, Co. Dublin, D17 E400, Ireland</t>
  </si>
  <si>
    <t>Alliance Data Systems Corporation</t>
  </si>
  <si>
    <t>Data Processing and Outsourced Services</t>
  </si>
  <si>
    <t>7500 Dallas Parkway, Suite 700, Plano, Texas, 75024, United States</t>
  </si>
  <si>
    <t>Alliant Energy Corporation</t>
  </si>
  <si>
    <t>Utilities</t>
  </si>
  <si>
    <t>Electric Utilities</t>
  </si>
  <si>
    <t>4902 North Biltmore Lane, Madison, Wisconsin, 53718, United States</t>
  </si>
  <si>
    <t>Alphabet Inc.</t>
  </si>
  <si>
    <t>Interactive Media and Services</t>
  </si>
  <si>
    <t>1600 Amphitheatre Parkway, Mountain View, California, 94043, United States</t>
  </si>
  <si>
    <t>Altria Group, Inc.</t>
  </si>
  <si>
    <t>Consumer Staples</t>
  </si>
  <si>
    <t>Food, Beverage and Tobacco</t>
  </si>
  <si>
    <t>Tobacco</t>
  </si>
  <si>
    <t>6601 West Broad Street, Richmond, Virginia, 23230, United States</t>
  </si>
  <si>
    <t>Amazon.com, Inc.</t>
  </si>
  <si>
    <t>Internet and Direct Marketing Retail</t>
  </si>
  <si>
    <t>410 Terry Avenue North, Seattle, Washington, 98109, United States</t>
  </si>
  <si>
    <t>Ameren Corporation</t>
  </si>
  <si>
    <t>Multi-Utilities</t>
  </si>
  <si>
    <t>1901 Chouteau Avenue, MC 1370, St. Louis, Missouri, 63103, United States</t>
  </si>
  <si>
    <t>American Airlines Group Inc.</t>
  </si>
  <si>
    <t>4333 Amon Carter Boulevard, Fort Worth, Texas, 76155, United States</t>
  </si>
  <si>
    <t>American Electric Power Company, Inc.</t>
  </si>
  <si>
    <t>1 Riverside Plaza, Columbus, Ohio, 43215, United States</t>
  </si>
  <si>
    <t>American Express Company</t>
  </si>
  <si>
    <t>Consumer Finance</t>
  </si>
  <si>
    <t>200 Vesey Street, lower Manhattan, New York, New York, 10285, United States</t>
  </si>
  <si>
    <t>American International Group, Inc.</t>
  </si>
  <si>
    <t>Multi-line Insurance</t>
  </si>
  <si>
    <t>175 Water Street, New York, New York, 10038, United States</t>
  </si>
  <si>
    <t>American Tower Corporation (REIT)</t>
  </si>
  <si>
    <t>Specialized REITs</t>
  </si>
  <si>
    <t>116 Huntington Avenue, 11th Floor, Boston, Massachusetts, 02116, United States</t>
  </si>
  <si>
    <t>American Water Works Company, Inc.</t>
  </si>
  <si>
    <t>Water Utilities</t>
  </si>
  <si>
    <t>1025 Laurel Oak Road, Voorhees, New Jersey, 08043, United States</t>
  </si>
  <si>
    <t>Ameriprise Financial, Inc.</t>
  </si>
  <si>
    <t>55 Ameriprise Financial Center, Minneapolis, Minnesota, 55474, United States</t>
  </si>
  <si>
    <t>AmerisourceBergen Corporation</t>
  </si>
  <si>
    <t>Health Care Distributors</t>
  </si>
  <si>
    <t>1300 Morris Drive, Chesterbrook, Pennsylvania, 19087, United States</t>
  </si>
  <si>
    <t>AMETEK, Inc.</t>
  </si>
  <si>
    <t>Electrical Equipment</t>
  </si>
  <si>
    <t>Electrical Components and Equipment</t>
  </si>
  <si>
    <t>1100 Cassatt Road, Berwyn, Pennsylvania, 19312, United States</t>
  </si>
  <si>
    <t>Amgen Inc.</t>
  </si>
  <si>
    <t>One Amgen Center Drive, Thousand Oaks, California, 91320, United States</t>
  </si>
  <si>
    <t>Amphenol Corporation</t>
  </si>
  <si>
    <t>Technology Hardware and Equipment</t>
  </si>
  <si>
    <t>Electronic Equipment, Instruments and Components</t>
  </si>
  <si>
    <t>Electronic Components</t>
  </si>
  <si>
    <t>358 Hall Avenue, PO Box 5030, Wallingford, Connecticut, 06492, United States</t>
  </si>
  <si>
    <t>Anadarko Petroleum Corporation</t>
  </si>
  <si>
    <t>Energy</t>
  </si>
  <si>
    <t>Oil, Gas and Consumable Fuels</t>
  </si>
  <si>
    <t>Oil and Gas Exploration and Production</t>
  </si>
  <si>
    <t>1201 Lake Robbins Drive, The Woodlands, Texas, 77380, United States</t>
  </si>
  <si>
    <t>Analog Devices, Inc.</t>
  </si>
  <si>
    <t>One Technology Way, PO Box 9106, Norwood, Massachusetts, 02062, United States</t>
  </si>
  <si>
    <t>ANSYS, Inc.</t>
  </si>
  <si>
    <t>2600 ANSYS Drive, Canonsburg, Pennsylvania, 15317, United States</t>
  </si>
  <si>
    <t>Anthem, Inc.</t>
  </si>
  <si>
    <t>120 Monument Circle, Indianapolis, Indiana, 46204, United States</t>
  </si>
  <si>
    <t>Aon plc</t>
  </si>
  <si>
    <t>Insurance Brokers</t>
  </si>
  <si>
    <t>The Leadenhall Building, The Aon Centre, 122 Leadenhall Street, London, Greater London, EC3V 4AN, United Kingdom</t>
  </si>
  <si>
    <t>Apache Corporation</t>
  </si>
  <si>
    <t>One Post Oak Central, Suite 100, 2000 Post Oak Boulevard, Houston, Texas, 77056, United States</t>
  </si>
  <si>
    <t>Apartment Investment and Management Company</t>
  </si>
  <si>
    <t>Residential REITs</t>
  </si>
  <si>
    <t>4582 South Ulster Street, Suite 1100, Denver, Colorado, 80237, United States</t>
  </si>
  <si>
    <t>Apple Inc.</t>
  </si>
  <si>
    <t>Technology Hardware, Storage and Peripherals</t>
  </si>
  <si>
    <t>1 Infinite Loop, Cupertino, California, 95014, United States</t>
  </si>
  <si>
    <t>Applied Materials, Inc.</t>
  </si>
  <si>
    <t>Semiconductor Equipment</t>
  </si>
  <si>
    <t>3050 Bowers Avenue, PO Box 58039, Santa Clara, California, 95052, United States</t>
  </si>
  <si>
    <t>Aptiv PLC</t>
  </si>
  <si>
    <t>Automobiles and Components</t>
  </si>
  <si>
    <t>Auto Components</t>
  </si>
  <si>
    <t>Auto Parts and Equipment</t>
  </si>
  <si>
    <t>C, Ardilaun Court, 112-114 St. Stephen's Green, Dublin, Co. Dublin, 2, Ireland</t>
  </si>
  <si>
    <t>Archer-Daniels-Midland Company</t>
  </si>
  <si>
    <t>Food Products</t>
  </si>
  <si>
    <t>Agricultural Products</t>
  </si>
  <si>
    <t>77 West Wacker Drive, Suite 4600, Chicago, Illinois, 60601, United States</t>
  </si>
  <si>
    <t>Arconic Inc.</t>
  </si>
  <si>
    <t>Aerospace and Defense</t>
  </si>
  <si>
    <t>390 Park Avenue, New York, New York, 10022, United States</t>
  </si>
  <si>
    <t>Arista Networks, Inc.</t>
  </si>
  <si>
    <t>Communications Equipment</t>
  </si>
  <si>
    <t>5453 Great America Parkway, Santa Clara, California, 95054, United States</t>
  </si>
  <si>
    <t>Arthur J. Gallagher &amp; Co.</t>
  </si>
  <si>
    <t>2850 Golf Road, Rolling Meadows, Illinois, 60008, United States</t>
  </si>
  <si>
    <t>Assurant, Inc.</t>
  </si>
  <si>
    <t>28 Liberty Street, 41st Floor, New York, New York, 10005, United States</t>
  </si>
  <si>
    <t>AT&amp;T Inc.</t>
  </si>
  <si>
    <t>Telecommunication Services</t>
  </si>
  <si>
    <t>Diversified Telecommunication Services</t>
  </si>
  <si>
    <t>Integrated Telecommunication Services</t>
  </si>
  <si>
    <t>208 South Akard Street, Dallas, Texas, 75202, United States</t>
  </si>
  <si>
    <t>Autodesk, Inc.</t>
  </si>
  <si>
    <t>111 McInnis Parkway, San Rafael, California, 94903, United States</t>
  </si>
  <si>
    <t>Automatic Data Processing, Inc.</t>
  </si>
  <si>
    <t>One ADP Boulevard, Roseland, New Jersey, 07068, United States</t>
  </si>
  <si>
    <t>AutoZone, Inc.</t>
  </si>
  <si>
    <t>123 South Front Street, Memphis, Tennessee, 38103, United States</t>
  </si>
  <si>
    <t>AvalonBay Communities, Inc.</t>
  </si>
  <si>
    <t>Ballston Tower, Suite 800, 671 North Glebe Road, Arlington, Virginia, 22203, United States</t>
  </si>
  <si>
    <t>Avery Dennison Corporation</t>
  </si>
  <si>
    <t>Containers and Packaging</t>
  </si>
  <si>
    <t>Paper Packaging</t>
  </si>
  <si>
    <t>207 Goode Avenue, Glendale, California, 91203, United States</t>
  </si>
  <si>
    <t>Baker Hughes, a GE company</t>
  </si>
  <si>
    <t>Energy Equipment and Services</t>
  </si>
  <si>
    <t>Oil and Gas Equipment and Services</t>
  </si>
  <si>
    <t>17021 Aldine Westfield Road, Houston, Texas, 77073, United States</t>
  </si>
  <si>
    <t>Ball Corporation</t>
  </si>
  <si>
    <t>Metal and Glass Containers</t>
  </si>
  <si>
    <t>10 Longs Peak Drive, PO Box 5000, Broomfield, Colorado, 80021, United States</t>
  </si>
  <si>
    <t>Bank of America Corporation</t>
  </si>
  <si>
    <t>Banks</t>
  </si>
  <si>
    <t>Diversified Banks</t>
  </si>
  <si>
    <t>Bank of America Corporate Center, 100 North Tryon Street, Charlotte, North Carolina, 28255, United States</t>
  </si>
  <si>
    <t>Baxter International Inc.</t>
  </si>
  <si>
    <t>One Baxter Parkway, Deerfield, Illinois, 60015, United States</t>
  </si>
  <si>
    <t>BB&amp;T Corporation</t>
  </si>
  <si>
    <t>Regional Banks</t>
  </si>
  <si>
    <t>200 West Second Street, Winston-Salem, North Carolina, 27101, United States</t>
  </si>
  <si>
    <t>Becton, Dickinson and Company</t>
  </si>
  <si>
    <t>1 Becton Drive, Franklin Lakes, New Jersey, 07417, United States</t>
  </si>
  <si>
    <t>Berkshire Hathaway Inc.</t>
  </si>
  <si>
    <t>Diversified Financial Services</t>
  </si>
  <si>
    <t>Multi-Sector Holdings</t>
  </si>
  <si>
    <t>3555 Farnam Street, Omaha, Nebraska, 68131, United States</t>
  </si>
  <si>
    <t>Best Buy Co., Inc.</t>
  </si>
  <si>
    <t>Computer and Electronics Retail</t>
  </si>
  <si>
    <t>7601 Penn Avenue South, Richfield, Minnesota, 55423, United States</t>
  </si>
  <si>
    <t>Biogen Inc.</t>
  </si>
  <si>
    <t>225 Binney Street, Cambridge, Massachusetts, 02142, United States</t>
  </si>
  <si>
    <t>BlackRock, Inc.</t>
  </si>
  <si>
    <t>55 East 52nd Street, New York, New York, 10055, United States</t>
  </si>
  <si>
    <t>Booking Holdings Inc.</t>
  </si>
  <si>
    <t>800 Connecticut Avenue, Norwalk, Connecticut, 06854, United States</t>
  </si>
  <si>
    <t>BorgWarner Inc.</t>
  </si>
  <si>
    <t>3850 Hamlin Road, Auburn Hills, Michigan, 48326, United States</t>
  </si>
  <si>
    <t>Boston Properties, Inc.</t>
  </si>
  <si>
    <t>Prudential Center, 800 Boylston Street, Suite 1900, Boston, Massachusetts, 02199, United States</t>
  </si>
  <si>
    <t>Boston Scientific Corporation</t>
  </si>
  <si>
    <t>300 Boston Scientific Way, Marlborough, Massachusetts, 01752, United States</t>
  </si>
  <si>
    <t>Brighthouse Financial, Inc.</t>
  </si>
  <si>
    <t>11225 North Community House Road, Charlotte, North Carolina, 28277, United States</t>
  </si>
  <si>
    <t>Bristol-Myers Squibb Company</t>
  </si>
  <si>
    <t>345 Park Avenue, New York, New York, 10154, United States</t>
  </si>
  <si>
    <t>Broadcom Inc.</t>
  </si>
  <si>
    <t>1320 Ridder Park Drive, San Jose, California, 95131, United States</t>
  </si>
  <si>
    <t>Broadridge Financial Solutions, Inc.</t>
  </si>
  <si>
    <t>5 Dakota Drive, Suite 300, Lake Success, New York, 11042, United States</t>
  </si>
  <si>
    <t>Brown-Forman Corporation</t>
  </si>
  <si>
    <t>Beverages</t>
  </si>
  <si>
    <t>Distillers and Vintners</t>
  </si>
  <si>
    <t>850 Dixie Highway, Louisville, Kentucky, 40210, United States</t>
  </si>
  <si>
    <t>C.H. Robinson Worldwide, Inc.</t>
  </si>
  <si>
    <t>Air Freight and Logistics</t>
  </si>
  <si>
    <t>14701 Charlson Road, Eden Prairie, Minnesota, 55347, United States</t>
  </si>
  <si>
    <t>CA, Inc.</t>
  </si>
  <si>
    <t>Systems Software</t>
  </si>
  <si>
    <t>520 Madison Avenue, 22nd Floor, New York, New York, 10022, United States</t>
  </si>
  <si>
    <t>Cabot Oil &amp; Gas Corporation</t>
  </si>
  <si>
    <t>Three Memorial City Plaza, 840 Gessner Road, Suite 1400, Houston, Texas, 77024, United States</t>
  </si>
  <si>
    <t>Cadence Design Systems, Inc.</t>
  </si>
  <si>
    <t>2655 Seely Avenue, Building 5, San Jose, California, 95134, United States</t>
  </si>
  <si>
    <t>Campbell Soup Company</t>
  </si>
  <si>
    <t>Packaged Foods and Meats</t>
  </si>
  <si>
    <t>1 Campbell Place, Camden, New Jersey, 08103, United States</t>
  </si>
  <si>
    <t>Capital One Financial Corporation</t>
  </si>
  <si>
    <t>1680 Capital One Drive, McLean, Virginia, 22102, United States</t>
  </si>
  <si>
    <t>Cardinal Health, Inc.</t>
  </si>
  <si>
    <t>7000 Cardinal Place, Dublin, Ohio, 43017, United States</t>
  </si>
  <si>
    <t>CarMax, Inc.</t>
  </si>
  <si>
    <t>12800 Tuckahoe Creek Parkway, Richmond, Virginia, 23238, United States</t>
  </si>
  <si>
    <t>Carnival Corporation</t>
  </si>
  <si>
    <t>Consumer Services</t>
  </si>
  <si>
    <t>Hotels, Restaurants and Leisure</t>
  </si>
  <si>
    <t>Hotels, Resorts and Cruise Lines</t>
  </si>
  <si>
    <t>3655 NW 87th Avenue, Miami, Florida, 33178, United States</t>
  </si>
  <si>
    <t>Caterpillar Inc.</t>
  </si>
  <si>
    <t>Machinery</t>
  </si>
  <si>
    <t>Construction Machinery and Heavy Trucks</t>
  </si>
  <si>
    <t>510 Lake Cook Road, Suite 100, Deerfield, Illinois, 60015, United States</t>
  </si>
  <si>
    <t>Cboe Global Markets, Inc.</t>
  </si>
  <si>
    <t>Financial Exchanges and Data</t>
  </si>
  <si>
    <t>400 South LaSalle Street, Chicago, Illinois, 60605, United States</t>
  </si>
  <si>
    <t>CBRE Group, Inc.</t>
  </si>
  <si>
    <t>Real Estate Management and Development</t>
  </si>
  <si>
    <t>Real Estate Services</t>
  </si>
  <si>
    <t>400 South Hope Street, 25th Floor, Los Angeles, California, 90071, United States</t>
  </si>
  <si>
    <t>CBS Corporation</t>
  </si>
  <si>
    <t>Media</t>
  </si>
  <si>
    <t>Broadcasting</t>
  </si>
  <si>
    <t>51 West 52nd Street, New York, New York, 10019, United States</t>
  </si>
  <si>
    <t>Celgene Corporation</t>
  </si>
  <si>
    <t>86 Morris Avenue, Summit, New Jersey, 07901, United States</t>
  </si>
  <si>
    <t>Centene Corporation</t>
  </si>
  <si>
    <t>Centene Plaza, 7700 Forsyth Boulevard, St. Louis, Missouri, 63105, United States</t>
  </si>
  <si>
    <t>CenterPoint Energy, Inc.</t>
  </si>
  <si>
    <t>1111 Louisiana Street, Houston, Texas, 77002, United States</t>
  </si>
  <si>
    <t>CenturyLink, Inc.</t>
  </si>
  <si>
    <t>Alternative Carriers</t>
  </si>
  <si>
    <t>100 CenturyLink Drive, Monroe, Louisiana, 71203, United States</t>
  </si>
  <si>
    <t>Cerner Corporation</t>
  </si>
  <si>
    <t>Health Care Technology</t>
  </si>
  <si>
    <t>2800 Rockcreek Parkway, North Kansas City, Missouri, 64117, United States</t>
  </si>
  <si>
    <t>CF Industries Holdings, Inc.</t>
  </si>
  <si>
    <t>Fertilizers and Agricultural Chemicals</t>
  </si>
  <si>
    <t>4 Parkway North, Suite 400, Deerfield, Illinois, 60015, United States</t>
  </si>
  <si>
    <t>Charter Communications, Inc.</t>
  </si>
  <si>
    <t>Cable and Satellite</t>
  </si>
  <si>
    <t>400 Atlantic Street, Stamford, Connecticut, 06901, United States</t>
  </si>
  <si>
    <t>Chevron Corporation</t>
  </si>
  <si>
    <t>Integrated Oil and Gas</t>
  </si>
  <si>
    <t>6001 Bollinger Canyon Road, San Ramon, California, 94583, United States</t>
  </si>
  <si>
    <t>Chipotle Mexican Grill, Inc.</t>
  </si>
  <si>
    <t>Restaurants</t>
  </si>
  <si>
    <t>1401 Wynkoop Street, Suite 500, Denver, Colorado, 80202, United States</t>
  </si>
  <si>
    <t>Chubb Limited</t>
  </si>
  <si>
    <t>Property and Casualty Insurance</t>
  </si>
  <si>
    <t>Baerengasse 32, Zurich, Zurich, 8001, Switzerland</t>
  </si>
  <si>
    <t>Church &amp; Dwight Co., Inc.</t>
  </si>
  <si>
    <t>Household and Personal Products</t>
  </si>
  <si>
    <t>Household Products</t>
  </si>
  <si>
    <t>Princeton South Corporate Center, 500 Charles Ewing Boulevard, Ewing, New Jersey, 08628, United States</t>
  </si>
  <si>
    <t>Cigna Corporation</t>
  </si>
  <si>
    <t>900 Cottage Grove Road, Bloomfield, Connecticut, 06002, United States</t>
  </si>
  <si>
    <t>Cimarex Energy Co.</t>
  </si>
  <si>
    <t>1700 Lincoln Street, Suite 3700, Denver, Colorado, 80203, United States</t>
  </si>
  <si>
    <t>Cincinnati Financial Corporation</t>
  </si>
  <si>
    <t>6200 South Gilmore Road, Fairfield, Ohio, 45014, United States</t>
  </si>
  <si>
    <t>Cintas Corporation</t>
  </si>
  <si>
    <t>Commercial and Professional Services</t>
  </si>
  <si>
    <t>Commercial Services and Supplies</t>
  </si>
  <si>
    <t>Diversified Support Services</t>
  </si>
  <si>
    <t>6800 Cintas Boulevard, PO Box 625737, Cincinnati, Ohio, 45262, United States</t>
  </si>
  <si>
    <t>Cisco Systems, Inc.</t>
  </si>
  <si>
    <t>170 West Tasman Drive, San Jose, California, 95134, United States</t>
  </si>
  <si>
    <t>Citigroup Inc.</t>
  </si>
  <si>
    <t>388 Greenwich Street, New York, New York, 10013, United States</t>
  </si>
  <si>
    <t>Citizens Financial Group, Inc.</t>
  </si>
  <si>
    <t>One Citizens Plaza, Providence, Rhode Island, 02903, United States</t>
  </si>
  <si>
    <t>Citrix Systems, Inc.</t>
  </si>
  <si>
    <t>851 West Cypress Creek Road, Fort Lauderdale, Florida, 33309, United States</t>
  </si>
  <si>
    <t>CME Group Inc.</t>
  </si>
  <si>
    <t>20 South Wacker Drive, Chicago, Illinois, 60606, United States</t>
  </si>
  <si>
    <t>CMS Energy Corporation</t>
  </si>
  <si>
    <t>One Energy Plaza, Jackson, Michigan, 49201, United States</t>
  </si>
  <si>
    <t>Cognizant Technology Solutions Corporation</t>
  </si>
  <si>
    <t>Glenpointe Centre West, 500 Frank West Burr Boulevard, Teaneck, New Jersey, 07666, United States</t>
  </si>
  <si>
    <t>Colgate-Palmolive Company</t>
  </si>
  <si>
    <t>300 Park Avenue, New York, New York, 10022, United States</t>
  </si>
  <si>
    <t>Comcast Corporation</t>
  </si>
  <si>
    <t>One Comcast Center, Philadelphia, Pennsylvania, 19103, United States</t>
  </si>
  <si>
    <t>Comerica Incorporated</t>
  </si>
  <si>
    <t>Comerica Bank Tower, 1717 Main Street, MC 6404, Dallas, Texas, 75201, United States</t>
  </si>
  <si>
    <t>Conagra Brands, Inc.</t>
  </si>
  <si>
    <t>222 West Merchandise Mart Plaza, Suite 1300, Chicago, Illinois, 60654, United States</t>
  </si>
  <si>
    <t>Concho Resources Inc.</t>
  </si>
  <si>
    <t>One Concho Center, 600 West Illinois Avenue, Midland, Texas, 79701, United States</t>
  </si>
  <si>
    <t>ConocoPhillips</t>
  </si>
  <si>
    <t>600 North Dairy Ashford, PO Box 2197, Houston, Texas, 77079, United States</t>
  </si>
  <si>
    <t>Consolidated Edison, Inc.</t>
  </si>
  <si>
    <t>4 Irving Place, New York, New York, 10003, United States</t>
  </si>
  <si>
    <t>Constellation Brands, Inc.</t>
  </si>
  <si>
    <t>Building 100, 207 High Point Drive, Victor, New York, 14564, United States</t>
  </si>
  <si>
    <t>Copart, Inc.</t>
  </si>
  <si>
    <t>14185 Dallas Parkway, Suite 300, Dallas, Texas, 75254, United States</t>
  </si>
  <si>
    <t>Corning Incorporated</t>
  </si>
  <si>
    <t>One Riverfront Plaza, Corning, New York, 14831, United States</t>
  </si>
  <si>
    <t>Costco Wholesale Corporation</t>
  </si>
  <si>
    <t>Food and Staples Retailing</t>
  </si>
  <si>
    <t>Hypermarkets and Super Centers</t>
  </si>
  <si>
    <t>999 Lake Drive, Issaquah, Washington, 98027, United States</t>
  </si>
  <si>
    <t>Coty Inc.</t>
  </si>
  <si>
    <t>Personal Products</t>
  </si>
  <si>
    <t>350 Fifth Avenue, New York, New York, 10118, United States</t>
  </si>
  <si>
    <t>Crown Castle International Corp. (REIT)</t>
  </si>
  <si>
    <t>1220 Augusta Drive, Suite 600, Houston, Texas, 77057, United States</t>
  </si>
  <si>
    <t>CSX Corporation</t>
  </si>
  <si>
    <t>Road and Rail</t>
  </si>
  <si>
    <t>Railroads</t>
  </si>
  <si>
    <t>500 Water Street, 15th Floor, Jacksonville, Florida, 32202, United States</t>
  </si>
  <si>
    <t>Cummins Inc.</t>
  </si>
  <si>
    <t>500 Jackson Street, Box 3005, Columbus, Indiana, 47202, United States</t>
  </si>
  <si>
    <t>CVS Health Corporation</t>
  </si>
  <si>
    <t>Health Care Services</t>
  </si>
  <si>
    <t>One CVS Drive, Woonsocket, Rhode Island, 02895, United States</t>
  </si>
  <si>
    <t>D.R. Horton, Inc.</t>
  </si>
  <si>
    <t>Consumer Durables and Apparel</t>
  </si>
  <si>
    <t>Household Durables</t>
  </si>
  <si>
    <t>Homebuilding</t>
  </si>
  <si>
    <t>1341 Horton Circle, Arlington, Texas, 76011, United States</t>
  </si>
  <si>
    <t>Danaher Corporation</t>
  </si>
  <si>
    <t>2200 Pennsylvania Avenue NW, Suite 800W, Washington, District Of Columbia, 20037, United States</t>
  </si>
  <si>
    <t>Darden Restaurants, Inc.</t>
  </si>
  <si>
    <t>1000 Darden Center Drive, Orlando, Florida, 32837, United States</t>
  </si>
  <si>
    <t>DaVita Inc.</t>
  </si>
  <si>
    <t>2000 16th Street, Denver, Colorado, 80202, United States</t>
  </si>
  <si>
    <t>Deere &amp; Company</t>
  </si>
  <si>
    <t>Agricultural and Farm Machinery</t>
  </si>
  <si>
    <t>One John Deere Place, Moline, Illinois, 61265, United States</t>
  </si>
  <si>
    <t>Delta Air Lines, Inc.</t>
  </si>
  <si>
    <t>Post Office Box 20706, Atlanta, Georgia, 30320, United States</t>
  </si>
  <si>
    <t>DENTSPLY SIRONA Inc.</t>
  </si>
  <si>
    <t>221 West Philadelphia Street, York, Pennsylvania, 17401, United States</t>
  </si>
  <si>
    <t>Devon Energy Corporation</t>
  </si>
  <si>
    <t>333 West Sheridan Avenue, Oklahoma City, Oklahoma, 73102, United States</t>
  </si>
  <si>
    <t>Digital Realty Trust, Inc.</t>
  </si>
  <si>
    <t>Four Embarcadero Center, Suite 3200, San Francisco, California, 94111, United States</t>
  </si>
  <si>
    <t>Discover Financial Services</t>
  </si>
  <si>
    <t>2500 Lake Cook Road, Riverwoods, Illinois, 60015, United States</t>
  </si>
  <si>
    <t>Discovery, Inc.</t>
  </si>
  <si>
    <t>One Discovery Place, Silver Spring, Maryland, 20910, United States</t>
  </si>
  <si>
    <t>DISH Network Corporation</t>
  </si>
  <si>
    <t>9601 South Meridian Boulevard, Englewood, Colorado, 80112, United States</t>
  </si>
  <si>
    <t>Dollar General Corporation</t>
  </si>
  <si>
    <t>Multiline Retail</t>
  </si>
  <si>
    <t>General Merchandise Stores</t>
  </si>
  <si>
    <t>100 Mission Ridge, Goodlettsville, Tennessee, 37072, United States</t>
  </si>
  <si>
    <t>Dollar Tree, Inc.</t>
  </si>
  <si>
    <t>500 Volvo Parkway, Chesapeake, Virginia, 23320, United States</t>
  </si>
  <si>
    <t>Dominion Energy, Inc.</t>
  </si>
  <si>
    <t>120 Tredegar Street, Richmond, Virginia, 23219, United States</t>
  </si>
  <si>
    <t>Dover Corporation</t>
  </si>
  <si>
    <t>Industrial Machinery</t>
  </si>
  <si>
    <t>3005 Highland Parkway, Downers Grove, Illinois, 60515, United States</t>
  </si>
  <si>
    <t>DowDuPont Inc.</t>
  </si>
  <si>
    <t>Diversified Chemicals</t>
  </si>
  <si>
    <t>2211 H.H. Dow Way, Midland, Michigan, 48674, United States</t>
  </si>
  <si>
    <t>DTE Energy Company</t>
  </si>
  <si>
    <t>One Energy Plaza, Detroit, Michigan, 48226, United States</t>
  </si>
  <si>
    <t>Duke Energy Corporation</t>
  </si>
  <si>
    <t>550 South Tryon Street, Charlotte, North Carolina, 28202, United States</t>
  </si>
  <si>
    <t>Duke Realty Corporation</t>
  </si>
  <si>
    <t>Industrial REITs</t>
  </si>
  <si>
    <t>600 East 96th Street, Suite 100, Indianapolis, Indiana, 46240, United States</t>
  </si>
  <si>
    <t>DXC Technology Company</t>
  </si>
  <si>
    <t>1775 Tysons Boulevard, Tysons, Virginia, 22102, United States</t>
  </si>
  <si>
    <t>E*TRADE Financial Corporation</t>
  </si>
  <si>
    <t>Investment Banking and Brokerage</t>
  </si>
  <si>
    <t>11 Times Square, 32nd Floor, New York, New York, 10036, United States</t>
  </si>
  <si>
    <t>Eastman Chemical Company</t>
  </si>
  <si>
    <t>200 South Wilcox Drive, Kingsport, Tennessee, 37662, United States</t>
  </si>
  <si>
    <t>Eaton Corporation plc</t>
  </si>
  <si>
    <t>Eaton House, 30 Pembroke Road, Dublin  4, Ireland</t>
  </si>
  <si>
    <t>eBay Inc.</t>
  </si>
  <si>
    <t>2025 Hamilton Avenue, San Jose, California, 95125, United States</t>
  </si>
  <si>
    <t>Ecolab Inc.</t>
  </si>
  <si>
    <t>1 Ecolab Place, St. Paul, Minnesota, 55102, United States</t>
  </si>
  <si>
    <t>Edison International</t>
  </si>
  <si>
    <t>2244 Walnut Grove Avenue, PO Box 976, Rosemead, California, 91770, United States</t>
  </si>
  <si>
    <t>Edwards Lifesciences Corporation</t>
  </si>
  <si>
    <t>One Edwards Way, Irvine, California, 92614, United States</t>
  </si>
  <si>
    <t>Electronic Arts Inc.</t>
  </si>
  <si>
    <t>209 Redwood Shores Parkway, Redwood City, California, 94065, United States</t>
  </si>
  <si>
    <t>Eli Lilly and Company</t>
  </si>
  <si>
    <t>Lilly Corporate Center, Indianapolis, Indiana, 46285, United States</t>
  </si>
  <si>
    <t>Emerson Electric Co.</t>
  </si>
  <si>
    <t>8000 West Florissant Avenue, PO Box 4100, St. Louis, Missouri, 63136, United States</t>
  </si>
  <si>
    <t>Entergy Corporation</t>
  </si>
  <si>
    <t>639 Loyola Avenue, New Orleans, Louisiana, 70113, United States</t>
  </si>
  <si>
    <t>EOG Resources, Inc.</t>
  </si>
  <si>
    <t>1111 Bagby, Sky Lobby 2, Houston, Texas, 77002, United States</t>
  </si>
  <si>
    <t>EQT Corporation</t>
  </si>
  <si>
    <t>EQT Plaza, 625 Liberty Avenue, Suite 1700, Pittsburgh, Pennsylvania, 15222, United States</t>
  </si>
  <si>
    <t>Equifax Inc.</t>
  </si>
  <si>
    <t>Professional Services</t>
  </si>
  <si>
    <t>Research and Consulting Services</t>
  </si>
  <si>
    <t>1550 Peachtree Street, N.W., Atlanta, Georgia, 30309, United States</t>
  </si>
  <si>
    <t>Equinix, Inc. (REIT)</t>
  </si>
  <si>
    <t>One Lagoon Drive, Redwood City, California, 94065, United States</t>
  </si>
  <si>
    <t>Equity Residential</t>
  </si>
  <si>
    <t>Two North Riverside Plaza, Suite 400, Chicago, Illinois, 60606, United States</t>
  </si>
  <si>
    <t>Essex Property Trust, Inc.</t>
  </si>
  <si>
    <t>1100 Park Place, Suite 200, San Mateo, California, 94403, United States</t>
  </si>
  <si>
    <t>Everest Re Group, Ltd.</t>
  </si>
  <si>
    <t>Reinsurance</t>
  </si>
  <si>
    <t>Seon Place, 4th Floor, 141 Front Street, PO Box HM 845, Hamilton  HM 19, Bermuda</t>
  </si>
  <si>
    <t>Evergy, Inc.</t>
  </si>
  <si>
    <t>1200 Main Street, Kansas City, Missouri, 64105, United States</t>
  </si>
  <si>
    <t>Eversource Energy</t>
  </si>
  <si>
    <t>300 Cadwell Drive, Springfield, Massachusetts, 01104, United States</t>
  </si>
  <si>
    <t>Exelon Corporation</t>
  </si>
  <si>
    <t>10 South Dearborn Street, 48th Floor, PO Box 805379, Chicago, Illinois, 60680, United States</t>
  </si>
  <si>
    <t>Expedia Group, Inc.</t>
  </si>
  <si>
    <t>333 108th Avenue NE, Bellevue, Washington, 98004, United States</t>
  </si>
  <si>
    <t>Expeditors International of Washington, Inc.</t>
  </si>
  <si>
    <t>1015 Third Avenue, 12th Floor, Seattle, Washington, 98104, United States</t>
  </si>
  <si>
    <t>Express Scripts Holding Company</t>
  </si>
  <si>
    <t>One Express Way, Saint Louis, Missouri, 63121, United States</t>
  </si>
  <si>
    <t>Extra Space Storage Inc.</t>
  </si>
  <si>
    <t>2795 East Cottonwood Parkway, Suite 300, Salt Lake City, Utah, 84121, United States</t>
  </si>
  <si>
    <t>Exxon Mobil Corporation</t>
  </si>
  <si>
    <t>5959 Las Colinas Boulevard, Irving, Texas, 75039, United States</t>
  </si>
  <si>
    <t>F5 Networks, Inc.</t>
  </si>
  <si>
    <t>401 Elliott Avenue West, Seattle, Washington, 98119, United States</t>
  </si>
  <si>
    <t>Facebook, Inc.</t>
  </si>
  <si>
    <t>1601 Willow Road, Menlo Park, California, 94025, United States</t>
  </si>
  <si>
    <t>Fastenal Company</t>
  </si>
  <si>
    <t>Trading Companies and Distributors</t>
  </si>
  <si>
    <t>2001 Theurer Boulevard, Winona, Minnesota, 55987, United States</t>
  </si>
  <si>
    <t>Federal Realty Investment Trust</t>
  </si>
  <si>
    <t>Retail REITs</t>
  </si>
  <si>
    <t>1626 East Jefferson Street, Rockville, Maryland, 20852, United States</t>
  </si>
  <si>
    <t>FedEx Corporation</t>
  </si>
  <si>
    <t>942 South Shady Grove Road, Memphis, Tennessee, 38120, United States</t>
  </si>
  <si>
    <t>Fidelity National Information Services, Inc.</t>
  </si>
  <si>
    <t>601 Riverside Avenue, Jacksonville, Florida, 32204, United States</t>
  </si>
  <si>
    <t>Fifth Third Bancorp</t>
  </si>
  <si>
    <t>38 Fountain Square Plaza, Cincinnati, Ohio, 45263, United States</t>
  </si>
  <si>
    <t>FirstEnergy Corp.</t>
  </si>
  <si>
    <t>76 South Main Street, Akron, Ohio, 44308, United States</t>
  </si>
  <si>
    <t>Fiserv, Inc.</t>
  </si>
  <si>
    <t>255 Fiserv Drive, Brookfield, Wisconsin, 53045, United States</t>
  </si>
  <si>
    <t>FleetCor Technologies, Inc.</t>
  </si>
  <si>
    <t>5445 Triangle Parkway, Suite 400, Peachtree Corners, Georgia, 30092, United States</t>
  </si>
  <si>
    <t>FLIR Systems, Inc.</t>
  </si>
  <si>
    <t>Electronic Equipment and Instruments</t>
  </si>
  <si>
    <t>27700 SW Parkway Avenue, Wilsonville, Oregon, 97070, United States</t>
  </si>
  <si>
    <t>Flowserve Corporation</t>
  </si>
  <si>
    <t>5215 North O'Connor Boulevard, Suite 2300, Irving, Texas, 75039, United States</t>
  </si>
  <si>
    <t>Fluor Corporation</t>
  </si>
  <si>
    <t>Construction and Engineering</t>
  </si>
  <si>
    <t>6700 Las Colinas Boulevard, Irving, Texas, 75039, United States</t>
  </si>
  <si>
    <t>FMC Corporation</t>
  </si>
  <si>
    <t>2929 Walnut Street, Philadelphia, Pennsylvania, 19104, United States</t>
  </si>
  <si>
    <t>Foot Locker, Inc.</t>
  </si>
  <si>
    <t>Apparel Retail</t>
  </si>
  <si>
    <t>330 West 34th Street, New York, New York, 10001, United States</t>
  </si>
  <si>
    <t>Ford Motor Company</t>
  </si>
  <si>
    <t>Automobiles</t>
  </si>
  <si>
    <t>Automobile Manufacturers</t>
  </si>
  <si>
    <t>One American Road, Dearborn, Michigan, 48126, United States</t>
  </si>
  <si>
    <t>Fortinet, Inc.</t>
  </si>
  <si>
    <t>899 Kifer Road, Sunnyvale, California, 94086, United States</t>
  </si>
  <si>
    <t>Fortive Corporation</t>
  </si>
  <si>
    <t>6920 Seaway Boulevard, Everett, Washington, 98203, United States</t>
  </si>
  <si>
    <t>Fortune Brands Home &amp; Security, Inc.</t>
  </si>
  <si>
    <t>520 Lake Cook Road, Deerfield, Illinois, 60015, United States</t>
  </si>
  <si>
    <t>Franklin Resources, Inc.</t>
  </si>
  <si>
    <t>One Franklin Parkway, San Mateo, California, 94403, United States</t>
  </si>
  <si>
    <t>Freeport-McMoRan Inc.</t>
  </si>
  <si>
    <t>Metals and Mining</t>
  </si>
  <si>
    <t>Copper</t>
  </si>
  <si>
    <t>333 North Central Avenue, Phoenix, Arizona, 85004, United States</t>
  </si>
  <si>
    <t>Garmin Ltd.</t>
  </si>
  <si>
    <t>Consumer Electronics</t>
  </si>
  <si>
    <t>Mühlentalstrasse 2, Schaffhausen, Schaffhausen, 8200, Switzerland</t>
  </si>
  <si>
    <t>Gartner, Inc.</t>
  </si>
  <si>
    <t>56 Top Gallant Road, PO Box 10212, Stamford, Connecticut, 06902, United States</t>
  </si>
  <si>
    <t>General Dynamics Corporation</t>
  </si>
  <si>
    <t>2941 Fairview Park Drive, Suite 100, Falls Church, Virginia, 22042, United States</t>
  </si>
  <si>
    <t>General Electric Company</t>
  </si>
  <si>
    <t>Industrial Conglomerates</t>
  </si>
  <si>
    <t>41 Farnsworth Street, Boston, Massachusetts, 02210, United States</t>
  </si>
  <si>
    <t>General Mills, Inc.</t>
  </si>
  <si>
    <t>Number One General Mills Boulevard, Minneapolis, Minnesota, 55426, United States</t>
  </si>
  <si>
    <t>General Motors Company</t>
  </si>
  <si>
    <t>300 Renaissance Center, Detroit, Michigan, 48265, United States</t>
  </si>
  <si>
    <t>Genuine Parts Company</t>
  </si>
  <si>
    <t>Distributors</t>
  </si>
  <si>
    <t>2999 Wildwood Parkway, Atlanta, Georgia, 30339, United States</t>
  </si>
  <si>
    <t>Gilead Sciences, Inc.</t>
  </si>
  <si>
    <t>333 Lakeside Drive, Foster City, California, 94404, United States</t>
  </si>
  <si>
    <t>Global Payments Inc.</t>
  </si>
  <si>
    <t>3550 Lenox Road, Suite 3000, Atlanta, Georgia, 30326, United States</t>
  </si>
  <si>
    <t>H&amp;R Block, Inc.</t>
  </si>
  <si>
    <t>Diversified Consumer Services</t>
  </si>
  <si>
    <t>Specialized Consumer Services</t>
  </si>
  <si>
    <t>One H&amp;R Block Way, Kansas City, Missouri, 64105, United States</t>
  </si>
  <si>
    <t>Halliburton Company</t>
  </si>
  <si>
    <t>3000 North Sam Houston Parkway East, Houston, Texas, 77032, United States</t>
  </si>
  <si>
    <t>Hanesbrands Inc.</t>
  </si>
  <si>
    <t>Textiles, Apparel and Luxury Goods</t>
  </si>
  <si>
    <t>Apparel, Accessories and Luxury Goods</t>
  </si>
  <si>
    <t>1000 East Hanes Mill Road, Winston-Salem, North Carolina, 27105, United States</t>
  </si>
  <si>
    <t>Harley-Davidson, Inc.</t>
  </si>
  <si>
    <t>Motorcycle Manufacturers</t>
  </si>
  <si>
    <t>3700 West Juneau Avenue, Milwaukee, Wisconsin, 53208, United States</t>
  </si>
  <si>
    <t>Harris Corporation</t>
  </si>
  <si>
    <t>1025 West NASA Boulevard, Melbourne, Florida, 32919, United States</t>
  </si>
  <si>
    <t>Hasbro, Inc.</t>
  </si>
  <si>
    <t>Leisure Products</t>
  </si>
  <si>
    <t>1027 Newport Avenue, PO Box 1059, Pawtucket, Rhode Island, 02861, United States</t>
  </si>
  <si>
    <t>HCA Healthcare, Inc.</t>
  </si>
  <si>
    <t>Health Care Facilities</t>
  </si>
  <si>
    <t>One Park Plaza, Nashville, Tennessee, 37203, United States</t>
  </si>
  <si>
    <t>HCP, Inc.</t>
  </si>
  <si>
    <t>Health Care REITs</t>
  </si>
  <si>
    <t>1920 Main Street, Suite 1200, Irvine, California, 92614, United States</t>
  </si>
  <si>
    <t>Helmerich &amp; Payne, Inc.</t>
  </si>
  <si>
    <t>Oil and Gas Drilling</t>
  </si>
  <si>
    <t>1437 South Boulder Avenue, Suite 1400, Tulsa, Oklahoma, 74119, United States</t>
  </si>
  <si>
    <t>Henry Schein, Inc.</t>
  </si>
  <si>
    <t>135 Duryea Road, Melville, New York, 11747, United States</t>
  </si>
  <si>
    <t>Hess Corporation</t>
  </si>
  <si>
    <t>1185 Avenue of the Americas, 40th Floor, New York, New York, 10036, United States</t>
  </si>
  <si>
    <t>Hewlett Packard Enterprise Company</t>
  </si>
  <si>
    <t>3000 Hanover Street, Palo Alto, California, 94304, United States</t>
  </si>
  <si>
    <t>Hilton Worldwide Holdings Inc.</t>
  </si>
  <si>
    <t>7930 Jones Branch Drive, Suite 1100, McLean, Virginia, 22102, United States</t>
  </si>
  <si>
    <t>HollyFrontier Corporation</t>
  </si>
  <si>
    <t>Oil and Gas Refining and Marketing</t>
  </si>
  <si>
    <t>2828 North Harwood, Suite 1300, Dallas, Texas, 75201, United States</t>
  </si>
  <si>
    <t>Hologic, Inc.</t>
  </si>
  <si>
    <t>250 Campus Drive, Marlborough, Massachusetts, 01752, United States</t>
  </si>
  <si>
    <t>Honeywell International Inc.</t>
  </si>
  <si>
    <t>115 Tabor Road, Morris Plains, New Jersey, 07950, United States</t>
  </si>
  <si>
    <t>Hormel Foods Corporation</t>
  </si>
  <si>
    <t>1 Hormel Place, Austin, Minnesota, 55912, United States</t>
  </si>
  <si>
    <t>Host Hotels &amp; Resorts, Inc.</t>
  </si>
  <si>
    <t>Hotel and Resort REITs</t>
  </si>
  <si>
    <t>6903 Rockledge Drive, Suite 1500, Bethesda, Maryland, 20817, United States</t>
  </si>
  <si>
    <t>HP Inc.</t>
  </si>
  <si>
    <t>1501 Page Mill Road, Palo Alto, California, 94304, United States</t>
  </si>
  <si>
    <t>Humana Inc.</t>
  </si>
  <si>
    <t>Humana Building, 500 West Main Street, Louisville, Kentucky, 40202, United States</t>
  </si>
  <si>
    <t>Huntington Bancshares Incorporated</t>
  </si>
  <si>
    <t>41 South High Street, Columbus, Ohio, 43287, United States</t>
  </si>
  <si>
    <t>Huntington Ingalls Industries, Inc.</t>
  </si>
  <si>
    <t>4101 Washington Avenue, Newport News, Virginia, 23607, United States</t>
  </si>
  <si>
    <t>IDEXX Laboratories, Inc.</t>
  </si>
  <si>
    <t>One IDEXX Drive, Westbrook, Maine, 04092, United States</t>
  </si>
  <si>
    <t>IHS Markit Ltd.</t>
  </si>
  <si>
    <t>Ropemaker Place, 4th Floor, 25 Ropemaker Street, London, Greater London, EC2Y 9LY, United Kingdom</t>
  </si>
  <si>
    <t>Illinois Tool Works Inc.</t>
  </si>
  <si>
    <t>155 Harlem Avenue, Glenview, Illinois, 60025, United States</t>
  </si>
  <si>
    <t>Illumina, Inc.</t>
  </si>
  <si>
    <t>5200 Illumina Way, San Diego, California, 92122, United States</t>
  </si>
  <si>
    <t>Incyte Corporation</t>
  </si>
  <si>
    <t>1801 Augustine Cut-Off, Wilmington, Delaware, 19803, United States</t>
  </si>
  <si>
    <t>Ingersoll-Rand Plc</t>
  </si>
  <si>
    <t>170/175 Lakeview Drive, Airside Business Park, Swords, Co. Dublin  Ireland</t>
  </si>
  <si>
    <t>Intel Corporation</t>
  </si>
  <si>
    <t>2200 Mission College Boulevard, Santa Clara, California, 95054, United States</t>
  </si>
  <si>
    <t>Intercontinental Exchange, Inc.</t>
  </si>
  <si>
    <t>5660 New Northside Drive, Atlanta, Georgia, 30328, United States</t>
  </si>
  <si>
    <t>International Business Machines Corporation</t>
  </si>
  <si>
    <t>1 New Orchard Road, Armonk, New York, 10504, United States</t>
  </si>
  <si>
    <t>International Flavors &amp; Fragrances Inc.</t>
  </si>
  <si>
    <t>521 West 57th Street, New York, New York, 10019, United States</t>
  </si>
  <si>
    <t>International Paper Company</t>
  </si>
  <si>
    <t>6400 Poplar Avenue, Memphis, Tennessee, 38197, United States</t>
  </si>
  <si>
    <t>Intuit Inc.</t>
  </si>
  <si>
    <t>2700 Coast Avenue, Mountain View, California, 94043, United States</t>
  </si>
  <si>
    <t>Intuitive Surgical, Inc.</t>
  </si>
  <si>
    <t>1020 Kifer Road, Sunnyvale, California, 94086, United States</t>
  </si>
  <si>
    <t>Invesco Ltd.</t>
  </si>
  <si>
    <t>Two Peachtree Pointe, Suite 1800, 1555 Peachtree Street, NE, Atlanta, Georgia, 30309, United States</t>
  </si>
  <si>
    <t>IPG Photonics Corporation</t>
  </si>
  <si>
    <t>Electronic Manufacturing Services</t>
  </si>
  <si>
    <t>50 Old Webster Road, Oxford, Massachusetts, 01540, United States</t>
  </si>
  <si>
    <t>IQVIA Holdings Inc.</t>
  </si>
  <si>
    <t>4820 Emperor Boulevard, Durham, North Carolina, 27703, United States</t>
  </si>
  <si>
    <t>Iron Mountain Incorporated</t>
  </si>
  <si>
    <t>One Federal Street, Boston, Massachusetts, 02110, United States</t>
  </si>
  <si>
    <t>J.B. Hunt Transport Services, Inc.</t>
  </si>
  <si>
    <t>Trucking</t>
  </si>
  <si>
    <t>615 J.B. Hunt Corporate Drive, Lowell, Arkansas, 72745, United States</t>
  </si>
  <si>
    <t>Jacobs Engineering Group Inc.</t>
  </si>
  <si>
    <t>1999 Bryan Street, Suite 1200, Dallas, Texas, 75201, United States</t>
  </si>
  <si>
    <t>Jefferies Financial Group Inc.</t>
  </si>
  <si>
    <t>520 Madison Avenue, New York, New York, 10022, United States</t>
  </si>
  <si>
    <t>Johnson &amp; Johnson</t>
  </si>
  <si>
    <t>One Johnson &amp; Johnson Plaza, New Brunswick, New Jersey, 08933, United States</t>
  </si>
  <si>
    <t>Johnson Controls International plc</t>
  </si>
  <si>
    <t>One Albert Quay, Cork, Co. Cork  Ireland</t>
  </si>
  <si>
    <t>JPMorgan Chase &amp; Co.</t>
  </si>
  <si>
    <t>270 Park Avenue, New York, New York, 10017, United States</t>
  </si>
  <si>
    <t>Juniper Networks, Inc.</t>
  </si>
  <si>
    <t>1133 Innovation Way, Sunnyvale, California, 94089, United States</t>
  </si>
  <si>
    <t>Kansas City Southern</t>
  </si>
  <si>
    <t>427 West 12th Street, Kansas City, Missouri, 64105, United States</t>
  </si>
  <si>
    <t>Kellogg Company</t>
  </si>
  <si>
    <t>One Kellogg Square, Battle Creek, Michigan, 49016, United States</t>
  </si>
  <si>
    <t>KeyCorp</t>
  </si>
  <si>
    <t>127 Public Square, Cleveland, Ohio, 44114, United States</t>
  </si>
  <si>
    <t>Kimberly-Clark Corporation</t>
  </si>
  <si>
    <t>PO Box 619100, Dallas, Texas, 75261, United States</t>
  </si>
  <si>
    <t>Kimco Realty Corporation</t>
  </si>
  <si>
    <t>3333 New Hyde Park Road, Suite 100, New Hyde Park, New York, 11042, United States</t>
  </si>
  <si>
    <t>Kinder Morgan, Inc.</t>
  </si>
  <si>
    <t>Oil and Gas Storage and Transportation</t>
  </si>
  <si>
    <t>1001 Louisiana Street, Suite 1000, Houston, Texas, 77002, United States</t>
  </si>
  <si>
    <t>KLA-Tencor Corporation</t>
  </si>
  <si>
    <t>One Technology Drive, Milpitas, California, 95035, United States</t>
  </si>
  <si>
    <t>Kohl's Corporation</t>
  </si>
  <si>
    <t>Department Stores</t>
  </si>
  <si>
    <t>N56 W17000 Ridgewood Drive, Menomonee Falls, Wisconsin, 53051, United States</t>
  </si>
  <si>
    <t>L Brands, Inc.</t>
  </si>
  <si>
    <t>Three Limited Parkway, Columbus, Ohio, 43230, United States</t>
  </si>
  <si>
    <t>L3 Technologies, Inc.</t>
  </si>
  <si>
    <t>600 Third Avenue, New York, New York, 10016, United States</t>
  </si>
  <si>
    <t>Laboratory Corporation of America Holdings</t>
  </si>
  <si>
    <t>358 South Main Street, Burlington, North Carolina, 27215, United States</t>
  </si>
  <si>
    <t>Lam Research Corporation</t>
  </si>
  <si>
    <t>4650 Cushing Parkway, Fremont, California, 94538, United States</t>
  </si>
  <si>
    <t>Leggett &amp; Platt, Incorporated</t>
  </si>
  <si>
    <t>Home Furnishings</t>
  </si>
  <si>
    <t>No. 1 Leggett Road, Carthage, Missouri, 64836, United States</t>
  </si>
  <si>
    <t>Lennar Corporation</t>
  </si>
  <si>
    <t>700 Northwest 107th Avenue, Miami, Florida, 33172, United States</t>
  </si>
  <si>
    <t>Lincoln National Corporation</t>
  </si>
  <si>
    <t>150 North Radnor Chester Road, Suite A305, Radnor, Pennsylvania, 19087, United States</t>
  </si>
  <si>
    <t>LKQ Corporation</t>
  </si>
  <si>
    <t>500 West Madison Street, Suite 2800, Chicago, Illinois, 60661, United States</t>
  </si>
  <si>
    <t>Lockheed Martin Corporation</t>
  </si>
  <si>
    <t>6801 Rockledge Drive, Bethesda, Maryland, 20817, United States</t>
  </si>
  <si>
    <t>Loews Corporation</t>
  </si>
  <si>
    <t>667 Madison Avenue, New York, New York, 10065, United States</t>
  </si>
  <si>
    <t>Lowe's Companies, Inc.</t>
  </si>
  <si>
    <t>Home Improvement Retail</t>
  </si>
  <si>
    <t>1000 Lowe’s Boulevard, Mooresville, North Carolina, 28117, United States</t>
  </si>
  <si>
    <t>LyondellBasell Industries N.V.</t>
  </si>
  <si>
    <t>Commodity Chemicals</t>
  </si>
  <si>
    <t>One Vine Street, 4th Floor, London, Greater London, W1J0AH, United Kingdom</t>
  </si>
  <si>
    <t>M&amp;T Bank Corporation</t>
  </si>
  <si>
    <t>One M&amp;T Plaza, Buffalo, New York, 14203, United States</t>
  </si>
  <si>
    <t>Macerich Company</t>
  </si>
  <si>
    <t>401 Wilshire Boulevard, Suite 700, Santa Monica, California, 90401, United States</t>
  </si>
  <si>
    <t>Macy's, Inc.</t>
  </si>
  <si>
    <t>7 West Seventh Street, Cincinnati, Ohio, 45202, United States</t>
  </si>
  <si>
    <t>Marathon Oil Corporation</t>
  </si>
  <si>
    <t>5555 San Felipe Street, Houston, Texas, 77056, United States</t>
  </si>
  <si>
    <t>Marathon Petroleum Corporation</t>
  </si>
  <si>
    <t>539 South Main Street, Findlay, Ohio, 45840, United States</t>
  </si>
  <si>
    <t>Marriott International, Inc.</t>
  </si>
  <si>
    <t>10400 Fernwood Road, Bethesda, Maryland, 20817, United States</t>
  </si>
  <si>
    <t>Marsh &amp; McLennan Companies, Inc.</t>
  </si>
  <si>
    <t>1166 Avenue of the Americas, New York, New York, 10036, United States</t>
  </si>
  <si>
    <t>Martin Marietta Materials, Inc.</t>
  </si>
  <si>
    <t>Construction Materials</t>
  </si>
  <si>
    <t>2710 Wycliff Road, Raleigh, North Carolina, 27607, United States</t>
  </si>
  <si>
    <t>Masco Corporation</t>
  </si>
  <si>
    <t>17450 College Parkway, Livonia, Michigan, 48152, United States</t>
  </si>
  <si>
    <t>Mastercard Incorporated</t>
  </si>
  <si>
    <t>2000 Purchase Street, Purchase, New York, 10577, United States</t>
  </si>
  <si>
    <t>Mattel, Inc.</t>
  </si>
  <si>
    <t>333 Continental Boulevard, El Segundo, California, 90245, United States</t>
  </si>
  <si>
    <t>McCormick &amp; Company, Incorporated</t>
  </si>
  <si>
    <t>24 Schilling Road, Hunt Valley, Maryland, 21031, United States</t>
  </si>
  <si>
    <t>McDonald's Corporation</t>
  </si>
  <si>
    <t>110 North Carpenter Street, Chicago, Illinois, 60607, United States</t>
  </si>
  <si>
    <t>McKesson Corporation</t>
  </si>
  <si>
    <t>One Post Street, San Francisco, California, 94104, United States</t>
  </si>
  <si>
    <t>Medtronic plc</t>
  </si>
  <si>
    <t>20 On Hatch, Lower Hatch Street, Dublin, Co. Dublin, 2, Ireland</t>
  </si>
  <si>
    <t>Merck &amp; Co., Inc.</t>
  </si>
  <si>
    <t>2000 Galloping Hill Road, Kenilworth, New Jersey, 07033, United States</t>
  </si>
  <si>
    <t>MetLife, Inc.</t>
  </si>
  <si>
    <t>200 Park Avenue, New York, New York, 10166, United States</t>
  </si>
  <si>
    <t>Mettler-Toledo International Inc.</t>
  </si>
  <si>
    <t>1900 Polaris Parkway, Columbus, Ohio, 43240, United States</t>
  </si>
  <si>
    <t>MGM Resorts International</t>
  </si>
  <si>
    <t>Casinos and Gaming</t>
  </si>
  <si>
    <t>3600 Las Vegas Boulevard South, Las Vegas, Nevada, 89109, United States</t>
  </si>
  <si>
    <t>Michael Kors Holdings Limited</t>
  </si>
  <si>
    <t>33 Kingsway, London, Greater London, WC2B 6UF, United Kingdom</t>
  </si>
  <si>
    <t>Microchip Technology Incorporated</t>
  </si>
  <si>
    <t>2355 West Chandler Boulevard, Chandler, Arizona, 85224, United States</t>
  </si>
  <si>
    <t>Micron Technology, Inc.</t>
  </si>
  <si>
    <t>8000 South Federal Way, Boise, Idaho, 83716, United States</t>
  </si>
  <si>
    <t>Microsoft Corporation</t>
  </si>
  <si>
    <t>One Microsoft Way, Redmond, Washington, 98052, United States</t>
  </si>
  <si>
    <t>Mid-America Apartment Communities, Inc.</t>
  </si>
  <si>
    <t>6815 Poplar Avenue, Suite 500, Germantown, Tennessee, 38138, United States</t>
  </si>
  <si>
    <t>Mohawk Industries, Inc.</t>
  </si>
  <si>
    <t>160 South Industrial Boulevard, Calhoun, Georgia, 30701, United States</t>
  </si>
  <si>
    <t>Molson Coors Brewing Company</t>
  </si>
  <si>
    <t>Brewers</t>
  </si>
  <si>
    <t>1801 California Street, Suite 4600, Denver, Colorado, 80202, United States</t>
  </si>
  <si>
    <t>Mondelez International, Inc.</t>
  </si>
  <si>
    <t>Three Parkway North, Deerfield, Illinois, 60015, United States</t>
  </si>
  <si>
    <t>Monster Beverage Corporation</t>
  </si>
  <si>
    <t>Soft Drinks</t>
  </si>
  <si>
    <t>1 Monster Way, Corona, California, 92879, United States</t>
  </si>
  <si>
    <t>Moody's Corporation</t>
  </si>
  <si>
    <t>7 World Trade Center, 250 Greenwich Street, New York, New York, 10007, United States</t>
  </si>
  <si>
    <t>Morgan Stanley</t>
  </si>
  <si>
    <t>1585 Broadway, New York, New York, 10036, United States</t>
  </si>
  <si>
    <t>Motorola Solutions, Inc.</t>
  </si>
  <si>
    <t>500 West Monroe Street, Suite 4400, Chicago, Illinois, 60661, United States</t>
  </si>
  <si>
    <t>MSCI Inc.</t>
  </si>
  <si>
    <t>7 World Trade Center, 49th Floor, 250 Greenwich Street, New York, New York, 10007, United States</t>
  </si>
  <si>
    <t>Mylan N.V.</t>
  </si>
  <si>
    <t>Robert J. Coury Global Center, 1000 Mylan Boulevard, Mosquito Way, Canonsburg, Pennsylvania, 15317, United States</t>
  </si>
  <si>
    <t>Nasdaq, Inc.</t>
  </si>
  <si>
    <t>One Liberty Plaza, New York, New York, 10006, United States</t>
  </si>
  <si>
    <t>National Oilwell Varco, Inc.</t>
  </si>
  <si>
    <t>7909 Parkwood Circle Drive, Houston, Texas, 77036, United States</t>
  </si>
  <si>
    <t>Nektar Therapeutics</t>
  </si>
  <si>
    <t>455 Mission Bay Boulevard South, San Francisco, California, 94158, United States</t>
  </si>
  <si>
    <t>NetApp, Inc.</t>
  </si>
  <si>
    <t>1395 Crossman Avenue, Sunnyvale, California, 94089, United States</t>
  </si>
  <si>
    <t>Netflix, Inc.</t>
  </si>
  <si>
    <t>Movies and Entertainment</t>
  </si>
  <si>
    <t>100 Winchester Circle, Los Gatos, California, 95032, United States</t>
  </si>
  <si>
    <t>Newell Brands Inc.</t>
  </si>
  <si>
    <t>Housewares and Specialties</t>
  </si>
  <si>
    <t>221 River Street, Hoboken, New Jersey, 07030, United States</t>
  </si>
  <si>
    <t>Newfield Exploration Company</t>
  </si>
  <si>
    <t>4 Waterway Square Place, Suite 100, The Woodlands, Texas, 77380, United States</t>
  </si>
  <si>
    <t>Newmont Mining Corporation</t>
  </si>
  <si>
    <t>Gold</t>
  </si>
  <si>
    <t>6363 South Fiddler’s Green Circle, Suite 800, Greenwood Village, Colorado, 80111, United States</t>
  </si>
  <si>
    <t>News Corporation</t>
  </si>
  <si>
    <t>Publishing</t>
  </si>
  <si>
    <t>1211 Avenue of the Americas, New York, New York, 10036, United States</t>
  </si>
  <si>
    <t>NextEra Energy, Inc.</t>
  </si>
  <si>
    <t>700 Universe Boulevard, Juno Beach, Florida, 33408, United States</t>
  </si>
  <si>
    <t>Nielsen Holdings plc</t>
  </si>
  <si>
    <t>A C Nielsen House, London Road, Oxford, Oxfordshire, OX3 9RX, United Kingdom</t>
  </si>
  <si>
    <t>NIKE, Inc.</t>
  </si>
  <si>
    <t>Footwear</t>
  </si>
  <si>
    <t>One Bowerman Drive, Beaverton, Oregon, 97005, United States</t>
  </si>
  <si>
    <t>NiSource Inc.</t>
  </si>
  <si>
    <t>801 East 86th Avenue, Merrillville, Indiana, 46410, United States</t>
  </si>
  <si>
    <t>Noble Energy, Inc.</t>
  </si>
  <si>
    <t>1001 Noble Energy Way, Houston, Texas, 77070, United States</t>
  </si>
  <si>
    <t>Nordstrom, Inc.</t>
  </si>
  <si>
    <t>1617 Sixth Avenue, Seattle, Washington, 98101, United States</t>
  </si>
  <si>
    <t>Norfolk Southern Corporation</t>
  </si>
  <si>
    <t>Three Commercial Place, Norfolk, Virginia, 23510, United States</t>
  </si>
  <si>
    <t>Northern Trust Corporation</t>
  </si>
  <si>
    <t>50 South La Salle Street, Chicago, Illinois, 60603, United States</t>
  </si>
  <si>
    <t>Northrop Grumman Corporation</t>
  </si>
  <si>
    <t>2980 Fairview Park Drive, Falls Church, Virginia, 22042, United States</t>
  </si>
  <si>
    <t>Norwegian Cruise Line Holdings Ltd.</t>
  </si>
  <si>
    <t>7665 Corporate Center Drive, Miami, Florida, 33126, United States</t>
  </si>
  <si>
    <t>NRG Energy, Inc.</t>
  </si>
  <si>
    <t>Independent Power and Renewable Electricity Producers</t>
  </si>
  <si>
    <t>Independent Power Producers and Energy Traders</t>
  </si>
  <si>
    <t>804 Carnegie Center, Princeton, New Jersey, 08540, United States</t>
  </si>
  <si>
    <t>Nucor Corporation</t>
  </si>
  <si>
    <t>Steel</t>
  </si>
  <si>
    <t>1915 Rexford Road, Charlotte, North Carolina, 28211, United States</t>
  </si>
  <si>
    <t>NVIDIA Corporation</t>
  </si>
  <si>
    <t>2788 San Tomas Expressway, Santa Clara, California, 95051, United States</t>
  </si>
  <si>
    <t>O'Reilly Automotive, Inc.</t>
  </si>
  <si>
    <t>233 South Patterson Avenue, Springfield, Missouri, 65802, United States</t>
  </si>
  <si>
    <t>Occidental Petroleum Corporation</t>
  </si>
  <si>
    <t>5 Greenway Plaza, Suite 110, Houston, Texas, 77046, United States</t>
  </si>
  <si>
    <t>Omnicom Group Inc.</t>
  </si>
  <si>
    <t>Advertising</t>
  </si>
  <si>
    <t>437 Madison Avenue, New York, New York, 10022, United States</t>
  </si>
  <si>
    <t>ONEOK, Inc.</t>
  </si>
  <si>
    <t>100 West Fifth Street, Tulsa, Oklahoma, 74103, United States</t>
  </si>
  <si>
    <t>Oracle Corporation</t>
  </si>
  <si>
    <t>500 Oracle Parkway, Redwood City, California, 94065, United States</t>
  </si>
  <si>
    <t>PACCAR Inc</t>
  </si>
  <si>
    <t>777 - 106th Avenue NE, Bellevue, Washington, 98004, United States</t>
  </si>
  <si>
    <t>Packaging Corporation of America</t>
  </si>
  <si>
    <t>1955 West Field Court, Lake Forest, Illinois, 60045, United States</t>
  </si>
  <si>
    <t>Parker-Hannifin Corporation</t>
  </si>
  <si>
    <t>6035 Parkland Boulevard, Cleveland, Ohio, 44124, United States</t>
  </si>
  <si>
    <t>Paychex, Inc.</t>
  </si>
  <si>
    <t>911 Panorama Trail South, Rochester, New York, 14625, United States</t>
  </si>
  <si>
    <t>PayPal Holdings, Inc.</t>
  </si>
  <si>
    <t>2211 North First Street, San Jose, California, 95131, United States</t>
  </si>
  <si>
    <t>Pentair plc</t>
  </si>
  <si>
    <t>43 London Wall, London, Greater London, EC2M 5TF, United Kingdom</t>
  </si>
  <si>
    <t>People's United Financial, Inc.</t>
  </si>
  <si>
    <t>850 Main Street, Bridgeport, Connecticut, 06604, United States</t>
  </si>
  <si>
    <t>PepsiCo, Inc.</t>
  </si>
  <si>
    <t>700 Anderson Hill Road, Purchase, New York, 10577, United States</t>
  </si>
  <si>
    <t>PerkinElmer, Inc.</t>
  </si>
  <si>
    <t>940 Winter Street, Waltham, Massachusetts, 02451, United States</t>
  </si>
  <si>
    <t>Perrigo Company plc</t>
  </si>
  <si>
    <t>Treasury Building, Lower Grand Canal Street, Dublin, Co. Dublin, 2, Ireland</t>
  </si>
  <si>
    <t>Pfizer Inc.</t>
  </si>
  <si>
    <t>235 East 42nd Street, New York, New York, 10017, United States</t>
  </si>
  <si>
    <t>PG&amp;E Corporation</t>
  </si>
  <si>
    <t>77 Beale Street, PO Box 770000, San Francisco, California, 94177, United States</t>
  </si>
  <si>
    <t>Philip Morris International Inc.</t>
  </si>
  <si>
    <t>120 Park Avenue, New York, New York, 10017, United States</t>
  </si>
  <si>
    <t>Phillips 66</t>
  </si>
  <si>
    <t>2331 CityWest Boulevard, Houston, Texas, 77042, United States</t>
  </si>
  <si>
    <t>Pinnacle West Capital Corporation</t>
  </si>
  <si>
    <t>400 North 5th Street, Phoenix, Arizona, 85004, United States</t>
  </si>
  <si>
    <t>Pioneer Natural Resources Company</t>
  </si>
  <si>
    <t>5205 North O'Connor Boulevard, Suite 200, Irving, Texas, 75039, United States</t>
  </si>
  <si>
    <t>PPG Industries, Inc.</t>
  </si>
  <si>
    <t>One PPG Place, Pittsburgh, Pennsylvania, 15272, United States</t>
  </si>
  <si>
    <t>PPL Corporation</t>
  </si>
  <si>
    <t>Two North Ninth Street, Allentown, Pennsylvania, 18101, United States</t>
  </si>
  <si>
    <t>Praxair, Inc.</t>
  </si>
  <si>
    <t>10 Riverview Drive, Danbury, Connecticut, 06810, United States</t>
  </si>
  <si>
    <t>Principal Financial Group, Inc.</t>
  </si>
  <si>
    <t>711 High Street, Des Moines, Iowa, 50392, United States</t>
  </si>
  <si>
    <t>Prologis, Inc.</t>
  </si>
  <si>
    <t>Pier 1, Bay 1, San Francisco, California, 94111, United States</t>
  </si>
  <si>
    <t>Prudential Financial, Inc.</t>
  </si>
  <si>
    <t>751 Broad Street, Newark, New Jersey, 07102, United States</t>
  </si>
  <si>
    <t>Public Service Enterprise Group Incorporated</t>
  </si>
  <si>
    <t>80 Park Plaza, PO Box 570, Newark, New Jersey, 07101, United States</t>
  </si>
  <si>
    <t>Public Storage</t>
  </si>
  <si>
    <t>701 Western Avenue, Glendale, California, 91201, United States</t>
  </si>
  <si>
    <t>PulteGroup, Inc.</t>
  </si>
  <si>
    <t>3350 Peachtree Road NE, Suite 150, Atlanta, Georgia, 30326, United States</t>
  </si>
  <si>
    <t>PVH Corp.</t>
  </si>
  <si>
    <t>200 Madison Avenue, New York, New York, 10016, United States</t>
  </si>
  <si>
    <t>Qorvo, Inc.</t>
  </si>
  <si>
    <t>7628 Thorndike Road, Greensboro, North Carolina, 27409, United States</t>
  </si>
  <si>
    <t>QUALCOMM Incorporated</t>
  </si>
  <si>
    <t>5775 Morehouse Drive, San Diego, California, 92121, United States</t>
  </si>
  <si>
    <t>Quanta Services, Inc.</t>
  </si>
  <si>
    <t>2800 Post Oak Boulevard, Suite 2600, Houston, Texas, 77056, United States</t>
  </si>
  <si>
    <t>Quest Diagnostics Incorporated</t>
  </si>
  <si>
    <t>500 Plaza Drive, Secaucus, New Jersey, 07094, United States</t>
  </si>
  <si>
    <t>Ralph Lauren Corporation</t>
  </si>
  <si>
    <t>650 Madison Avenue, New York, New York, 10022, United States</t>
  </si>
  <si>
    <t>Raymond James Financial, Inc.</t>
  </si>
  <si>
    <t>880 Carillon Parkway, St. Petersburg, Florida, 33716, United States</t>
  </si>
  <si>
    <t>Raytheon Company</t>
  </si>
  <si>
    <t>870 Winter Street, Waltham, Massachusetts, 02451, United States</t>
  </si>
  <si>
    <t>Realty Income Corporation</t>
  </si>
  <si>
    <t>11995 El Camino Real, San Diego, California, 92130, United States</t>
  </si>
  <si>
    <t>Red Hat, Inc.</t>
  </si>
  <si>
    <t>100 East Davie Street, Raleigh, North Carolina, 27601, United States</t>
  </si>
  <si>
    <t>Regency Centers Corporation</t>
  </si>
  <si>
    <t>One Independent Drive, Suite 114, Jacksonville, Florida, 32202, United States</t>
  </si>
  <si>
    <t>Regeneron Pharmaceuticals, Inc.</t>
  </si>
  <si>
    <t>777 Old Saw Mill River Road, Tarrytown, New York, 10591, United States</t>
  </si>
  <si>
    <t>Regions Financial Corporation</t>
  </si>
  <si>
    <t>1900 Fifth Avenue North, Birmingham, Alabama, 35203, United States</t>
  </si>
  <si>
    <t>Republic Services, Inc.</t>
  </si>
  <si>
    <t>Environmental and Facilities Services</t>
  </si>
  <si>
    <t>18500 North Allied Way, Phoenix, Arizona, 85054, United States</t>
  </si>
  <si>
    <t>ResMed Inc.</t>
  </si>
  <si>
    <t>9001 Spectrum Center Boulevard, San Diego, California, 92123, United States</t>
  </si>
  <si>
    <t>Robert Half International Inc.</t>
  </si>
  <si>
    <t>Human Resource and Employment Services</t>
  </si>
  <si>
    <t>2884 Sand Hill Road, Menlo Park, California, 94025, United States</t>
  </si>
  <si>
    <t>Rockwell Automation Inc.</t>
  </si>
  <si>
    <t>1201 South 2nd Street, Milwaukee, Wisconsin, 53204, United States</t>
  </si>
  <si>
    <t>Rockwell Collins, Inc.</t>
  </si>
  <si>
    <t>400 Collins Road NE, Cedar Rapids, Iowa, 52498, United States</t>
  </si>
  <si>
    <t>Rollins, Inc.</t>
  </si>
  <si>
    <t>2170 Piedmont Road, NE, Atlanta, Georgia, 30324, United States</t>
  </si>
  <si>
    <t>Roper Technologies, Inc.</t>
  </si>
  <si>
    <t>6901 Professional Parkway East, Suite 200, Sarasota, Florida, 34240, United States</t>
  </si>
  <si>
    <t>Ross Stores, Inc.</t>
  </si>
  <si>
    <t>5130 Hacienda Drive, Dublin, California, 94568, United States</t>
  </si>
  <si>
    <t>Royal Caribbean Cruises Ltd.</t>
  </si>
  <si>
    <t>1050 Caribbean Way, Miami, Florida, 33132, United States</t>
  </si>
  <si>
    <t>S&amp;P Global Inc.</t>
  </si>
  <si>
    <t>55 Water Street, New York, New York, 10041, United States</t>
  </si>
  <si>
    <t>salesforce.com, inc.</t>
  </si>
  <si>
    <t>The Landmark @ One Market, Suite 300, San Francisco, California, 94105, United States</t>
  </si>
  <si>
    <t>SBA Communications Corporation</t>
  </si>
  <si>
    <t>8051 Congress Avenue, Boca Raton, Florida, 33487, United States</t>
  </si>
  <si>
    <t>SCANA Corporation</t>
  </si>
  <si>
    <t>100 SCANA Parkway, Cayce, South Carolina, 29033, United States</t>
  </si>
  <si>
    <t>Schlumberger Limited</t>
  </si>
  <si>
    <t>5599 San Felipe, 17th Floor, Houston, Texas, 77056, United States</t>
  </si>
  <si>
    <t>Seagate Technology plc</t>
  </si>
  <si>
    <t>38/39 Fitzwilliam Square, Dublin, Co. Dublin, 2, Ireland</t>
  </si>
  <si>
    <t>Sealed Air Corporation</t>
  </si>
  <si>
    <t>2415 Cascade Pointe Boulevard, Charlotte, North Carolina, 28208, United States</t>
  </si>
  <si>
    <t>Sempra Energy</t>
  </si>
  <si>
    <t>488 8th Avenue, San Diego, California, 92101, United States</t>
  </si>
  <si>
    <t>Simon Property Group, Inc.</t>
  </si>
  <si>
    <t>225 West Washington Street, Indianapolis, Indiana, 46204, United States</t>
  </si>
  <si>
    <t>Skyworks Solutions, Inc.</t>
  </si>
  <si>
    <t>20 Sylvan Road, Woburn, Massachusetts, 01801, United States</t>
  </si>
  <si>
    <t>SL Green Realty Corp.</t>
  </si>
  <si>
    <t>420 Lexington Avenue, New York, New York, 10170, United States</t>
  </si>
  <si>
    <t>Snap-on Incorporated</t>
  </si>
  <si>
    <t>2801 80th Street, Kenosha, Wisconsin, 53143, United States</t>
  </si>
  <si>
    <t>Southwest Airlines Co.</t>
  </si>
  <si>
    <t>PO Box 36611, Dallas, Texas, 75235, United States</t>
  </si>
  <si>
    <t>Stanley Black &amp; Decker, Inc.</t>
  </si>
  <si>
    <t>1000 Stanley Drive, New Britain, Connecticut, 06053, United States</t>
  </si>
  <si>
    <t>Starbucks Corporation</t>
  </si>
  <si>
    <t>2401 Utah Avenue South, Seattle, Washington, 98134, United States</t>
  </si>
  <si>
    <t>State Street Corporation</t>
  </si>
  <si>
    <t>State Street Financial Center, One Lincoln Street, Boston, Massachusetts, 02111, United States</t>
  </si>
  <si>
    <t>Stericycle, Inc.</t>
  </si>
  <si>
    <t>28161 North Keith Drive, Lake Forest, Illinois, 60045, United States</t>
  </si>
  <si>
    <t>Stryker Corporation</t>
  </si>
  <si>
    <t>2825 Airview Boulevard, Kalamazoo, Michigan, 49002, United States</t>
  </si>
  <si>
    <t>SunTrust Banks, Inc.</t>
  </si>
  <si>
    <t>303 Peachtree Street, N.E., Atlanta, Georgia, 30308, United States</t>
  </si>
  <si>
    <t>SVB Financial Group</t>
  </si>
  <si>
    <t>3003 Tasman Drive, Santa Clara, California, 95054, United States</t>
  </si>
  <si>
    <t>Symantec Corporation</t>
  </si>
  <si>
    <t>350 Ellis Street, Mountain View, California, 94043, United States</t>
  </si>
  <si>
    <t>Synchrony Financial</t>
  </si>
  <si>
    <t>777 Long Ridge Road, Stamford, Connecticut, 06902, United States</t>
  </si>
  <si>
    <t>Synopsys, Inc.</t>
  </si>
  <si>
    <t>690 East Middlefield Road, Mountain View, California, 94043, United States</t>
  </si>
  <si>
    <t>Sysco Corporation</t>
  </si>
  <si>
    <t>Food Distributors</t>
  </si>
  <si>
    <t>1390 Enclave Parkway, Houston, Texas, 77077, United States</t>
  </si>
  <si>
    <t>T. Rowe Price Group, Inc.</t>
  </si>
  <si>
    <t>100 East Pratt Street, Baltimore, Maryland, 21202, United States</t>
  </si>
  <si>
    <t>Take-Two Interactive Software, Inc.</t>
  </si>
  <si>
    <t>110 West 44th Street, New York, New York, 10036, United States</t>
  </si>
  <si>
    <t>Tapestry, Inc.</t>
  </si>
  <si>
    <t>10 Hudson Yards, New York, New York, 10001, United States</t>
  </si>
  <si>
    <t>Target Corporation</t>
  </si>
  <si>
    <t>1000 Nicollet Mall, Minneapolis, Minnesota, 55403, United States</t>
  </si>
  <si>
    <t>TE Connectivity Ltd.</t>
  </si>
  <si>
    <t>Rheinstrasse 20, Schaffhausen, Schaffhausen, 8200, Switzerland</t>
  </si>
  <si>
    <t>TechnipFMC plc</t>
  </si>
  <si>
    <t>One St. Paul’s Churchyard, London, Greater London, EC4M 8AP, United Kingdom</t>
  </si>
  <si>
    <t>Texas Instruments Incorporated</t>
  </si>
  <si>
    <t>12500 TI Boulevard, Dallas, Texas, 75243, United States</t>
  </si>
  <si>
    <t>Textron Inc.</t>
  </si>
  <si>
    <t>40 Westminster Street, Providence, Rhode Island, 02903, United States</t>
  </si>
  <si>
    <t>The AES Corporation</t>
  </si>
  <si>
    <t>4300 Wilson Boulevard, 11th Floor, Arlington, Virginia, 22203, United States</t>
  </si>
  <si>
    <t>The Allstate Corporation</t>
  </si>
  <si>
    <t>2775 Sanders Road, Northbrook, Illinois, 60062, United States</t>
  </si>
  <si>
    <t>The Bank of New York Mellon Corporation</t>
  </si>
  <si>
    <t>240 Greenwich Street, New York, New York, 10286, United States</t>
  </si>
  <si>
    <t>The Boeing Company</t>
  </si>
  <si>
    <t>100 North Riverside, Chicago, Illinois, 60606, United States</t>
  </si>
  <si>
    <t>The Charles Schwab Corporation</t>
  </si>
  <si>
    <t>211 Main Street, San Francisco, California, 94105, United States</t>
  </si>
  <si>
    <t>The Clorox Company</t>
  </si>
  <si>
    <t>1221 Broadway, Oakland, California, 94612, United States</t>
  </si>
  <si>
    <t>The Coca-Cola Company</t>
  </si>
  <si>
    <t>One Coca-Cola Plaza, Atlanta, Georgia, 30313, United States</t>
  </si>
  <si>
    <t>The Cooper Companies, Inc.</t>
  </si>
  <si>
    <t>6140 Stoneridge Mall Road, Suite 590, Pleasanton, California, 94588, United States</t>
  </si>
  <si>
    <t>The Estée Lauder Companies Inc.</t>
  </si>
  <si>
    <t>767 Fifth Avenue, New York, New York, 10153, United States</t>
  </si>
  <si>
    <t>The Gap, Inc.</t>
  </si>
  <si>
    <t>2 Folsom Street, San Francisco, California, 94105, United States</t>
  </si>
  <si>
    <t>The Goldman Sachs Group, Inc.</t>
  </si>
  <si>
    <t>200 West Street, New York, New York, 10282, United States</t>
  </si>
  <si>
    <t>The Goodyear Tire &amp; Rubber Company</t>
  </si>
  <si>
    <t>Tires and Rubber</t>
  </si>
  <si>
    <t>200 Innovation Way, Akron, Ohio, 44316, United States</t>
  </si>
  <si>
    <t>The Hartford Financial Services Group, Inc.</t>
  </si>
  <si>
    <t>One Hartford Plaza, Hartford, Connecticut, 06155, United States</t>
  </si>
  <si>
    <t>The Hershey Company</t>
  </si>
  <si>
    <t>100 Crystal A Drive, Hershey, Pennsylvania, 17033, United States</t>
  </si>
  <si>
    <t>The Home Depot, Inc.</t>
  </si>
  <si>
    <t>2455 Paces Ferry Road, Atlanta, Georgia, 30339, United States</t>
  </si>
  <si>
    <t>The Interpublic Group of Companies, Inc.</t>
  </si>
  <si>
    <t>909 Third Avenue, New York, New York, 10022, United States</t>
  </si>
  <si>
    <t>The J. M. Smucker Company</t>
  </si>
  <si>
    <t>One Strawberry Lane, Orrville, Ohio, 44667, United States</t>
  </si>
  <si>
    <t>The Kraft Heinz Company</t>
  </si>
  <si>
    <t>One PPG Place, Pittsburgh, Pennsylvania, 15222, United States</t>
  </si>
  <si>
    <t>The Kroger Co.</t>
  </si>
  <si>
    <t>Food Retail</t>
  </si>
  <si>
    <t>1014 Vine Street, Cincinnati, Ohio, 45202, United States</t>
  </si>
  <si>
    <t>The Mosaic Company</t>
  </si>
  <si>
    <t>Atria Corporate Center, Suite E490, 3033 Campus Drive, Plymouth, Minnesota, 55441, United States</t>
  </si>
  <si>
    <t>The PNC Financial Services Group, Inc.</t>
  </si>
  <si>
    <t>The Tower at PNC Plaza, 300 Fifth Avenue, Pittsburgh, Pennsylvania, 15222, United States</t>
  </si>
  <si>
    <t>The Procter &amp; Gamble Company</t>
  </si>
  <si>
    <t>One Procter &amp; Gamble Plaza, Cincinnati, Ohio, 45202, United States</t>
  </si>
  <si>
    <t>The Progressive Corporation</t>
  </si>
  <si>
    <t>6300 Wilson Mills Road, Mayfield Village, Ohio, 44143, United States</t>
  </si>
  <si>
    <t>The Sherwin-Williams Company</t>
  </si>
  <si>
    <t>101 West Prospect Avenue, Cleveland, Ohio, 44115, United States</t>
  </si>
  <si>
    <t>The Southern Company</t>
  </si>
  <si>
    <t>30 Ivan Allen Jr Boulevard NW, Atlanta, Georgia, 30308, United States</t>
  </si>
  <si>
    <t>The TJX Companies, Inc.</t>
  </si>
  <si>
    <t>770 Cochituate Road, Framingham, Massachusetts, 01701, United States</t>
  </si>
  <si>
    <t>The Travelers Companies, Inc.</t>
  </si>
  <si>
    <t>485 Lexington Avenue, New York, New York, 10017, United States</t>
  </si>
  <si>
    <t>The Walt Disney Company</t>
  </si>
  <si>
    <t>500 South Buena Vista Street, Burbank, California, 91521, United States</t>
  </si>
  <si>
    <t>The Western Union Company</t>
  </si>
  <si>
    <t>12500 East Belford Avenue, Englewood, Colorado, 80112, United States</t>
  </si>
  <si>
    <t>The Williams Companies, Inc.</t>
  </si>
  <si>
    <t>One Williams Center, Tulsa, Oklahoma, 74172, United States</t>
  </si>
  <si>
    <t>Thermo Fisher Scientific Inc.</t>
  </si>
  <si>
    <t>168 Third Avenue, Waltham, Massachusetts, 02451, United States</t>
  </si>
  <si>
    <t>Tiffany &amp; Co.</t>
  </si>
  <si>
    <t>Specialty Stores</t>
  </si>
  <si>
    <t>727 Fifth Avenue, New York, New York, 10022, United States</t>
  </si>
  <si>
    <t>Torchmark Corporation</t>
  </si>
  <si>
    <t>3700 South Stonebridge Drive, McKinney, Texas, 75070, United States</t>
  </si>
  <si>
    <t>Total System Services, Inc.</t>
  </si>
  <si>
    <t>One TSYS Way, Columbus, Georgia, 31901, United States</t>
  </si>
  <si>
    <t>Tractor Supply Company</t>
  </si>
  <si>
    <t>5401 Virginia Way, Brentwood, Tennessee, 37027, United States</t>
  </si>
  <si>
    <t>TransDigm Group Incorporated</t>
  </si>
  <si>
    <t>1301 East 9th Street, Suite 3000, Cleveland, Ohio, 44114, United States</t>
  </si>
  <si>
    <t>TripAdvisor, Inc.</t>
  </si>
  <si>
    <t>400 1st Avenue, Needham, Massachusetts, 02494, United States</t>
  </si>
  <si>
    <t>Twenty-First Century Fox, Inc.</t>
  </si>
  <si>
    <t>Twitter, Inc.</t>
  </si>
  <si>
    <t>1355 Market Street, Suite 900, San Francisco, California, 94103, United States</t>
  </si>
  <si>
    <t>Tyson Foods, Inc.</t>
  </si>
  <si>
    <t>2200 Don Tyson Parkway, Springdale, Arkansas, 72762, United States</t>
  </si>
  <si>
    <t>U.S. Bancorp</t>
  </si>
  <si>
    <t>800 Nicollet Mall, Minneapolis, Minnesota, 55402, United States</t>
  </si>
  <si>
    <t>UDR, Inc.</t>
  </si>
  <si>
    <t>1745 Shea Center Drive, Suite 200, Highlands Ranch, Colorado, 80129, United States</t>
  </si>
  <si>
    <t>Ulta Beauty, Inc.</t>
  </si>
  <si>
    <t>1000 Remington Boulevard, Suite 120, Bolingbrook, Illinois, 60440, United States</t>
  </si>
  <si>
    <t>Under Armour, Inc.</t>
  </si>
  <si>
    <t>1020 Hull Street, Baltimore, Maryland, 21230, United States</t>
  </si>
  <si>
    <t>Union Pacific Corporation</t>
  </si>
  <si>
    <t>1400 Douglas Street, Omaha, Nebraska, 68179, United States</t>
  </si>
  <si>
    <t>United Continental Holdings, Inc.</t>
  </si>
  <si>
    <t>233 South Wacker Drive, Chicago, Illinois, 60606, United States</t>
  </si>
  <si>
    <t>United Parcel Service, Inc.</t>
  </si>
  <si>
    <t>55 Glenlake Parkway, N.E., Atlanta, Georgia, 30328, United States</t>
  </si>
  <si>
    <t>United Rentals, Inc.</t>
  </si>
  <si>
    <t>100 First Stamford Place, Suite 700, Stamford, Connecticut, 06902, United States</t>
  </si>
  <si>
    <t>United Technologies Corporation</t>
  </si>
  <si>
    <t>10 Farm Springs Road, Farmington, Connecticut, 06032, United States</t>
  </si>
  <si>
    <t>UnitedHealth Group Incorporated</t>
  </si>
  <si>
    <t>UnitedHealth Group Center, 9900 Bren Road East, Minnetonka, Minnesota, 55343, United States</t>
  </si>
  <si>
    <t>Universal Health Services, Inc.</t>
  </si>
  <si>
    <t>Universal Corporate Center, 367 South Gulph Road, PO Box 61558, King Of Prussia, Pennsylvania, 19406, United States</t>
  </si>
  <si>
    <t>Unum Group</t>
  </si>
  <si>
    <t>1 Fountain Square, Chattanooga, Tennessee, 37402, United States</t>
  </si>
  <si>
    <t>V.F. Corporation</t>
  </si>
  <si>
    <t>105 Corporate Center Boulevard, Greensboro, North Carolina, 27408, United States</t>
  </si>
  <si>
    <t>Valero Energy Corporation</t>
  </si>
  <si>
    <t>One Valero Way, San Antonio, Texas, 78249, United States</t>
  </si>
  <si>
    <t>Varian Medical Systems, Inc.</t>
  </si>
  <si>
    <t>3100 Hansen Way, Palo Alto, California, 94304, United States</t>
  </si>
  <si>
    <t>Ventas, Inc.</t>
  </si>
  <si>
    <t>353 North Clark Street, Suite 3300, Chicago, Illinois, 60654, United States</t>
  </si>
  <si>
    <t>VeriSign, Inc.</t>
  </si>
  <si>
    <t>12061 Bluemont Way, Reston, Virginia, 20190, United States</t>
  </si>
  <si>
    <t>Verisk Analytics, Inc.</t>
  </si>
  <si>
    <t>545 Washington Boulevard, Jersey City, New Jersey, 07310, United States</t>
  </si>
  <si>
    <t>Verizon Communications Inc.</t>
  </si>
  <si>
    <t>1095 Avenue of the Americas, New York, New York, 10036, United States</t>
  </si>
  <si>
    <t>Vertex Pharmaceuticals Incorporated</t>
  </si>
  <si>
    <t>50 Northern Avenue, Boston, Massachusetts, 02210, United States</t>
  </si>
  <si>
    <t>Viacom, Inc.</t>
  </si>
  <si>
    <t>1515 Broadway, New York, New York, 10036, United States</t>
  </si>
  <si>
    <t>Visa Inc.</t>
  </si>
  <si>
    <t>PO Box 8999, San Francisco, California, 94128, United States</t>
  </si>
  <si>
    <t>Vornado Realty Trust</t>
  </si>
  <si>
    <t>888 Seventh Avenue, New York, New York, 10019, United States</t>
  </si>
  <si>
    <t>Vulcan Materials Company</t>
  </si>
  <si>
    <t>1200 Urban Center Drive, Birmingham, Alabama, 35242, United States</t>
  </si>
  <si>
    <t>W.W. Grainger, Inc.</t>
  </si>
  <si>
    <t>100 Grainger Parkway, Lake Forest, Illinois, 60045, United States</t>
  </si>
  <si>
    <t>Walgreens Boots Alliance, Inc.</t>
  </si>
  <si>
    <t>Drug Retail</t>
  </si>
  <si>
    <t>108 Wilmot Road, Deerfield, Illinois, 60015, United States</t>
  </si>
  <si>
    <t>Walmart Inc.</t>
  </si>
  <si>
    <t>702 SW 8th Street, Bentonville, Arkansas, 72716, United States</t>
  </si>
  <si>
    <t>Waste Management, Inc.</t>
  </si>
  <si>
    <t>1001 Fannin Street, Suite 4000, Houston, Texas, 77002, United States</t>
  </si>
  <si>
    <t>Waters Corporation</t>
  </si>
  <si>
    <t>34 Maple Street, Milford, Massachusetts, 01757, United States</t>
  </si>
  <si>
    <t>WEC Energy Group, Inc.</t>
  </si>
  <si>
    <t>231 West Michigan Street, Milwaukee, Wisconsin, 53203, United States</t>
  </si>
  <si>
    <t>WellCare Health Plans, Inc.</t>
  </si>
  <si>
    <t>8725 Henderson Road, Renaissance One, Tampa, Florida, 33634, United States</t>
  </si>
  <si>
    <t>Wells Fargo &amp; Company</t>
  </si>
  <si>
    <t>420 Montgomery Street, San Francisco, California, 94163, United States</t>
  </si>
  <si>
    <t>Welltower Inc.</t>
  </si>
  <si>
    <t>4500 Dorr Street, Toledo, Ohio, 43615, United States</t>
  </si>
  <si>
    <t>Western Digital Corporation</t>
  </si>
  <si>
    <t>5601 Great Oaks Parkway, San Jose, California, 95119, United States</t>
  </si>
  <si>
    <t>WestRock Company</t>
  </si>
  <si>
    <t>1000 Abernathy Road, Suite L-2, Atlanta, Georgia, 30328, United States</t>
  </si>
  <si>
    <t>Weyerhaeuser Company</t>
  </si>
  <si>
    <t>220 Occidental Avenue South, Seattle, Washington, 98104, United States</t>
  </si>
  <si>
    <t>Whirlpool Corporation</t>
  </si>
  <si>
    <t>Household Appliances</t>
  </si>
  <si>
    <t>2000 North M-63, Benton Harbor, Michigan, 49022, United States</t>
  </si>
  <si>
    <t>Willis Towers Watson Public Limited Company</t>
  </si>
  <si>
    <t>51 Lime Street, London, Greater London, EC3M 7DQ, United Kingdom</t>
  </si>
  <si>
    <t>Wynn Resorts, Limited</t>
  </si>
  <si>
    <t>3131 Las Vegas Boulevard South, Las Vegas, Nevada, 89109, United States</t>
  </si>
  <si>
    <t>Xcel Energy Inc.</t>
  </si>
  <si>
    <t>414 Nicollet Mall, Minneapolis, Minnesota, 55401, United States</t>
  </si>
  <si>
    <t>Xerox Corporation</t>
  </si>
  <si>
    <t>201 Merritt 7, PO Box 4505, Norwalk, Connecticut, 06851, United States</t>
  </si>
  <si>
    <t>Xilinx, Inc.</t>
  </si>
  <si>
    <t>2100 Logic Drive, San Jose, California, 95124, United States</t>
  </si>
  <si>
    <t>Xylem Inc.</t>
  </si>
  <si>
    <t>1 International Drive, Rye Brook, New York, 10573, United States</t>
  </si>
  <si>
    <t>YUM! Brands, Inc.</t>
  </si>
  <si>
    <t>1441 Gardiner Lane, Louisville, Kentucky, 40213, United States</t>
  </si>
  <si>
    <t>Zimmer Biomet Holdings, Inc.</t>
  </si>
  <si>
    <t>345 East Main Street, Warsaw, Indiana, 46580, United States</t>
  </si>
  <si>
    <t>Zions Bancorporation, National Association</t>
  </si>
  <si>
    <t>One South Main, 11th Floor, Salt Lake City, Utah, 84133, United States</t>
  </si>
  <si>
    <t>Zoetis Inc.</t>
  </si>
  <si>
    <t>10 Sylvan Way, Parsippany, New Jersey, 07054, United States</t>
  </si>
  <si>
    <t>Actual and Estimated EPS</t>
  </si>
  <si>
    <t xml:space="preserve">Actual </t>
  </si>
  <si>
    <t>Estimated</t>
  </si>
  <si>
    <t>Start Date (for Index Pricing)</t>
  </si>
  <si>
    <t>AwABTAVMT0NBTAFI/////wFQ2wQAAB9DSVEuXlNQWC5JUV9QUklDRURBVEUuNC8xNy8yMDE1AQAAAJu4KAAFAAAACTQvMTcvMjAxNQBjYj3A3TTWCFPXHcHdNNYIIENJUS5eU1BYLklRX1BSSUNFREFURS4xMC8xNi8yMDE3AQAAAJu4KAAFAAAACjEwLzE2LzIwMTcAs5ZAwN001gjDWSHB3TTWCB9DSVEuXlNQWC5JUV9QUklDRURBVEUuOS8xOS8yMDE2AQAAAJu4KAAFAAAACTkvMTkvMjAxNgBDhT/A3TTWCCO1JMHdNNYIH0NJUS5eU1BYLklRX1BSSUNFREFURS4xMS8xLzIwMTcBAAAAm7goAAUAAAAJMTEvMS8yMDE3ALOWQMDdNNYIsxQmwd001ggeQ0lRLl5TUFguSVFfUFJJQ0VEQVRFLjIvNC8yMDE0AQAAAJu4KAAFAAAACDIvNC8yMDE0APNQPMDdNNYIAxQdwd001gggQ0lRLl5TUFguSVFfUFJJQ0VEQVRFLjExLzEzLzIwMTcBAAAAm7goAAUAAAAKMTEvMTMvMjAxNwCzlkDA3TTWCIPbG8HdNNYIH0NJUS5eU1BYLklRX1BSSUNFREFURS4xLzI5LzIwMTQBAAAAm7goAAUAAAAJMS8yOS8yMDE0APNQPMDdNNYI07wXwd001ggeQ0lRLl5TUFguSVFfUFJJQ0VEQVRFLjMvNy8yMDE4AQAAAJu4KAAFAAAACDMvNy8yMDE4AMO9QMDdNNYI44kmwd001ggeQ0lRLl5TUFguSVFfUFJJQ0VEQVRFLjQvNC8yMDE4AQAAAJu4KAAFAAAACDQvNC8yMDE4ANPkQMDdNNYIs1Acwd001ggfQ0lRLl5TUFguSVFfUFJJQ0VEQVRF</t>
  </si>
  <si>
    <t>LjIvMjMvMjAxOAEAAACbuCgABQAAAAkyLzIzLzIwMTgAw71AwN001gijKRzB3TTWCB5DSVEuXlNQWC5JUV9QUklDRURBVEUuMy80LzIwMTYBAAAAm7goAAUAAAAIMy80LzIwMTYAExA/wN001ghD5SnB3TTWCCBDSVEuXlNQWC5JUV9QUklDRURBVEUuMTAvMjkvMjAxNAEAAACbuCgABQAAAAoxMC8yOS8yMDE0ADPtPMDdNNYIU6IRwd001ggeQ0lRLl5TUFguSVFfUFJJQ0VEQVRFLjkvOS8yMDE2AQAAAJu4KAAFAAAACDkvOS8yMDE2AEOFP8DdNNYIM8UTwd001ggeQ0lRLl5TUFguSVFfUFJJQ0VEQVRFLjcvMi8yMDE1AQAAAJu4KAAFAAAACDcvMi8yMDE1ANNzPsDdNNYIk80Pwd001gggQ0lRLl5TUFguSVFfUFJJQ0VEQVRFLjEwLzE4LzIwMTcBAAAAm7goAAUAAAAKMTAvMTgvMjAxNwCzlkDA3TTWCAO6K8HdNNYIIENJUS5eU1BYLklRX1BSSUNFREFURS4xMS8xMS8yMDE1AQAAAJu4KAAFAAAACjExLzExLzIwMTUA88E+wN001gjTaRDB3TTWCB9DSVEuXlNQWC5JUV9QUklDRURBVEUuNy8zMS8yMDE1AQAAAJu4KAAFAAAACTcvMzEvMjAxNQDjmj7A3TTWCJPND8HdNNYIH0NJUS5eU1BYLklRX1BSSUNFREFURS4xLzE1LzIwMTUBAAAAm7goAAUAAAAJMS8xNS8yMDE1AEMUPcDdNNYIE5UOwd001ggeQ0lRLl5TUFguSVFfUFJJQ0VEQVRFLjUvMS8yMDE3AQAAAJu4KAAFAAAACDUvMS8yMDE3AIMhQMDdNNYIo9YU</t>
  </si>
  <si>
    <t>wd001ggfQ0lRLl5TUFguSVFfUFJJQ0VEQVRFLjMvMjcvMjAxNwEAAACbuCgABQAAAAkzLzI3LzIwMTcAc/o/wN001giTrxTB3TTWCB9DSVEuXlNQWC5JUV9QUklDRURBVEUuNi8yMy8yMDE2AQAAAJu4KAAFAAAACTYvMjMvMjAxNgAzXj/A3TTWCNMPH8HdNNYIHkNJUS5eU1BYLklRX1BSSUNFREFURS4xLzkvMjAxOAEAAACbuCgABQAAAAgxLzkvMjAxOADDvUDA3TTWCOOnIcHdNNYIHkNJUS5eU1BYLklRX1BSSUNFREFURS4zLzYvMjAxNAEAAACbuCgABQAAAAgzLzYvMjAxNADzUDzA3TTWCNMWCcHdNNYIH0NJUS5eU1BYLklRX1BSSUNFREFURS42LzExLzIwMTQBAAAAm7goAAUAAAAJNi8xMS8yMDE0ABOfPMDdNNYII5cpwd001ggeQ0lRLl5TUFguSVFfUFJJQ0VEQVRFLjQvOC8yMDE1AQAAAJu4KAAFAAAACDQvOC8yMDE1AFM7PcDdNNYIY1gPwd001ggfQ0lRLl5TUFguSVFfUFJJQ0VEQVRFLjEwLzQvMjAxNgEAAACbuCgABQAAAAkxMC80LzIwMTYAQ4U/wN001ggjtSTB3TTWCB5DSVEuXlNQWC5JUV9QUklDRURBVEUuOS8zLzIwMTUBAAAAm7goAAUAAAAIOS8zLzIwMTUA45o+wN001gizGxDB3TTWCB9DSVEuXlNQWC5JUV9QUklDRURBVEUuNC8yNS8yMDE0AQAAAJu4KAAFAAAACTQvMjUvMjAxNAADeDzA3TTWCBP/JsHdNNYIHkNJUS5eU1BYLklRX1BSSUNFREFURS40LzEvMjAxNgEAAACbuCgABQAAAAg0</t>
  </si>
  <si>
    <t>LzEvMjAxNgAjNz/A3TTWCNPaEsHdNNYIIENJUS5eU1BYLklRX1BSSUNFREFURS4xMS8yMS8yMDE2AQAAAJu4KAAFAAAACjExLzIxLzIwMTYAU6w/wN001ggDoxrB3TTWCB9DSVEuXlNQWC5JUV9QUklDRURBVEUuNy8xMy8yMDE3AQAAAJu4KAAFAAAACTcvMTMvMjAxNwCjb0DA3TTWCFNmG8HdNNYIHkNJUS5eU1BYLklRX1BSSUNFREFURS42LzkvMjAxNAEAAACbuCgABQAAAAg2LzkvMjAxNAATnzzA3TTWCGPgIsHdNNYIH0NJUS5eU1BYLklRX1BSSUNFREFURS4xLzI2LzIwMTcBAAAAm7goAAUAAAAJMS8yNi8yMDE3AGPTP8DdNNYII9Mfwd001ggfQ0lRLl5TUFguSVFfUFJJQ0VEQVRFLjYvMjYvMjAxOAEAAACbuCgABQAAAAk2LzI2LzIwMTgA4wtBwN001gjTnhzB3TTWCB9DSVEuXlNQWC5JUV9QUklDRURBVEUuNC8xMy8yMDE4AQAAAJu4KAAFAAAACTQvMTMvMjAxOADT5EDA3TTWCHPSFsHdNNYIH0NJUS5eU1BYLklRX1BSSUNFREFURS4xMC80LzIwMTgBAAAAm7goAAUAAAAJMTAvNC8yMDE4APMyQcDdNNYIAxQdwd001ggfQ0lRLl5TUFguSVFfUFJJQ0VEQVRFLjYvMjkvMjAxNQEAAACbuCgABQAAAAk2LzI5LzIwMTUA03M+wN001ghjHBnB3TTWCB9DSVEuXlNQWC5JUV9QUklDRURBVEUuOS8xNi8yMDE1AQAAAJu4KAAFAAAACTkvMTYvMjAxNQDzwT7A3TTWCLMbEMHdNNYIH0NJUS5eU1BYLklRX1BSSUNF</t>
  </si>
  <si>
    <t>REFURS45LzE5LzIwMTcBAAAAm7goAAUAAAAJOS8xOS8yMDE3AKNvQMDdNNYI85Irwd001ggeQ0lRLl5TUFguSVFfUFJJQ0VEQVRFLjcvNS8yMDE3AQAAAJu4KAAFAAAACDcvNS8yMDE3AJNIQMDdNNYI4/oowd001ggfQ0lRLl5TUFguSVFfUFJJQ0VEQVRFLjkvMjcvMjAxOAEAAACbuCgABQAAAAk5LzI3LzIwMTgA4wtBwN001gjDlRfB3TTWCB5DSVEuXlNQWC5JUV9QUklDRURBVEUuMS84LzIwMTYBAAAAm7goAAUAAAAIMS84LzIwMTYAA+k+wN001gjDHSvB3TTWCB9DSVEuXlNQWC5JUV9QUklDRURBVEUuOS8xNC8yMDE3AQAAAJu4KAAFAAAACTkvMTQvMjAxNwCjb0DA3TTWCLMyIcHdNNYIHkNJUS5eU1BYLklRX1BSSUNFREFURS40LzkvMjAxOAEAAACbuCgABQAAAAg0LzkvMjAxOADT5EDA3TTWCHPSFsHdNNYIH0NJUS5eU1BYLklRX1BSSUNFREFURS43LzIwLzIwMTgBAAAAm7goAAUAAAAJNy8yMC8yMDE4AOMLQcDdNNYIo0cXwd001ggeQ0lRLl5TUFguSVFfUFJJQ0VEQVRFLjcvNy8yMDE1AQAAAJu4KAAFAAAACDcvNy8yMDE1AOOaPsDdNNYI89ULwd001ggfQ0lRLl5TUFguSVFfUFJJQ0VEQVRFLjcvMjIvMjAxNQEAAACbuCgABQAAAAk3LzIyLzIwMTUA45o+wN001gizoyPB3TTWCB9DSVEuXlNQWC5JUV9QUklDRURBVEUuNS8xNS8yMDE3AQAAAJu4KAAFAAAACTUvMTUvMjAxNwCTSEDA3TTWCFNIIMHd</t>
  </si>
  <si>
    <t>NNYIIENJUS5eU1BYLklRX1BSSUNFREFURS4xMS8xMS8yMDE0AQAAAJu4KAAFAAAACjExLzExLzIwMTQAM+08wN001gjzRg7B3TTWCB9DSVEuXlNQWC5JUV9QUklDRURBVEUuMS8zMC8yMDE1AQAAAJu4KAAFAAAACTEvMzAvMjAxNQBDFD3A3TTWCIPECsHdNNYIJ0NJUS5OWVNFOk1NTS5JUV9QRV9FWENMLjIwMDAuMTAvMTgvMjAxOAEAAACqaQQAAgAAAAgyOC4wNzY5OAEHAAAABQAAAAExAQAAAAoxODk3MzI0MjY4AwAAAAEwAgAAAAYxMDAwMjcEAAAAATAHAAAACjEwLzE3LzIwMTgIAAAACjEwLzE3LzIwMTgTzPy+3TTWCGMFCMHdNNYIHkNJUS5eU1BYLklRX1BSSUNFREFURS4xLzcvMjAxNQEAAACbuCgABQAAAAgxLzcvMjAxNQBDFD3A3TTWCHOdCsHdNNYIHkNJUS5eU1BYLklRX1BSSUNFREFURS41LzcvMjAxOAEAAACbuCgABQAAAAg1LzcvMjAxOADT5EDA3TTWCIP5FsHdNNYIHkNJUS5eU1BYLklRX1BSSUNFREFURS45LzcvMjAxOAEAAACbuCgABQAAAAg5LzcvMjAxOADjC0HA3TTWCBNwKcHdNNYIH0NJUS5eU1BYLklRX1BSSUNFREFURS40LzI2LzIwMTYBAAAAm7goAAUAAAAJNC8yNi8yMDE2ACM3P8DdNNYI8z8kwd001ggfQ0lRLl5TUFguSVFfUFJJQ0VEQVRFLjUvMTAvMjAxNgEAAACbuCgABQAAAAk1LzEwLzIwMTYAIzc/wN001gjzPyTB3TTWCB9DSVEuXlNQWC5JUV9QUklDRURBVEUuNS8xOC8y</t>
  </si>
  <si>
    <t>MDE3AQAAAJu4KAAFAAAACTUvMTgvMjAxNwCTSEDA3TTWCPOSK8HdNNYIH0NJUS5eU1BYLklRX1BSSUNFREFURS40LzI1LzIwMTgBAAAAm7goAAUAAAAJNC8yNS8yMDE4ANPkQMDdNNYIg/kWwd001ggeQ0lRLl5TUFguSVFfUFJJQ0VEQVRFLjgvOC8yMDE0AQAAAJu4KAAFAAAACDgvOC8yMDE0ACPGPMDdNNYIMwEKwd001gggQ0lRLl5TUFguSVFfUFJJQ0VEQVRFLjEwLzExLzIwMTgBAAAAm7goAAUAAAAKMTAvMTEvMjAxOADzMkHA3TTWCAMUHcHdNNYIH0NJUS5eU1BYLklRX1BSSUNFREFURS44LzE3LzIwMTUBAAAAm7goAAUAAAAJOC8xNy8yMDE1AOOaPsDdNNYIkz4Swd001gggQ0lRLl5TUFguSVFfUFJJQ0VEQVRFLjExLzIxLzIwMTcBAAAAm7goAAUAAAAKMTEvMjEvMjAxNwCzlkDA3TTWCNOAIcHdNNYIHkNJUS5eU1BYLklRX1BSSUNFREFURS42LzkvMjAxNQEAAACbuCgABQAAAAg2LzkvMjAxNQDTcz7A3TTWCIMXEsHdNNYIHkNJUS5eU1BYLklRX1BSSUNFREFURS44LzIvMjAxNwEAAACbuCgABQAAAAg4LzIvMjAxNwCjb0DA3TTWCJPGJcHdNNYIH0NJUS5eU1BYLklRX1BSSUNFREFURS40LzE3LzIwMTgBAAAAm7goAAUAAAAJNC8xNy8yMDE4ANPkQMDdNNYIk6gqwd001ggfQ0lRLl5TUFguSVFfUFJJQ0VEQVRFLjUvMjgvMjAxNAEAAACbuCgABQAAAAk1LzI4LzIwMTQAE588wN001ggTWRjB3TTWCB5D</t>
  </si>
  <si>
    <t>SVEuXlNQWC5JUV9QUklDRURBVEUuNS85LzIwMTcBAAAAm7goAAUAAAAINS85LzIwMTcAgyFAwN001ghzeCXB3TTWCB9DSVEuXlNQWC5JUV9QUklDRURBVEUuOC8xNS8yMDE3AQAAAJu4KAAFAAAACTgvMTUvMjAxNwCjb0DA3TTWCKMLIcHdNNYIIENJUS5eU1BYLklRX1BSSUNFREFURS4xMS8xOS8yMDE1AQAAAJu4KAAFAAAACjExLzE5LzIwMTUA88E+wN001ghDmQzB3TTWCB9DSVEuXlNQWC5JUV9QUklDRURBVEUuOS8xNi8yMDE0AQAAAJu4KAAFAAAACTkvMTYvMjAxNAAjxjzA3TTWCNP4DcHdNNYIIENJUS5eU1BYLklRX1BSSUNFREFURS4xMC8yMy8yMDE0AQAAAJu4KAAFAAAACjEwLzIzLzIwMTQAM+08wN001ggzpxjB3TTWCB9DSVEuXlNQWC5JUV9QUklDRURBVEUuMS8zMS8yMDE0AQAAAJu4KAAFAAAACTEvMzEvMjAxNADzUDzA3TTWCAMyGMHdNNYIHkNJUS5eU1BYLklRX1BSSUNFREFURS43LzUvMjAxNgEAAACbuCgABQAAAAg3LzUvMjAxNgAzXj/A3TTWCANnJMHdNNYIH0NJUS5eU1BYLklRX1BSSUNFREFURS4zLzIwLzIwMTcBAAAAm7goAAUAAAAJMy8yMC8yMDE3AHP6P8DdNNYIMxgbwd001ggfQ0lRLl5TUFguSVFfUFJJQ0VEQVRFLjEvMTIvMjAxNgEAAACbuCgABQAAAAkxLzEyLzIwMTYAExA/wN001giTkRnB3TTWCB5DSVEuXlNQWC5JUV9QUklDRURBVEUuNi8xLzIwMTgBAAAAm7goAAUAAAAI</t>
  </si>
  <si>
    <t>Ni8xLzIwMTgA0+RAwN001giDECjB3TTWCB9DSVEuXlNQWC5JUV9QUklDRURBVEUuOS8xNC8yMDE2AQAAAJu4KAAFAAAACTkvMTQvMjAxNgBDhT/A3TTWCONUGsHdNNYIH0NJUS5eU1BYLklRX1BSSUNFREFURS4xMi82LzIwMTYBAAAAm7goAAUAAAAJMTIvNi8yMDE2AFOsP8DdNNYIYzMqwd001gggQ0lRLl5TUFguSVFfUFJJQ0VEQVRFLjEwLzIxLzIwMTYBAAAAm7goAAUAAAAKMTAvMjEvMjAxNgBDhT/A3TTWCPN7GsHdNNYIHkNJUS5eU1BYLklRX1BSSUNFREFURS44LzkvMjAxNgEAAACbuCgABQAAAAg4LzkvMjAxNgAzXj/A3TTWCOM2H8HdNNYIH0NJUS5eU1BYLklRX1BSSUNFREFURS44LzI2LzIwMTYBAAAAm7goAAUAAAAJOC8yNi8yMDE2AEOFP8DdNNYI09Mowd001ggfQ0lRLl5TUFguSVFfUFJJQ0VEQVRFLjEyLzkvMjAxNQEAAACbuCgABQAAAAkxMi85LzIwMTUAA+k+wN001gijZRLB3TTWCB5DSVEuXlNQWC5JUV9QUklDRURBVEUuNi81LzIwMTcBAAAAm7goAAUAAAAINi81LzIwMTcAk0hAwN001giz/RTB3TTWCB9DSVEuXlNQWC5JUV9QUklDRURBVEUuOS8xNy8yMDE0AQAAAJu4KAAFAAAACTkvMTcvMjAxNAAjxjzA3TTWCHMHI8HdNNYIH0NJUS5eU1BYLklRX1BSSUNFREFURS44LzI1LzIwMTQBAAAAm7goAAUAAAAJOC8yNS8yMDE0ACPGPMDdNNYII4AYwd001ggeQ0lRLl5TUFguSVFfUFJJQ0VE</t>
  </si>
  <si>
    <t>QVRFLjQvNi8yMDE1AQAAAJu4KAAFAAAACDQvNi8yMDE1AFM7PcDdNNYIoxILwd001ggfQ0lRLl5TUFguSVFfUFJJQ0VEQVRFLjYvMTUvMjAxNwEAAACbuCgABQAAAAk2LzE1LzIwMTcAk0hAwN001giz/RTB3TTWCB9DSVEuXlNQWC5JUV9QUklDRURBVEUuNS8xOC8yMDE2AQAAAJu4KAAFAAAACTUvMTgvMjAxNgAjNz/A3TTWCPM/JMHdNNYIH0NJUS5eU1BYLklRX1BSSUNFREFURS4zLzE3LzIwMTYBAAAAm7goAAUAAAAJMy8xNy8yMDE2ABMQP8DdNNYI4xgkwd001ggfQ0lRLl5TUFguSVFfUFJJQ0VEQVRFLjgvMTgvMjAxNwEAAACbuCgABQAAAAk4LzE4LzIwMTcAo29AwN001gjzkivB3TTWCB9DSVEuXlNQWC5JUV9QUklDRURBVEUuNy8xNC8yMDE0AQAAAJu4KAAFAAAACTcvMTQvMjAxNAATnzzA3TTWCCNiHcHdNNYIH0NJUS5eU1BYLklRX1BSSUNFREFURS4zLzE4LzIwMTUBAAAAm7goAAUAAAAJMy8xOC8yMDE1AFM7PcDdNNYIoxILwd001ggfQ0lRLl5TUFguSVFfUFJJQ0VEQVRFLjQvMTAvMjAxNQEAAACbuCgABQAAAAk0LzEwLzIwMTUAY2I9wN001gizOQvB3TTWCB9DSVEuXlNQWC5JUV9QUklDRURBVEUuOS8yNi8yMDE2AQAAAJu4KAAFAAAACTkvMjYvMjAxNgBDhT/A3TTWCCO1JMHdNNYIH0NJUS5eU1BYLklRX1BSSUNFREFURS4zLzI3LzIwMTQBAAAAm7goAAUAAAAJMy8yNy8yMDE0APNQPMDdNNYI</t>
  </si>
  <si>
    <t>4+MXwd001ggeQ0lRLl5TUFguSVFfUFJJQ0VEQVRFLjQvNC8yMDE3AQAAAJu4KAAFAAAACDQvNC8yMDE3AIMhQMDdNNYIMxgbwd001ggfQ0lRLl5TUFguSVFfUFJJQ0VEQVRFLjYvMTcvMjAxNQEAAACbuCgABQAAAAk2LzE3LzIwMTUA03M+wN001ghj/h3B3TTWCB9DSVEuXlNQWC5JUV9QUklDRURBVEUuNS8yMi8yMDE4AQAAAJu4KAAFAAAACTUvMjIvMjAxOADT5EDA3TTWCAPYJsHdNNYIHkNJUS5eU1BYLklRX1BSSUNFREFURS4zLzYvMjAxNwEAAACbuCgABQAAAAgzLzYvMjAxNwBz+j/A3TTWCDMYG8HdNNYIH0NJUS5eU1BYLklRX1BSSUNFREFURS4xMS82LzIwMTQBAAAAm7goAAUAAAAJMTEvNi8yMDE0ADPtPMDdNNYIQ84Ywd001ggfQ0lRLl5TUFguSVFfUFJJQ0VEQVRFLjEvMTMvMjAxNAEAAACbuCgABQAAAAkxLzEzLzIwMTQA4yk8wN001gizyAjB3TTWCB5DSVEuXlNQWC5JUV9QUklDRURBVEUuOC8yLzIwMTYBAAAAm7goAAUAAAAIOC8yLzIwMTYAM14/wN001gjjNh/B3TTWCB9DSVEuXlNQWC5JUV9QUklDRURBVEUuNi8yMS8yMDE3AQAAAJu4KAAFAAAACTYvMjEvMjAxNwCTSEDA3TTWCMMkFcHdNNYIH0NJUS5eU1BYLklRX1BSSUNFREFURS4yLzE0LzIwMTgBAAAAm7goAAUAAAAJMi8xNC8yMDE4AMO9QMDdNNYIU4QWwd001ggfQ0lRLl5TUFguSVFfUFJJQ0VEQVRFLjUvMjgvMjAxNQEAAACbuCgA</t>
  </si>
  <si>
    <t>BQAAAAk1LzI4LzIwMTUA03M+wN001ghz8BHB3TTWCB9DSVEuXlNQWC5JUV9QUklDRURBVEUuMS8zMS8yMDE4AQAAAJu4KAAFAAAACTEvMzEvMjAxOADDvUDA3TTWCKMpHMHdNNYIH0NJUS5eU1BYLklRX1BSSUNFREFURS41LzEyLzIwMTUBAAAAm7goAAUAAAAJNS8xMi8yMDE1AGNiPcDdNNYIc38Pwd001ggfQ0lRLl5TUFguSVFfUFJJQ0VEQVRFLjExLzQvMjAxNgEAAACbuCgABQAAAAkxMS80LzIwMTYAU6w/wN001ghTExTB3TTWCCBDSVEuXlNQWC5JUV9QUklDRURBVEUuMTAvMTIvMjAxNQEAAACbuCgABQAAAAoxMC8xMi8yMDE1APPBPsDdNNYIM3IMwd001ggfQ0lRLl5TUFguSVFfUFJJQ0VEQVRFLjYvMjAvMjAxOAEAAACbuCgABQAAAAk2LzIwLzIwMTgA0+RAwN001ggjRCLB3TTWCB9DSVEuXlNQWC5JUV9QUklDRURBVEUuMTIvNC8yMDE1AQAAAJu4KAAFAAAACTEyLzQvMjAxNQAD6T7A3TTWCOOQEMHdNNYIIENJUS5eU1BYLklRX1BSSUNFREFURS4xMC8yMy8yMDE1AQAAAJu4KAAFAAAACjEwLzIzLzIwMTUA88E+wN001gijZRLB3TTWCB9DSVEuXlNQWC5JUV9QUklDRURBVEUuMy8yNi8yMDE0AQAAAJu4KAAFAAAACTMvMjYvMjAxNADzUDzA3TTWCHMODcHdNNYIH0NJUS5eU1BYLklRX1BSSUNFREFURS4xLzExLzIwMTYBAAAAm7goAAUAAAAJMS8xMS8yMDE2ABMQP8DdNNYIs4wSwd001gggQ0lRLl5T</t>
  </si>
  <si>
    <t>UFguSVFfUFJJQ0VEQVRFLjEyLzMxLzIwMTQBAAAAm7goAAUAAAAKMTIvMzEvMjAxNABDFD3A3TTWCHOdCsHdNNYIH0NJUS5eU1BYLklRX1BSSUNFREFURS41LzMwLzIwMTcBAAAAm7goAAUAAAAJNS8zMC8yMDE3AJNIQMDdNNYIs/0Uwd001ggfQ0lRLl5TUFguSVFfUFJJQ0VEQVRFLjUvMzEvMjAxNgEAAACbuCgABQAAAAk1LzMxLzIwMTYAIzc/wN001gjDBhrB3TTWCCBDSVEuXlNQWC5JUV9QUklDRURBVEUuMTEvMjkvMjAxNgEAAACbuCgABQAAAAoxMS8yOS8yMDE2AFOsP8DdNNYIUxMUwd001ggeQ0lRLl5TUFguSVFfUFJJQ0VEQVRFLjYvNS8yMDE4AQAAAJu4KAAFAAAACDYvNS8yMDE4ANPkQMDdNNYIkyAXwd001ggfQ0lRLl5TUFguSVFfUFJJQ0VEQVRFLjEyLzYvMjAxNwEAAACbuCgABQAAAAkxMi82LzIwMTcAs5ZAwN001giTAhzB3TTWCB9DSVEuXlNQWC5JUV9QUklDRURBVEUuMy8yNC8yMDE2AQAAAJu4KAAFAAAACTMvMjQvMjAxNgATED/A3TTWCOMYJMHdNNYIHkNJUS5eU1BYLklRX1BSSUNFREFURS44LzkvMjAxNwEAAACbuCgABQAAAAg4LzkvMjAxNwCjb0DA3TTWCJPGJcHdNNYIH0NJUS5eU1BYLklRX1BSSUNFREFURS4xMi85LzIwMTQBAAAAm7goAAUAAAAJMTIvOS8yMDE0AEMUPcDdNNYIQ84Ywd001ggeQ0lRLl5TUFguSVFfUFJJQ0VEQVRFLjEvNi8yMDE3AQAAAJu4KAAFAAAACDEvNi8y</t>
  </si>
  <si>
    <t>MDE3AGPTP8DdNNYIYzMqwd001ggeQ0lRLl5TUFguSVFfUFJJQ0VEQVRFLjUvNS8yMDE1AQAAAJu4KAAFAAAACDUvNS8yMDE1AGNiPcDdNNYIc/ARwd001ggfQ0lRLl5TUFguSVFfUFJJQ0VEQVRFLjkvMjQvMjAxNQEAAACbuCgABQAAAAk5LzI0LzIwMTUA88E+wN001ggjSwzB3TTWCB9DSVEuXlNQWC5JUV9QUklDRURBVEUuNi8xNS8yMDE2AQAAAJu4KAAFAAAACTYvMTUvMjAxNgAzXj/A3TTWCBN3E8HdNNYIH0NJUS5eU1BYLklRX1BSSUNFREFURS43LzI0LzIwMTQBAAAAm7goAAUAAAAJNy8yNC8yMDE0ACPGPMDdNNYII4AYwd001ggfQ0lRLl5TUFguSVFfUFJJQ0VEQVRFLjYvMTMvMjAxOAEAAACbuCgABQAAAAk2LzEzLzIwMTgA0+RAwN001ggjRCLB3TTWCB9DSVEuXlNQWC5JUV9QUklDRURBVEUuMy8xNy8yMDE3AQAAAJu4KAAFAAAACTMvMTcvMjAxNwBz+j/A3TTWCONrK8HdNNYIH0NJUS5eU1BYLklRX1BSSUNFREFURS4zLzMwLzIwMTYBAAAAm7goAAUAAAAJMy8zMC8yMDE2ACM3P8DdNNYIo7gZwd001ggeQ0lRLl5TUFguSVFfUFJJQ0VEQVRFLjIvOC8yMDE3AQAAAJu4KAAFAAAACDIvOC8yMDE3AHP6P8DdNNYIg4gUwd001ggfQ0lRLl5TUFguSVFfUFJJQ0VEQVRFLjMvMTgvMjAxNAEAAACbuCgABQAAAAkzLzE4LzIwMTQA81A8wN001gjTFgnB3TTWCB9DSVEuXlNQWC5JUV9QUklDRURBVEUuOS8y</t>
  </si>
  <si>
    <t>Ni8yMDE3AQAAAJu4KAAFAAAACTkvMjYvMjAxNwCzlkDA3TTWCGPCJ8HdNNYIIENJUS5eU1BYLklRX1BSSUNFREFURS4xMS8yNC8yMDE3AQAAAJu4KAAFAAAACjExLzI0LzIwMTcAs5ZAwN001gjDOybB3TTWCB9DSVEuXlNQWC5JUV9QUklDRURBVEUuNi8yNi8yMDE1AQAAAJu4KAAFAAAACTYvMjYvMjAxNQDTcz7A3TTWCIOmD8HdNNYIHkNJUS5eU1BYLklRX1BSSUNFREFURS4zLzMvMjAxNwEAAACbuCgABQAAAAgzLzMvMjAxNwBz+j/A3TTWCIOIFMHdNNYIH0NJUS5eU1BYLklRX1BSSUNFREFURS42LzE3LzIwMTQBAAAAm7goAAUAAAAJNi8xNy8yMDE0ABOfPMDdNNYIAzIYwd001gggQ0lRLl5TUFguSVFfUFJJQ0VEQVRFLjExLzEyLzIwMTUBAAAAm7goAAUAAAAKMTEvMTIvMjAxNQDzwT7A3TTWCINqGcHdNNYIH0NJUS5eU1BYLklRX1BSSUNFREFURS44LzE2LzIwMTcBAAAAm7goAAUAAAAJOC8xNi8yMDE3AKNvQMDdNNYIo+0lwd001ggfQ0lRLl5TUFguSVFfUFJJQ0VEQVRFLjMvMjgvMjAxNAEAAACbuCgABQAAAAkzLzI4LzIwMTQA81A8wN001gjjPQnB3TTWCB9DSVEuXlNQWC5JUV9QUklDRURBVEUuMS8yMi8yMDE1AQAAAJu4KAAFAAAACTEvMjIvMjAxNQBDFD3A3TTWCBOVDsHdNNYIH0NJUS5eU1BYLklRX1BSSUNFREFURS4xLzEzLzIwMTUBAAAAm7goAAUAAAAJMS8xMy8yMDE1AEMUPcDdNNYIg8QK</t>
  </si>
  <si>
    <t>wd001ggfQ0lRLl5TUFguSVFfUFJJQ0VEQVRFLjgvMzAvMjAxOAEAAACbuCgABQAAAAk4LzMwLzIwMTgA4wtBwN001ggT4SvB3TTWCB9DSVEuXlNQWC5JUV9QUklDRURBVEUuNC8xMy8yMDE3AQAAAJu4KAAFAAAACTQvMTMvMjAxNwCDIUDA3TTWCEMhIMHdNNYIIENJUS5eU1BYLklRX1BSSUNFREFURS4xMi8yMS8yMDE2AQAAAJu4KAAFAAAACjEyLzIxLzIwMTYAY9M/wN001ghjOhTB3TTWCB9DSVEuXlNQWC5JUV9QUklDRURBVEUuNy8yOS8yMDE1AQAAAJu4KAAFAAAACTcvMjkvMjAxNQDjmj7A3TTWCAP9C8HdNNYIHkNJUS5eU1BYLklRX1BSSUNFREFURS4yLzMvMjAxNgEAAACbuCgABQAAAAgyLzMvMjAxNgATED/A3TTWCLOMEsHdNNYIH0NJUS5eU1BYLklRX1BSSUNFREFURS44LzMxLzIwMTcBAAAAm7goAAUAAAAJOC8zMS8yMDE3AKNvQMDdNNYIo+0lwd001ggfQ0lRLl5TUFguSVFfUFJJQ0VEQVRFLjIvMjQvMjAxNAEAAACbuCgABQAAAAkyLzI0LzIwMTQA81A8wN001gjTFgnB3TTWCB9DSVEuXlNQWC5JUV9QUklDRURBVEUuNS8xMi8yMDE0AQAAAJu4KAAFAAAACTUvMTIvMjAxNAADeDzA3TTWCJNcDcHdNNYIH0NJUS5eU1BYLklRX1BSSUNFREFURS44LzE0LzIwMTUBAAAAm7goAAUAAAAJOC8xNC8yMDE1AOOaPsDdNNYIEyQMwd001ggfQ0lRLl5TUFguSVFfUFJJQ0VEQVRFLjMvMTkvMjAxNAEAAACb</t>
  </si>
  <si>
    <t>uCgABQAAAAkzLzE5LzIwMTQA81A8wN001ggTWRjB3TTWCB9DSVEuXlNQWC5JUV9QUklDRURBVEUuMTIvMS8yMDE1AQAAAJu4KAAFAAAACTEyLzEvMjAxNQAD6T7A3TTWCINqGcHdNNYIIENJUS5eU1BYLklRX1BSSUNFREFURS4xMi8yMi8yMDE0AQAAAJu4KAAFAAAACjEyLzIyLzIwMTQAQxQ9wN001ggDbg7B3TTWCB9DSVEuXlNQWC5JUV9QUklDRURBVEUuNS8zMS8yMDE3AQAAAJu4KAAFAAAACTUvMzEvMjAxNwCTSEDA3TTWCIO9IMHdNNYIIENJUS5eU1BYLklRX1BSSUNFREFURS4xMS8yOS8yMDE3AQAAAJu4KAAFAAAACjExLzI5LzIwMTcAs5ZAwN001ggzNhbB3TTWCB9DSVEuXlNQWC5JUV9QUklDRURBVEUuMy8xMC8yMDE2AQAAAJu4KAAFAAAACTMvMTAvMjAxNgATED/A3TTWCOMYJMHdNNYIH0NJUS5eU1BYLklRX1BSSUNFREFURS40LzE4LzIwMTYBAAAAm7goAAUAAAAJNC8xOC8yMDE2ACM3P8DdNNYI8z8kwd001ggfQ0lRLl5TUFguSVFfUFJJQ0VEQVRFLjcvMjYvMjAxNwEAAACbuCgABQAAAAk3LzI2LzIwMTcAo29AwN001gjTSxXB3TTWCB5DSVEuXlNQWC5JUV9QUklDRURBVEUuMy82LzIwMTgBAAAAm7goAAUAAAAIMy82LzIwMTgAw71AwN001gjzziHB3TTWCCBDSVEuXlNQWC5JUV9QUklDRURBVEUuMTIvMTEvMjAxNQEAAACbuCgABQAAAAoxMi8xMS8yMDE1AAPpPsDdNNYIs4Uowd001ggeQ0lR</t>
  </si>
  <si>
    <t>Ll5TUFguSVFfUFJJQ0VEQVRFLjEvMy8yMDE3AQAAAJu4KAAFAAAACDEvMy8yMDE3AGPTP8DdNNYII9Mfwd001ggfQ0lRLl5TUFguSVFfUFJJQ0VEQVRFLjMvMjAvMjAxNAEAAACbuCgABQAAAAkzLzIwLzIwMTQA81A8wN001ghzDg3B3TTWCB9DSVEuXlNQWC5JUV9QUklDRURBVEUuOS8yMS8yMDE1AQAAAJu4KAAFAAAACTkvMjEvMjAxNQDzwT7A3TTWCJM+EsHdNNYIHkNJUS5eU1BYLklRX1BSSUNFREFURS41LzUvMjAxNAEAAACbuCgABQAAAAg1LzUvMjAxNAADeDzA3TTWCBNZGMHdNNYIH0NJUS5eU1BYLklRX1BSSUNFREFURS4xMC8zLzIwMTQBAAAAm7goAAUAAAAJMTAvMy8yMDE0ADPtPMDdNNYIo14owd001ggeQ0lRLl5TUFguSVFfUFJJQ0VEQVRFLjQvNy8yMDE3AQAAAJu4KAAFAAAACDQvNy8yMDE3AIMhQMDdNNYIc3glwd001ggeQ0lRLl5TUFguSVFfUFJJQ0VEQVRFLjkvNy8yMDE3AQAAAJu4KAAFAAAACDkvNy8yMDE3AKNvQMDdNNYIszIhwd001ggfQ0lRLl5TUFguSVFfUFJJQ0VEQVRFLjcvMjQvMjAxNQEAAACbuCgABQAAAAk3LzI0LzIwMTUA45o+wN001giDFxLB3TTWCB9DSVEuXlNQWC5JUV9QUklDRURBVEUuNC8yMS8yMDE2AQAAAJu4KAAFAAAACTQvMjEvMjAxNgAjNz/A3TTWCLPfGcHdNNYIIENJUS5eU1BYLklRX1BSSUNFREFURS4xMi8xOS8yMDE2AQAAAJu4KAAFAAAACjEyLzE5LzIw</t>
  </si>
  <si>
    <t>MTYAU6w/wN001ghDAyXB3TTWCCBDSVEuXlNQWC5JUV9QUklDRURBVEUuMTIvMTMvMjAxNwEAAACbuCgABQAAAAoxMi8xMy8yMDE3ALOWQMDdNNYIkwIcwd001ggfQ0lRLl5TUFguSVFfUFJJQ0VEQVRFLjMvMzAvMjAxNwEAAACbuCgABQAAAAkzLzMwLzIwMTcAgyFAwN001ghjUSXB3TTWCCBDSVEuXlNQWC5JUV9QUklDRURBVEUuMTIvMjkvMjAxNwEAAACbuCgABQAAAAoxMi8yOS8yMDE3AMO9QMDdNNYIkwIcwd001ggeQ0lRLl5TUFguSVFfUFJJQ0VEQVRFLjIvOC8yMDE2AQAAAJu4KAAFAAAACDIvOC8yMDE2ABMQP8DdNNYI0/Ejwd001gggQ0lRLl5TUFguSVFfUFJJQ0VEQVRFLjEwLzE2LzIwMTgBAAAAm7goAAUAAAAKMTAvMTYvMjAxOADzMkHA3TTWCCMILMHdNNYIH0NJUS5eU1BYLklRX1BSSUNFREFURS4yLzI1LzIwMTYBAAAAm7goAAUAAAAJMi8yNS8yMDE2ABMQP8DdNNYIw6wowd001ggfQ0lRLl5TUFguSVFfUFJJQ0VEQVRFLjYvMjYvMjAxNAEAAACbuCgABQAAAAk2LzI2LzIwMTQAE588wN001gijgw3B3TTWCB5DSVEuXlNQWC5JUV9QUklDRURBVEUuMy8zLzIwMTYBAAAAm7goAAUAAAAIMy8zLzIwMTYAExA/wN001gjDsxLB3TTWCB9DSVEuXlNQWC5JUV9QUklDRURBVEUuMi8xOS8yMDE2AQAAAJu4KAAFAAAACTIvMTkvMjAxNgATED/A3TTWCJORGcHdNNYIHkNJUS5eU1BYLklRX1BSSUNFREFU</t>
  </si>
  <si>
    <t>RS44LzEvMjAxNgEAAACbuCgABQAAAAg4LzEvMjAxNgAzXj/A3TTWCCOeE8HdNNYIHkNJUS5eU1BYLklRX1BSSUNFREFURS41LzYvMjAxNAEAAACbuCgABQAAAAg1LzYvMjAxNAADeDzA3TTWCJNcDcHdNNYIH0NJUS5eU1BYLklRX1BSSUNFREFURS42LzI0LzIwMTYBAAAAm7goAAUAAAAJNi8yNC8yMDE2ADNeP8DdNNYIA2ckwd001gggQ0lRLl5TUFguSVFfUFJJQ0VEQVRFLjEwLzI2LzIwMTUBAAAAm7goAAUAAAAKMTAvMjYvMjAxNQDzwT7A3TTWCNNpEMHdNNYIH0NJUS5eU1BYLklRX1BSSUNFREFURS40LzI0LzIwMTgBAAAAm7goAAUAAAAJNC8yNC8yMDE4ANPkQMDdNNYIA7orwd001ggfQ0lRLl5TUFguSVFfUFJJQ0VEQVRFLjIvMjgvMjAxNwEAAACbuCgABQAAAAkyLzI4LzIwMTcAc/o/wN001ggz+h/B3TTWCB9DSVEuXlNQWC5JUV9QUklDRURBVEUuOC8xMS8yMDE1AQAAAJu4KAAFAAAACTgvMTEvMjAxNQDjmj7A3TTWCLOFKMHdNNYIHkNJUS5eU1BYLklRX1BSSUNFREFURS4yLzMvMjAxNwEAAACbuCgABQAAAAgyLzMvMjAxNwBz+j/A3TTWCCPTH8HdNNYIHkNJUS5eU1BYLklRX1BSSUNFREFURS4zLzkvMjAxNQEAAACbuCgABQAAAAgzLzkvMjAxNQBTOz3A3TTWCGPJEcHdNNYIH0NJUS5eU1BYLklRX1BSSUNFREFURS45LzEyLzIwMTYBAAAAm7goAAUAAAAJOS8xMi8yMDE2AEOFP8DdNNYII7Ukwd00</t>
  </si>
  <si>
    <t>1ggfQ0lRLl5TUFguSVFfUFJJQ0VEQVRFLjEwLzUvMjAxOAEAAACbuCgABQAAAAkxMC81LzIwMTgA8zJBwN001ghTuSLB3TTWCCBDSVEuXlNQWC5JUV9QUklDRURBVEUuMTIvMjIvMjAxNQEAAACbuCgABQAAAAoxMi8yMi8yMDE1AAPpPsDdNNYI87cQwd001ggeQ0lRLl5TUFguSVFfUFJJQ0VEQVRFLjUvNC8yMDE2AQAAAJu4KAAFAAAACDUvNC8yMDE2ACM3P8DdNNYIQ+Upwd001ggfQ0lRLl5TUFguSVFfUFJJQ0VEQVRFLjcvMTkvMjAxNgEAAACbuCgABQAAAAk3LzE5LzIwMTYAM14/wN001ggTjiTB3TTWCCBDSVEuXlNQWC5JUV9QUklDRURBVEUuMTAvMTcvMjAxNwEAAACbuCgABQAAAAoxMC8xNy8yMDE3ALOWQMDdNNYIsxQmwd001ggfQ0lRLl5TUFguSVFfUFJJQ0VEQVRFLjUvMTEvMjAxNQEAAACbuCgABQAAAAk1LzExLzIwMTUAY2I9wN001giz9irB3TTWCB9DSVEuXlNQWC5JUV9QUklDRURBVEUuMTIvMi8yMDE0AQAAAJu4KAAFAAAACTEyLzIvMjAxNAAz7TzA3TTWCGN2CsHdNNYIH0NJUS5eU1BYLklRX1BSSUNFREFURS44LzIyLzIwMTQBAAAAm7goAAUAAAAJOC8yMi8yMDE0ACPGPMDdNNYIw9ENwd001ggfQ0lRLl5TUFguSVFfUFJJQ0VEQVRFLjMvMTAvMjAxNwEAAACbuCgABQAAAAkzLzEwLzIwMTcAc/o/wN001ghjMyrB3TTWCB9DSVEuXlNQWC5JUV9QUklDRURBVEUuNi8xNi8yMDE2AQAAAJu4</t>
  </si>
  <si>
    <t>KAAFAAAACTYvMTYvMjAxNgAzXj/A3TTWCNMPH8HdNNYIH0NJUS5eU1BYLklRX1BSSUNFREFURS42LzEwLzIwMTUBAAAAm7goAAUAAAAJNi8xMC8yMDE1ANNzPsDdNNYIg6YPwd001ggfQ0lRLl5TUFguSVFfUFJJQ0VEQVRFLjkvMTMvMjAxNgEAAACbuCgABQAAAAk5LzEzLzIwMTYAQ4U/wN001gjTRCvB3TTWCB5DSVEuXlNQWC5JUV9QUklDRURBVEUuMy8yLzIwMTgBAAAAm7goAAUAAAAIMy8yLzIwMTgAw71AwN001gizUBzB3TTWCB9DSVEuXlNQWC5JUV9QUklDRURBVEUuMi8xOC8yMDE0AQAAAJu4KAAFAAAACTIvMTgvMjAxNADzUDzA3TTWCNMWCcHdNNYIHkNJUS5eU1BYLklRX1BSSUNFREFURS45LzQvMjAxOAEAAACbuCgABQAAAAg5LzQvMjAxOADjC0HA3TTWCPPsHMHdNNYIH0NJUS5eU1BYLklRX1BSSUNFREFURS4xLzI5LzIwMTgBAAAAm7goAAUAAAAJMS8yOS8yMDE4AMO9QMDdNNYIU4QWwd001ggfQ0lRLl5TUFguSVFfUFJJQ0VEQVRFLjIvMjcvMjAxNQEAAACbuCgABQAAAAkyLzI3LzIwMTUAUzs9wN001ghT9RjB3TTWCB9DSVEuXlNQWC5JUV9QUklDRURBVEUuMS8yNi8yMDE4AQAAAJu4KAAFAAAACTEvMjYvMjAxOADDvUDA3TTWCNNiJsHdNNYIHkNJUS5eU1BYLklRX1BSSUNFREFURS44LzMvMjAxNQEAAACbuCgABQAAAAg4LzMvMjAxNQDjmj7A3TTWCHMlHsHdNNYIH0NJUS5eU1BYLklRX1BS</t>
  </si>
  <si>
    <t>SUNFREFURS42LzE5LzIwMTUBAAAAm7goAAUAAAAJNi8xOS8yMDE1ANNzPsDdNNYIgxcSwd001gggQ0lRLl5TUFguSVFfUFJJQ0VEQVRFLjEyLzI5LzIwMTYBAAAAm7goAAUAAAAKMTIvMjkvMjAxNgBj0z/A3TTWCNPTKMHdNNYILUNJUS5OWVNFOk1NTS5JUV9FUFNfRVNULjYwMDAuMTIvMzEvMjAxNS4uLlVTRAEAAACqaQQAAgAAAAU3LjkyNQEOAAAABQAAAAIxMQEAAAAHMjY1Nzk5MgIAAAAHNzE3MTA4NQMAAAAGMTA1MTI2BAAAAAEwBgAAAAEwBwAAAAMxNjAIAAAAATAJAAAAAzMxNAoAAAABMAsAAAAKMjE5ODUyMTAyMwwAAAACMTINAAAACDEvMS8yMDE2EAAAAAoxMi8zMS8yMDE1M4v/vt001giTegjB3TTWCB9DSVEuXlNQWC5JUV9QUklDRURBVEUuNS8yMi8yMDE3AQAAAJu4KAAFAAAACTUvMjIvMjAxNwCTSEDA3TTWCIO9IMHdNNYIH0NJUS5eU1BYLklRX1BSSUNFREFURS4xMS85LzIwMTUBAAAAm7goAAUAAAAJMTEvOS8yMDE1APPBPsDdNNYIM3IMwd001ggeQ0lRLl5TUFguSVFfUFJJQ0VEQVRFLjYvMi8yMDE3AQAAAJu4KAAFAAAACDYvMi8yMDE3AJNIQMDdNNYI4/oowd001gggQ0lRLl5TUFguSVFfUFJJQ0VEQVRFLjEwLzEyLzIwMTgBAAAAm7goAAUAAAAKMTAvMTIvMjAxOADzMkHA3TTWCFO5IsHdNNYIH0NJUS5eU1BYLklRX1BSSUNFREFURS4xLzE2LzIwMTUBAAAAm7goAAUAAAAJMS8xNi8y</t>
  </si>
  <si>
    <t>MDE1AEMUPcDdNNYIgy4jwd001ggfQ0lRLl5TUFguSVFfUFJJQ0VEQVRFLjExLzIvMjAxNgEAAACbuCgABQAAAAkxMS8yLzIwMTYAU6w/wN001ggz3CTB3TTWCB5DSVEuXlNQWC5JUV9QUklDRURBVEUuOC8xLzIwMTcBAAAAm7goAAUAAAAIOC8xLzIwMTcAo29AwN001gjTSxXB3TTWCB5DSVEuXlNQWC5JUV9QUklDRURBVEUuNS85LzIwMTgBAAAAm7goAAUAAAAINS85LzIwMTgA0+RAwN001ggDSSnB3TTWCClDSVEuTllTRTpNTU0uSVFfRVBTX0VTVC4uMTIvMzEvMjAxNS4uLlVTRAEAAACqaQQAAgAAAAU3LjkyNQEOAAAABQAAAAIxMQEAAAAHMjY1Nzk5MgIAAAAHNzE3MTA4NQMAAAAGMTA1MTI2BAAAAAEwBgAAAAEwBwAAAAMxNjAIAAAAATAJAAAAAzMxNAoAAAABMAsAAAAKMjE5ODUyMTAyMwwAAAACMTINAAAACDEvMS8yMDE2EAAAAAoxMi8zMS8yMDE18zJBwN001gjzMkHA3TTWCCBDSVEuXlNQWC5JUV9QUklDRURBVEUuMTIvMTAvMjAxNQEAAACbuCgABQAAAAoxMi8xMC8yMDE1AAPpPsDdNNYI45AQwd001ggeQ0lRLl5TUFguSVFfUFJJQ0VEQVRFLjUvNi8yMDE1AQAAAJu4KAAFAAAACDUvNi8yMDE1AGNiPcDdNNYIc38Pwd001ggfQ0lRLl5TUFguSVFfUFJJQ0VEQVRFLjgvMjQvMjAxOAEAAACbuCgABQAAAAk4LzI0LzIwMTgA4wtBwN001gijzyrB3TTWCB9DSVEuXlNQWC5JUV9QUklDRURBVEUuMy8y</t>
  </si>
  <si>
    <t>MS8yMDE0AQAAAJu4KAAFAAAACTMvMjEvMjAxNADzUDzA3TTWCBM7HcHdNNYIIENJUS5eU1BYLklRX1BSSUNFREFURS4xMS8yNC8yMDE0AQAAAJu4KAAFAAAACjExLzI0LzIwMTQAM+08wN001ghDzhjB3TTWCB9DSVEuXlNQWC5JUV9QUklDRURBVEUuNi8yNS8yMDE1AQAAAJu4KAAFAAAACTYvMjUvMjAxNQDTcz7A3TTWCDO+KcHdNNYIH0NJUS5eU1BYLklRX1BSSUNFREFURS45LzE4LzIwMTUBAAAAm7goAAUAAAAJOS8xOC8yMDE1APPBPsDdNNYII0sMwd001gggQ0lRLl5TUFguSVFfUFJJQ0VEQVRFLjEwLzI3LzIwMTYBAAAAm7goAAUAAAAKMTAvMjcvMjAxNgBTrD/A3TTWCNPTKMHdNNYIH0NJUS5eU1BYLklRX1BSSUNFREFURS41LzE2LzIwMTcBAAAAm7goAAUAAAAJNS8xNi8yMDE3AJNIQMDdNNYIc3glwd001gggQ0lRLl5TUFguSVFfUFJJQ0VEQVRFLjEwLzE1LzIwMTQBAAAAm7goAAUAAAAKMTAvMTUvMjAxNAAz7TzA3TTWCHMHI8HdNNYIH0NJUS5eU1BYLklRX1BSSUNFREFURS4xLzI3LzIwMTcBAAAAm7goAAUAAAAJMS8yNy8yMDE3AGPTP8DdNNYIc2EUwd001ggfQ0lRLl5TUFguSVFfUFJJQ0VEQVRFLjMvMjIvMjAxNgEAAACbuCgABQAAAAkzLzIyLzIwMTYAExA/wN001gijuBnB3TTWCB9DSVEuXlNQWC5JUV9QUklDRURBVEUuMS8xNi8yMDE4AQAAAJu4KAAFAAAACTEvMTYvMjAxOADDvUDA3TTW</t>
  </si>
  <si>
    <t>CKMpHMHdNNYIHkNJUS5eU1BYLklRX1BSSUNFREFURS41LzQvMjAxNwEAAACbuCgABQAAAAg1LzQvMjAxNwCDIUDA3TTWCEM/G8HdNNYIH0NJUS5eU1BYLklRX1BSSUNFREFURS4xMC8xLzIwMTgBAAAAm7goAAUAAAAJMTAvMS8yMDE4AOMLQcDdNNYIIwgswd001ggfQ0lRLl5TUFguSVFfUFJJQ0VEQVRFLjcvMTkvMjAxNwEAAACbuCgABQAAAAk3LzE5LzIwMTcAo29AwN001gjzkivB3TTWCB9DSVEuXlNQWC5JUV9QUklDRURBVEUuNS8xNC8yMDE1AQAAAJu4KAAFAAAACTUvMTQvMjAxNQBjYj3A3TTWCMNgC8HdNNYIH0NJUS5eU1BYLklRX1BSSUNFREFURS43LzI5LzIwMTYBAAAAm7goAAUAAAAJNy8yOS8yMDE2ADNeP8DdNNYI0y0awd001gggQ0lRLl5TUFguSVFfUFJJQ0VEQVRFLjEwLzE3LzIwMTYBAAAAm7goAAUAAAAKMTAvMTcvMjAxNgBDhT/A3TTWCAOFH8HdNNYIIENJUS5eU1BYLklRX1BSSUNFREFURS4xMC8zMC8yMDE3AQAAAJu4KAAFAAAACjEwLzMwLzIwMTcAs5ZAwN001gjDWSHB3TTWCCBDSVEuXlNQWC5JUV9QUklDRURBVEUuMTIvMTQvMjAxNQEAAACbuCgABQAAAAoxMi8xNC8yMDE1AAPpPsDdNNYIQ5kMwd001ggfQ0lRLl5TUFguSVFfUFJJQ0VEQVRFLjEyLzIvMjAxNQEAAACbuCgABQAAAAkxMi8yLzIwMTUAA+k+wN001ghDmQzB3TTWCB9DSVEuXlNQWC5JUV9QUklDRURBVEUuNi8xNi8y</t>
  </si>
  <si>
    <t>MDE3AQAAAJu4KAAFAAAACTYvMTYvMjAxNwCTSEDA3TTWCIOfJcHdNNYIH0NJUS5eU1BYLklRX1BSSUNFREFURS42LzEwLzIwMTQBAAAAm7goAAUAAAAJNi8xMC8yMDE0ABOfPMDdNNYIo4MNwd001gggQ0lRLl5TUFguSVFfUFJJQ0VEQVRFLjEwLzE0LzIwMTQBAAAAm7goAAUAAAAKMTAvMTQvMjAxNAAz7TzA3TTWCOMfDsHdNNYIH0NJUS5eU1BYLklRX1BSSUNFREFURS40LzExLzIwMTYBAAAAm7goAAUAAAAJNC8xMS8yMDE2ACM3P8DdNNYI4xgkwd001ggfQ0lRLl5TUFguSVFfUFJJQ0VEQVRFLjIvMTgvMjAxNQEAAACbuCgABQAAAAkyLzE4LzIwMTUAUzs9wN001giT6wrB3TTWCB9DSVEuXlNQWC5JUV9QUklDRURBVEUuMTEvMy8yMDE0AQAAAJu4KAAFAAAACTExLzMvMjAxNAAz7TzA3TTWCFNPCsHdNNYIH0NJUS5eU1BYLklRX1BSSUNFREFURS44LzIxLzIwMTcBAAAAm7goAAUAAAAJOC8yMS8yMDE3AKNvQMDdNNYIY40bwd001ggfQ0lRLl5TUFguSVFfUFJJQ0VEQVRFLjgvMTIvMjAxNAEAAACbuCgABQAAAAk4LzEyLzIwMTQAI8Y8wN001gjD0Q3B3TTWCB5DSVEuXlNQWC5JUV9QUklDRURBVEUuMS80LzIwMTgBAAAAm7goAAUAAAAIMS80LzIwMTgAw71AwN001ghDXRbB3TTWCCBDSVEuXlNQWC5JUV9QUklDRURBVEUuMTAvMjgvMjAxNQEAAACbuCgABQAAAAoxMC8yOC8yMDE1APPBPsDdNNYIM3IMwd00</t>
  </si>
  <si>
    <t>1ggfQ0lRLl5TUFguSVFfUFJJQ0VEQVRFLjcvMjMvMjAxNQEAAACbuCgABQAAAAk3LzIzLzIwMTUA45o+wN001ggD/QvB3TTWCB5DSVEuXlNQWC5JUV9QUklDRURBVEUuNy8zLzIwMTgBAAAAm7goAAUAAAAINy8zLzIwMTgA4wtBwN001gijRxfB3TTWCB9DSVEuXlNQWC5JUV9QUklDRURBVEUuMS8yMi8yMDE4AQAAAJu4KAAFAAAACTEvMjIvMjAxOADDvUDA3TTWCAO6K8HdNNYIH0NJUS5eU1BYLklRX1BSSUNFREFURS4zLzEzLzIwMTUBAAAAm7goAAUAAAAJMy8xMy8yMDE1AFM7PcDdNNYIU/UYwd001ggfQ0lRLl5TUFguSVFfUFJJQ0VEQVRFLjYvMTkvMjAxNAEAAACbuCgABQAAAAk2LzE5LzIwMTQAE588wN001ggjgBjB3TTWCB9DSVEuXlNQWC5JUV9QUklDRURBVEUuMTEvMS8yMDE2AQAAAJu4KAAFAAAACTExLzEvMjAxNgBTrD/A3TTWCAOFH8HdNNYIH0NJUS5eU1BYLklRX1BSSUNFREFURS45LzIyLzIwMTUBAAAAm7goAAUAAAAJOS8yMi8yMDE1APPBPsDdNNYIsxsQwd001ggeQ0lRLl5TUFguSVFfUFJJQ0VEQVRFLjIvNC8yMDE1AQAAAJu4KAAFAAAACDIvNC8yMDE1AEMUPcDdNNYIk1Ujwd001ggeQ0lRLl5TUFguSVFfUFJJQ0VEQVRFLjYvNC8yMDE4AQAAAJu4KAAFAAAACDYvNC8yMDE4ANPkQMDdNNYI054cwd001ggfQ0lRLl5TUFguSVFfUFJJQ0VEQVRFLjEwLzMvMjAxNwEAAACbuCgABQAAAAkx</t>
  </si>
  <si>
    <t>MC8zLzIwMTcAs5ZAwN001gjzmRXB3TTWCB9DSVEuXlNQWC5JUV9QUklDRURBVEUuNy8yMS8yMDE3AQAAAJu4KAAFAAAACTcvMjEvMjAxNwCjb0DA3TTWCGONG8HdNNYIHkNJUS5eU1BYLklRX1BSSUNFREFURS42LzIvMjAxNgEAAACbuCgABQAAAAg2LzIvMjAxNgAjNz/A3TTWCANnJMHdNNYIH0NJUS5eU1BYLklRX1BSSUNFREFURS41LzMxLzIwMTgBAAAAm7goAAUAAAAJNS8zMS8yMDE4ANPkQMDdNNYIA9gmwd001ggeQ0lRLl5TUFguSVFfUFJJQ0VEQVRFLjcvMi8yMDE0AQAAAJu4KAAFAAAACDcvMi8yMDE0ABOfPMDdNNYIo4MNwd001gggQ0lRLl5TUFguSVFfUFJJQ0VEQVRFLjEwLzE4LzIwMTYBAAAAm7goAAUAAAAKMTAvMTgvMjAxNgBDhT/A3TTWCDPcJMHdNNYIHkNJUS5eU1BYLklRX1BSSUNFREFURS4zLzkvMjAxOAEAAACbuCgABQAAAAgzLzkvMjAxOADDvUDA3TTWCGOrFsHdNNYIH0NJUS5eU1BYLklRX1BSSUNFREFURS45LzEyLzIwMTgBAAAAm7goAAUAAAAJOS8xMi8yMDE4AOMLQcDdNNYI8+wcwd001gggQ0lRLl5TUFguSVFfUFJJQ0VEQVRFLjEwLzI3LzIwMTcBAAAAm7goAAUAAAAKMTAvMjcvMjAxNwCzlkDA3TTWCIPbG8HdNNYIH0NJUS5eU1BYLklRX1BSSUNFREFURS4xLzE1LzIwMTQBAAAAm7goAAUAAAAJMS8xNS8yMDE0AOMpPMDdNNYIU8AMwd001ggfQ0lRLl5TUFguSVFfUFJJQ0VE</t>
  </si>
  <si>
    <t>QVRFLjUvMTYvMjAxNgEAAACbuCgABQAAAAk1LzE2LzIwMTYAIzc/wN001gjD6B7B3TTWCC1DSVEuTllTRTpNTU0uSVFfRVBTX0VTVC42MDAwLjEyLzMxLzIwMTYuLi5VU0QBAAAAqmkEAAIAAAAFOC40MzcBDgAAAAUAAAACMTEBAAAABzI2NTc5OTICAAAABzczNDQ3MzIDAAAABjEwNTEyNgQAAAABMAYAAAABMAcAAAADMTYwCAAAAAEwCQAAAAMzMTQKAAAAATALAAAACjIyMDE3NjU0MTUMAAAAAjEyDQAAAAgxLzEvMjAxNxAAAAAKMTIvMzEvMjAxNjOL/77dNNYIk3oIwd001ggeQ0lRLl5TUFguSVFfUFJJQ0VEQVRFLjYvOC8yMDE1AQAAAJu4KAAFAAAACDYvOC8yMDE1ANNzPsDdNNYI04cLwd001ggfQ0lRLl5TUFguSVFfUFJJQ0VEQVRFLjEvMjcvMjAxNgEAAACbuCgABQAAAAkxLzI3LzIwMTYAExA/wN001giTkRnB3TTWCB9DSVEuXlNQWC5JUV9QUklDRURBVEUuMy8yMi8yMDE3AQAAAJu4KAAFAAAACTMvMjIvMjAxNwBz+j/A3TTWCDP6H8HdNNYIH0NJUS5eU1BYLklRX1BSSUNFREFURS4xLzEyLzIwMTgBAAAAm7goAAUAAAAJMS8xMi8yMDE4AMO9QMDdNNYIg4Eqwd001ggfQ0lRLl5TUFguSVFfUFJJQ0VEQVRFLjcvMTEvMjAxNAEAAACbuCgABQAAAAk3LzExLzIwMTQAE588wN001ggTswnB3TTWCB9DSVEuXlNQWC5JUV9QUklDRURBVEUuMS8yNC8yMDE0AQAAAJu4KAAFAAAACTEvMjQvMjAxNADzUDzA</t>
  </si>
  <si>
    <t>3TTWCMPvCMHdNNYIH0NJUS5eU1BYLklRX1BSSUNFREFURS4yLzIwLzIwMTUBAAAAm7goAAUAAAAJMi8yMC8yMDE1AFM7PcDdNNYIM+MOwd001ggeQ0lRLl5TUFguSVFfUFJJQ0VEQVRFLjgvNy8yMDE4AQAAAJu4KAAFAAAACDgvNy8yMDE4AOMLQcDdNNYIs24Xwd001ggeQ0lRLl5TUFguSVFfUFJJQ0VEQVRFLjIvOS8yMDE1AQAAAJu4KAAFAAAACDIvOS8yMDE1AEMUPcDdNNYII7wOwd001ggfQ0lRLl5TUFguSVFfUFJJQ0VEQVRFLjkvMzAvMjAxNAEAAACbuCgABQAAAAk5LzMwLzIwMTQAM+08wN001ghDKArB3TTWCB9DSVEuXlNQWC5JUV9QUklDRURBVEUuNy8xMy8yMDE2AQAAAJu4KAAFAAAACTcvMTMvMjAxNgAzXj/A3TTWCNNEK8HdNNYIHkNJUS5eU1BYLklRX1BSSUNFREFURS4xLzkvMjAxNwEAAACbuCgABQAAAAgxLzkvMjAxNwBj0z/A3TTWCBPKGsHdNNYIH0NJUS5eU1BYLklRX1BSSUNFREFURS4yLzEzLzIwMTgBAAAAm7goAAUAAAAJMi8xMy8yMDE4AMO9QMDdNNYIg4Eqwd001ggfQ0lRLl5TUFguSVFfUFJJQ0VEQVRFLjEvMjYvMjAxNgEAAACbuCgABQAAAAkxLzI2LzIwMTYAExA/wN001gizhSjB3TTWCB9DSVEuXlNQWC5JUV9QUklDRURBVEUuOC8yOS8yMDE0AQAAAJu4KAAFAAAACTgvMjkvMjAxNAAjxjzA3TTWCHMHI8HdNNYIH0NJUS5eU1BYLklRX1BSSUNFREFURS4xMS8zLzIwMTUBAAAA</t>
  </si>
  <si>
    <t>m7goAAUAAAAJMTEvMy8yMDE1APPBPsDdNNYIM3IMwd001gg0Q0lRLk5ZU0U6TU1NLklRX0RJTFVUX0VQU19FWENMLjIwMDAuMTIvMzEvMjAxNy4uLlVTRAEAAACqaQQAAgAAAAQ3LjkzAQgAAAAFAAAAATEBAAAACjE4NzM2NzIwMDEDAAAAAzE2MAIAAAADMTQyBAAAAAEwBwAAAAoxMi8zMS8yMDE3CAAAAAoxMi8zMS8yMDE3CQAAAAEwM4v/vt001giDUwjB3TTWCB9DSVEuXlNQWC5JUV9QUklDRURBVEUuNy8yMy8yMDE0AQAAAJu4KAAFAAAACTcvMjMvMjAxNAAjxjzA3TTWCCPaCcHdNNYIH0NJUS5eU1BYLklRX1BSSUNFREFURS4yLzIxLzIwMTQBAAAAm7goAAUAAAAJMi8yMS8yMDE0APNQPMDdNNYI4+MXwd001ggfQ0lRLl5TUFguSVFfUFJJQ0VEQVRFLjEvMjgvMjAxNgEAAACbuCgABQAAAAkxLzI4LzIwMTYAExA/wN001gizjBLB3TTWCB9DSVEuXlNQWC5JUV9QUklDRURBVEUuMTAvOS8yMDE3AQAAAJu4KAAFAAAACTEwLzkvMjAxNwCzlkDA3TTWCPOZFcHdNNYIHkNJUS5eU1BYLklRX1BSSUNFREFURS40LzIvMjAxOAEAAACbuCgABQAAAAg0LzIvMjAxOADT5EDA3TTWCHPpJ8HdNNYIH0NJUS5eU1BYLklRX1BSSUNFREFURS43LzIxLzIwMTYBAAAAm7goAAUAAAAJNy8yMS8yMDE2ADNeP8DdNNYIQ3Qnwd001ggfQ0lRLl5TUFguSVFfUFJJQ0VEQVRFLjEvMTcvMjAxNwEAAACbuCgABQAAAAkxLzE3LzIw</t>
  </si>
  <si>
    <t>MTcAY9M/wN001ghzYRTB3TTWCB9DSVEuXlNQWC5JUV9QUklDRURBVEUuNC8yNC8yMDE1AQAAAJu4KAAFAAAACTQvMjQvMjAxNQBjYj3A3TTWCGNYD8HdNNYIH0NJUS5eU1BYLklRX1BSSUNFREFURS45LzExLzIwMTcBAAAAm7goAAUAAAAJOS8xMS8yMDE3AKNvQMDdNNYI43IVwd001ggeQ0lRLl5TUFguSVFfUFJJQ0VEQVRFLjkvOC8yMDE0AQAAAJu4KAAFAAAACDkvOC8yMDE0ACPGPMDdNNYIQygKwd001ggeQ0lRLl5TUFguSVFfUFJJQ0VEQVRFLjIvNy8yMDE0AQAAAJu4KAAFAAAACDIvNy8yMDE0APNQPMDdNNYIY+cMwd001ggfQ0lRLl5TUFguSVFfUFJJQ0VEQVRFLjcvMjIvMjAxNAEAAACbuCgABQAAAAk3LzIyLzIwMTQAI8Y8wN001ggT/ybB3TTWCB9DSVEuXlNQWC5JUV9QUklDRURBVEUuMS8zMC8yMDE0AQAAAJu4KAAFAAAACTEvMzAvMjAxNADzUDzA3TTWCMPvCMHdNNYIH0NJUS5eU1BYLklRX1BSSUNFREFURS4xMi81LzIwMTcBAAAAm7goAAUAAAAJMTIvNS8yMDE3ALOWQMDdNNYIMzYWwd001gggQ0lRLl5TUFguSVFfUFJJQ0VEQVRFLjEwLzEwLzIwMTYBAAAAm7goAAUAAAAKMTAvMTAvMjAxNgBDhT/A3TTWCPNdH8HdNNYIH0NJUS5eU1BYLklRX1BSSUNFREFURS40LzI2LzIwMTcBAAAAm7goAAUAAAAJNC8yNi8yMDE3AIMhQMDdNNYIU5snwd001ggeQ0lRLl5TUFguSVFfUFJJQ0VEQVRFLjQv</t>
  </si>
  <si>
    <t>My8yMDE0AQAAAJu4KAAFAAAACDQvMy8yMDE0APNQPMDdNNYI4z0Jwd001ggfQ0lRLl5TUFguSVFfUFJJQ0VEQVRFLjIvMTIvMjAxNgEAAACbuCgABQAAAAkyLzEyLzIwMTYAExA/wN001giTcx7B3TTWCB9DSVEuXlNQWC5JUV9QUklDRURBVEUuMTIvNy8yMDE1AQAAAJu4KAAFAAAACTEyLzcvMjAxNQAD6T7A3TTWCMPKI8HdNNYIIENJUS5eU1BYLklRX1BSSUNFREFURS4xMi8yNC8yMDE0AQAAAJu4KAAFAAAACjEyLzI0LzIwMTQAQxQ9wN001ghznQrB3TTWCB9DSVEuXlNQWC5JUV9QUklDRURBVEUuMy8xNC8yMDE3AQAAAJu4KAAFAAAACTMvMTQvMjAxNwBz+j/A3TTWCDP6H8HdNNYIHkNJUS5eU1BYLklRX1BSSUNFREFURS44LzMvMjAxOAEAAACbuCgABQAAAAg4LzMvMjAxOADjC0HA3TTWCOPFHMHdNNYIH0NJUS5eU1BYLklRX1BSSUNFREFURS45LzI1LzIwMTcBAAAAm7goAAUAAAAJOS8yNS8yMDE3ALOWQMDdNNYIo+0lwd001ggfQ0lRLl5TUFguSVFfUFJJQ0VEQVRFLjkvMzAvMjAxNQEAAACbuCgABQAAAAk5LzMwLzIwMTUA88E+wN001ggjSwzB3TTWCB9DSVEuXlNQWC5JUV9QUklDRURBVEUuNS8yNC8yMDE3AQAAAJu4KAAFAAAACTUvMjQvMjAxNwCTSEDA3TTWCIOfJcHdNNYIH0NJUS5eU1BYLklRX1BSSUNFREFURS4zLzE2LzIwMTUBAAAAm7goAAUAAAAJMy8xNi8yMDE1AFM7PcDdNNYIUzEPwd00</t>
  </si>
  <si>
    <t>1ggfQ0lRLl5TUFguSVFfUFJJQ0VEQVRFLjIvMjMvMjAxNwEAAACbuCgABQAAAAkyLzIzLzIwMTcAc/o/wN001ghTmyfB3TTWCCBDSVEuXlNQWC5JUV9QUklDRURBVEUuMTIvMTcvMjAxNQEAAACbuCgABQAAAAoxMi8xNy8yMDE1AAPpPsDdNNYIg0wewd001ggfQ0lRLl5TUFguSVFfUFJJQ0VEQVRFLjEwLzYvMjAxNwEAAACbuCgABQAAAAkxMC82LzIwMTcAs5ZAwN001gizMiHB3TTWCB9DSVEuXlNQWC5JUV9QUklDRURBVEUuNi8yMi8yMDE2AQAAAJu4KAAFAAAACTYvMjIvMjAxNgAzXj/A3TTWCMMGGsHdNNYIHkNJUS5eU1BYLklRX1BSSUNFREFURS4zLzcvMjAxNAEAAACbuCgABQAAAAgzLzcvMjAxNADzUDzA3TTWCFO5IsHdNNYIH0NJUS5eU1BYLklRX1BSSUNFREFURS44LzI0LzIwMTUBAAAAm7goAAUAAAAJOC8yNC8yMDE1AOOaPsDdNNYIsxsQwd001ggfQ0lRLl5TUFguSVFfUFJJQ0VEQVRFLjUvMjYvMjAxNQEAAACbuCgABQAAAAk1LzI2LzIwMTUAY2I9wN001ggjJifB3TTWCCBDSVEuXlNQWC5JUV9QUklDRURBVEUuMTAvMjAvMjAxNwEAAACbuCgABQAAAAoxMC8yMC8yMDE3ALOWQMDdNNYIg9sbwd001ggfQ0lRLl5TUFguSVFfUFJJQ0VEQVRFLjEvMTIvMjAxNwEAAACbuCgABQAAAAkxLzEyLzIwMTcAY9M/wN001ghTKiXB3TTWCB9DSVEuXlNQWC5JUV9QUklDRURBVEUuMS8yMC8yMDE2AQAAAJu4</t>
  </si>
  <si>
    <t>KAAFAAAACTEvMjAvMjAxNgATED/A3TTWCJORGcHdNNYIH0NJUS5eU1BYLklRX1BSSUNFREFURS44LzE5LzIwMTYBAAAAm7goAAUAAAAJOC8xOS8yMDE2ADNeP8DdNNYIQ3Qnwd001ggeQ0lRLl5TUFguSVFfUFJJQ0VEQVRFLjQvNi8yMDE4AQAAAJu4KAAFAAAACDQvNi8yMDE4ANPkQMDdNNYI87Amwd001ggfQ0lRLl5TUFguSVFfUFJJQ0VEQVRFLjQvMjQvMjAxNAEAAACbuCgABQAAAAk0LzI0LzIwMTQAA3g8wN001giDNQ3B3TTWCB9DSVEuXlNQWC5JUV9QUklDRURBVEUuNi8xNC8yMDE4AQAAAJu4KAAFAAAACTYvMTQvMjAxOADT5EDA3TTWCAPYJsHdNNYIHkNJUS5eU1BYLklRX1BSSUNFREFURS45LzgvMjAxNQEAAACbuCgABQAAAAg5LzgvMjAxNQDjmj7A3TTWCCNLDMHdNNYIH0NJUS5eU1BYLklRX1BSSUNFREFURS4xMi81LzIwMTYBAAAAm7goAAUAAAAJMTIvNS8yMDE2AFOsP8DdNNYIYzoUwd001gggQ0lRLl5TUFguSVFfUFJJQ0VEQVRFLjEwLzExLzIwMTYBAAAAm7goAAUAAAAKMTAvMTEvMjAxNgBDhT/A3TTWCDPcJMHdNNYIIENJUS5eU1BYLklRX1BSSUNFREFURS4xMi8yNi8yMDE3AQAAAJu4KAAFAAAACjEyLzI2LzIwMTcAw71AwN001gjDOybB3TTWCB5DSVEuXlNQWC5JUV9QUklDRURBVEUuMy80LzIwMTQBAAAAm7goAAUAAAAIMy80LzIwMTQA81A8wN001ghzDg3B3TTWCB5DSVEuXlNQWC5J</t>
  </si>
  <si>
    <t>UV9QUklDRURBVEUuNy84LzIwMTYBAAAAm7goAAUAAAAINy84LzIwMTYAM14/wN001ggTdxPB3TTWCB9DSVEuXlNQWC5JUV9QUklDRURBVEUuOC8xOC8yMDE2AQAAAJu4KAAFAAAACTgvMTgvMjAxNgAzXj/A3TTWCCO1JMHdNNYIH0NJUS5eU1BYLklRX1BSSUNFREFURS43LzE0LzIwMTUBAAAAm7goAAUAAAAJNy8xNC8yMDE1AOOaPsDdNNYIgxcSwd001ggfQ0lRLl5TUFguSVFfUFJJQ0VEQVRFLjcvMzEvMjAxNwEAAACbuCgABQAAAAk3LzMxLzIwMTcAo29AwN001gijCyHB3TTWCB9DSVEuXlNQWC5JUV9QUklDRURBVEUuNS8yOS8yMDE4AQAAAJu4KAAFAAAACTUvMjkvMjAxOADT5EDA3TTWCBMdIsHdNNYIIENJUS5eU1BYLklRX1BSSUNFREFURS4xMC8xMy8yMDE0AQAAAJu4KAAFAAAACjEwLzEzLzIwMTQAM+08wN001ggziR3B3TTWCCBDSVEuXlNQWC5JUV9QUklDRURBVEUuMTIvMjQvMjAxNQEAAACbuCgABQAAAAoxMi8yNC8yMDE1AAPpPsDdNNYIU8AMwd001ggfQ0lRLl5TUFguSVFfUFJJQ0VEQVRFLjMvMTQvMjAxNgEAAACbuCgABQAAAAkzLzE0LzIwMTYAExA/wN001gijuBnB3TTWCB9DSVEuXlNQWC5JUV9QUklDRURBVEUuMy8yNy8yMDE1AQAAAJu4KAAFAAAACTMvMjcvMjAxNQBTOz3A3TTWCFP1GMHdNNYIH0NJUS5eU1BYLklRX1BSSUNFREFURS43LzMwLzIwMTgBAAAAm7goAAUAAAAJNy8zMC8y</t>
  </si>
  <si>
    <t>MDE4AOMLQcDdNNYIM2siwd001ggfQ0lRLl5TUFguSVFfUFJJQ0VEQVRFLjYvMjMvMjAxNAEAAACbuCgABQAAAAk2LzIzLzIwMTQAE588wN001ggTOx3B3TTWCB9DSVEuXlNQWC5JUV9QUklDRURBVEUuMy8xOS8yMDE4AQAAAJu4KAAFAAAACTMvMTkvMjAxOADDvUDA3TTWCLNQHMHdNNYIH0NJUS5eU1BYLklRX1BSSUNFREFURS4xMS82LzIwMTUBAAAAm7goAAUAAAAJMTEvNi8yMDE1APPBPsDdNNYIw8ojwd001gggQ0lRLl5TUFguSVFfUFJJQ0VEQVRFLjExLzI4LzIwMTcBAAAAm7goAAUAAAAKMTEvMjgvMjAxNwCzlkDA3TTWCIPbG8HdNNYIHkNJUS5eU1BYLklRX1BSSUNFREFURS44LzcvMjAxNwEAAACbuCgABQAAAAg4LzcvMjAxNwCjb0DA3TTWCONyFcHdNNYIH0NJUS5eU1BYLklRX1BSSUNFREFURS4xLzEwLzIwMTcBAAAAm7goAAUAAAAJMS8xMC8yMDE3AGPTP8DdNNYIc2EUwd001ggfQ0lRLl5TUFguSVFfUFJJQ0VEQVRFLjYvMjEvMjAxNgEAAACbuCgABQAAAAk2LzIxLzIwMTYAM14/wN001ggTdxPB3TTWCB9DSVEuXlNQWC5JUV9QUklDRURBVEUuMTAvNi8yMDE2AQAAAJu4KAAFAAAACTEwLzYvMjAxNgBDhT/A3TTWCPN7GsHdNNYIH0NJUS5eU1BYLklRX1BSSUNFREFURS4xMi80LzIwMTQBAAAAm7goAAUAAAAJMTIvNC8yMDE0AEMUPcDdNNYIA24Owd001gggQ0lRLl5TUFguSVFfUFJJQ0VEQVRF</t>
  </si>
  <si>
    <t>LjExLzMwLzIwMTUBAAAAm7goAAUAAAAKMTEvMzAvMjAxNQAD6T7A3TTWCOOQEMHdNNYIHkNJUS5eU1BYLklRX1BSSUNFREFURS44LzUvMjAxNQEAAACbuCgABQAAAAg4LzUvMjAxNQDjmj7A3TTWCJM+EsHdNNYIH0NJUS5eU1BYLklRX1BSSUNFREFURS45LzI1LzIwMTgBAAAAm7goAAUAAAAJOS8yNS8yMDE4AOMLQcDdNNYIo88qwd001ggeQ0lRLl5TUFguSVFfUFJJQ0VEQVRFLjYvNi8yMDE0AQAAAJu4KAAFAAAACDYvNi8yMDE0ABOfPMDdNNYIA4wJwd001ggfQ0lRLl5TUFguSVFfUFJJQ0VEQVRFLjQvMTQvMjAxNAEAAACbuCgABQAAAAk0LzE0LzIwMTQAA3g8wN001ggTOx3B3TTWCCBDSVEuXlNQWC5JUV9QUklDRURBVEUuMTEvMjMvMjAxNgEAAACbuCgABQAAAAoxMS8yMy8yMDE2AFOsP8DdNNYIE6wfwd001ggfQ0lRLl5TUFguSVFfUFJJQ0VEQVRFLjEvMjEvMjAxNgEAAACbuCgABQAAAAkxLzIxLzIwMTYAExA/wN001giTcx7B3TTWCB5DSVEuXlNQWC5JUV9QUklDRURBVEUuNS8yLzIwMTcBAAAAm7goAAUAAAAINS8yLzIwMTcAgyFAwN001ghzeCXB3TTWCB5DSVEuXlNQWC5JUV9QUklDRURBVEUuMS81LzIwMTgBAAAAm7goAAUAAAAIMS81LzIwMTgAw71AwN001gjzISnB3TTWCB9DSVEuXlNQWC5JUV9QUklDRURBVEUuOC8yNy8yMDE4AQAAAJu4KAAFAAAACTgvMjcvMjAxOADjC0HA3TTWCOPFHMHd</t>
  </si>
  <si>
    <t>NNYIHkNJUS5eU1BYLklRX1BSSUNFREFURS4yLzIvMjAxNQEAAACbuCgABQAAAAgyLzIvMjAxNQBDFD3A3TTWCGPJEcHdNNYIH0NJUS5eU1BYLklRX1BSSUNFREFURS4xLzE5LzIwMTYBAAAAm7goAAUAAAAJMS8xOS8yMDE2ABMQP8DdNNYIM00nwd001gggQ0lRLl5TUFguSVFfUFJJQ0VEQVRFLjExLzEzLzIwMTQBAAAAm7goAAUAAAAKMTEvMTMvMjAxNAAz7TzA3TTWCGN2CsHdNNYIH0NJUS5eU1BYLklRX1BSSUNFREFURS4zLzI2LzIwMTgBAAAAm7goAAUAAAAJMy8yNi8yMDE4AMO9QMDdNNYIs1Acwd001ggeQ0lRLl5TUFguSVFfUFJJQ0VEQVRFLjIvOS8yMDE4AQAAAJu4KAAFAAAACDIvOS8yMDE4AMO9QMDdNNYI884hwd001ggeQ0lRLl5TUFguSVFfUFJJQ0VEQVRFLjEvNi8yMDE2AQAAAJu4KAAFAAAACDEvNi8yMDE2AAPpPsDdNNYIk3Mewd001ggfQ0lRLl5TUFguSVFfUFJJQ0VEQVRFLjkvMjQvMjAxNAEAAACbuCgABQAAAAk5LzI0LzIwMTQAI8Y8wN001ghDKArB3TTWCB9DSVEuXlNQWC5JUV9QUklDRURBVEUuMS8yMy8yMDE0AQAAAJu4KAAFAAAACTEvMjMvMjAxNADzUDzA3TTWCBP/JsHdNNYIH0NJUS5eU1BYLklRX1BSSUNFREFURS40LzI3LzIwMTUBAAAAm7goAAUAAAAJNC8yNy8yMDE1AGNiPcDdNNYIM74pwd001ggeQ0lRLl5TUFguSVFfUFJJQ0VEQVRFLjMvNC8yMDE1AQAAAJu4KAAFAAAA</t>
  </si>
  <si>
    <t>CDMvNC8yMDE1AFM7PcDdNNYIQwoPwd001ggeQ0lRLl5TUFguSVFfUFJJQ0VEQVRFLjcvNy8yMDE3AQAAAJu4KAAFAAAACDcvNy8yMDE3AJNIQMDdNNYIk+Qgwd001ggfQ0lRLl5TUFguSVFfUFJJQ0VEQVRFLjcvMTUvMjAxNgEAAACbuCgABQAAAAk3LzE1LzIwMTYAM14/wN001gjTLRrB3TTWCB5DSVEuXlNQWC5JUV9QUklDRURBVEUuNi81LzIwMTQBAAAAm7goAAUAAAAINi81LzIwMTQAE588wN001gjzChjB3TTWCCBDSVEuXlNQWC5JUV9QUklDRURBVEUuMTEvMTEvMjAxNgEAAACbuCgABQAAAAoxMS8xMS8yMDE2AFOsP8DdNNYI42srwd001ggfQ0lRLl5TUFguSVFfUFJJQ0VEQVRFLjEvMzAvMjAxNwEAAACbuCgABQAAAAkxLzMwLzIwMTcAY9M/wN001ghTKiXB3TTWCB9DSVEuXlNQWC5JUV9QUklDRURBVEUuOC8xNS8yMDE4AQAAAJu4KAAFAAAACTgvMTUvMjAxOADjC0HA3TTWCBPhK8HdNNYIH0NJUS5eU1BYLklRX1BSSUNFREFURS42LzEyLzIwMTUBAAAAm7goAAUAAAAJNi8xMi8yMDE1ANNzPsDdNNYI464Lwd001ggfQ0lRLl5TUFguSVFfUFJJQ0VEQVRFLjEvMTcvMjAxOAEAAACbuCgABQAAAAkxLzE3LzIwMTgAw71AwN001ghDXRbB3TTWCCBDSVEuXlNQWC5JUV9QUklDRURBVEUuMTIvMjMvMjAxNQEAAACbuCgABQAAAAoxMi8yMy8yMDE1AAPpPsDdNNYIw8ojwd001ggfQ0lRLl5TUFguSVFfUFJJ</t>
  </si>
  <si>
    <t>Q0VEQVRFLjYvMjMvMjAxNQEAAACbuCgABQAAAAk2LzIzLzIwMTUA03M+wN001gijfCPB3TTWCCBDSVEuXlNQWC5JUV9QUklDRURBVEUuMTEvMTIvMjAxNAEAAACbuCgABQAAAAoxMS8xMi8yMDE0ADPtPMDdNNYIQ7Adwd001ggfQ0lRLl5TUFguSVFfUFJJQ0VEQVRFLjgvMTYvMjAxNgEAAACbuCgABQAAAAk4LzE2LzIwMTYAM14/wN001gjjNh/B3TTWCB9DSVEuXlNQWC5JUV9QUklDRURBVEUuNy8xNy8yMDE0AQAAAJu4KAAFAAAACTcvMTcvMjAxNAATnzzA3TTWCCPaCcHdNNYIHkNJUS5eU1BYLklRX1BSSUNFREFURS42LzcvMjAxNgEAAACbuCgABQAAAAg2LzcvMjAxNgAjNz/A3TTWCMMGGsHdNNYIHkNJUS5eU1BYLklRX1BSSUNFREFURS40LzgvMjAxNgEAAACbuCgABQAAAAg0LzgvMjAxNgAjNz/A3TTWCLPBHsHdNNYIH0NJUS5eU1BYLklRX1BSSUNFREFURS4xLzIyLzIwMTQBAAAAm7goAAUAAAAJMS8yMi8yMDE0APNQPMDdNNYIY+cMwd001ggfQ0lRLl5TUFguSVFfUFJJQ0VEQVRFLjEvMTAvMjAxOAEAAACbuCgABQAAAAkxLzEwLzIwMTgAw71AwN001ghDXRbB3TTWCB9DSVEuXlNQWC5JUV9QUklDRURBVEUuMTIvNy8yMDE2AQAAAJu4KAAFAAAACTEyLzcvMjAxNgBTrD/A3TTWCAOjGsHdNNYIIENJUS5eU1BYLklRX1BSSUNFREFURS4xMS8yOC8yMDE2AQAAAJu4KAAFAAAACjExLzI4LzIwMTYAU6w/</t>
  </si>
  <si>
    <t>wN001gjT0yjB3TTWCCBDSVEuXlNQWC5JUV9QUklDRURBVEUuMTIvMTIvMjAxNAEAAACbuCgABQAAAAoxMi8xMi8yMDE0AEMUPcDdNNYIc50Kwd001gggQ0lRLl5TUFguSVFfUFJJQ0VEQVRFLjEyLzIxLzIwMTcBAAAAm7goAAUAAAAKMTIvMjEvMjAxNwCzlkDA3TTWCENdFsHdNNYIH0NJUS5eU1BYLklRX1BSSUNFREFURS43LzI3LzIwMTYBAAAAm7goAAUAAAAJNy8yNy8yMDE2ADNeP8DdNNYIE44kwd001ggfQ0lRLl5TUFguSVFfUFJJQ0VEQVRFLjExLzUvMjAxNAEAAACbuCgABQAAAAkxMS81LzIwMTQAM+08wN001gjzRg7B3TTWCB9DSVEuXlNQWC5JUV9QUklDRURBVEUuOC8xNC8yMDE0AQAAAJu4KAAFAAAACTgvMTQvMjAxNAAjxjzA3TTWCDMBCsHdNNYIH0NJUS5eU1BYLklRX1BSSUNFREFURS4yLzI0LzIwMTUBAAAAm7goAAUAAAAJMi8yNC8yMDE1AFM7PcDdNNYIk+sKwd001ggfQ0lRLl5TUFguSVFfUFJJQ0VEQVRFLjUvMjEvMjAxNQEAAACbuCgABQAAAAk1LzIxLzIwMTUAY2I9wN001gijfCPB3TTWCB5DSVEuXlNQWC5JUV9QUklDRURBVEUuNy8yLzIwMTgBAAAAm7goAAUAAAAINy8yLzIwMTgA4wtBwN001giDECjB3TTWCB9DSVEuXlNQWC5JUV9QUklDRURBVEUuNy8yNS8yMDE0AQAAAJu4KAAFAAAACTcvMjUvMjAxNAAjxjzA3TTWCLOqDcHdNNYIH0NJUS5eU1BYLklRX1BSSUNFREFURS45LzIx</t>
  </si>
  <si>
    <t>LzIwMTgBAAAAm7goAAUAAAAJOS8yMS8yMDE4AOMLQcDdNNYIw5UXwd001ggfQ0lRLl5TUFguSVFfUFJJQ0VEQVRFLjQvMTQvMjAxNQEAAACbuCgABQAAAAk0LzE0LzIwMTUAY2I9wN001ghjWA/B3TTWCCBDSVEuXlNQWC5JUV9QUklDRURBVEUuMTIvMTgvMjAxNwEAAACbuCgABQAAAAoxMi8xOC8yMDE3ALOWQMDdNNYIwzsmwd001ggfQ0lRLl5TUFguSVFfUFJJQ0VEQVRFLjUvMjMvMjAxNwEAAACbuCgABQAAAAk1LzIzLzIwMTcAk0hAwN001giz/RTB3TTWCB9DSVEuXlNQWC5JUV9QUklDRURBVEUuNy8yNi8yMDE2AQAAAJu4KAAFAAAACTcvMjYvMjAxNgAzXj/A3TTWCCOeE8HdNNYIH0NJUS5eU1BYLklRX1BSSUNFREFURS4xLzE5LzIwMTcBAAAAm7goAAUAAAAJMS8xOS8yMDE3AGPTP8DdNNYII9Mfwd001ggfQ0lRLl5TUFguSVFfUFJJQ0VEQVRFLjkvMTEvMjAxOAEAAACbuCgABQAAAAk5LzExLzIwMTgA4wtBwN001gjDlRfB3TTWCCBDSVEuXlNQWC5JUV9QUklDRURBVEUuMTIvMTEvMjAxNAEAAACbuCgABQAAAAoxMi8xMS8yMDE0AEMUPcDdNNYIQ7Adwd001ggfQ0lRLl5TUFguSVFfUFJJQ0VEQVRFLjYvMjgvMjAxOAEAAACbuCgABQAAAAk2LzI4LzIwMTgA4wtBwN001ggjRCLB3TTWCB9DSVEuXlNQWC5JUV9QUklDRURBVEUuMy8yMC8yMDE1AQAAAJu4KAAFAAAACTMvMjAvMjAxNQBTOz3A3TTWCFMx</t>
  </si>
  <si>
    <t>D8HdNNYIH0NJUS5eU1BYLklRX1BSSUNFREFURS40LzI4LzIwMTYBAAAAm7goAAUAAAAJNC8yOC8yMDE2ACM3P8DdNNYIs98Zwd001ggfQ0lRLl5TUFguSVFfUFJJQ0VEQVRFLjMvMjIvMjAxOAEAAACbuCgABQAAAAkzLzIyLzIwMTgAw71AwN001gjjiSbB3TTWCB5DSVEuXlNQWC5JUV9QUklDRURBVEUuNC83LzIwMTYBAAAAm7goAAUAAAAINC83LzIwMTYAIzc/wN001gjT2hLB3TTWCCBDSVEuXlNQWC5JUV9QUklDRURBVEUuMTEvMjAvMjAxNAEAAACbuCgABQAAAAoxMS8yMC8yMDE0ADPtPMDdNNYIU6IRwd001ggeQ0lRLl5TUFguSVFfUFJJQ0VEQVRFLjcvNy8yMDE2AQAAAJu4KAAFAAAACDcvNy8yMDE2ADNeP8DdNNYI0y0awd001gggQ0lRLl5TUFguSVFfUFJJQ0VEQVRFLjEyLzEzLzIwMTYBAAAAm7goAAUAAAAKMTIvMTMvMjAxNgBTrD/A3TTWCONrK8HdNNYIHkNJUS5eU1BYLklRX1BSSUNFREFURS42LzUvMjAxNQEAAACbuCgABQAAAAg2LzUvMjAxNQDTcz7A3TTWCKN8I8HdNNYIIENJUS5eU1BYLklRX1BSSUNFREFURS4xMS8xMC8yMDE2AQAAAJu4KAAFAAAACjExLzEwLzIwMTYAU6w/wN001ghTExTB3TTWCB9DSVEuXlNQWC5JUV9QUklDRURBVEUuNC8zMC8yMDE0AQAAAJu4KAAFAAAACTQvMzAvMjAxNAADeDzA3TTWCIM1DcHdNNYIIENJUS5eU1BYLklRX1BSSUNFREFURS4xMi8yMy8yMDE0AQAA</t>
  </si>
  <si>
    <t>AJu4KAAFAAAACjEyLzIzLzIwMTQAQxQ9wN001ghDzhjB3TTWCB9DSVEuXlNQWC5JUV9QUklDRURBVEUuNy8xOC8yMDE3AQAAAJu4KAAFAAAACTcvMTgvMjAxNwCjb0DA3TTWCJPGJcHdNNYIH0NJUS5eU1BYLklRX1BSSUNFREFURS4xMS83LzIwMTcBAAAAm7goAAUAAAAJMTEvNy8yMDE3ALOWQMDdNNYI04Ahwd001ggfQ0lRLl5TUFguSVFfUFJJQ0VEQVRFLjIvMjYvMjAxNgEAAACbuCgABQAAAAkyLzI2LzIwMTYAExA/wN001gjDsxLB3TTWCB9DSVEuXlNQWC5JUV9QUklDRURBVEUuNy8xNy8yMDE1AQAAAJu4KAAFAAAACTcvMTcvMjAxNQDjmj7A3TTWCAP9C8HdNNYIH0NJUS5eU1BYLklRX1BSSUNFREFURS40LzI5LzIwMTYBAAAAm7goAAUAAAAJNC8yOS8yMDE2ACM3P8DdNNYI4wETwd001ggeQ0lRLl5TUFguSVFfUFJJQ0VEQVRFLjYvNy8yMDE3AQAAAJu4KAAFAAAACDYvNy8yMDE3AJNIQMDdNNYIk+Qgwd001ggeQ0lRLl5TUFguSVFfUFJJQ0VEQVRFLjUvOC8yMDE0AQAAAJu4KAAFAAAACDUvOC8yMDE0AAN4PMDdNNYI82QJwd001gggQ0lRLl5TUFguSVFfUFJJQ0VEQVRFLjEyLzIwLzIwMTcBAAAAm7goAAUAAAAKMTIvMjAvMjAxNwCzlkDA3TTWCJMCHMHdNNYIH0NJUS5eU1BYLklRX1BSSUNFREFURS41LzEzLzIwMTYBAAAAm7goAAUAAAAJNS8xMy8yMDE2ACM3P8DdNNYIs98Zwd001ggfQ0lRLl5T</t>
  </si>
  <si>
    <t>UFguSVFfUFJJQ0VEQVRFLjExLzUvMjAxNQEAAACbuCgABQAAAAkxMS81LzIwMTUA88E+wN001gjTaRDB3TTWCB9DSVEuXlNQWC5JUV9QUklDRURBVEUuMTAvMi8yMDE1AQAAAJu4KAAFAAAACTEwLzIvMjAxNQDzwT7A3TTWCMNCEMHdNNYIH0NJUS5eU1BYLklRX1BSSUNFREFURS45LzEyLzIwMTcBAAAAm7goAAUAAAAJOS8xMi8yMDE3AKNvQMDdNNYIc1oqwd001gggQ0lRLk5ZU0U6TU1NLklRX1BSSU1BUllfSU5EVVNUUlkBAAAAqmkEAAMAAAAYSW5kdXN0cmlhbCBDb25nbG9tZXJhdGVzABPM/L7dNNYIMy8swd001ggfQ0lRLl5TUFguSVFfUFJJQ0VEQVRFLjUvMjEvMjAxNAEAAACbuCgABQAAAAk1LzIxLzIwMTQAE588wN001ggjLRHB3TTWCB9DSVEuXlNQWC5JUV9QUklDRURBVEUuMTAvOS8yMDE4AQAAAJu4KAAFAAAACTEwLzkvMjAxOADzMkHA3TTWCNO8F8HdNNYIH0NJUS5eU1BYLklRX1BSSUNFREFURS44LzI4LzIwMTgBAAAAm7goAAUAAAAJOC8yOC8yMDE4AOMLQcDdNNYIQ5Iiwd001ggeQ0lRLl5TUFguSVFfUFJJQ0VEQVRFLjIvNy8yMDE4AQAAAJu4KAAFAAAACDIvNy8yMDE4AMO9QMDdNNYIoykcwd001ggfQ0lRLl5TUFguSVFfUFJJQ0VEQVRFLjkvMTUvMjAxNQEAAACbuCgABQAAAAk5LzE1LzIwMTUA88E+wN001ghzQxnB3TTWCB5DSVEuXlNQWC5JUV9QUklDRURBVEUuNy82LzIwMTgBAAAA</t>
  </si>
  <si>
    <t>m7goAAUAAAAINy82LzIwMTgA4wtBwN001ggjRCLB3TTWCB9DSVEuXlNQWC5JUV9QUklDRURBVEUuNS8yMy8yMDE2AQAAAJu4KAAFAAAACTUvMjMvMjAxNgAjNz/A3TTWCPMoE8HdNNYIH0NJUS5eU1BYLklRX1BSSUNFREFURS44LzIwLzIwMTgBAAAAm7goAAUAAAAJOC8yMC8yMDE4AOMLQcDdNNYI48Ucwd001ggeQ0lRLl5TUFguSVFfUFJJQ0VEQVRFLjQvMy8yMDE4AQAAAJu4KAAFAAAACDQvMy8yMDE4ANPkQMDdNNYIc9IWwd001ggfQ0lRLl5TUFguSVFfUFJJQ0VEQVRFLjQvMjIvMjAxNQEAAACbuCgABQAAAAk0LzIyLzIwMTUAY2I9wN001gizOQvB3TTWCB9DSVEuXlNQWC5JUV9QUklDRURBVEUuNS8xNi8yMDE4AQAAAJu4KAAFAAAACTUvMTYvMjAxOADT5EDA3TTWCJOoKsHdNNYIH0NJUS5eU1BYLklRX1BSSUNFREFURS4yLzI3LzIwMTQBAAAAm7goAAUAAAAJMi8yNy8yMDE0APNQPMDdNNYIEzsdwd001ggfQ0lRLl5TUFguSVFfUFJJQ0VEQVRFLjUvMTkvMjAxNQEAAACbuCgABQAAAAk1LzE5LzIwMTUAY2I9wN001ghj/h3B3TTWCCBDSVEuXlNQWC5JUV9QUklDRURBVEUuMTEvMjAvMjAxNQEAAACbuCgABQAAAAoxMS8yMC8yMDE1APPBPsDdNNYIw8ojwd001ggeQ0lRLl5TUFguSVFfUFJJQ0VEQVRFLjIvMi8yMDE2AQAAAJu4KAAFAAAACDIvMi8yMDE2ABMQP8DdNNYIQ+Upwd001ggeQ0lRLl5TUFgu</t>
  </si>
  <si>
    <t>SVFfUFJJQ0VEQVRFLjEvNi8yMDE1AQAAAJu4KAAFAAAACDEvNi8yMDE1AEMUPcDdNNYIs/Yqwd001ggfQ0lRLl5TUFguSVFfUFJJQ0VEQVRFLjMvMjMvMjAxNwEAAACbuCgABQAAAAkzLzIzLzIwMTcAc/o/wN001ghjUSXB3TTWCB9DSVEuXlNQWC5JUV9QUklDRURBVEUuNi8yNy8yMDE2AQAAAJu4KAAFAAAACTYvMjcvMjAxNgAzXj/A3TTWCBN3E8HdNNYIHkNJUS5eU1BYLklRX1BSSUNFREFURS43LzkvMjAxOAEAAACbuCgABQAAAAg3LzkvMjAxOADjC0HA3TTWCANJKcHdNNYIH0NJUS5eU1BYLklRX1BSSUNFREFURS4xMS8yLzIwMTcBAAAAm7goAAUAAAAJMTEvMi8yMDE3ALOWQMDdNNYI8yEpwd001ggfQ0lRLl5TUFguSVFfUFJJQ0VEQVRFLjcvMTgvMjAxNgEAAACbuCgABQAAAAk3LzE4LzIwMTYAM14/wN001gjjNh/B3TTWCCBDSVEuXlNQWC5JUV9QUklDRURBVEUuMTIvMTAvMjAxNAEAAACbuCgABQAAAAoxMi8xMC8yMDE0AEMUPcDdNNYIA24Owd001ggfQ0lRLl5TUFguSVFfUFJJQ0VEQVRFLjQvMTkvMjAxNgEAAACbuCgABQAAAAk0LzE5LzIwMTYAIzc/wN001gjjARPB3TTWCB5DSVEuXlNQWC5JUV9QUklDRURBVEUuMS80LzIwMTcBAAAAm7goAAUAAAAIMS80LzIwMTcAY9M/wN001ghzYRTB3TTWCCBDSVEuXlNQWC5JUV9QUklDRURBVEUuMTEvMjQvMjAxNQEAAACbuCgABQAAAAoxMS8yNC8yMDE1</t>
  </si>
  <si>
    <t>AAPpPsDdNNYIM00nwd001ggfQ0lRLl5TUFguSVFfUFJJQ0VEQVRFLjYvMjUvMjAxNAEAAACbuCgABQAAAAk2LzI1LzIwMTQAE588wN001ggzVBHB3TTWCB5DSVEuXlNQWC5JUV9QUklDRURBVEUuNS84LzIwMTUBAAAAm7goAAUAAAAINS84LzIwMTUAY2I9wN001gjDYAvB3TTWCB9DSVEuXlNQWC5JUV9QUklDRURBVEUuNi8xNy8yMDE2AQAAAJu4KAAFAAAACTYvMTcvMjAxNgAzXj/A3TTWCANnJMHdNNYIIENJUS5eU1BYLklRX1BSSUNFREFURS4xMC8xNS8yMDE1AQAAAJu4KAAFAAAACjEwLzE1LzIwMTUA88E+wN001ghzQxnB3TTWCCBDSVEuXlNQWC5JUV9QUklDRURBVEUuMTIvMjAvMjAxNgEAAACbuCgABQAAAAoxMi8yMC8yMDE2AFOsP8DdNNYIU5snwd001ggfQ0lRLl5TUFguSVFfUFJJQ0VEQVRFLjEwLzIvMjAxNAEAAACbuCgABQAAAAkxMC8yLzIwMTQAM+08wN001gjjHw7B3TTWCB9DSVEuXlNQWC5JUV9QUklDRURBVEUuMy8yOC8yMDE2AQAAAJu4KAAFAAAACTMvMjgvMjAxNgATED/A3TTWCNPaEsHdNNYIH0NJUS5eU1BYLklRX1BSSUNFREFURS40LzIwLzIwMTUBAAAAm7goAAUAAAAJNC8yMC8yMDE1AGNiPcDdNNYIY1gPwd001ggfQ0lRLl5TUFguSVFfUFJJQ0VEQVRFLjQvMTMvMjAxNQEAAACbuCgABQAAAAk0LzEzLzIwMTUAY2I9wN001ghz8BHB3TTWCB9DSVEuXlNQWC5JUV9QUklDRURBVEUu</t>
  </si>
  <si>
    <t>Mi8xNC8yMDE3AQAAAJu4KAAFAAAACTIvMTQvMjAxNwBz+j/A3TTWCIOIFMHdNNYIH0NJUS5eU1BYLklRX1BSSUNFREFURS44LzMxLzIwMTUBAAAAm7goAAUAAAAJOC8zMS8yMDE1AOOaPsDdNNYIc0MZwd001ggfQ0lRLl5TUFguSVFfUFJJQ0VEQVRFLjIvMjQvMjAxNgEAAACbuCgABQAAAAkyLzI0LzIwMTYAExA/wN001gjT8SPB3TTWCB9DSVEuXlNQWC5JUV9QUklDRURBVEUuOC8xNC8yMDE3AQAAAJu4KAAFAAAACTgvMTQvMjAxNwCjb0DA3TTWCGONG8HdNNYIIENJUS5eU1BYLklRX1BSSUNFREFURS4xMS8xOC8yMDE1AQAAAJu4KAAFAAAACjExLzE4LzIwMTUA88E+wN001giDTB7B3TTWCB9DSVEuXlNQWC5JUV9QUklDRURBVEUuMy8xMS8yMDE2AQAAAJu4KAAFAAAACTMvMTEvMjAxNgATED/A3TTWCMMdK8HdNNYIH0NJUS5eU1BYLklRX1BSSUNFREFURS40LzIyLzIwMTQBAAAAm7goAAUAAAAJNC8yMi8yMDE0AAN4PMDdNNYI4z0Jwd001ggfQ0lRLl5TUFguSVFfUFJJQ0VEQVRFLjQvMTEvMjAxNwEAAACbuCgABQAAAAk0LzExLzIwMTcAgyFAwN001ggzGBvB3TTWCB9DSVEuXlNQWC5JUV9QUklDRURBVEUuNy8xMC8yMDE0AQAAAJu4KAAFAAAACTcvMTAvMjAxNAATnzzA3TTWCCOAGMHdNNYIIENJUS5eU1BYLklRX1BSSUNFREFURS4xMi8xOC8yMDE0AQAAAJu4KAAFAAAACjEyLzE4LzIwMTQAQxQ9wN00</t>
  </si>
  <si>
    <t>1ghznQrB3TTWCB9DSVEuXlNQWC5JUV9QUklDRURBVEUuMTAvMS8yMDE0AQAAAJu4KAAFAAAACTEwLzEvMjAxNAAz7TzA3TTWCHMHI8HdNNYIH0NJUS5eU1BYLklRX1BSSUNFREFURS43LzE5LzIwMTgBAAAAm7goAAUAAAAJNy8xOS8yMDE4AOMLQcDdNNYI48Ucwd001ggfQ0lRLl5TUFguSVFfUFJJQ0VEQVRFLjMvMTMvMjAxNAEAAACbuCgABQAAAAkzLzEzLzIwMTQA81A8wN001ggTBhHB3TTWCB9DSVEuXlNQWC5JUV9QUklDRURBVEUuNy8yMC8yMDE2AQAAAJu4KAAFAAAACTcvMjAvMjAxNgAzXj/A3TTWCCOeE8HdNNYIH0NJUS5eU1BYLklRX1BSSUNFREFURS45LzIyLzIwMTQBAAAAm7goAAUAAAAJOS8yMi8yMDE0ACPGPMDdNNYI0/gNwd001ggeQ0lRLl5TUFguSVFfUFJJQ0VEQVRFLjUvNS8yMDE2AQAAAJu4KAAFAAAACDUvNS8yMDE2ACM3P8DdNNYI4wETwd001ggfQ0lRLl5TUFguSVFfUFJJQ0VEQVRFLjEwLzMvMjAxNgEAAACbuCgABQAAAAkxMC8zLzIwMTYAQ4U/wN001ghD7BPB3TTWCB9DSVEuXlNQWC5JUV9QUklDRURBVEUuMy8yMy8yMDE2AQAAAJu4KAAFAAAACTMvMjMvMjAxNgATED/A3TTWCLPBHsHdNNYIH0NJUS5eU1BYLklRX1BSSUNFREFURS42LzI3LzIwMTcBAAAAm7goAAUAAAAJNi8yNy8yMDE3AJNIQMDdNNYIwyQVwd001ggeQ0lRLl5TUFguSVFfUFJJQ0VEQVRFLjMvMi8yMDE1AQAA</t>
  </si>
  <si>
    <t>AJu4KAAFAAAACDMvMi8yMDE1AFM7PcDdNNYIk+sKwd001ggfQ0lRLl5TUFguSVFfUFJJQ0VEQVRFLjgvMjgvMjAxNwEAAACbuCgABQAAAAk4LzI4LzIwMTcAo29AwN001ghjjRvB3TTWCB9DSVEuXlNQWC5JUV9QUklDRURBVEUuNy8yNC8yMDE3AQAAAJu4KAAFAAAACTcvMjQvMjAxNwCjb0DA3TTWCKMLIcHdNNYIH0NJUS5eU1BYLklRX1BSSUNFREFURS40LzIxLzIwMTQBAAAAm7goAAUAAAAJNC8yMS8yMDE0AAN4PMDdNNYI8woYwd001gggQ0lRLl5TUFguSVFfUFJJQ0VEQVRFLjEyLzE5LzIwMTQBAAAAm7goAAUAAAAKMTIvMTkvMjAxNABDFD3A3TTWCCOXKcHdNNYIH0NJUS5eU1BYLklRX1BSSUNFREFURS4zLzMwLzIwMTUBAAAAm7goAAUAAAAJMy8zMC8yMDE1AFM7PcDdNNYIoxILwd001ggfQ0lRLl5TUFguSVFfUFJJQ0VEQVRFLjExLzkvMjAxNgEAAACbuCgABQAAAAkxMS85LzIwMTYAU6w/wN001ggz3CTB3TTWCB9DSVEuXlNQWC5JUV9QUklDRURBVEUuNi8zMC8yMDE3AQAAAJu4KAAFAAAACTYvMzAvMjAxNwCTSEDA3TTWCIOfJcHdNNYIHkNJUS5eU1BYLklRX1BSSUNFREFURS40LzUvMjAxNwEAAACbuCgABQAAAAg0LzUvMjAxNwCDIUDA3TTWCEMhIMHdNNYIHkNJUS5eU1BYLklRX1BSSUNFREFURS45LzUvMjAxNwEAAACbuCgABQAAAAg5LzUvMjAxNwCjb0DA3TTWCONyFcHdNNYIH0NJUS5eU1BY</t>
  </si>
  <si>
    <t>LklRX1BSSUNFREFURS4yLzE5LzIwMTQBAAAAm7goAAUAAAAJMi8xOS8yMDE0APNQPMDdNNYIA98Qwd001ggfQ0lRLl5TUFguSVFfUFJJQ0VEQVRFLjcvMTIvMjAxOAEAAACbuCgABQAAAAk3LzEyLzIwMTgA4wtBwN001gjTnhzB3TTWCB9DSVEuXlNQWC5JUV9QUklDRURBVEUuMy8yOC8yMDE3AQAAAJu4KAAFAAAACTMvMjgvMjAxNwBz+j/A3TTWCDMYG8HdNNYIH0NJUS5eU1BYLklRX1BSSUNFREFURS4yLzIwLzIwMTQBAAAAm7goAAUAAAAJMi8yMC8yMDE0APNQPMDdNNYIY+cMwd001ggfQ0lRLl5TUFguSVFfUFJJQ0VEQVRFLjgvMTEvMjAxNwEAAACbuCgABQAAAAk4LzExLzIwMTcAo29AwN001gjjchXB3TTWCB9DSVEuXlNQWC5JUV9QUklDRURBVEUuNS8yNy8yMDE1AQAAAJu4KAAFAAAACTUvMjcvMjAxNQDTcz7A3TTWCMNgC8HdNNYIH0NJUS5eU1BYLklRX1BSSUNFREFURS45LzEyLzIwMTQBAAAAm7goAAUAAAAJOS8xMi8yMDE0ACPGPMDdNNYIQygKwd001gggQ0lRLl5TUFguSVFfUFJJQ0VEQVRFLjExLzE3LzIwMTYBAAAAm7goAAUAAAAKMTEvMTcvMjAxNgBTrD/A3TTWCDPcJMHdNNYIH0NJUS5eU1BYLklRX1BSSUNFREFURS45LzI0LzIwMTgBAAAAm7goAAUAAAAJOS8yNC8yMDE4AOMLQcDdNNYIE3Apwd001ggfQ0lRLl5TUFguSVFfUFJJQ0VEQVRFLjMvMzEvMjAxNAEAAACbuCgABQAAAAkzLzMx</t>
  </si>
  <si>
    <t>LzIwMTQA81A8wN001ghTuSLB3TTWCB5DSVEuXlNQWC5JUV9QUklDRURBVEUuNS80LzIwMTgBAAAAm7goAAUAAAAINS80LzIwMTgA0+RAwN001ggTHSLB3TTWCB9DSVEuXlNQWC5JUV9QUklDRURBVEUuMS8xOS8yMDE4AQAAAJu4KAAFAAAACTEvMTkvMjAxOADDvUDA3TTWCNNiJsHdNNYIH0NJUS5eU1BYLklRX1BSSUNFREFURS43LzEwLzIwMTUBAAAAm7goAAUAAAAJNy8xMC8yMDE1AOOaPsDdNNYIs/Yqwd001ggfQ0lRLl5TUFguSVFfUFJJQ0VEQVRFLjMvMTMvMjAxOAEAAACbuCgABQAAAAkzLzEzLzIwMTgAw71AwN001gjzziHB3TTWCB9DSVEuXlNQWC5JUV9QUklDRURBVEUuNS8xMS8yMDE3AQAAAJu4KAAFAAAACTUvMTEvMjAxNwCDIUDA3TTWCKPWFMHdNNYIH0NJUS5eU1BYLklRX1BSSUNFREFURS4xMC8xLzIwMTUBAAAAm7goAAUAAAAJMTAvMS8yMDE1APPBPsDdNNYIkz4Swd001ggfQ0lRLl5TUFguSVFfUFJJQ0VEQVRFLjIvMTEvMjAxNQEAAACbuCgABQAAAAkyLzExLzIwMTUAQxQ9wN001giT6wrB3TTWCB9DSVEuXlNQWC5JUV9QUklDRURBVEUuMS8yNC8yMDE4AQAAAJu4KAAFAAAACTEvMjQvMjAxOADDvUDA3TTWCKMpHMHdNNYIH0NJUS5eU1BYLklRX1BSSUNFREFURS44LzIyLzIwMTYBAAAAm7goAAUAAAAJOC8yMi8yMDE2ADNeP8DdNNYI41Qawd001ggfQ0lRLl5TUFguSVFfUFJJQ0VEQVRF</t>
  </si>
  <si>
    <t>LjUvMTAvMjAxOAEAAACbuCgABQAAAAk1LzEwLzIwMTgA0+RAwN001gjDdxzB3TTWCCBDSVEuXlNQWC5JUV9QUklDRURBVEUuMTIvMjcvMjAxNwEAAACbuCgABQAAAAoxMi8yNy8yMDE3AMO9QMDdNNYIc+knwd001gggQ0lRLl5TUFguSVFfUFJJQ0VEQVRFLjEyLzI4LzIwMTUBAAAAm7goAAUAAAAKMTIvMjgvMjAxNQAD6T7A3TTWCEPlKcHdNNYIIENJUS5eU1BYLklRX1BSSUNFREFURS4xMS8xNi8yMDE2AQAAAJu4KAAFAAAACjExLzE2LzIwMTYAU6w/wN001ghTExTB3TTWCB5DSVEuXlNQWC5JUV9QUklDRURBVEUuMS8zLzIwMTQBAAAAm7goAAUAAAAIMS8zLzIwMTQA4yk8wN001ghTwAzB3TTWCB9DSVEuXlNQWC5JUV9QUklDRURBVEUuOC8yMS8yMDE0AQAAAJu4KAAFAAAACTgvMjEvMjAxNAAjxjzA3TTWCEN7EcHdNNYIHkNJUS5eU1BYLklRX1BSSUNFREFURS42LzMvMjAxNAEAAACbuCgABQAAAAg2LzMvMjAxNAATnzzA3TTWCCMtEcHdNNYIH0NJUS5eU1BYLklRX1BSSUNFREFURS4yLzEzLzIwMTcBAAAAm7goAAUAAAAJMi8xMy8yMDE3AHP6P8DdNNYIUyolwd001gggQ0lRLl5TUFguSVFfUFJJQ0VEQVRFLjEwLzI0LzIwMTQBAAAAm7goAAUAAAAKMTAvMjQvMjAxNAAz7TzA3TTWCOMfDsHdNNYIH0NJUS5eU1BYLklRX1BSSUNFREFURS4zLzIxLzIwMTgBAAAAm7goAAUAAAAJMy8yMS8yMDE4AMO9QMDd</t>
  </si>
  <si>
    <t>NNYIc9IWwd001ggfQ0lRLl5TUFguSVFfUFJJQ0VEQVRFLjQvMjEvMjAxNQEAAACbuCgABQAAAAk0LzIxLzIwMTUAY2I9wN001giTVSPB3TTWCB9DSVEuXlNQWC5JUV9QUklDRURBVEUuOC8xNC8yMDE4AQAAAJu4KAAFAAAACTgvMTQvMjAxOADjC0HA3TTWCDNrIsHdNNYIIENJUS5eU1BYLklRX1BSSUNFREFURS4xMS8xNC8yMDE0AQAAAJu4KAAFAAAACjExLzE0LzIwMTQAM+08wN001giDLiPB3TTWCB9DSVEuXlNQWC5JUV9QUklDRURBVEUuOC8yMy8yMDE2AQAAAJu4KAAFAAAACTgvMjMvMjAxNgAzXj/A3TTWCDPFE8HdNNYIH0NJUS5eU1BYLklRX1BSSUNFREFURS42LzMwLzIwMTYBAAAAm7goAAUAAAAJNi8zMC8yMDE2ADNeP8DdNNYI0w8fwd001ggfQ0lRLl5TUFguSVFfUFJJQ0VEQVRFLjExLzkvMjAxNwEAAACbuCgABQAAAAkxMS85LzIwMTcAs5ZAwN001giDgSrB3TTWCB5DSVEuXlNQWC5JUV9QUklDRURBVEUuOC84LzIwMTgBAAAAm7goAAUAAAAIOC84LzIwMTgA4wtBwN001ggTcCnB3TTWCCBDSVEuXlNQWC5JUV9QUklDRURBVEUuMTAvMTAvMjAxNwEAAACbuCgABQAAAAoxMC8xMC8yMDE3ALOWQMDdNNYIsxQmwd001ggfQ0lRLl5TUFguSVFfUFJJQ0VEQVRFLjgvMTMvMjAxNAEAAACbuCgABQAAAAk4LzEzLzIwMTQAI8Y8wN001ggjYh3B3TTWCB9DSVEuXlNQWC5JUV9QUklDRURBVEUuNS8yNS8y</t>
  </si>
  <si>
    <t>MDE2AQAAAJu4KAAFAAAACTUvMjUvMjAxNgAjNz/A3TTWCPM/JMHdNNYIH0NJUS5eU1BYLklRX1BSSUNFREFURS41LzIzLzIwMTgBAAAAm7goAAUAAAAJNS8yMy8yMDE4ANPkQMDdNNYIkyAXwd001ggfQ0lRLl5TUFguSVFfUFJJQ0VEQVRFLjcvMTYvMjAxOAEAAACbuCgABQAAAAk3LzE2LzIwMTgA4wtBwN001gijRxfB3TTWCClDSVEuTllTRTpNTU0uSVFfRVBTX0VTVC4uMTIvMzEvMjAxNy4uLlVTRAEAAACqaQQAAgAAAAU5LjQyNgEOAAAABQAAAAIxMQEAAAAHMjY1Nzk5MgIAAAAHODE1MTA1OAMAAAAGMTA1MTI2BAAAAAEwBgAAAAEwBwAAAAMxNjAIAAAAATAJAAAAAzMxNAoAAAABMAsAAAAKMjE5OTM1MDY2NwwAAAACMTINAAAACDEvMS8yMDE4EAAAAAoxMi8zMS8yMDE38zJBwN001gjzMkHA3TTWCCBDSVEuXlNQWC5JUV9QUklDRURBVEUuMTEvMjcvMjAxNQEAAACbuCgABQAAAAoxMS8yNy8yMDE1AAPpPsDdNNYIo2USwd001ggfQ0lRLl5TUFguSVFfUFJJQ0VEQVRFLjkvMjAvMjAxNwEAAACbuCgABQAAAAk5LzIwLzIwMTcAo29AwN001ghztBvB3TTWCB9DSVEuXlNQWC5JUV9QUklDRURBVEUuOS8xOC8yMDE3AQAAAJu4KAAFAAAACTkvMTgvMjAxNwCjb0DA3TTWCKPtJcHdNNYIH0NJUS5eU1BYLklRX1BSSUNFREFURS43LzI4LzIwMTUBAAAAm7goAAUAAAAJNy8yOC8yMDE1AOOaPsDdNNYIIyYnwd00</t>
  </si>
  <si>
    <t>1ggeQ0lRLl5TUFguSVFfUFJJQ0VEQVRFLjcvMS8yMDE2AQAAAJu4KAAFAAAACDcvMS8yMDE2ADNeP8DdNNYIE3cTwd001ggfQ0lRLl5TUFguSVFfUFJJQ0VEQVRFLjIvMjgvMjAxOAEAAACbuCgABQAAAAkyLzI4LzIwMTgAw71AwN001gjjiSbB3TTWCB9DSVEuXlNQWC5JUV9QUklDRURBVEUuOC8xMS8yMDE2AQAAAJu4KAAFAAAACTgvMTEvMjAxNgAzXj/A3TTWCCOeE8HdNNYIIENJUS5eU1BYLklRX1BSSUNFREFURS4xMi8xNS8yMDE2AQAAAJu4KAAFAAAACjEyLzE1LzIwMTYAU6w/wN001ghjOhTB3TTWCB9DSVEuXlNQWC5JUV9QUklDRURBVEUuNS8yNy8yMDE0AQAAAJu4KAAFAAAACTUvMjcvMjAxNAATnzzA3TTWCAOMCcHdNNYIHkNJUS5eU1BYLklRX1BSSUNFREFURS44LzQvMjAxNQEAAACbuCgABQAAAAg4LzQvMjAxNQDjmj7A3TTWCBMkDMHdNNYIH0NJUS5eU1BYLklRX1BSSUNFREFURS42LzIwLzIwMTYBAAAAm7goAAUAAAAJNi8yMC8yMDE2ADNeP8DdNNYIQ3Qnwd001ggfQ0lRLl5TUFguSVFfUFJJQ0VEQVRFLjMvMzEvMjAxNQEAAACbuCgABQAAAAkzLzMxLzIwMTUAUzs9wN001ghz8BHB3TTWCB9DSVEuXlNQWC5JUV9QUklDRURBVEUuMi8xNS8yMDE4AQAAAJu4KAAFAAAACTIvMTUvMjAxOADDvUDA3TTWCKMpHMHdNNYIIENJUS5eU1BYLklRX1BSSUNFREFURS4xMC8yNS8yMDE2AQAAAJu4KAAF</t>
  </si>
  <si>
    <t>AAAACjEwLzI1LzIwMTYAQ4U/wN001ghD7BPB3TTWCB9DSVEuXlNQWC5JUV9QUklDRURBVEUuNS8yNC8yMDE2AQAAAJu4KAAFAAAACTUvMjQvMjAxNgAjNz/A3TTWCMPoHsHdNNYIHkNJUS5eU1BYLklRX1BSSUNFREFURS43LzMvMjAxNAEAAACbuCgABQAAAAg3LzMvMjAxNAATnzzA3TTWCKPPKsHdNNYIH0NJUS5eU1BYLklRX1BSSUNFREFURS4yLzIzLzIwMTYBAAAAm7goAAUAAAAJMi8yMy8yMDE2ABMQP8DdNNYIo5oewd001gggQ0lRLl5TUFguSVFfUFJJQ0VEQVRFLjEwLzE5LzIwMTYBAAAAm7goAAUAAAAKMTAvMTkvMjAxNgBDhT/A3TTWCEPsE8HdNNYIKUNJUS5OWVNFOk1NTS5JUV9ESVZJREVORF9ZSUVMRC4xMC8xOC8yMDE4AQAAAKppBAACAAAABjIuNjgwNwATzPy+3TTWCHMsCMHdNNYIIENJUS5eU1BYLklRX1BSSUNFREFURS4xMi8xNy8yMDE0AQAAAJu4KAAFAAAACjEyLzE3LzIwMTQAQxQ9wN001giDLiPB3TTWCCBDSVEuXlNQWC5JUV9QUklDRURBVEUuMTAvMzAvMjAxNQEAAACbuCgABQAAAAoxMC8zMC8yMDE1APPBPsDdNNYI02kQwd001ggeQ0lRLl5TUFguSVFfUFJJQ0VEQVRFLjYvMS8yMDE3AQAAAJu4KAAFAAAACDYvMS8yMDE3AJNIQMDdNNYIg58lwd001ggfQ0lRLl5TUFguSVFfUFJJQ0VEQVRFLjQvMzAvMjAxOAEAAACbuCgABQAAAAk0LzMwLzIwMTgA0+RAwN001gjzsCbB3TTWCB9D</t>
  </si>
  <si>
    <t>SVEuXlNQWC5JUV9QUklDRURBVEUuMi8xMS8yMDE0AQAAAJu4KAAFAAAACTIvMTEvMjAxNADzUDzA3TTWCMPvCMHdNNYIH0NJUS5eU1BYLklRX1BSSUNFREFURS45LzI5LzIwMTYBAAAAm7goAAUAAAAJOS8yOS8yMDE2AEOFP8DdNNYI41Qawd001ggfQ0lRLl5TUFguSVFfUFJJQ0VEQVRFLjEvMTQvMjAxNAEAAACbuCgABQAAAAkxLzE0LzIwMTQA4yk8wN001ggD3xDB3TTWCB5DSVEuXlNQWC5JUV9QUklDRURBVEUuMi82LzIwMTgBAAAAm7goAAUAAAAIMi82LzIwMTgAw71AwN001ggDSSnB3TTWCB9DSVEuXlNQWC5JUV9QUklDRURBVEUuNi8yMi8yMDE3AQAAAJu4KAAFAAAACTYvMjIvMjAxNwCTSEDA3TTWCJPkIMHdNNYIH0NJUS5eU1BYLklRX1BSSUNFREFURS42LzEwLzIwMTYBAAAAm7goAAUAAAAJNi8xMC8yMDE2ACM3P8DdNNYIA2ckwd001ggeQ0lRLl5TUFguSVFfUFJJQ0VEQVRFLjQvMi8yMDE1AQAAAJu4KAAFAAAACDQvMi8yMDE1AFM7PcDdNNYIU9cdwd001gggQ0lRLl5TUFguSVFfUFJJQ0VEQVRFLjEyLzI3LzIwMTYBAAAAm7goAAUAAAAKMTIvMjcvMjAxNgBj0z/A3TTWCEMDJcHdNNYIIENJUS5eU1BYLklRX1BSSUNFREFURS4xMS8xNi8yMDE3AQAAAJu4KAAFAAAACjExLzE2LzIwMTcAs5ZAwN001ggjDxbB3TTWCCBDSVEuXlNQWC5JUV9QUklDRURBVEUuMTAvMjAvMjAxNgEAAACbuCgABQAA</t>
  </si>
  <si>
    <t>AAoxMC8yMC8yMDE2AEOFP8DdNNYIQ3Qnwd001ggeQ0lRLl5TUFguSVFfUFJJQ0VEQVRFLjIvNS8yMDE2AQAAAJu4KAAFAAAACDIvNS8yMDE2ABMQP8DdNNYIk3Mewd001ggfQ0lRLl5TUFguSVFfUFJJQ0VEQVRFLjgvMjEvMjAxNQEAAACbuCgABQAAAAk4LzIxLzIwMTUA45o+wN001gizoyPB3TTWCB5DSVEuXlNQWC5JUV9QUklDRURBVEUuNi8zLzIwMTUBAAAAm7goAAUAAAAINi8zLzIwMTUA03M+wN001ghj/h3B3TTWCB9DSVEuXlNQWC5JUV9QUklDRURBVEUuMS8yMC8yMDE3AQAAAJu4KAAFAAAACTEvMjAvMjAxNwBj0z/A3TTWCFMqJcHdNNYIH0NJUS5eU1BYLklRX1BSSUNFREFURS4zLzEzLzIwMTcBAAAAm7goAAUAAAAJMy8xMy8yMDE3AHP6P8DdNNYIMxgbwd001ggfQ0lRLl5TUFguSVFfUFJJQ0VEQVRFLjgvMjMvMjAxNwEAAACbuCgABQAAAAk4LzIzLzIwMTcAo29AwN001gjjchXB3TTWCB9DSVEuXlNQWC5JUV9QUklDRURBVEUuOS8yOC8yMDE2AQAAAJu4KAAFAAAACTkvMjgvMjAxNgBDhT/A3TTWCNPTKMHdNNYIH0NJUS5eU1BYLklRX1BSSUNFREFURS45LzIyLzIwMTcBAAAAm7goAAUAAAAJOS8yMi8yMDE3AKNvQMDdNNYIszIhwd001ggfQ0lRLl5TUFguSVFfUFJJQ0VEQVRFLjEwLzkvMjAxNAEAAACbuCgABQAAAAkxMC85LzIwMTQAM+08wN001ggzpxjB3TTWCB9DSVEuXlNQWC5JUV9QUklD</t>
  </si>
  <si>
    <t>RURBVEUuNy8xMi8yMDE2AQAAAJu4KAAFAAAACTcvMTIvMjAxNgAzXj/A3TTWCANnJMHdNNYIHkNJUS5eU1BYLklRX1BSSUNFREFURS4zLzgvMjAxNwEAAACbuCgABQAAAAgzLzgvMjAxNwBz+j/A3TTWCGNRJcHdNNYIIENJUS5eU1BYLklRX1BSSUNFREFURS4xMC8xMS8yMDE3AQAAAJu4KAAFAAAACjEwLzExLzIwMTcAs5ZAwN001giDgSrB3TTWCB9DSVEuXlNQWC5JUV9QUklDRURBVEUuOC8yOC8yMDE0AQAAAJu4KAAFAAAACTgvMjgvMjAxNAAjxjzA3TTWCNP4DcHdNNYIH0NJUS5eU1BYLklRX1BSSUNFREFURS40LzE3LzIwMTcBAAAAm7goAAUAAAAJNC8xNy8yMDE3AIMhQMDdNNYIc3glwd001ggfQ0lRLl5TUFguSVFfUFJJQ0VEQVRFLjgvMjAvMjAxNAEAAACbuCgABQAAAAk4LzIwLzIwMTQAI8Y8wN001ggzAQrB3TTWCB9DSVEuXlNQWC5JUV9QUklDRURBVEUuOS8yMC8yMDE2AQAAAJu4KAAFAAAACTkvMjAvMjAxNgBDhT/A3TTWCEN0J8HdNNYIIENJUS5eU1BYLklRX1BSSUNFREFURS4xMC8yNy8yMDE1AQAAAJu4KAAFAAAACjEwLzI3LzIwMTUA88E+wN001ggzvinB3TTWCCBDSVEuXlNQWC5JUV9QUklDRURBVEUuMTAvMTMvMjAxNQEAAACbuCgABQAAAAoxMC8xMy8yMDE1APPBPsDdNNYIkz4Swd001ggfQ0lRLl5TUFguSVFfUFJJQ0VEQVRFLjEvMTUvMjAxNgEAAACbuCgABQAAAAkxLzE1LzIwMTYA</t>
  </si>
  <si>
    <t>ExA/wN001gizjBLB3TTWCB9DSVEuXlNQWC5JUV9QUklDRURBVEUuNS8xNi8yMDE0AQAAAJu4KAAFAAAACTUvMTYvMjAxNAATnzzA3TTWCJNcDcHdNNYIH0NJUS5eU1BYLklRX1BSSUNFREFURS4xLzI5LzIwMTYBAAAAm7goAAUAAAAJMS8yOS8yMDE2ABMQP8DdNNYIk3Mewd001gggQ0lRLl5TUFguSVFfUFJJQ0VEQVRFLjEyLzE1LzIwMTcBAAAAm7goAAUAAAAKMTIvMTUvMjAxNwCzlkDA3TTWCDM2FsHdNNYIH0NJUS5eU1BYLklRX1BSSUNFREFURS43LzI2LzIwMTgBAAAAm7goAAUAAAAJNy8yNi8yMDE4AOMLQcDdNNYIo0cXwd001ggeQ0lRLl5TUFguSVFfUFJJQ0VEQVRFLjgvNC8yMDE0AQAAAJu4KAAFAAAACDgvNC8yMDE0ACPGPMDdNNYIMwEKwd001ggfQ0lRLl5TUFguSVFfUFJJQ0VEQVRFLjgvMTAvMjAxNgEAAACbuCgABQAAAAk4LzEwLzIwMTYAM14/wN001ggTjiTB3TTWCB9DSVEuXlNQWC5JUV9QUklDRURBVEUuOC8yOS8yMDE4AQAAAJu4KAAFAAAACTgvMjkvMjAxOADjC0HA3TTWCLNuF8HdNNYIH0NJUS5eU1BYLklRX1BSSUNFREFURS42LzIwLzIwMTcBAAAAm7goAAUAAAAJNi8yMC8yMDE3AJNIQMDdNNYIU2Ybwd001ggfQ0lRLl5TUFguSVFfUFJJQ0VEQVRFLjQvMTUvMjAxNQEAAACbuCgABQAAAAk0LzE1LzIwMTUAY2I9wN001ghT9RjB3TTWCB9DSVEuTllTRTpNTU0uSVFfQ09NUEFOWV9B</t>
  </si>
  <si>
    <t>RERSRVNTAQAAAKppBAADAAAANDNNIENlbnRlciwgU3QuIFBhdWwsIE1pbm5lc290YSwgNTUxNDQsIFVuaXRlZCBTdGF0ZXMAE8z8vt001ggjCCzB3TTWCCBDSVEuXlNQWC5JUV9QUklDRURBVEUuMTAvMjUvMjAxNwEAAACbuCgABQAAAAoxMC8yNS8yMDE3ALOWQMDdNNYIA8EVwd001ggeQ0lRLl5TUFguSVFfUFJJQ0VEQVRFLjkvOS8yMDE0AQAAAJu4KAAFAAAACDkvOS8yMDE0ACPGPMDdNNYII4AYwd001gggQ0lRLl5TUFguSVFfUFJJQ0VEQVRFLjEwLzMwLzIwMTQBAAAAm7goAAUAAAAKMTAvMzAvMjAxNAAz7TzA3TTWCOMfDsHdNNYIH0NJUS5eU1BYLklRX1BSSUNFREFURS4xLzE4LzIwMTcBAAAAm7goAAUAAAAJMS8xOC8yMDE3AGPTP8DdNNYIE8oawd001ggfQ0lRLl5TUFguSVFfUFJJQ0VEQVRFLjUvMTcvMjAxOAEAAACbuCgABQAAAAk1LzE3LzIwMTgA0+RAwN001giD+RbB3TTWCB9DSVEuXlNQWC5JUV9QUklDRURBVEUuMi8yMS8yMDE4AQAAAJu4KAAFAAAACTIvMjEvMjAxOADDvUDA3TTWCFOEFsHdNNYIH0NJUS5eU1BYLklRX1BSSUNFREFURS45LzMwLzIwMTYBAAAAm7goAAUAAAAJOS8zMC8yMDE2AEOFP8DdNNYI810fwd001ggeQ0lRLl5TUFguSVFfUFJJQ0VEQVRFLjIvMi8yMDE4AQAAAJu4KAAFAAAACDIvMi8yMDE4AMO9QMDdNNYIU4QWwd001ggeQ0lRLl5TUFguSVFfUFJJQ0VEQVRFLjQv</t>
  </si>
  <si>
    <t>Mi8yMDE0AQAAAJu4KAAFAAAACDQvMi8yMDE0APNQPMDdNNYIo88qwd001ggeQ0lRLl5TUFguSVFfUFJJQ0VEQVRFLjgvNS8yMDE0AQAAAJu4KAAFAAAACDgvNS8yMDE0ACPGPMDdNNYIo14owd001ggeQ0lRLl5TUFguSVFfUFJJQ0VEQVRFLjUvMS8yMDE4AQAAAJu4KAAFAAAACDUvMS8yMDE4ANPkQMDdNNYIg/kWwd001gggQ0lRLl5TUFguSVFfUFJJQ0VEQVRFLjEwLzI4LzIwMTYBAAAAm7goAAUAAAAKMTAvMjgvMjAxNgBTrD/A3TTWCPN7GsHdNNYIH0NJUS5eU1BYLklRX1BSSUNFREFURS42LzI5LzIwMTYBAAAAm7goAAUAAAAJNi8yOS8yMDE2ADNeP8DdNNYIwwYawd001ggeQ0lRLl5TUFguSVFfUFJJQ0VEQVRFLjMvNS8yMDE4AQAAAJu4KAAFAAAACDMvNS8yMDE4AMO9QMDdNNYIY6sWwd001ggfQ0lRLl5TUFguSVFfUFJJQ0VEQVRFLjMvMTYvMjAxOAEAAACbuCgABQAAAAkzLzE2LzIwMTgAw71AwN001giDgSrB3TTWCB5DSVEuXlNQWC5JUV9QUklDRURBVEUuNS8yLzIwMTYBAAAAm7goAAUAAAAINS8yLzIwMTYAIzc/wN001gjD6B7B3TTWCB9DSVEuXlNQWC5JUV9QUklDRURBVEUuNC8yNS8yMDE2AQAAAJu4KAAFAAAACTQvMjUvMjAxNgAjNz/A3TTWCOMBE8HdNNYIH0NJUS5eU1BYLklRX1BSSUNFREFURS40LzIzLzIwMTgBAAAAm7goAAUAAAAJNC8yMy8yMDE4ANPkQMDdNNYI87Amwd001ggfQ0lR</t>
  </si>
  <si>
    <t>Ll5TUFguSVFfUFJJQ0VEQVRFLjYvMTMvMjAxNAEAAACbuCgABQAAAAk2LzEzLzIwMTQAE588wN001ggjLRHB3TTWCB9DSVEuXlNQWC5JUV9QUklDRURBVEUuNS8yMC8yMDE1AQAAAJu4KAAFAAAACTUvMjAvMjAxNQBjYj3A3TTWCMNgC8HdNNYIH0NJUS5eU1BYLklRX1BSSUNFREFURS45LzI4LzIwMTcBAAAAm7goAAUAAAAJOS8yOC8yMDE3ALOWQMDdNNYIc7Qbwd001gggQ0lRLl5TUFguSVFfUFJJQ0VEQVRFLjExLzEzLzIwMTUBAAAAm7goAAUAAAAKMTEvMTMvMjAxNQDzwT7A3TTWCEOZDMHdNNYIH0NJUS5eU1BYLklRX1BSSUNFREFURS4xLzI4LzIwMTQBAAAAm7goAAUAAAAJMS8yOC8yMDE0APNQPMDdNNYIY+cMwd001ggeQ0lRLl5TUFguSVFfUFJJQ0VEQVRFLjkvMS8yMDE1AQAAAJu4KAAFAAAACDkvMS8yMDE1AOOaPsDdNNYIEyQMwd001ggfQ0lRLl5TUFguSVFfUFJJQ0VEQVRFLjEwLzkvMjAxNQEAAACbuCgABQAAAAkxMC85LzIwMTUA88E+wN001gizhSjB3TTWCB9DSVEuXlNQWC5JUV9QUklDRURBVEUuMS8yMy8yMDE1AQAAAJu4KAAFAAAACTEvMjMvMjAxNQBDFD3A3TTWCBP/JsHdNNYIIENJUS5eU1BYLklRX1BSSUNFREFURS4xMC8xNy8yMDE4AQAAAJu4KAAFAAAACjEwLzE3LzIwMTgA8zJBwN001giTNyjB3TTWCB9DSVEuXlNQWC5JUV9QUklDRURBVEUuNS8yOS8yMDE1AQAAAJu4KAAFAAAA</t>
  </si>
  <si>
    <t>CTUvMjkvMjAxNQDTcz7A3TTWCHN/D8HdNNYIHkNJUS5eU1BYLklRX1BSSUNFREFURS45LzgvMjAxNgEAAACbuCgABQAAAAg5LzgvMjAxNgBDhT/A3TTWCPNdH8HdNNYIH0NJUS5eU1BYLklRX1BSSUNFREFURS44LzIwLzIwMTUBAAAAm7goAAUAAAAJOC8yMC8yMDE1AOOaPsDdNNYIEyQMwd001gggQ0lRLl5TUFguSVFfUFJJQ0VEQVRFLjEwLzIyLzIwMTUBAAAAm7goAAUAAAAKMTAvMjIvMjAxNQDzwT7A3TTWCDNyDMHdNNYIIENJUS5eU1BYLklRX1BSSUNFREFURS4xMC8xMC8yMDE4AQAAAJu4KAAFAAAACjEwLzEwLzIwMTgA8zJBwN001gijzyrB3TTWCB9DSVEuXlNQWC5JUV9QUklDRURBVEUuNC8xMS8yMDE4AQAAAJu4KAAFAAAACTQvMTEvMjAxOADT5EDA3TTWCLNQHMHdNNYIH0NJUS5eU1BYLklRX1BSSUNFREFURS42LzEyLzIwMTQBAAAAm7goAAUAAAAJNi8xMi8yMDE0ABOfPMDdNNYIE7MJwd001ggfQ0lRLl5TUFguSVFfUFJJQ0VEQVRFLjcvMTAvMjAxOAEAAACbuCgABQAAAAk3LzEwLzIwMTgA4wtBwN001gijRxfB3TTWCB5DSVEuTllTRTpNTU0uSVFfSU5EVVNUUllfR1JPVVABAAAAqmkEAAMAAAANQ2FwaXRhbCBHb29kcwATzPy+3TTWCDMvLMHdNNYIH0NJUS5eU1BYLklRX1BSSUNFREFURS4xMC81LzIwMTYBAAAAm7goAAUAAAAJMTAvNS8yMDE2AEOFP8DdNNYIUwwqwd001ggfQ0lRLl5TUFgu</t>
  </si>
  <si>
    <t>SVFfUFJJQ0VEQVRFLjQvMTUvMjAxNAEAAACbuCgABQAAAAk0LzE1LzIwMTQAA3g8wN001gjjPQnB3TTWCB9DSVEuXlNQWC5JUV9QUklDRURBVEUuMTIvNy8yMDE3AQAAAJu4KAAFAAAACTEyLzcvMjAxNwCzlkDA3TTWCNOAIcHdNNYIHkNJUS5eU1BYLklRX1BSSUNFREFURS44LzgvMjAxNwEAAACbuCgABQAAAAg4LzgvMjAxNwCjb0DA3TTWCKMLIcHdNNYIH0NJUS5eU1BYLklRX1BSSUNFREFURS43LzI3LzIwMTcBAAAAm7goAAUAAAAJNy8yNy8yMDE3AKNvQMDdNNYIY8Inwd001ggeQ0lRLl5TUFguSVFfUFJJQ0VEQVRFLjUvMS8yMDE0AQAAAJu4KAAFAAAACDUvMS8yMDE0AAN4PMDdNNYI8woYwd001gggQ0lRLl5TUFguSVFfUFJJQ0VEQVRFLjExLzIxLzIwMTQBAAAAm7goAAUAAAAKMTEvMjEvMjAxNAAz7TzA3TTWCPNGDsHdNNYIH0NJUS5eU1BYLklRX1BSSUNFREFURS4xMC83LzIwMTQBAAAAm7goAAUAAAAJMTAvNy8yMDE0ADPtPMDdNNYIQ3sRwd001ggfQ0lRLl5TUFguSVFfUFJJQ0VEQVRFLjMvMTYvMjAxNwEAAACbuCgABQAAAAkzLzE2LzIwMTcAc/o/wN001ghjUSXB3TTWCB5DSVEuXlNQWC5JUV9QUklDRURBVEUuMS81LzIwMTUBAAAAm7goAAUAAAAIMS81LzIwMTUAQxQ9wN001ggTlQ7B3TTWCB9DSVEuXlNQWC5JUV9QUklDRURBVEUuNi8yOS8yMDE3AQAAAJu4KAAFAAAACTYvMjkvMjAxNwCT</t>
  </si>
  <si>
    <t>SEDA3TTWCJPkIMHdNNYIH0NJUS5eU1BYLklRX1BSSUNFREFURS45LzI3LzIwMTcBAAAAm7goAAUAAAAJOS8yNy8yMDE3ALOWQMDdNNYI85kVwd001ggeQ0lRLl5TUFguSVFfUFJJQ0VEQVRFLjkvNS8yMDE4AQAAAJu4KAAFAAAACDkvNS8yMDE4AOMLQcDdNNYIw5UXwd001ggeQ0lRLl5TUFguSVFfUFJJQ0VEQVRFLjMvMS8yMDE4AQAAAJu4KAAFAAAACDMvMS8yMDE4AMO9QMDdNNYIc+knwd001ggfQ0lRLl5TUFguSVFfUFJJQ0VEQVRFLjQvMjUvMjAxNwEAAACbuCgABQAAAAk0LzI1LzIwMTcAgyFAwN001gij1hTB3TTWCB5DSVEuXlNQWC5JUV9QUklDRURBVEUuNC8xLzIwMTUBAAAAm7goAAUAAAAINC8xLzIwMTUAUzs9wN001ghjWA/B3TTWCB9DSVEuXlNQWC5JUV9QUklDRURBVEUuMy8xMi8yMDE4AQAAAJu4KAAFAAAACTMvMTIvMjAxOADDvUDA3TTWCLNQHMHdNNYIHkNJUS5eU1BYLklRX1BSSUNFREFURS4zLzcvMjAxNgEAAACbuCgABQAAAAgzLzcvMjAxNgATED/A3TTWCKO4GcHdNNYIH0NJUS5eU1BYLklRX1BSSUNFREFURS41LzI2LzIwMTcBAAAAm7goAAUAAAAJNS8yNi8yMDE3AJNIQMDdNNYIQz8bwd001ggkQ0lRLl5TUFguSVFfTEFTVFNBTEVQUklDRS4xMi8zMS8yMDEzAQAAAJu4KAACAAAAEDE4NDguMzU2NTIwOTQxOTQA434lvt001ggzLyzB3TTWCB9DSVEuXlNQWC5JUV9QUklDRURBVEUu</t>
  </si>
  <si>
    <t>NS8yMC8yMDE0AQAAAJu4KAAFAAAACTUvMjAvMjAxNAATnzzA3TTWCPNkCcHdNNYIIENJUS5eU1BYLklRX1BSSUNFREFURS4xMC8yMC8yMDE1AQAAAJu4KAAFAAAACjEwLzIwLzIwMTUA88E+wN001gjTaRDB3TTWCB9DSVEuXlNQWC5JUV9QUklDRURBVEUuMi8yMS8yMDE3AQAAAJu4KAAFAAAACTIvMjEvMjAxNwBz+j/A3TTWCIOIFMHdNNYIH0NJUS5eU1BYLklRX1BSSUNFREFURS4xLzI4LzIwMTUBAAAAm7goAAUAAAAJMS8yOC8yMDE1AEMUPcDdNNYII7wOwd001ggeQ0lRLl5TUFguSVFfUFJJQ0VEQVRFLjYvOS8yMDE3AQAAAJu4KAAFAAAACDYvOS8yMDE3AJNIQMDdNNYIs/0Uwd001gggQ0lRLl5TUFguSVFfUFJJQ0VEQVRFLjEwLzMxLzIwMTQBAAAAm7goAAUAAAAKMTAvMzEvMjAxNAAz7TzA3TTWCHMHI8HdNNYIH0NJUS5eU1BYLklRX1BSSUNFREFURS4xLzEyLzIwMTUBAAAAm7goAAUAAAAJMS8xMi8yMDE1AEMUPcDdNNYIQ84Ywd001ggfQ0lRLl5TUFguSVFfUFJJQ0VEQVRFLjQvMjgvMjAxNwEAAACbuCgABQAAAAk0LzI4LzIwMTcAgyFAwN001ghDISDB3TTWCB9DSVEuXlNQWC5JUV9QUklDRURBVEUuNS8yOS8yMDE0AQAAAJu4KAAFAAAACTUvMjkvMjAxNAATnzzA3TTWCJNcDcHdNNYIHkNJUS5eU1BYLklRX1BSSUNFREFURS45LzgvMjAxNwEAAACbuCgABQAAAAg5LzgvMjAxNwCjb0DA3TTWCKPt</t>
  </si>
  <si>
    <t>JcHdNNYIHkNJUS5eU1BYLklRX1BSSUNFREFURS45LzIvMjAxNgEAAACbuCgABQAAAAg5LzIvMjAxNgBDhT/A3TTWCDPFE8HdNNYIHkNJUS5eU1BYLklRX1BSSUNFREFURS4yLzcvMjAxNwEAAACbuCgABQAAAAgyLzcvMjAxNwBz+j/A3TTWCGMzKsHdNNYIH0NJUS5eU1BYLklRX1BSSUNFREFURS4xMi81LzIwMTQBAAAAm7goAAUAAAAJMTIvNS8yMDE0AEMUPcDdNNYIo14owd001gggQ0lRLl5TUFguSVFfUFJJQ0VEQVRFLjEwLzIyLzIwMTQBAAAAm7goAAUAAAAKMTAvMjIvMjAxNAAz7TzA3TTWCFNPCsHdNNYIIENJUS5eU1BYLklRX1BSSUNFREFURS4xMS8xMC8yMDE3AQAAAJu4KAAFAAAACjExLzEwLzIwMTcAs5ZAwN001ggjDxbB3TTWCB9DSVEuXlNQWC5JUV9QUklDRURBVEUuNy8xMy8yMDE4AQAAAJu4KAAFAAAACTcvMTMvMjAxOADjC0HA3TTWCCNEIsHdNNYIH0NJUS5eU1BYLklRX1BSSUNFREFURS40LzMwLzIwMTUBAAAAm7goAAUAAAAJNC8zMC8yMDE1AGNiPcDdNNYIY1gPwd001ggeQ0lRLl5TUFguSVFfUFJJQ0VEQVRFLjEvOC8yMDE1AQAAAJu4KAAFAAAACDEvOC8yMDE1AEMUPcDdNNYIY8kRwd001ggfQ0lRLl5TUFguSVFfUFJJQ0VEQVRFLjExLzcvMjAxNgEAAACbuCgABQAAAAkxMS83LzIwMTYAU6w/wN001gjzexrB3TTWCB5DSVEuXlNQWC5JUV9QUklDRURBVEUuNy84LzIwMTQBAAAAm7go</t>
  </si>
  <si>
    <t>AAUAAAAINy84LzIwMTQAE588wN001ggzVBHB3TTWCB9DSVEuXlNQWC5JUV9QUklDRURBVEUuMTAvNS8yMDE3AQAAAJu4KAAFAAAACTEwLzUvMjAxNwCzlkDA3TTWCHO0G8HdNNYIH0NJUS5eU1BYLklRX1BSSUNFREFURS4yLzE1LzIwMTcBAAAAm7goAAUAAAAJMi8xNS8yMDE3AHP6P8DdNNYI42srwd001ggeQ0lRLl5TUFguSVFfUFJJQ0VEQVRFLjgvOC8yMDE2AQAAAJu4KAAFAAAACDgvOC8yMDE2ADNeP8DdNNYI0y0awd001gggQ0lRLl5TUFguSVFfUFJJQ0VEQVRFLjEwLzEzLzIwMTYBAAAAm7goAAUAAAAKMTAvMTMvMjAxNgBDhT/A3TTWCEPsE8HdNNYIH0NJUS5eU1BYLklRX1BSSUNFREFURS4zLzE0LzIwMTQBAAAAm7goAAUAAAAJMy8xNC8yMDE0APNQPMDdNNYIcw4Nwd001ggeQ0lRLl5TUFguSVFfUFJJQ0VEQVRFLjEvNy8yMDE2AQAAAJu4KAAFAAAACDEvNy8yMDE2AAPpPsDdNNYIw8ojwd001ggfQ0lRLl5TUFguSVFfUFJJQ0VEQVRFLjkvMjUvMjAxNAEAAACbuCgABQAAAAk5LzI1LzIwMTQAI8Y8wN001ghDexHB3TTWCB9DSVEuXlNQWC5JUV9QUklDRURBVEUuMTAvNy8yMDE1AQAAAJu4KAAFAAAACTEwLzcvMjAxNQDzwT7A3TTWCLOjI8HdNNYIH0NJUS5eU1BYLklRX1BSSUNFREFURS4yLzE3LzIwMTUBAAAAm7goAAUAAAAJMi8xNy8yMDE1AFM7PcDdNNYIU9cdwd001gggQ0lRLl5TUFguSVFf</t>
  </si>
  <si>
    <t>UFJJQ0VEQVRFLjEyLzEyLzIwMTcBAAAAm7goAAUAAAAKMTIvMTIvMjAxNwCzlkDA3TTWCIOBKsHdNNYIH0NJUS5eU1BYLklRX1BSSUNFREFURS4zLzE2LzIwMTYBAAAAm7goAAUAAAAJMy8xNi8yMDE2ABMQP8DdNNYIo5oewd001ggfQ0lRLl5TUFguSVFfUFJJQ0VEQVRFLjkvMTUvMjAxNAEAAACbuCgABQAAAAk5LzE1LzIwMTQAI8Y8wN001ghDexHB3TTWCB9DSVEuXlNQWC5JUV9QUklDRURBVEUuNC8xMC8yMDE3AQAAAJu4KAAFAAAACTQvMTAvMjAxNwCDIUDA3TTWCHNaKsHdNNYIH0NJUS5eU1BYLklRX1BSSUNFREFURS44LzI3LzIwMTQBAAAAm7goAAUAAAAJOC8yNy8yMDE0ACPGPMDdNNYII2Idwd001ggfQ0lRLl5TUFguSVFfUFJJQ0VEQVRFLjkvMjcvMjAxNgEAAACbuCgABQAAAAk5LzI3LzIwMTYAQ4U/wN001ghD7BPB3TTWCCBDSVEuXlNQWC5JUV9QUklDRURBVEUuMTAvMTIvMjAxNgEAAACbuCgABQAAAAoxMC8xMi8yMDE2AEOFP8DdNNYI42srwd001gggQ0lRLl5TUFguSVFfUFJJQ0VEQVRFLjExLzMwLzIwMTcBAAAAm7goAAUAAAAKMTEvMzAvMjAxNwCzlkDA3TTWCNOAIcHdNNYIH0NJUS5eU1BYLklRX1BSSUNFREFURS4xLzIzLzIwMTgBAAAAm7goAAUAAAAJMS8yMy8yMDE4AMO9QMDdNNYIQ10Wwd001ggfQ0lRLl5TUFguSVFfUFJJQ0VEQVRFLjgvMTcvMjAxNgEAAACbuCgABQAAAAk4LzE3</t>
  </si>
  <si>
    <t>LzIwMTYAM14/wN001ggjnhPB3TTWCB9DSVEuXlNQWC5JUV9QUklDRURBVEUuNy8xNi8yMDE0AQAAAJu4KAAFAAAACTcvMTYvMjAxNAATnzzA3TTWCGPgIsHdNNYIHkNJUS5eU1BYLklRX1BSSUNFREFURS42LzYvMjAxNgEAAACbuCgABQAAAAg2LzYvMjAxNgAjNz/A3TTWCEPlKcHdNNYIH0NJUS5eU1BYLklRX1BSSUNFREFURS44LzIzLzIwMTgBAAAAm7goAAUAAAAJOC8yMy8yMDE4AOMLQcDdNNYIs24Xwd001ggfQ0lRLl5TUFguSVFfUFJJQ0VEQVRFLjcvMzEvMjAxOAEAAACbuCgABQAAAAk3LzMxLzIwMTgA4wtBwN001ggT4SvB3TTWCB9DSVEuXlNQWC5JUV9QUklDRURBVEUuNC8xNC8yMDE2AQAAAJu4KAAFAAAACTQvMTQvMjAxNgAjNz/A3TTWCLPfGcHdNNYIH0NJUS5eU1BYLklRX1BSSUNFREFURS41LzE5LzIwMTQBAAAAm7goAAUAAAAJNS8xOS8yMDE0ABOfPMDdNNYIo14owd001ggeQ0lRLl5TUFguSVFfUFJJQ0VEQVRFLjgvOS8yMDE4AQAAAJu4KAAFAAAACDgvOS8yMDE4AOMLQcDdNNYIk6gqwd001ggeQ0lRLl5TUFguSVFfUFJJQ0VEQVRFLjUvOS8yMDE0AQAAAJu4KAAFAAAACDUvOS8yMDE0AAN4PMDdNNYIIy0Rwd001ggeQ0lRLl5TUFguSVFfUFJJQ0VEQVRFLjIvMi8yMDE3AQAAAJu4KAAFAAAACDIvMi8yMDE3AHP6P8DdNNYIc2EUwd001ggfQ0lRLl5TUFguSVFfUFJJQ0VEQVRFLjExLzQv</t>
  </si>
  <si>
    <t>MjAxNAEAAACbuCgABQAAAAkxMS80LzIwMTQAM+08wN001giz9irB3TTWCB9DSVEuXlNQWC5JUV9QUklDRURBVEUuOC8xNS8yMDE0AQAAAJu4KAAFAAAACTgvMTUvMjAxNAAjxjzA3TTWCHMHI8HdNNYIH0NJUS5OWVNFOk1NTS5JUV9JTkRVU1RSWV9TRUNUT1IBAAAAqmkEAAMAAAALSW5kdXN0cmlhbHMAE8z8vt001ggzLyzB3TTWCCBDSVEuXlNQWC5JUV9QUklDRURBVEUuMTAvMjMvMjAxNwEAAACbuCgABQAAAAoxMC8yMy8yMDE3ALOWQMDdNNYIw1khwd001ggeQ0lRLl5TUFguSVFfUFJJQ0VEQVRFLjEvNi8yMDE0AQAAAJu4KAAFAAAACDEvNi8yMDE0AOMpPMDdNNYI07wXwd001ggfQ0lRLl5TUFguSVFfUFJJQ0VEQVRFLjEvMzEvMjAxNwEAAACbuCgABQAAAAkxLzMxLzIwMTcAc/o/wN001gjT0yjB3TTWCB9DSVEuXlNQWC5JUV9QUklDRURBVEUuNy8xNy8yMDE4AQAAAJu4KAAFAAAACTcvMTcvMjAxOADjC0HA3TTWCBPhK8HdNNYIH0NJUS5eU1BYLklRX1BSSUNFREFURS42LzE1LzIwMTUBAAAAm7goAAUAAAAJNi8xNS8yMDE1ANNzPsDdNNYIYxwZwd001ggfQ0lRLl5TUFguSVFfUFJJQ0VEQVRFLjIvMTYvMjAxOAEAAACbuCgABQAAAAkyLzE2LzIwMTgAw71AwN001gjzziHB3TTWCB5DSVEuXlNQWC5JUV9QUklDRURBVEUuNy84LzIwMTUBAAAAm7goAAUAAAAINy84LzIwMTUA45o+wN001gijfCPB3TTW</t>
  </si>
  <si>
    <t>CCBDSVEuXlNQWC5JUV9QUklDRURBVEUuMTAvMjEvMjAxNQEAAACbuCgABQAAAAoxMC8yMS8yMDE1APPBPsDdNNYIw8ojwd001ggfQ0lRLl5TUFguSVFfUFJJQ0VEQVRFLjMvMjQvMjAxNAEAAACbuCgABQAAAAkzLzI0LzIwMTQA81A8wN001gjjPQnB3TTWCB9DSVEuXlNQWC5JUV9QUklDRURBVEUuNC8xOS8yMDE3AQAAAJu4KAAFAAAACTQvMTkvMjAxNwCDIUDA3TTWCKPWFMHdNNYIHkNJUS5eU1BYLklRX1BSSUNFREFURS4xLzQvMjAxNgEAAACbuCgABQAAAAgxLzQvMjAxNgAD6T7A3TTWCLOMEsHdNNYIH0NJUS5eU1BYLklRX1BSSUNFREFURS4xMi85LzIwMTYBAAAAm7goAAUAAAAJMTIvOS8yMDE2AFOsP8DdNNYIYzoUwd001ggkQ0lRLk5ZU0U6TU1NLklRX1BUQlYuMjAwMC4xMC8xOC8yMDE4AQAAAKppBAADAAAAAk5NAQcAAAAFAAAAATEBAAAACjE4OTczMjQyNjgDAAAAATACAAAABjEwMDAyOQQAAAABMAcAAAAKMTAvMTcvMjAxOAgAAAAKMTAvMTcvMjAxOBPM/L7dNNYIcywIwd001ggfQ0lRLl5TUFguSVFfUFJJQ0VEQVRFLjYvMTIvMjAxNwEAAACbuCgABQAAAAk2LzEyLzIwMTcAk0hAwN001ghzWirB3TTWCB9DSVEuXlNQWC5JUV9QUklDRURBVEUuOC8zMS8yMDE4AQAAAJu4KAAFAAAACTgvMzEvMjAxOADjC0HA3TTWCJM3KMHdNNYIH0NJUS5eU1BYLklRX1BSSUNFREFURS44LzI1LzIwMTcBAAAA</t>
  </si>
  <si>
    <t>m7goAAUAAAAJOC8yNS8yMDE3AKNvQMDdNNYIY8Inwd001ggeQ0lRLl5TUFguSVFfUFJJQ0VEQVRFLjgvNi8yMDE4AQAAAJu4KAAFAAAACDgvNi8yMDE4AOMLQcDdNNYIM2siwd001ggfQ0lRLl5TUFguSVFfUFJJQ0VEQVRFLjIvMjYvMjAxNQEAAACbuCgABQAAAAkyLzI2LzIwMTUAUzs9wN001ggz4w7B3TTWCB5DSVEuXlNQWC5JUV9QUklDRURBVEUuNi83LzIwMTgBAAAAm7goAAUAAAAINi83LzIwMTgA0+RAwN001ggD2CbB3TTWCB5DSVEuXlNQWC5JUV9QUklDRURBVEUuNC82LzIwMTYBAAAAm7goAAUAAAAINC82LzIwMTYAIzc/wN001gijuBnB3TTWCB9DSVEuXlNQWC5JUV9QUklDRURBVEUuMS8yMi8yMDE2AQAAAJu4KAAFAAAACTEvMjIvMjAxNgATED/A3TTWCLOMEsHdNNYIH0NJUS5eU1BYLklRX1BSSUNFREFURS43LzI1LzIwMTgBAAAAm7goAAUAAAAJNy8yNS8yMDE4AOMLQcDdNNYIk6gqwd001gggQ0lRLl5TUFguSVFfUFJJQ0VEQVRFLjExLzI4LzIwMTQBAAAAm7goAAUAAAAKMTEvMjgvMjAxNAAz7TzA3TTWCPNGDsHdNNYIIENJUS5eU1BYLklRX1BSSUNFREFURS4xMi8xMi8yMDE2AQAAAJu4KAAFAAAACjEyLzEyLzIwMTYAU6w/wN001ghDAyXB3TTWCB9DSVEuXlNQWC5JUV9QUklDRURBVEUuNC8xNi8yMDE1AQAAAJu4KAAFAAAACTQvMTYvMjAxNQBjYj3A3TTWCLM5C8HdNNYIH0NJUS5eU1BY</t>
  </si>
  <si>
    <t>LklRX1BSSUNFREFURS44LzI3LzIwMTUBAAAAm7goAAUAAAAJOC8yNy8yMDE1AOOaPsDdNNYIkz4Swd001ggfQ0lRLl5TUFguSVFfUFJJQ0VEQVRFLjIvMjQvMjAxNwEAAACbuCgABQAAAAkyLzI0LzIwMTcAc/o/wN001ggj8RrB3TTWCCBDSVEuXlNQWC5JUV9QUklDRURBVEUuMTAvMTIvMjAxNwEAAACbuCgABQAAAAoxMC8xMi8yMDE3ALOWQMDdNNYIc7Qbwd001gggQ0lRLl5TUFguSVFfUFJJQ0VEQVRFLjExLzE4LzIwMTQBAAAAm7goAAUAAAAKMTEvMTgvMjAxNAAz7TzA3TTWCBP/JsHdNNYIHkNJUS5eU1BYLklRX1BSSUNFREFURS40LzQvMjAxNAEAAACbuCgABQAAAAg0LzQvMjAxNADzUDzA3TTWCCMtEcHdNNYIH0NJUS5eU1BYLklRX1BSSUNFREFURS4xMi84LzIwMTYBAAAAm7goAAUAAAAJMTIvOC8yMDE2AFOsP8DdNNYIE6wfwd001gggQ0lRLl5TUFguSVFfUFJJQ0VEQVRFLjExLzMwLzIwMTYBAAAAm7goAAUAAAAKMTEvMzAvMjAxNgBTrD/A3TTWCAOjGsHdNNYIH0NJUS5eU1BYLklRX1BSSUNFREFURS43LzI1LzIwMTYBAAAAm7goAAUAAAAJNy8yNS8yMDE2ADNeP8DdNNYI4zYfwd001ggfQ0lRLl5TUFguSVFfUFJJQ0VEQVRFLjEvMTMvMjAxNwEAAACbuCgABQAAAAkxLzEzLzIwMTcAY9M/wN001gjjayvB3TTWCCBDSVEuXlNQWC5JUV9QUklDRURBVEUuMTIvMTgvMjAxNQEAAACbuCgABQAAAAox</t>
  </si>
  <si>
    <t>Mi8xOC8yMDE1AAPpPsDdNNYIU8AMwd001ggeQ0lRLl5TUFguSVFfUFJJQ0VEQVRFLjUvNy8yMDE1AQAAAJu4KAAFAAAACDUvNy8yMDE1AGNiPcDdNNYIo3wjwd001ggfQ0lRLl5TUFguSVFfUFJJQ0VEQVRFLjExLzgvMjAxNwEAAACbuCgABQAAAAkxMS84LzIwMTcAs5ZAwN001gizFCbB3TTWCB5DSVEuXlNQWC5JUV9QUklDRURBVEUuNy82LzIwMTUBAAAAm7goAAUAAAAINy82LzIwMTUA03M+wN001ghj/h3B3TTWCB9DSVEuXlNQWC5JUV9QUklDRURBVEUuNy8yMC8yMDE3AQAAAJu4KAAFAAAACTcvMjAvMjAxNwCjb0DA3TTWCNNLFcHdNNYIH0NJUS5eU1BYLklRX1BSSUNFREFURS41LzEyLzIwMTYBAAAAm7goAAUAAAAJNS8xMi8yMDE2ACM3P8DdNNYI00Qrwd001ggfQ0lRLl5TUFguSVFfUFJJQ0VEQVRFLjYvMTEvMjAxOAEAAACbuCgABQAAAAk2LzExLzIwMTgA0+RAwN001giTIBfB3TTWCB5DSVEuXlNQWC5JUV9QUklDRURBVEUuNS81LzIwMTcBAAAAm7goAAUAAAAINS81LzIwMTcAgyFAwN001gij1hTB3TTWCCBDSVEuXlNQWC5JUV9QUklDRURBVEUuMTIvMzEvMjAxMwEAAACbuCgABQAAAAoxMi8zMS8yMDEzAOMpPMDdNNYIs8gIwd001ggeQ0lRLl5TUFguSVFfUFJJQ0VEQVRFLjQvNy8yMDE0AQAAAJu4KAAFAAAACDQvNy8yMDE0APNQPMDdNNYIgzUNwd001ggeQ0lRLl5TUFguSVFfUFJJQ0VEQVRF</t>
  </si>
  <si>
    <t>LjQvOS8yMDE1AQAAAJu4KAAFAAAACDQvOS8yMDE1AFM7PcDdNNYIs4Uowd001ggfQ0lRLl5TUFguSVFfUFJJQ0VEQVRFLjYvMjEvMjAxOAEAAACbuCgABQAAAAk2LzIxLzIwMTgA0+RAwN001giTIBfB3TTWCB9DSVEuXlNQWC5JUV9QUklDRURBVEUuMi8xMC8yMDE1AQAAAJu4KAAFAAAACTIvMTAvMjAxNQBDFD3A3TTWCFP1GMHdNNYIHkNJUS5eU1BYLklRX1BSSUNFREFURS45LzIvMjAxNQEAAACbuCgABQAAAAg5LzIvMjAxNQDjmj7A3TTWCHMlHsHdNNYIH0NJUS5eU1BYLklRX1BSSUNFREFURS41LzI0LzIwMTgBAAAAm7goAAUAAAAJNS8yNC8yMDE4ANPkQMDdNNYIE+Erwd001ggfQ0lRLl5TUFguSVFfUFJJQ0VEQVRFLjIvMTIvMjAxOAEAAACbuCgABQAAAAkyLzEyLzIwMTgAw71AwN001gjTYibB3TTWCB9DSVEuXlNQWC5JUV9QUklDRURBVEUuMTIvMy8yMDE1AQAAAJu4KAAFAAAACTEyLzMvMjAxNQAD6T7A3TTWCINMHsHdNNYIH0NJUS5eU1BYLklRX1BSSUNFREFURS43LzE1LzIwMTUBAAAAm7goAAUAAAAJNy8xNS8yMDE1AOOaPsDdNNYIk80Pwd001ggfQ0lRLl5TUFguSVFfUFJJQ0VEQVRFLjMvMjQvMjAxNQEAAACbuCgABQAAAAkzLzI0LzIwMTUAUzs9wN001gijEgvB3TTWCCBDSVEuTllTRTpNTU0uSVFfUFRCVi4uMTAvMTgvMjAxOAEAAACqaQQAAwAAAAJOTQEHAAAABQAAAAExAQAAAAoxODk3</t>
  </si>
  <si>
    <t>MzI0MjY4AwAAAAEwAgAAAAYxMDAwMjkEAAAAATAHAAAACjEwLzE3LzIwMTgIAAAACjEwLzE3LzIwMTjjKTzA3TTWCOMpPMDdNNYIHkNJUS5eU1BYLklRX1BSSUNFREFURS40LzUvMjAxNgEAAACbuCgABQAAAAg0LzUvMjAxNgAjNz/A3TTWCEPlKcHdNNYIH0NJUS5eU1BYLklRX1BSSUNFREFURS4yLzE5LzIwMTUBAAAAm7goAAUAAAAJMi8xOS8yMDE1AFM7PcDdNNYIk1Ujwd001ggfQ0lRLl5TUFguSVFfUFJJQ0VEQVRFLjIvMjYvMjAxNAEAAACbuCgABQAAAAkyLzI2LzIwMTQA81A8wN001ghzDg3B3TTWCB9DSVEuXlNQWC5JUV9QUklDRURBVEUuNy8xNy8yMDE3AQAAAJu4KAAFAAAACTcvMTcvMjAxNwCjb0DA3TTWCKMLIcHdNNYIH0NJUS5eU1BYLklRX1BSSUNFREFURS40LzI5LzIwMTQBAAAAm7goAAUAAAAJNC8yOS8yMDE0AAN4PMDdNNYIIy0Rwd001ggeQ0lRLl5TUFguSVFfUFJJQ0VEQVRFLjgvMi8yMDE4AQAAAJu4KAAFAAAACDgvMi8yMDE4AOMLQcDdNNYIgxAowd001ggfQ0lRLl5TUFguSVFfUFJJQ0VEQVRFLjMvMTIvMjAxNQEAAACbuCgABQAAAAkzLzEyLzIwMTUAUzs9wN001gijEgvB3TTWCB9DSVEuXlNQWC5JUV9QUklDRURBVEUuOS8yMy8yMDE1AQAAAJu4KAAFAAAACTkvMjMvMjAxNQDzwT7A3TTWCLOjI8HdNNYIH0NJUS5eU1BYLklRX1BSSUNFREFURS41LzEzLzIwMTQBAAAAm7goAAUA</t>
  </si>
  <si>
    <t>AAAJNS8xMy8yMDE0AAN4PMDdNNYI8woYwd001gggQ0lRLl5TUFguSVFfUFJJQ0VEQVRFLjExLzE3LzIwMTcBAAAAm7goAAUAAAAKMTEvMTcvMjAxNwCzlkDA3TTWCAO6K8HdNNYIHkNJUS5eU1BYLklRX1BSSUNFREFURS4zLzMvMjAxNAEAAACbuCgABQAAAAgzLzMvMjAxNADzUDzA3TTWCBMGEcHdNNYIH0NJUS5eU1BYLklRX1BSSUNFREFURS4xMi84LzIwMTcBAAAAm7goAAUAAAAJMTIvOC8yMDE3ALOWQMDdNNYIwzsmwd001ggfQ0lRLl5TUFguSVFfUFJJQ0VEQVRFLjkvMjgvMjAxOAEAAACbuCgABQAAAAk5LzI4LzIwMTgA4wtBwN001ghDkiLB3TTWCB9DSVEuXlNQWC5JUV9QUklDRURBVEUuOS8xMC8yMDE4AQAAAJu4KAAFAAAACTkvMTAvMjAxOADjC0HA3TTWCKPPKsHdNNYIIENJUS5eU1BYLklRX1BSSUNFREFURS4xMi8zMC8yMDE2AQAAAJu4KAAFAAAACjEyLzMwLzIwMTYAY9M/wN001ggTyhrB3TTWCB9DSVEuXlNQWC5JUV9QUklDRURBVEUuNS8xMS8yMDE2AQAAAJu4KAAFAAAACTUvMTEvMjAxNgAjNz/A3TTWCOMBE8HdNNYIHkNJUS5eU1BYLklRX1BSSUNFREFURS41LzcvMjAxNAEAAACbuCgABQAAAAg1LzcvMjAxNAADeDzA3TTWCBM7HcHdNNYIHkNJUS5eU1BYLklRX1BSSUNFREFURS4xLzgvMjAxOAEAAACbuCgABQAAAAgxLzgvMjAxOADDvUDA3TTWCJMCHMHdNNYIH0NJUS5eU1BYLklRX1BS</t>
  </si>
  <si>
    <t>SUNFREFURS42LzI0LzIwMTQBAAAAm7goAAUAAAAJNi8yNC8yMDE0ABOfPMDdNNYIE7MJwd001gggQ0lRLl5TUFguSVFfUFJJQ0VEQVRFLjEwLzI2LzIwMTcBAAAAm7goAAUAAAAKMTAvMjYvMjAxNwCzlkDA3TTWCHPpJ8HdNNYIH0NJUS5eU1BYLklRX1BSSUNFREFURS44LzIyLzIwMTcBAAAAm7goAAUAAAAJOC8yMi8yMDE3AKNvQMDdNNYIowshwd001ggfQ0lRLl5TUFguSVFfUFJJQ0VEQVRFLjExLzgvMjAxNgEAAACbuCgABQAAAAkxMS84LzIwMTYAU6w/wN001ggTrB/B3TTWCB5DSVEuXlNQWC5JUV9QUklDRURBVEUuMi8zLzIwMTUBAAAAm7goAAUAAAAIMi8zLzIwMTUAQxQ9wN001ggjvA7B3TTWCB5DSVEuXlNQWC5JUV9QUklDRURBVEUuMy85LzIwMTcBAAAAm7goAAUAAAAIMy85LzIwMTcAc/o/wN001giTrxTB3TTWCCpDSVEuTllTRTpNTU0uSVFfVEVWX0VCSVREQS4yMDAwLjEwLzE4LzIwMTgBAAAAqmkEAAIAAAAJMTUuMjkzNjA3AQcAAAAFAAAAATEBAAAACjE4OTczMjQyNjgDAAAAATACAAAABjEwMDAzMAQAAAABMAcAAAAKMTAvMTcvMjAxOAgAAAAKMTAvMTcvMjAxOBPM/L7dNNYIcywIwd001ggfQ0lRLl5TUFguSVFfUFJJQ0VEQVRFLjEyLzEvMjAxNgEAAACbuCgABQAAAAkxMi8xLzIwMTYAU6w/wN001ggTrB/B3TTWCB9DSVEuXlNQWC5JUV9QUklDRURBVEUuMy8yOS8yMDE2AQAAAJu4KAAF</t>
  </si>
  <si>
    <t>AAAACTMvMjkvMjAxNgATED/A3TTWCMOsKMHdNNYIH0NJUS5eU1BYLklRX1BSSUNFREFURS42LzE1LzIwMTgBAAAAm7goAAUAAAAJNi8xNS8yMDE4ANPkQMDdNNYIkyAXwd001gggQ0lRLl5TUFguSVFfUFJJQ0VEQVRFLjEyLzIyLzIwMTcBAAAAm7goAAUAAAAKMTIvMjIvMjAxNwDDvUDA3TTWCOOnIcHdNNYIH0NJUS5eU1BYLklRX1BSSUNFREFURS4yLzE2LzIwMTYBAAAAm7goAAUAAAAJMi8xNi8yMDE2ABMQP8DdNNYIw7MSwd001ggfQ0lRLl5TUFguSVFfUFJJQ0VEQVRFLjgvMTAvMjAxOAEAAACbuCgABQAAAAk4LzEwLzIwMTgA4wtBwN001gjjxRzB3TTWCClDSVEuTllTRTpNTU0uSVFfRVBTX0VTVC4uMTAvMTUvMjAxOC4uLlVTRAEAAACqaQQAAgAAAAYxMC42MzUBDgAAAAUAAAACMTEBAAAABzI2NTc5OTICAAAABzkxMDYxNzMDAAAABjEwNTEyNgQAAAABMAYAAAABMAcAAAADMTYwCAAAAAEwCQAAAAMzMTQKAAAAATALAAAACjIyMDI0MzQ1NjMMAAAAAjEyDQAAAAoxMC8xNi8yMDE4EAAAAAoxMC8xNS8yMDE48zJBwN001gjzMkHA3TTWCB5DSVEuXlNQWC5JUV9QUklDRURBVEUuNC83LzIwMTUBAAAAm7goAAUAAAAINC83LzIwMTUAUzs9wN001giTVSPB3TTWCCBDSVEuXlNQWC5JUV9QUklDRURBVEUuMTEvMjAvMjAxNwEAAACbuCgABQAAAAoxMS8yMC8yMDE3ALOWQMDdNNYIg9sbwd001ggfQ0lRLl5T</t>
  </si>
  <si>
    <t>UFguSVFfUFJJQ0VEQVRFLjQvMjYvMjAxOAEAAACbuCgABQAAAAk0LzI2LzIwMTgA0+RAwN001gjDdxzB3TTWCB9DSVEuXlNQWC5JUV9QUklDRURBVEUuMi8xMC8yMDE0AQAAAJu4KAAFAAAACTIvMTAvMjAxNADzUDzA3TTWCNO8F8HdNNYIH0NJUS5eU1BYLklRX1BSSUNFREFURS42LzI1LzIwMTgBAAAAm7goAAUAAAAJNi8yNS8yMDE4AOMLQcDdNNYIE+Erwd001ggfQ0lRLl5TUFguSVFfUFJJQ0VEQVRFLjEyLzMvMjAxNAEAAACbuCgABQAAAAkxMi8zLzIwMTQAM+08wN001ghTohHB3TTWCB9DSVEuXlNQWC5JUV9QUklDRURBVEUuNC8xMi8yMDE4AQAAAJu4KAAFAAAACTQvMTIvMjAxOADT5EDA3TTWCAP2IcHdNNYIIENJUS5eU1BYLklRX1BSSUNFREFURS4xMS8yNS8yMDE2AQAAAJu4KAAFAAAACjExLzI1LzIwMTYAU6w/wN001ghDAyXB3TTWCB9DSVEuXlNQWC5JUV9QUklDRURBVEUuMy8yMy8yMDE1AQAAAJu4KAAFAAAACTMvMjMvMjAxNQBTOz3A3TTWCJNVI8HdNNYIHkNJUS5eU1BYLklRX1BSSUNFREFURS4zLzIvMjAxNgEAAACbuCgABQAAAAgzLzIvMjAxNgATED/A3TTWCOMYJMHdNNYIH0NJUS5eU1BYLklRX1BSSUNFREFURS4xMS8yLzIwMTUBAAAAm7goAAUAAAAJMTEvMi8yMDE1APPBPsDdNNYIg0wewd001ggfQ0lRLl5TUFguSVFfUFJJQ0VEQVRFLjkvMjEvMjAxNgEAAACbuCgABQAAAAk5LzIx</t>
  </si>
  <si>
    <t>LzIwMTYAQ4U/wN001ggzxRPB3TTWCB9DSVEuXlNQWC5JUV9QUklDRURBVEUuOC8xMy8yMDE1AQAAAJu4KAAFAAAACTgvMTMvMjAxNQDjmj7A3TTWCHNDGcHdNNYIH0NJUS5eU1BYLklRX1BSSUNFREFURS41LzI1LzIwMTcBAAAAm7goAAUAAAAJNS8yNS8yMDE3AJNIQMDdNNYIY8Inwd001ggfQ0lRLl5TUFguSVFfUFJJQ0VEQVRFLjcvMTgvMjAxNAEAAACbuCgABQAAAAk3LzE4LzIwMTQAI8Y8wN001ggzVBHB3TTWCB9DSVEuXlNQWC5JUV9QUklDRURBVEUuNC8yOS8yMDE1AQAAAJu4KAAFAAAACTQvMjkvMjAxNQBjYj3A3TTWCGMcGcHdNNYIH0NJUS5eU1BYLklRX1BSSUNFREFURS4zLzEyLzIwMTQBAAAAm7goAAUAAAAJMy8xMi8yMDE0APNQPMDdNNYI0xYJwd001ggfQ0lRLl5TUFguSVFfUFJJQ0VEQVRFLjMvMjEvMjAxNwEAAACbuCgABQAAAAkzLzIxLzIwMTcAc/o/wN001giTrxTB3TTWCB5DSVEuXlNQWC5JUV9QUklDRURBVEUuNS84LzIwMTcBAAAAm7goAAUAAAAINS84LzIwMTcAgyFAwN001ghTSCDB3TTWCClDSVEuTllTRTpNTU0uSVFfRVBTX0VTVC4uMTIvMzEvMjAxNC4uLlVTRAEAAACqaQQAAgAAAAU4LjAzOQEOAAAABQAAAAIxMQEAAAAHMjY1Nzk5MgIAAAAHNDU2NjgyOAMAAAAGMTA1MTI2BAAAAAEwBgAAAAEwBwAAAAMxNjAIAAAAATAJAAAAAzMxNAoAAAABMAsAAAAKMjIwMDk0OTY5MQwA</t>
  </si>
  <si>
    <t>AAACMTINAAAACDEvMS8yMDE1EAAAAAoxMi8zMS8yMDE08zJBwN001gjzMkHA3TTWCCBDSVEuXlNQWC5JUV9QUklDRURBVEUuMTIvMjkvMjAxNAEAAACbuCgABQAAAAoxMi8yOS8yMDE0AEMUPcDdNNYIE5UOwd001ggfQ0lRLl5TUFguSVFfUFJJQ0VEQVRFLjcvMjgvMjAxNAEAAACbuCgABQAAAAk3LzI4LzIwMTQAI8Y8wN001ggjYh3B3TTWCB9DSVEuXlNQWC5JUV9QUklDRURBVEUuNS8yMi8yMDE1AQAAAJu4KAAFAAAACTUvMjIvMjAxNQBjYj3A3TTWCHN/D8HdNNYIH0NJUS5eU1BYLklRX1BSSUNFREFURS45LzIzLzIwMTQBAAAAm7goAAUAAAAJOS8yMy8yMDE0ACPGPMDdNNYIM6cYwd001ggfQ0lRLl5TUFguSVFfUFJJQ0VEQVRFLjUvMTMvMjAxNQEAAACbuCgABQAAAAk1LzEzLzIwMTUAY2I9wN001ghjHBnB3TTWCB9DSVEuXlNQWC5JUV9QUklDRURBVEUuMi8yNS8yMDE1AQAAAJu4KAAFAAAACTIvMjUvMjAxNQBTOz3A3TTWCGPJEcHdNNYIH0NJUS5eU1BYLklRX1BSSUNFREFURS4zLzI4LzIwMTgBAAAAm7goAAUAAAAJMy8yOC8yMDE4AMO9QMDdNNYIA/Yhwd001ggeQ0lRLl5TUFguSVFfUFJJQ0VEQVRFLjkvNi8yMDE4AQAAAJu4KAAFAAAACDkvNi8yMDE4AOMLQcDdNNYIQ5Iiwd001gggQ0lRLl5TUFguSVFfUFJJQ0VEQVRFLjEwLzE5LzIwMTcBAAAAm7goAAUAAAAKMTAvMTkvMjAxNwCzlkDA3TTW</t>
  </si>
  <si>
    <t>CAPBFcHdNNYIH0NJUS5eU1BYLklRX1BSSUNFREFURS4xMi8yLzIwMTYBAAAAm7goAAUAAAAJMTIvMi8yMDE2AFOsP8DdNNYIQwMlwd001ggeQ0lRLl5TUFguSVFfUFJJQ0VEQVRFLjYvMS8yMDE2AQAAAJu4KAAFAAAACDYvMS8yMDE2ACM3P8DdNNYI0w8fwd001ggfQ0lRLl5TUFguSVFfUFJJQ0VEQVRFLjkvMjkvMjAxNwEAAACbuCgABQAAAAk5LzI5LzIwMTcAs5ZAwN001gizMiHB3TTWCCBDSVEuXlNQWC5JUV9QUklDRURBVEUuMTAvMjYvMjAxNgEAAACbuCgABQAAAAoxMC8yNi8yMDE2AEOFP8DdNNYIM9wkwd001ggwQ0lRLk5ZU0U6TU1NLklRX0RJTFVUX0VQU19FWENMLi4xMi8zMS8yMDE3Li4uVVNEAQAAAKppBAACAAAABDcuOTMBCAAAAAUAAAABMQEAAAAKMTg3MzY3MjAwMQMAAAADMTYwAgAAAAMxNDIEAAAAATAHAAAACjEyLzMxLzIwMTcIAAAACjEyLzMxLzIwMTcJAAAAATDjKTzA3TTWCOMpPMDdNNYIH0NJUS5eU1BYLklRX1BSSUNFREFURS4xLzE0LzIwMTUBAAAAm7goAAUAAAAJMS8xNC8yMDE1AEMUPcDdNNYIQ7Adwd001ggfQ0lRLl5TUFguSVFfUFJJQ0VEQVRFLjIvMjgvMjAxNAEAAACbuCgABQAAAAkyLzI4LzIwMTQA81A8wN001gjTFgnB3TTWCB9DSVEuXlNQWC5JUV9QUklDRURBVEUuMTAvOC8yMDE1AQAAAJu4KAAFAAAACTEwLzgvMjAxNQDzwT7A3TTWCMNCEMHdNNYIH0NJUS5eU1BY</t>
  </si>
  <si>
    <t>LklRX1BSSUNFREFURS4zLzExLzIwMTQBAAAAm7goAAUAAAAJMy8xMS8yMDE0APNQPMDdNNYII5cpwd001ggeQ0lRLl5TUFguSVFfUFJJQ0VEQVRFLjMvOS8yMDE2AQAAAJu4KAAFAAAACDMvOS8yMDE2ABMQP8DdNNYI09oSwd001ggfQ0lRLl5TUFguSVFfUFJJQ0VEQVRFLjQvMjIvMjAxNgEAAACbuCgABQAAAAk0LzIyLzIwMTYAIzc/wN001gjD6B7B3TTWCB9DSVEuXlNQWC5JUV9QUklDRURBVEUuOS8xNC8yMDE4AQAAAJu4KAAFAAAACTkvMTQvMjAxOADjC0HA3TTWCCMILMHdNNYIHkNJUS5eU1BYLklRX1BSSUNFREFURS41LzQvMjAxNQEAAACbuCgABQAAAAg1LzQvMjAxNQBjYj3A3TTWCMNgC8HdNNYIH0NJUS5eU1BYLklRX1BSSUNFREFURS4yLzE2LzIwMTcBAAAAm7goAAUAAAAJMi8xNi8yMDE3AHP6P8DdNNYII/Eawd001ggeQ0lRLl5TUFguSVFfUFJJQ0VEQVRFLjIvOC8yMDE4AQAAAJu4KAAFAAAACDIvOC8yMDE4AMO9QMDdNNYIU4QWwd001ggfQ0lRLl5TUFguSVFfUFJJQ0VEQVRFLjkvMjIvMjAxNgEAAACbuCgABQAAAAk5LzIyLzIwMTYAQ4U/wN001gjjVBrB3TTWCB9DSVEuXlNQWC5JUV9QUklDRURBVEUuNC8xNi8yMDE4AQAAAJu4KAAFAAAACTQvMTYvMjAxOADT5EDA3TTWCPOwJsHdNNYIH0NJUS5eU1BYLklRX1BSSUNFREFURS41LzE4LzIwMTgBAAAAm7goAAUAAAAJNS8xOC8yMDE4ANPk</t>
  </si>
  <si>
    <t>QMDdNNYIw3ccwd001ggfQ0lRLl5TUFguSVFfUFJJQ0VEQVRFLjEwLzMvMjAxOAEAAACbuCgABQAAAAkxMC8zLzIwMTgA4wtBwN001gjDlRfB3TTWCB9DSVEuXlNQWC5JUV9QUklDRURBVEUuNy8xMi8yMDE3AQAAAJu4KAAFAAAACTcvMTIvMjAxNwCTSEDA3TTWCHNaKsHdNNYIHkNJUS5eU1BYLklRX1BSSUNFREFURS4zLzIvMjAxNwEAAACbuCgABQAAAAgzLzIvMjAxNwBz+j/A3TTWCOP6KMHdNNYIHkNJUS5eU1BYLklRX1BSSUNFREFURS4zLzgvMjAxNgEAAACbuCgABQAAAAgzLzgvMjAxNgATED/A3TTWCKOaHsHdNNYIH0NJUS5eU1BYLklRX1BSSUNFREFURS44LzI4LzIwMTUBAAAAm7goAAUAAAAJOC8yOC8yMDE1AOOaPsDdNNYIsxsQwd001ggfQ0lRLl5TUFguSVFfUFJJQ0VEQVRFLjgvMTIvMjAxNgEAAACbuCgABQAAAAk4LzEyLzIwMTYAM14/wN001gjTRCvB3TTWCB9DSVEuXlNQWC5JUV9QUklDRURBVEUuNi8zMC8yMDE1AQAAAJu4KAAFAAAACTYvMzAvMjAxNQDTcz7A3TTWCPPVC8HdNNYILUNJUS5OWVNFOk1NTS5JUV9FUFNfRVNULjYwMDAuMTIvMzEvMjAxNC4uLlVTRAEAAACqaQQAAgAAAAU4LjAzOQEOAAAABQAAAAIxMQEAAAAHMjY1Nzk5MgIAAAAHNDU2NjgyOAMAAAAGMTA1MTI2BAAAAAEwBgAAAAEwBwAAAAMxNjAIAAAAATAJAAAAAzMxNAoAAAABMAsAAAAKMjIwMDk0OTY5MQwAAAACMTIN</t>
  </si>
  <si>
    <t>AAAACDEvMS8yMDE1EAAAAAoxMi8zMS8yMDE0M4v/vt001gijoQjB3TTWCCBDSVEuXlNQWC5JUV9QUklDRURBVEUuMTAvMTYvMjAxNAEAAACbuCgABQAAAAoxMC8xNi8yMDE0ADPtPMDdNNYIU08Kwd001ggfQ0lRLl5TUFguSVFfUFJJQ0VEQVRFLjMvMjEvMjAxNgEAAACbuCgABQAAAAkzLzIxLzIwMTYAExA/wN001gjT2hLB3TTWCCBDSVEuXlNQWC5JUV9QUklDRURBVEUuMTAvMjcvMjAxNAEAAACbuCgABQAAAAoxMC8yNy8yMDE0ADPtPMDdNNYIM4kdwd001ggfQ0lRLl5TUFguSVFfUFJJQ0VEQVRFLjgvMTAvMjAxNwEAAACbuCgABQAAAAk4LzEwLzIwMTcAo29AwN001ghzWirB3TTWCC1DSVEuTllTRTpNTU0uSVFfRVBTX0VTVC42MDAwLjEyLzMxLzIwMTcuLi5VU0QBAAAAqmkEAAIAAAAFOS40MjYBDgAAAAUAAAACMTEBAAAABzI2NTc5OTICAAAABzgxNTEwNTgDAAAABjEwNTEyNgQAAAABMAYAAAABMAcAAAADMTYwCAAAAAEwCQAAAAMzMTQKAAAAATALAAAACjIxOTkzNTA2NjcMAAAAAjEyDQAAAAgxLzEvMjAxOBAAAAAKMTIvMzEvMjAxNzOL/77dNNYIk3oIwd001ggfQ0lRLl5TUFguSVFfUFJJQ0VEQVRFLjYvMjgvMjAxNwEAAACbuCgABQAAAAk2LzI4LzIwMTcAk0hAwN001ghTZhvB3TTWCB5DSVEuXlNQWC5JUV9QUklDRURBVEUuOS85LzIwMTUBAAAAm7goAAUAAAAIOS85LzIwMTUA45o+wN001giT</t>
  </si>
  <si>
    <t>PhLB3TTWCB5DSVEuXlNQWC5JUV9QUklDRURBVEUuNi82LzIwMTgBAAAAm7goAAUAAAAINi82LzIwMTgA0+RAwN001ggjRCLB3TTWCB5DSVEuXlNQWC5JUV9QUklDRURBVEUuMi82LzIwMTUBAAAAm7goAAUAAAAIMi82LzIwMTUAQxQ9wN001gijXijB3TTWCB9DSVEuXlNQWC5JUV9QUklDRURBVEUuMy8zMS8yMDE2AQAAAJu4KAAFAAAACTMvMzEvMjAxNgAjNz/A3TTWCLPBHsHdNNYIH0NJUS5eU1BYLklRX1BSSUNFREFURS4xMC84LzIwMTQBAAAAm7goAAUAAAAJMTAvOC8yMDE0ADPtPMDdNNYI4x8Owd001ggfQ0lRLl5TUFguSVFfUFJJQ0VEQVRFLjMvMTEvMjAxNQEAAACbuCgABQAAAAkzLzExLzIwMTUAUzs9wN001giz9irB3TTWCCBDSVEuXlNQWC5JUV9QUklDRURBVEUuMTIvMzAvMjAxNQEAAACbuCgABQAAAAoxMi8zMC8yMDE1AAPpPsDdNNYIg2oZwd001ggfQ0lRLl5TUFguSVFfUFJJQ0VEQVRFLjcvMTAvMjAxNwEAAACbuCgABQAAAAk3LzEwLzIwMTcAk0hAwN001gjDJBXB3TTWCCBDSVEuXlNQWC5JUV9QUklDRURBVEUuMTEvMTUvMjAxNgEAAACbuCgABQAAAAoxMS8xNS8yMDE2AFOsP8DdNNYIE6wfwd001ggWQ0lRLk5ZU0U6TU1NLklRX1BUQlYuLgEAAACqaQQAAwAAAAJOTQEHAAAABQAAAAExAQAAAAoxODk3MzI0MjY4AwAAAAEwAgAAAAYxMDAwMjkEAAAAATAHAAAACjEwLzE3LzIwMTgIAAAA</t>
  </si>
  <si>
    <t>CjEwLzE3LzIwMTjjKTzA3TTWCOMpPMDdNNYIH0NJUS5eU1BYLklRX1BSSUNFREFURS42LzE4LzIwMTQBAAAAm7goAAUAAAAJNi8xOC8yMDE0ABOfPMDdNNYIE7MJwd001gggQ0lRLl5TUFguSVFfUFJJQ0VEQVRFLjEyLzE0LzIwMTYBAAAAm7goAAUAAAAKMTIvMTQvMjAxNgBTrD/A3TTWCAOjGsHdNNYIH0NJUS5eU1BYLklRX1BSSUNFREFURS44LzE2LzIwMTgBAAAAm7goAAUAAAAJOC8xNi8yMDE4AOMLQcDdNNYIkzcowd001gggQ0lRLl5TUFguSVFfUFJJQ0VEQVRFLjEyLzI4LzIwMTcBAAAAm7goAAUAAAAKMTIvMjgvMjAxNwDDvUDA3TTWCENdFsHdNNYIH0NJUS5eU1BYLklRX1BSSUNFREFURS40LzIwLzIwMTgBAAAAm7goAAUAAAAJNC8yMC8yMDE4ANPkQMDdNNYIA/Yhwd001ggfQ0lRLl5TUFguSVFfUFJJQ0VEQVRFLjgvMzAvMjAxNwEAAACbuCgABQAAAAk4LzMwLzIwMTcAo29AwN001gizMiHB3TTWCB9DSVEuXlNQWC5JUV9QUklDRURBVEUuMS8xNy8yMDE0AQAAAJu4KAAFAAAACTEvMTcvMjAxNADzUDzA3TTWCMPvCMHdNNYIH0NJUS5eU1BYLklRX1BSSUNFREFURS4yLzIyLzIwMTYBAAAAm7goAAUAAAAJMi8yMi8yMDE2ABMQP8DdNNYIw7MSwd001gggQ0lRLl5TUFguSVFfUFJJQ0VEQVRFLjEyLzE2LzIwMTQBAAAAm7goAAUAAAAKMTIvMTYvMjAxNABDFD3A3TTWCANuDsHdNNYIJkNJUS5OWVNF</t>
  </si>
  <si>
    <t>Ok1NTS5JUV9URVZfRUJJVERBLi4xMC8xOC8yMDE4AQAAAKppBAACAAAACTE1LjI5MzYwNwEHAAAABQAAAAExAQAAAAoxODk3MzI0MjY4AwAAAAEwAgAAAAYxMDAwMzAEAAAAATAHAAAACjEwLzE3LzIwMTgIAAAACjEwLzE3LzIwMTjjKTzA3TTWCOMpPMDdNNYIIENJUS5eU1BYLklRX1BSSUNFREFURS4xMS8xNC8yMDE2AQAAAJu4KAAFAAAACjExLzE0LzIwMTYAU6w/wN001ggDoxrB3TTWCB9DSVEuXlNQWC5JUV9QUklDRURBVEUuNC8xMi8yMDE3AQAAAJu4KAAFAAAACTQvMTIvMjAxNwCDIUDA3TTWCKPWFMHdNNYIH0NJUS5eU1BYLklRX1BSSUNFREFURS42LzMwLzIwMTQBAAAAm7goAAUAAAAJNi8zMC8yMDE0ABOfPMDdNNYIE7MJwd001gggQ0lRLl5TUFguSVFfUFJJQ0VEQVRFLjEwLzE2LzIwMTUBAAAAm7goAAUAAAAKMTAvMTYvMjAxNQDzwT7A3TTWCDNyDMHdNNYIH0NJUS5eU1BYLklRX1BSSUNFREFURS45LzE5LzIwMTQBAAAAm7goAAUAAAAJOS8xOS8yMDE0ACPGPMDdNNYIE/8mwd001ggfQ0lRLk5ZU0U6TU1NLklRX0RJVklERU5EX1lJRUxELgEAAACqaQQAAgAAAAYyLjY4MDcA4yk8wN001gjjKTzA3TTWCB9DSVEuXlNQWC5JUV9QUklDRURBVEUuNS8xNy8yMDE2AQAAAJu4KAAFAAAACTUvMTcvMjAxNgAjNz/A3TTWCPMoE8HdNNYIHkNJUS5eU1BYLklRX1BSSUNFREFURS4yLzQvMjAxNgEAAACb</t>
  </si>
  <si>
    <t>uCgABQAAAAgyLzQvMjAxNgATED/A3TTWCJORGcHdNNYIH0NJUS5eU1BYLklRX1BSSUNFREFURS43LzIxLzIwMTQBAAAAm7goAAUAAAAJNy8yMS8yMDE0ACPGPMDdNNYIs6oNwd001ggeQ0lRLl5TUFguSVFfUFJJQ0VEQVRFLjUvMy8yMDE3AQAAAJu4KAAFAAAACDUvMy8yMDE3AIMhQMDdNNYI4/oowd001gggQ0lRLl5TUFguSVFfUFJJQ0VEQVRFLjExLzI3LzIwMTcBAAAAm7goAAUAAAAKMTEvMjcvMjAxNwCzlkDA3TTWCHPpJ8HdNNYIH0NJUS5eU1BYLklRX1BSSUNFREFURS42LzI4LzIwMTYBAAAAm7goAAUAAAAJNi8yOC8yMDE2ADNeP8DdNNYIw6wowd001ggfQ0lRLl5TUFguSVFfUFJJQ0VEQVRFLjUvMTUvMjAxNAEAAACbuCgABQAAAAk1LzE1LzIwMTQAA3g8wN001ghj4CLB3TTWCB9DSVEuXlNQWC5JUV9QUklDRURBVEUuNy8yMi8yMDE2AQAAAJu4KAAFAAAACTcvMjIvMjAxNgAzXj/A3TTWCNMtGsHdNNYIHkNJUS5eU1BYLklRX1BSSUNFREFURS4yLzYvMjAxNAEAAACbuCgABQAAAAgyLzYvMjAxNADzUDzA3TTWCAPfEMHdNNYIIENJUS5eU1BYLklRX1BSSUNFREFURS4xMi8xNS8yMDE0AQAAAJu4KAAFAAAACjEyLzE1LzIwMTQAQxQ9wN001ghTohHB3TTWCB9DSVEuXlNQWC5JUV9QUklDRURBVEUuNS8yNy8yMDE2AQAAAJu4KAAFAAAACTUvMjcvMjAxNgAjNz/A3TTWCANQE8HdNNYIHkNJUS5eU1BY</t>
  </si>
  <si>
    <t>LklRX1BSSUNFREFURS4xLzIvMjAxOAEAAACbuCgABQAAAAgxLzIvMjAxOADDvUDA3TTWCOOnIcHdNNYIH0NJUS5eU1BYLklRX1BSSUNFREFURS42LzEyLzIwMTgBAAAAm7goAAUAAAAJNi8xMi8yMDE4ANPkQMDdNNYI054cwd001ggeQ0lRLl5TUFguSVFfUFJJQ0VEQVRFLjUvMS8yMDE1AQAAAJu4KAAFAAAACDUvMS8yMDE1AGNiPcDdNNYIY/4dwd001ggfQ0lRLl5TUFguSVFfUFJJQ0VEQVRFLjMvMzEvMjAxNwEAAACbuCgABQAAAAkzLzMxLzIwMTcAgyFAwN001giTrxTB3TTWCB5DSVEuXlNQWC5JUV9QUklDRURBVEUuNi84LzIwMTYBAAAAm7goAAUAAAAINi84LzIwMTYAIzc/wN001gjTDx/B3TTWCB5DSVEuXlNQWC5JUV9QUklDRURBVEUuNy81LzIwMTgBAAAAm7goAAUAAAAINy81LzIwMTgA4wtBwN001gjTnhzB3TTWCB5DSVEuXlNQWC5JUV9QUklDRURBVEUuMy81LzIwMTUBAAAAm7goAAUAAAAIMy81LzIwMTUAUzs9wN001giTVSPB3TTWCB9DSVEuXlNQWC5JUV9QUklDRURBVEUuNy8xMS8yMDE3AQAAAJu4KAAFAAAACTcvMTEvMjAxNwCTSEDA3TTWCJPGJcHdNNYIHkNJUS5eU1BYLklRX1BSSUNFREFURS42LzEvMjAxNQEAAACbuCgABQAAAAg2LzEvMjAxNQDTcz7A3TTWCGMcGcHdNNYIH0NJUS5eU1BYLklRX1BSSUNFREFURS4xLzI0LzIwMTcBAAAAm7goAAUAAAAJMS8yNC8yMDE3AGPTP8DdNNYI</t>
  </si>
  <si>
    <t>U5snwd001ggoQ0lRLk5ZU0U6TU1NLklRX01BUktFVENBUC4xMC8xOC8yMDE4LlVTRAEAAACqaQQAAgAAAA0xMTkwNDEuNDcyNjg1AQYAAAAFAAAAATEBAAAACjE4OTczMjI4ODADAAAAAzE2MAIAAAAGMTAwMDU0BAAAAAEwBwAAAAoxMC8xNy8yMDE4E8z8vt001ghzLAjB3TTWCB9DSVEuXlNQWC5JUV9QUklDRURBVEUuNi8xOC8yMDE1AQAAAJu4KAAFAAAACTYvMTgvMjAxNQDTcz7A3TTWCOOuC8HdNNYIH0NJUS5eU1BYLklRX1BSSUNFREFURS42LzIyLzIwMTUBAAAAm7goAAUAAAAJNi8yMi8yMDE1ANNzPsDdNNYIg6YPwd001ggeQ0lRLl5TUFguSVFfUFJJQ0VEQVRFLjQvMS8yMDE0AQAAAJu4KAAFAAAACDQvMS8yMDE0APNQPMDdNNYIgzUNwd001ggeQ0lRLl5TUFguSVFfUFJJQ0VEQVRFLjMvNy8yMDE3AQAAAJu4KAAFAAAACDMvNy8yMDE3AHP6P8DdNNYIM/ofwd001ggfQ0lRLl5TUFguSVFfUFJJQ0VEQVRFLjUvMjYvMjAxNgEAAACbuCgABQAAAAk1LzI2LzIwMTYAIzc/wN001gjDrCjB3TTWCCBDSVEuXlNQWC5JUV9QUklDRURBVEUuMTEvMTYvMjAxNQEAAACbuCgABQAAAAoxMS8xNi8yMDE1APPBPsDdNNYIo2USwd001ggeQ0lRLl5TUFguSVFfUFJJQ0VEQVRFLjkvNC8yMDE1AQAAAJu4KAAFAAAACDkvNC8yMDE1AOOaPsDdNNYIs6Mjwd001gggQ0lRLl5TUFguSVFfUFJJQ0VEQVRFLjEwLzIwLzIw</t>
  </si>
  <si>
    <t>MTQBAAAAm7goAAUAAAAKMTAvMjAvMjAxNAAz7TzA3TTWCOMfDsHdNNYIHkNJUS5eU1BYLklRX1BSSUNFREFURS4yLzUvMjAxNAEAAACbuCgABQAAAAgyLzUvMjAxNADzUDzA3TTWCMPvCMHdNNYIHkNJUS5eU1BYLklRX1BSSUNFREFURS4xLzkvMjAxNAEAAACbuCgABQAAAAgxLzkvMjAxNADjKTzA3TTWCFPADMHdNNYIH0NJUS5eU1BYLklRX1BSSUNFREFURS43LzEzLzIwMTUBAAAAm7goAAUAAAAJNy8xMy8yMDE1AOOaPsDdNNYIA/0Lwd001ggeQ0lRLl5TUFguSVFfUFJJQ0VEQVRFLjYvOS8yMDE2AQAAAJu4KAAFAAAACDYvOS8yMDE2ACM3P8DdNNYIA1ATwd001ggfQ0lRLl5TUFguSVFfUFJJQ0VEQVRFLjEvMjYvMjAxNQEAAACbuCgABQAAAAkxLzI2LzIwMTUAQxQ9wN001giDxArB3TTWCB5DSVEuXlNQWC5JUV9QUklDRURBVEUuNy85LzIwMTUBAAAAm7goAAUAAAAINy85LzIwMTUA45o+wN001giTzQ/B3TTWCB9DSVEuXlNQWC5JUV9QUklDRURBVEUuOC8yOS8yMDE3AQAAAJu4KAAFAAAACTgvMjkvMjAxNwCjb0DA3TTWCONyFcHdNNYIH0NJUS5eU1BYLklRX1BSSUNFREFURS44LzMwLzIwMTYBAAAAm7goAAUAAAAJOC8zMC8yMDE2AEOFP8DdNNYI41Qawd001ggeQ0lRLl5TUFguSVFfUFJJQ0VEQVRFLjgvMS8yMDE4AQAAAJu4KAAFAAAACDgvMS8yMDE4AOMLQcDdNNYIs24Xwd001gggQ0lRLl5TUFgu</t>
  </si>
  <si>
    <t>SVFfUFJJQ0VEQVRFLjExLzE0LzIwMTcBAAAAm7goAAUAAAAKMTEvMTQvMjAxNwCzlkDA3TTWCNOAIcHdNNYIH0NJUS5eU1BYLklRX1BSSUNFREFURS45LzEwLzIwMTQBAAAAm7goAAUAAAAJOS8xMC8yMDE0ACPGPMDdNNYI0/gNwd001ggfQ0lRLl5TUFguSVFfUFJJQ0VEQVRFLjgvMjQvMjAxNwEAAACbuCgABQAAAAk4LzI0LzIwMTcAo29AwN001gij7SXB3TTWCCBDSVEuXlNQWC5JUV9QUklDRURBVEUuMTIvMjYvMjAxNAEAAACbuCgABQAAAAoxMi8yNi8yMDE0AEMUPcDdNNYIU6IRwd001ggfQ0lRLl5TUFguSVFfUFJJQ0VEQVRFLjUvMTcvMjAxNwEAAACbuCgABQAAAAk1LzE3LzIwMTcAk0hAwN001giz/RTB3TTWCB5DSVEuXlNQWC5JUV9QUklDRURBVEUuMS84LzIwMTQBAAAAm7goAAUAAAAIMS84LzIwMTQA4yk8wN001ggDMhjB3TTWCCBDSVEuXlNQWC5JUV9QUklDRURBVEUuMTEvMjIvMjAxNwEAAACbuCgABQAAAAoxMS8yMi8yMDE3ALOWQMDdNNYIMzYWwd001ggeQ0lRLl5TUFguSVFfUFJJQ0VEQVRFLjUvMy8yMDE2AQAAAJu4KAAFAAAACDUvMy8yMDE2ACM3P8DdNNYI8z8kwd001ggfQ0lRLl5TUFguSVFfUFJJQ0VEQVRFLjkvMTQvMjAxNQEAAACbuCgABQAAAAk5LzE0LzIwMTUA45o+wN001ggjSwzB3TTWCB9DSVEuXlNQWC5JUV9QUklDRURBVEUuOC8yNi8yMDE1AQAAAJu4KAAFAAAACTgvMjYv</t>
  </si>
  <si>
    <t>MjAxNQDjmj7A3TTWCBMkDMHdNNYIIENJUS5eU1BYLklRX1BSSUNFREFURS4xMC8xMy8yMDE3AQAAAJu4KAAFAAAACjEwLzEzLzIwMTcAs5ZAwN001ggDwRXB3TTWCB9DSVEuXlNQWC5JUV9QUklDRURBVEUuNS8xNS8yMDE1AQAAAJu4KAAFAAAACTUvMTUvMjAxNQBjYj3A3TTWCHPwEcHdNNYIIENJUS5eU1BYLklRX1BSSUNFREFURS4xMi8xNS8yMDE1AQAAAJu4KAAFAAAACjEyLzE1LzIwMTUAA+k+wN001giDahnB3TTWCB5DSVEuXlNQWC5JUV9QUklDRURBVEUuOC80LzIwMTYBAAAAm7goAAUAAAAIOC80LzIwMTYAM14/wN001ghTDCrB3TTWCB9DSVEuXlNQWC5JUV9QUklDRURBVEUuOS8yNS8yMDE1AQAAAJu4KAAFAAAACTkvMjUvMjAxNQDzwT7A3TTWCCMmJ8HdNNYIHkNJUS5eU1BYLklRX1BSSUNFREFURS40LzMvMjAxNwEAAACbuCgABQAAAAg0LzMvMjAxNwCDIUDA3TTWCOP6KMHdNNYIH0NJUS5eU1BYLklRX1BSSUNFREFURS41LzE4LzIwMTUBAAAAm7goAAUAAAAJNS8xOC8yMDE1AGNiPcDdNNYIc38Pwd001ggeQ0lRLl5TUFguSVFfUFJJQ0VEQVRFLjMvNS8yMDE0AQAAAJu4KAAFAAAACDMvNS8yMDE0APNQPMDdNNYI4+MXwd001ggfQ0lRLl5TUFguSVFfUFJJQ0VEQVRFLjIvMTIvMjAxNQEAAACbuCgABQAAAAkyLzEyLzIwMTUAQxQ9wN001ghjyRHB3TTWCB5DSVEuXlNQWC5JUV9QUklDRURBVEUu</t>
  </si>
  <si>
    <t>OC83LzIwMTQBAAAAm7goAAUAAAAIOC83LzIwMTQAI8Y8wN001ggjgBjB3TTWCB5DSVEuXlNQWC5JUV9QUklDRURBVEUuNS8zLzIwMTgBAAAAm7goAAUAAAAINS8zLzIwMTgA0+RAwN001gjDdxzB3TTWCB9DSVEuXlNQWC5JUV9QUklDRURBVEUuOC8xOC8yMDE0AQAAAJu4KAAFAAAACTgvMTgvMjAxNAAjxjzA3TTWCMPRDcHdNNYIH0NJUS5eU1BYLklRX1BSSUNFREFURS4zLzI5LzIwMTgBAAAAm7goAAUAAAAJMy8yOS8yMDE4ANPkQMDdNNYI44kmwd001ggfQ0lRLl5TUFguSVFfUFJJQ0VEQVRFLjcvMTQvMjAxNwEAAACbuCgABQAAAAk3LzE0LzIwMTcAo29AwN001gjDJBXB3TTWCB9DSVEuXlNQWC5JUV9QUklDRURBVEUuMi8yMy8yMDE1AQAAAJu4KAAFAAAACTIvMjMvMjAxNQBTOz3A3TTWCDO+KcHdNNYIH0NJUS5eU1BYLklRX1BSSUNFREFURS4xLzEwLzIwMTQBAAAAm7goAAUAAAAJMS8xMC8yMDE0AOMpPMDdNNYIAxQdwd001ggeQ0lRLl5TUFguSVFfUFJJQ0VEQVRFLjYvNC8yMDE1AQAAAJu4KAAFAAAACDYvNC8yMDE1ANNzPsDdNNYIc38Pwd001ggfQ0lRLl5TUFguSVFfUFJJQ0VEQVRFLjMvMTQvMjAxOAEAAACbuCgABQAAAAkzLzE0LzIwMTgAw71AwN001gjjiSbB3TTWCB9DSVEuXlNQWC5JUV9QUklDRURBVEUuNy8xOC8yMDE4AQAAAJu4KAAFAAAACTcvMTgvMjAxOADjC0HA3TTWCIMQKMHdNNYI</t>
  </si>
  <si>
    <t>H0NJUS5eU1BYLklRX1BSSUNFREFURS4xMS82LzIwMTcBAAAAm7goAAUAAAAJMTEvNi8yMDE3ALOWQMDdNNYIE+gVwd001ggeQ0lRLl5TUFguSVFfUFJJQ0VEQVRFLjgvNS8yMDE2AQAAAJu4KAAFAAAACDgvNS8yMDE2ADNeP8DdNNYII54Twd001ggfQ0lRLl5TUFguSVFfUFJJQ0VEQVRFLjgvMTcvMjAxNwEAAACbuCgABQAAAAk4LzE3LzIwMTcAo29AwN001gjjchXB3TTWCB9DSVEuXlNQWC5JUV9QUklDRURBVEUuNC8yNy8yMDE4AQAAAJu4KAAFAAAACTQvMjcvMjAxOADT5EDA3TTWCBMdIsHdNNYIHkNJUS5eU1BYLklRX1BSSUNFREFURS4yLzUvMjAxNQEAAACbuCgABQAAAAgyLzUvMjAxNQBDFD3A3TTWCJPrCsHdNNYIH0NJUS5eU1BYLklRX1BSSUNFREFURS43LzE2LzIwMTUBAAAAm7goAAUAAAAJNy8xNi8yMDE1AOOaPsDdNNYIYxwZwd001ggeQ0lRLl5TUFguSVFfUFJJQ0VEQVRFLjYvNi8yMDE3AQAAAJu4KAAFAAAACDYvNi8yMDE3AJNIQMDdNNYIU2Ybwd001ggeQ0lRLl5TUFguSVFfUFJJQ0VEQVRFLjcvOS8yMDE0AQAAAJu4KAAFAAAACDcvOS8yMDE0ABOfPMDdNNYIs6oNwd001ggfQ0lRLl5TUFguSVFfUFJJQ0VEQVRFLjEvMjEvMjAxNQEAAACbuCgABQAAAAkxLzIxLzIwMTUAQxQ9wN001ghjyRHB3TTWCB5DSVEuXlNQWC5JUV9QUklDRURBVEUuNS8yLzIwMTQBAAAAm7goAAUAAAAINS8yLzIw</t>
  </si>
  <si>
    <t>MTQAA3g8wN001gjzZAnB3TTWCB9DSVEuXlNQWC5JUV9QUklDRURBVEUuMy8yNS8yMDE1AQAAAJu4KAAFAAAACTMvMjUvMjAxNQBTOz3A3TTWCCMmJ8HdNNYIIENJUS5eU1BYLklRX1BSSUNFREFURS4xMC8xNS8yMDE4AQAAAJu4KAAFAAAACjEwLzE1LzIwMTgA8zJBwN001gjTvBfB3TTWCB9DSVEuXlNQWC5JUV9QUklDRURBVEUuNi8xMy8yMDE2AQAAAJu4KAAFAAAACTYvMTMvMjAxNgAjNz/A3TTWCNNEK8HdNNYIH0NJUS5eU1BYLklRX1BSSUNFREFURS4xMS80LzIwMTUBAAAAm7goAAUAAAAJMTEvNC8yMDE1APPBPsDdNNYIo2USwd001ggfQ0lRLl5TUFguSVFfUFJJQ0VEQVRFLjkvMjgvMjAxNQEAAACbuCgABQAAAAk5LzI4LzIwMTUA88E+wN001gjDQhDB3TTWCB9DSVEuXlNQWC5JUV9QUklDRURBVEUuOS8xMC8yMDE1AQAAAJu4KAAFAAAACTkvMTAvMjAxNQDjmj7A3TTWCLMbEMHdNNYIH0NJUS5eU1BYLklRX1BSSUNFREFURS4xMC82LzIwMTQBAAAAm7goAAUAAAAJMTAvNi8yMDE0ADPtPMDdNNYIU08Kwd001ggfQ0lRLl5TUFguSVFfUFJJQ0VEQVRFLjkvMTYvMjAxNgEAAACbuCgABQAAAAk5LzE2LzIwMTYAQ4U/wN001gjzXR/B3TTWCB5DSVEuXlNQWC5JUV9QUklDRURBVEUuOS8xLzIwMTcBAAAAm7goAAUAAAAIOS8xLzIwMTcAo29AwN001gjzISnB3TTWCB9DSVEuXlNQWC5JUV9QUklDRURBVEUu</t>
  </si>
  <si>
    <t>OC8yNC8yMDE2AQAAAJu4KAAFAAAACTgvMjQvMjAxNgAzXj/A3TTWCOM2H8HdNNYIIENJUS5eU1BYLklRX1BSSUNFREFURS4xMC8zMS8yMDE3AQAAAJu4KAAFAAAACjEwLzMxLzIwMTcAs5ZAwN001ggDwRXB3TTWCB9DSVEuXlNQWC5JUV9QUklDRURBVEUuMS8yMy8yMDE3AQAAAJu4KAAFAAAACTEvMjMvMjAxNwBj0z/A3TTWCHNhFMHdNNYIH0NJUS5eU1BYLklRX1BSSUNFREFURS40LzI3LzIwMTYBAAAAm7goAAUAAAAJNC8yNy8yMDE2ACM3P8DdNNYIw6wowd001ggfQ0lRLl5TUFguSVFfUFJJQ0VEQVRFLjUvMzAvMjAxNAEAAACbuCgABQAAAAk1LzMwLzIwMTQAE588wN001ggTOx3B3TTWCB9DSVEuXlNQWC5JUV9QUklDRURBVEUuMTAvMi8yMDE4AQAAAJu4KAAFAAAACTEwLzIvMjAxOADjC0HA3TTWCJM3KMHdNNYIIENJUS5eU1BYLklRX1BSSUNFREFURS4xMS8yMi8yMDE2AQAAAJu4KAAFAAAACjExLzIyLzIwMTYAU6w/wN001ghTExTB3TTWCB9DSVEuXlNQWC5JUV9QUklDRURBVEUuMS8zMC8yMDE4AQAAAJu4KAAFAAAACTEvMzAvMjAxOADDvUDA3TTWCHPpJ8HdNNYIIENJUS5eU1BYLklRX1BSSUNFREFURS4xMC8yMS8yMDE0AQAAAJu4KAAFAAAACjEwLzIxLzIwMTQAM+08wN001ggjlynB3TTWCB9DSVEuXlNQWC5JUV9QUklDRURBVEUuNC8xNy8yMDE0AQAAAJu4KAAFAAAACTQvMTcvMjAxNAADeDzA</t>
  </si>
  <si>
    <t>3TTWCIM1DcHdNNYIH0NJUS5eU1BYLklRX1BSSUNFREFURS44LzI2LzIwMTQBAAAAm7goAAUAAAAJOC8yNi8yMDE0ACPGPMDdNNYIMwEKwd001ggfQ0lRLl5TUFguSVFfUFJJQ0VEQVRFLjMvMTUvMjAxNgEAAACbuCgABQAAAAkzLzE1LzIwMTYAExA/wN001gjT2hLB3TTWCB9DSVEuXlNQWC5JUV9QUklDRURBVEUuOC8yNS8yMDE2AQAAAJu4KAAFAAAACTgvMjUvMjAxNgAzXj/A3TTWCCO1JMHdNNYIHkNJUS5eU1BYLklRX1BSSUNFREFURS40LzYvMjAxNwEAAACbuCgABQAAAAg0LzYvMjAxNwCDIUDA3TTWCJOvFMHdNNYIH0NJUS5eU1BYLklRX1BSSUNFREFURS40LzE1LzIwMTYBAAAAm7goAAUAAAAJNC8xNS8yMDE2ACM3P8DdNNYIs8Eewd001gggQ0lRLl5TUFguSVFfUFJJQ0VEQVRFLjEwLzI5LzIwMTUBAAAAm7goAAUAAAAKMTAvMjkvMjAxNQDzwT7A3TTWCINqGcHdNNYIH0NJUS5eU1BYLklRX1BSSUNFREFURS4zLzE3LzIwMTQBAAAAm7goAAUAAAAJMy8xNy8yMDE0APNQPMDdNNYI4+MXwd001ggeQ0lRLl5TUFguSVFfUFJJQ0VEQVRFLjgvNy8yMDE1AQAAAJu4KAAFAAAACDgvNy8yMDE1AOOaPsDdNNYIs6Mjwd001ggfQ0lRLl5TUFguSVFfUFJJQ0VEQVRFLjgvMTgvMjAxNQEAAACbuCgABQAAAAk4LzE4LzIwMTUA45o+wN001gij9A/B3TTWCB9DSVEuXlNQWC5JUV9QUklDRURBVEUuNy8xNC8yMDE2</t>
  </si>
  <si>
    <t>AQAAAJu4KAAFAAAACTcvMTQvMjAxNgAzXj/A3TTWCCOeE8HdNNYIH0NJUS5eU1BYLklRX1BSSUNFREFURS43LzI3LzIwMTUBAAAAm7goAAUAAAAJNy8yNy8yMDE1AOOaPsDdNNYIk80Pwd001ggeQ0lRLl5TUFguSVFfUFJJQ0VEQVRFLjYvNC8yMDE0AQAAAJu4KAAFAAAACDYvNC8yMDE0ABOfPMDdNNYIo4MNwd001ggfQ0lRLl5TUFguSVFfUFJJQ0VEQVRFLjEvMTgvMjAxOAEAAACbuCgABQAAAAkxLzE4LzIwMTgAw71AwN001gjjpyHB3TTWCB9DSVEuXlNQWC5JUV9QUklDRURBVEUuNC8xNi8yMDE0AQAAAJu4KAAFAAAACTQvMTYvMjAxNAADeDzA3TTWCCMtEcHdNNYIH0NJUS5eU1BYLklRX1BSSUNFREFURS45LzI2LzIwMTQBAAAAm7goAAUAAAAJOS8yNi8yMDE0ACPGPMDdNNYI0/gNwd001ggeQ0lRLl5TUFguSVFfUFJJQ0VEQVRFLjUvOC8yMDE4AQAAAJu4KAAFAAAACDUvOC8yMDE4ANPkQMDdNNYI87Amwd001ggfQ0lRLl5TUFguSVFfUFJJQ0VEQVRFLjEwLzcvMjAxNgEAAACbuCgABQAAAAkxMC83LzIwMTYAQ4U/wN001ghD7BPB3TTWCB9DSVEuXlNQWC5JUV9QUklDRURBVEUuNi8yMy8yMDE3AQAAAJu4KAAFAAAACTYvMjMvMjAxNwCTSEDA3TTWCIOfJcHdNNYIHkNJUS5eU1BYLklRX1BSSUNFREFURS4zLzYvMjAxNQEAAACbuCgABQAAAAgzLzYvMjAxNQBTOz3A3TTWCJPrCsHdNNYIH0NJUS5eU1BY</t>
  </si>
  <si>
    <t>LklRX1BSSUNFREFURS45LzE3LzIwMTgBAAAAm7goAAUAAAAJOS8xNy8yMDE4AOMLQcDdNNYIw5UXwd001ggfQ0lRLl5TUFguSVFfUFJJQ0VEQVRFLjEvMjUvMjAxOAEAAACbuCgABQAAAAkxLzI1LzIwMTgAw71AwN001gjjpyHB3TTWCB5DSVEuXlNQWC5JUV9QUklDRURBVEUuNC84LzIwMTQBAAAAm7goAAUAAAAINC84LzIwMTQAA3g8wN001gjzChjB3TTWCB9DSVEuXlNQWC5JUV9QUklDRURBVEUuNy8yNS8yMDE3AQAAAJu4KAAFAAAACTcvMjUvMjAxNwCjb0DA3TTWCJPGJcHdNNYIHkNJUS5eU1BYLklRX1BSSUNFREFURS45LzMvMjAxNAEAAACbuCgABQAAAAg5LzMvMjAxNAAjxjzA3TTWCEN7EcHdNNYIHkNJUS5eU1BYLklRX1BSSUNFREFURS4xLzUvMjAxNwEAAACbuCgABQAAAAgxLzUvMjAxNwBj0z/A3TTWCFMqJcHdNNYIH0NJUS5eU1BYLklRX1BSSUNFREFURS4xLzEzLzIwMTYBAAAAm7goAAUAAAAJMS8xMy8yMDE2ABMQP8DdNNYIk3Mewd001ggfQ0lRLl5TUFguSVFfUFJJQ0VEQVRFLjEvMjEvMjAxNAEAAACbuCgABQAAAAkxLzIxLzIwMTQA81A8wN001ghTuSLB3TTWCCBDSVEuXlNQWC5JUV9QUklDRURBVEUuMTIvMjEvMjAxNQEAAACbuCgABQAAAAoxMi8yMS8yMDE1AAPpPsDdNNYIo2USwd001ggfQ0lRLl5TUFguSVFfUFJJQ0VEQVRFLjMvMjUvMjAxNAEAAACbuCgABQAAAAkzLzI1LzIwMTQA</t>
  </si>
  <si>
    <t>81A8wN001ggTBhHB3TTWCBxDSVEuTllTRTpNTU0uSVFfQ09NUEFOWV9OQU1FAQAAAKppBAADAAAACjNNIENvbXBhbnkAE8z8vt001ggzLyzB3TTWCB9DSVEuXlNQWC5JUV9QUklDRURBVEUuNS8yMC8yMDE2AQAAAJu4KAAFAAAACTUvMjAvMjAxNgAjNz/A3TTWCMMGGsHdNNYIH0NJUS5eU1BYLklRX1BSSUNFREFURS41LzEyLzIwMTcBAAAAm7goAAUAAAAJNS8xMi8yMDE3AIMhQMDdNNYIQz8bwd001ggfQ0lRLl5TUFguSVFfUFJJQ0VEQVRFLjEyLzQvMjAxNwEAAACbuCgABQAAAAkxMi80LzIwMTcAs5ZAwN001gjzISnB3TTWCB5DSVEuXlNQWC5JUV9QUklDRURBVEUuOS8xLzIwMTYBAAAAm7goAAUAAAAIOS8xLzIwMTYAQ4U/wN001ggjtSTB3TTWCB9DSVEuXlNQWC5JUV9QUklDRURBVEUuNy8xMS8yMDE4AQAAAJu4KAAFAAAACTcvMTEvMjAxOADjC0HA3TTWCJOoKsHdNNYIIENJUS5eU1BYLklRX1BSSUNFREFURS4xMC8zMS8yMDE2AQAAAJu4KAAFAAAACjEwLzMxLzIwMTYAU6w/wN001ghTExTB3TTWCB9DSVEuXlNQWC5JUV9QUklDRURBVEUuNC8yOC8yMDE1AQAAAJu4KAAFAAAACTQvMjgvMjAxNQBjYj3A3TTWCLM5C8HdNNYIH0NJUS5eU1BYLklRX1BSSUNFREFURS44LzE3LzIwMTgBAAAAm7goAAUAAAAJOC8xNy8yMDE4AOMLQcDdNNYIs24Xwd001ggfQ0lRLl5TUFguSVFfUFJJQ0VEQVRFLjQvMjcv</t>
  </si>
  <si>
    <t>MjAxNwEAAACbuCgABQAAAAk0LzI3LzIwMTcAgyFAwN001ghDPxvB3TTWCB5DSVEuXlNQWC5JUV9QUklDRURBVEUuNC85LzIwMTQBAAAAm7goAAUAAAAINC85LzIwMTQAA3g8wN001gjjPQnB3TTWCB5DSVEuXlNQWC5JUV9QUklDRURBVEUuOS8yLzIwMTQBAAAAm7goAAUAAAAIOS8yLzIwMTQAI8Y8wN001ghDKArB3TTWCCBDSVEuXlNQWC5JUV9QUklDRURBVEUuMTEvMjMvMjAxNQEAAACbuCgABQAAAAoxMS8yMy8yMDE1AAPpPsDdNNYI45AQwd001ggfQ0lRLl5TUFguSVFfUFJJQ0VEQVRFLjcvMTUvMjAxNAEAAACbuCgABQAAAAk3LzE1LzIwMTQAE588wN001gizqg3B3TTWCCBDSVEuXlNQWC5JUV9QUklDRURBVEUuMTEvMTAvMjAxNQEAAACbuCgABQAAAAoxMS8xMC8yMDE1APPBPsDdNNYIwx0rwd001ggfQ0lRLl5TUFguSVFfUFJJQ0VEQVRFLjMvMTUvMjAxNwEAAACbuCgABQAAAAkzLzE1LzIwMTcAc/o/wN001giTrxTB3TTWCBhDSVEuTllTRTpNTU0uSVFfSU5EVVNUUlkBAAAAqmkEAAMAAAAYSW5kdXN0cmlhbCBDb25nbG9tZXJhdGVzABPM/L7dNNYIIwgswd001ggfQ0lRLl5TUFguSVFfUFJJQ0VEQVRFLjcvMjMvMjAxOAEAAACbuCgABQAAAAk3LzIzLzIwMTgA4wtBwN001ggzayLB3TTWCB9DSVEuXlNQWC5JUV9QUklDRURBVEUuMTEvNy8yMDE0AQAAAJu4KAAFAAAACTExLzcvMjAxNAAz7TzA3TTW</t>
  </si>
  <si>
    <t>CGN2CsHdNNYIHkNJUS5eU1BYLklRX1BSSUNFREFURS4zLzEvMjAxNwEAAACbuCgABQAAAAgzLzEvMjAxNwBz+j/A3TTWCGNRJcHdNNYIH0NJUS5eU1BYLklRX1BSSUNFREFURS4xMC81LzIwMTUBAAAAm7goAAUAAAAJMTAvNS8yMDE1APPBPsDdNNYIcyUewd001ggfQ0lRLl5TUFguSVFfUFJJQ0VEQVRFLjYvMTgvMjAxOAEAAACbuCgABQAAAAk2LzE4LzIwMTgA0+RAwN001giTqCrB3TTWCB5DSVEuXlNQWC5JUV9QUklDRURBVEUuNy83LzIwMTQBAAAAm7goAAUAAAAINy83LzIwMTQAE588wN001ggTswnB3TTWCB9DSVEuXlNQWC5JUV9QUklDRURBVEUuMy8xNy8yMDE1AQAAAJu4KAAFAAAACTMvMTcvMjAxNQBTOz3A3TTWCFPXHcHdNNYIHkNJUS5eU1BYLklRX1BSSUNFREFURS4xLzcvMjAxNAEAAACbuCgABQAAAAgxLzcvMjAxNADjKTzA3TTWCLPICMHdNNYIH0NJUS5eU1BYLklRX1BSSUNFREFURS4zLzE4LzIwMTYBAAAAm7goAAUAAAAJMy8xOC8yMDE2ABMQP8DdNNYIM00nwd001ggfQ0lRLl5TUFguSVFfUFJJQ0VEQVRFLjYvMjYvMjAxNwEAAACbuCgABQAAAAk2LzI2LzIwMTcAk0hAwN001ghjwifB3TTWCCBDSVEuXlNQWC5JUV9QUklDRURBVEUuMTIvMjMvMjAxNgEAAACbuCgABQAAAAoxMi8yMy8yMDE2AGPTP8DdNNYII9Mfwd001ggeQ0lRLl5TUFguSVFfUFJJQ0VEQVRFLjMvMy8yMDE1AQAAAJu4</t>
  </si>
  <si>
    <t>KAAFAAAACDMvMy8yMDE1AFM7PcDdNNYIU9cdwd001ggfQ0lRLl5TUFguSVFfUFJJQ0VEQVRFLjIvMTcvMjAxNwEAAACbuCgABQAAAAkyLzE3LzIwMTcAc/o/wN001ggz+h/B3TTWCB9DSVEuXlNQWC5JUV9QUklDRURBVEUuNS8xMC8yMDE3AQAAAJu4KAAFAAAACTUvMTAvMjAxNwCDIUDA3TTWCHNaKsHdNNYIHkNJUS5eU1BYLklRX1BSSUNFREFURS4yLzEvMjAxNgEAAACbuCgABQAAAAgyLzEvMjAxNgATED/A3TTWCNPxI8HdNNYIH0NJUS5eU1BYLklRX1BSSUNFREFURS4yLzI2LzIwMTgBAAAAm7goAAUAAAAJMi8yNi8yMDE4AMO9QMDdNNYI884hwd001ggeQ0lRLl5TUFguSVFfUFJJQ0VEQVRFLjMvOC8yMDE4AQAAAJu4KAAFAAAACDMvOC8yMDE4AMO9QMDdNNYIA0kpwd001ggfQ0lRLl5TUFguSVFfUFJJQ0VEQVRFLjkvMTMvMjAxOAEAAACbuCgABQAAAAk5LzEzLzIwMTgA4wtBwN001ghDkiLB3TTWCB5DSVEuXlNQWC5JUV9QUklDRURBVEUuMS8zLzIwMTgBAAAAm7goAAUAAAAIMS8zLzIwMTgAw71AwN001gjTYibB3TTWCB9DSVEuXlNQWC5JUV9QUklDRURBVEUuOC8yMS8yMDE4AQAAAJu4KAAFAAAACTgvMjEvMjAxOADjC0HA3TTWCEOSIsHdNNYIH0NJUS5eU1BYLklRX1BSSUNFREFURS45LzE1LzIwMTYBAAAAm7goAAUAAAAJOS8xNS8yMDE2AEOFP8DdNNYIM8UTwd001ggeQ0lRLl5TUFguSVFfUFJJ</t>
  </si>
  <si>
    <t>Q0VEQVRFLjEvNS8yMDE2AQAAAJu4KAAFAAAACDEvNS8yMDE2AAPpPsDdNNYI87cQwd001ggfQ0lRLl5TUFguSVFfUFJJQ0VEQVRFLjYvMjQvMjAxNQEAAACbuCgABQAAAAk2LzI0LzIwMTUA03M+wN001gjz1QvB3TTWCB9DSVEuXlNQWC5JUV9QUklDRURBVEUuNC8xOS8yMDE4AQAAAJu4KAAFAAAACTQvMTkvMjAxOADT5EDA3TTWCHPSFsHdNNYIHkNJUS5eU1BYLklRX1BSSUNFREFURS42LzgvMjAxOAEAAACbuCgABQAAAAg2LzgvMjAxOADT5EDA3TTWCANJKcHdNNYIH0NJUS5eU1BYLklRX1BSSUNFREFURS4xLzExLzIwMTgBAAAAm7goAAUAAAAJMS8xMS8yMDE4AMO9QMDdNNYI02Imwd001ggeQ0lRLl5TUFguSVFfUFJJQ0VEQVRFLjIvMy8yMDE0AQAAAJu4KAAFAAAACDIvMy8yMDE0APNQPMDdNNYIY+cMwd001ggfQ0lRLl5TUFguSVFfUFJJQ0VEQVRFLjEyLzEvMjAxNwEAAACbuCgABQAAAAkxMi8xLzIwMTcAs5ZAwN001gjDOybB3TTWCB9DSVEuXlNQWC5JUV9QUklDRURBVEUuMy8yOS8yMDE3AQAAAJu4KAAFAAAACTMvMjkvMjAxNwBz+j/A3TTWCEMhIMHdNNYILUNJUS5OWVNFOk1NTS5JUV9FUFNfRVNULjYwMDAuMTAvMTUvMjAxOC4uLlVTRAEAAACqaQQAAgAAAAYxMC42MzUBDgAAAAUAAAACMTEBAAAABzI2NTc5OTICAAAABzkxMDYxNzMDAAAABjEwNTEyNgQAAAABMAYAAAABMAcAAAADMTYwCAAA</t>
  </si>
  <si>
    <t>AAEwCQAAAAMzMTQKAAAAATALAAAACjIyMDI0MzQ1NjMMAAAAAjEyDQAAAAoxMC8xNi8yMDE4EAAAAAoxMC8xNS8yMDE4M4v/vt001giDUwjB3TTWCCBDSVEuXlNQWC5JUV9QUklDRURBVEUuMTIvMjIvMjAxNgEAAACbuCgABQAAAAoxMi8yMi8yMDE2AGPTP8DdNNYIE8oawd001ggfQ0lRLl5TUFguSVFfUFJJQ0VEQVRFLjQvMjgvMjAxNAEAAACbuCgABQAAAAk0LzI4LzIwMTQAA3g8wN001gjzZAnB3TTWCB9DSVEuXlNQWC5JUV9QUklDRURBVEUuNS8xOS8yMDE2AQAAAJu4KAAFAAAACTUvMTkvMjAxNgAjNz/A3TTWCDNNJ8HdNNYIH0NJUS5eU1BYLklRX1BSSUNFREFURS44LzEzLzIwMTgBAAAAm7goAAUAAAAJOC8xMy8yMDE4AOMLQcDdNNYIs24Xwd001ggeQ0lRLl5TUFguSVFfUFJJQ0VEQVRFLjcvNi8yMDE2AQAAAJu4KAAFAAAACDcvNi8yMDE2ADNeP8DdNNYIUwwqwd001ggeQ0lRLl5TUFguSVFfUFJJQ0VEQVRFLjUvOS8yMDE2AQAAAJu4KAAFAAAACDUvOS8yMDE2ACM3P8DdNNYIw+gewd001ggfQ0lRLl5TUFguSVFfUFJJQ0VEQVRFLjgvMTUvMjAxNgEAAACbuCgABQAAAAk4LzE1LzIwMTYAM14/wN001gjTLRrB3TTWCB9DSVEuXlNQWC5JUV9QUklDRURBVEUuNS8yMy8yMDE0AQAAAJu4KAAFAAAACTUvMjMvMjAxNAATnzzA3TTWCPMKGMHdNNYIIENJUS5eU1BYLklRX1BSSUNFREFURS4xMS8xOS8y</t>
  </si>
  <si>
    <t>MDE0AQAAAJu4KAAFAAAACjExLzE5LzIwMTQAM+08wN001ghjdgrB3TTWCB9DSVEuXlNQWC5JUV9QUklDRURBVEUuMy8xMC8yMDE0AQAAAJu4KAAFAAAACTMvMTAvMjAxNADzUDzA3TTWCHMODcHdNNYIIENJUS5eU1BYLklRX1BSSUNFREFURS4xMS8xMC8yMDE0AQAAAJu4KAAFAAAACjExLzEwLzIwMTQAM+08wN001ghTohHB3TTWCB9DSVEuXlNQWC5JUV9QUklDRURBVEUuOS8xOC8yMDE4AQAAAJu4KAAFAAAACTkvMTgvMjAxOADjC0HA3TTWCJM3KMHdNNYIH0NJUS5eU1BYLklRX1BSSUNFREFURS45LzIwLzIwMTgBAAAAm7goAAUAAAAJOS8yMC8yMDE4AOMLQcDdNNYIQ5Iiwd001gggQ0lRLl5TUFguSVFfUFJJQ0VEQVRFLjEyLzExLzIwMTcBAAAAm7goAAUAAAAKMTIvMTEvMjAxNwCzlkDA3TTWCDM2FsHdNNYIH0NJUS5eU1BYLklRX1BSSUNFREFURS45LzIxLzIwMTcBAAAAm7goAAUAAAAJOS8yMS8yMDE3AKNvQMDdNNYI85kVwd001ggeQ0lRLl5TUFguSVFfUFJJQ0VEQVRFLjMvMS8yMDE2AQAAAJu4KAAFAAAACDMvMS8yMDE2ABMQP8DdNNYIo5oewd001ggfQ0lRLl5TUFguSVFfUFJJQ0VEQVRFLjcvMjcvMjAxOAEAAACbuCgABQAAAAk3LzI3LzIwMTgA4wtBwN001gjjxRzB3TTWCB5DSVEuXlNQWC5JUV9QUklDRURBVEUuOC8zLzIwMTYBAAAAm7goAAUAAAAIOC8zLzIwMTYAM14/wN001ggTjiTB3TTW</t>
  </si>
  <si>
    <t>CB9DSVEuXlNQWC5JUV9QUklDRURBVEUuNS8xNC8yMDE4AQAAAJu4KAAFAAAACTUvMTQvMjAxOADT5EDA3TTWCBMdIsHdNNYIHkNJUS5eU1BYLklRX1BSSUNFREFURS4yLzUvMjAxOAEAAACbuCgABQAAAAgyLzUvMjAxOADDvUDA3TTWCNNiJsHdNNYIIENJUS5eU1BYLklRX1BSSUNFREFURS4xMi8yOS8yMDE1AQAAAJu4KAAFAAAACjEyLzI5LzIwMTUAA+k+wN001gjztxDB3TTWCB9DSVEuXlNQWC5JUV9QUklDRURBVEUuNS8yMi8yMDE0AQAAAJu4KAAFAAAACTUvMjIvMjAxNAATnzzA3TTWCJNcDcHdNNYIH0NJUS5eU1BYLklRX1BSSUNFREFURS45LzE3LzIwMTUBAAAAm7goAAUAAAAJOS8xNy8yMDE1APPBPsDdNNYIcyUewd001ggfQ0lRLl5TUFguSVFfUFJJQ0VEQVRFLjgvMjUvMjAxNQEAAACbuCgABQAAAAk4LzI1LzIwMTUA45o+wN001ggzvinB3TTWCB9DSVEuXlNQWC5JUV9QUklDRURBVEUuMi8yNS8yMDE0AQAAAJu4KAAFAAAACTIvMjUvMjAxNADzUDzA3TTWCBNZGMHdNNYIH0NJUS5eU1BYLklRX1BSSUNFREFURS4xMC8yLzIwMTcBAAAAm7goAAUAAAAJMTAvMi8yMDE3ALOWQMDdNNYIsxQmwd001ggfQ0lRLl5TUFguSVFfUFJJQ0VEQVRFLjIvMTcvMjAxNgEAAACbuCgABQAAAAkyLzE3LzIwMTYAExA/wN001gjT8SPB3TTWCB5DSVEuXlNQWC5JUV9QUklDRURBVEUuOC8xLzIwMTQBAAAAm7goAAUA</t>
  </si>
  <si>
    <t>AAAIOC8xLzIwMTQAI8Y8wN001ghj4CLB3TTWCB9DSVEuXlNQWC5JUV9QUklDRURBVEUuNC8yMC8yMDE2AQAAAJu4KAAFAAAACTQvMjAvMjAxNgAjNz/A3TTWCDNNJ8HdNNYIHkNJUS5eU1BYLklRX1BSSUNFREFURS4yLzEvMjAxNwEAAACbuCgABQAAAAgyLzEvMjAxNwBz+j/A3TTWCCPxGsHdNNYIH0NJUS5eU1BYLklRX1BSSUNFREFURS4yLzIyLzIwMTgBAAAAm7goAAUAAAAJMi8yMi8yMDE4AMO9QMDdNNYIA7orwd001ggfQ0lRLl5TUFguSVFfUFJJQ0VEQVRFLjkvMTUvMjAxNwEAAACbuCgABQAAAAk5LzE1LzIwMTcAo29AwN001gjzmRXB3TTWCB9DSVEuXlNQWC5JUV9QUklDRURBVEUuMi8xNC8yMDE0AQAAAJu4KAAFAAAACTIvMTQvMjAxNADzUDzA3TTWCJM3KMHdNNYIHkNJUS5eU1BYLklRX1BSSUNFREFURS41LzYvMjAxNgEAAACbuCgABQAAAAg1LzYvMjAxNgAjNz/A3TTWCLPfGcHdNNYIH0NJUS5eU1BYLklRX1BSSUNFREFURS40LzEwLzIwMTQBAAAAm7goAAUAAAAJNC8xMC8yMDE0AAN4PMDdNNYIE1kYwd001gggQ0lRLl5TUFguSVFfUFJJQ0VEQVRFLjExLzE4LzIwMTYBAAAAm7goAAUAAAAKMTEvMTgvMjAxNgBTrD/A3TTWCFObJ8HdNNYIH0NJUS5eU1BYLklRX1BSSUNFREFURS4xMi84LzIwMTQBAAAAm7goAAUAAAAJMTIvOC8yMDE0AEMUPcDdNNYIc50Kwd001ggeQ0lRLl5TUFguSVFfUFJJ</t>
  </si>
  <si>
    <t>Q0VEQVRFLjQvNC8yMDE2AQAAAJu4KAAFAAAACDQvNC8yMDE2ACM3P8DdNNYI4xgkwd001ggfQ0lRLl5TUFguSVFfUFJJQ0VEQVRFLjYvMTQvMjAxNgEAAACbuCgABQAAAAk2LzE0LzIwMTYAM14/wN001gjDBhrB3TTWCB9DSVEuXlNQWC5JUV9QUklDRURBVEUuNS8xOS8yMDE3AQAAAJu4KAAFAAAACTUvMTkvMjAxNwCTSEDA3TTWCEM/G8HdNNYIHkNJUS5eU1BYLklRX1BSSUNFREFURS43LzYvMjAxNwEAAACbuCgABQAAAAg3LzYvMjAxNwCTSEDA3TTWCFNmG8HdNNYIH0NJUS5eU1BYLklRX1BSSUNFREFURS43LzIwLzIwMTUBAAAAm7goAAUAAAAJNy8yMC8yMDE1AOOaPsDdNNYIcyUewd001ggfQ0lRLl5TUFguSVFfUFJJQ0VEQVRFLjMvMTAvMjAxNQEAAACbuCgABQAAAAkzLzEwLzIwMTUAUzs9wN001ghDCg/B3TTWCB9DSVEuXlNQWC5JUV9QUklDRURBVEUuMy8yNi8yMDE1AQAAAJu4KAAFAAAACTMvMjYvMjAxNQBTOz3A3TTWCFMxD8HdNNYIH0NJUS5eU1BYLklRX1BSSUNFREFURS4xLzExLzIwMTcBAAAAm7goAAUAAAAJMS8xMS8yMDE3AGPTP8DdNNYII9Mfwd001ggfQ0lRLl5TUFguSVFfUFJJQ0VEQVRFLjYvMTYvMjAxNAEAAACbuCgABQAAAAk2LzE2LzIwMTQAE588wN001gijgw3B3TTWCCBDSVEuXlNQWC5JUV9QUklDRURBVEUuMTIvMzEvMjAxNQEAAACbuCgABQAAAAoxMi8zMS8yMDE1AAPpPsDd</t>
  </si>
  <si>
    <t>NNYIU8AMwd001ggfQ0lRLl5TUFguSVFfUFJJQ0VEQVRFLjYvMjcvMjAxNAEAAACbuCgABQAAAAk2LzI3LzIwMTQAE588wN001ggDMhjB3TTWCB9DSVEuXlNQWC5JUV9QUklDRURBVEUuMi8xOC8yMDE2AQAAAJu4KAAFAAAACTIvMTgvMjAxNgATED/A3TTWCDNNJ8HdNNYIH0NJUS5eU1BYLklRX1BSSUNFREFURS4yLzEwLzIwMTcBAAAAm7goAAUAAAAJMi8xMC8yMDE3AHP6P8DdNNYIM/ofwd001gg0Q0lRLk5ZU0U6TU1NLklRX0RJTFVUX0VQU19FWENMLjIwMDAuMTAvMTUvMjAxOC4uLlVTRAEAAACqaQQAAgAAAAg3LjIyNzYyOQEIAAAABQAAAAExAQAAAAoxODk3MzI0MjY4AwAAAAMxNjACAAAAAzE0MgQAAAABMAcAAAAKMTAvMTUvMjAxOAgAAAAJNi8zMC8yMDE4CQAAAAEwM4v/vt001giDUwjB3TTWCB9DSVEuXlNQWC5JUV9QUklDRURBVEUuMi8yNy8yMDE3AQAAAJu4KAAFAAAACTIvMjcvMjAxNwBz+j/A3TTWCIOIFMHdNNYIHENJUS5OWVNFOk1NTS5JUV9URVZfRUJJVERBLi4BAAAAqmkEAAIAAAAJMTUuMjkzNjA3AQcAAAAFAAAAATEBAAAACjE4OTczMjQyNjgDAAAAATACAAAABjEwMDAzMAQAAAABMAcAAAAKMTAvMTcvMjAxOAgAAAAKMTAvMTcvMjAxOOMpPMDdNNYI4yk8wN001ggfQ0lRLl5TUFguSVFfUFJJQ0VEQVRFLjMvMjQvMjAxNwEAAACbuCgABQAAAAkzLzI0LzIwMTcAc/o/wN001ghTmyfB</t>
  </si>
  <si>
    <t>3TTWCB5DSVEuXlNQWC5JUV9QUklDRURBVEUuOC8zLzIwMTcBAAAAm7goAAUAAAAIOC8zLzIwMTcAo29AwN001gjzISnB3TTWCB9DSVEuXlNQWC5JUV9QUklDRURBVEUuNi8xOS8yMDE3AQAAAJu4KAAFAAAACTYvMTkvMjAxNwCTSEDA3TTWCPOSK8HdNNYIHkNJUS5eU1BYLklRX1BSSUNFREFURS40LzUvMjAxOAEAAACbuCgABQAAAAg0LzUvMjAxOADT5EDA3TTWCAP2IcHdNNYIHkNJUS5eU1BYLklRX1BSSUNFREFURS4yLzEvMjAxOAEAAACbuCgABQAAAAgyLzEvMjAxOADDvUDA3TTWCOOnIcHdNNYIHkNJUS5eU1BYLklRX1BSSUNFREFURS42LzIvMjAxNQEAAACbuCgABQAAAAg2LzIvMjAxNQDTcz7A3TTWCNOHC8HdNNYIHkNJUS5eU1BYLklRX1BSSUNFREFURS41LzIvMjAxOAEAAACbuCgABQAAAAg1LzIvMjAxOADT5EDA3TTWCIMQKMHdNNYINENJUS5OWVNFOk1NTS5JUV9ESUxVVF9FUFNfRVhDTC4yMDAwLjEyLzMxLzIwMTYuLi5VU0QBAAAAqmkEAAIAAAAEOC4xNgEIAAAABQAAAAExAQAAAAoxODczNjcxOTgyAwAAAAMxNjACAAAAAzE0MgQAAAABMAcAAAAKMTIvMzEvMjAxNggAAAAKMTIvMzEvMjAxNgkAAAABMDOL/77dNNYIk3oIwd001ggfQ0lRLl5TUFguSVFfUFJJQ0VEQVRFLjQvMjAvMjAxNwEAAACbuCgABQAAAAk0LzIwLzIwMTcAgyFAwN001ghDPxvB3TTWCB9DSVEuXlNQWC5JUV9QUklDRURB</t>
  </si>
  <si>
    <t>VEUuMS8yNS8yMDE3AQAAAJu4KAAFAAAACTEvMjUvMjAxNwBj0z/A3TTWCBPKGsHdNNYIHkNJUS5OWVNFOk1NTS5JUV9NQVJLRVRDQVAuLlVTRAEAAACqaQQAAgAAAA0xMTkwNDEuNDcyNjg1AQYAAAAFAAAAATEBAAAACjE4OTczMjI4ODADAAAAAzE2MAIAAAAGMTAwMDU0BAAAAAEwBwAAAAoxMC8xNy8yMDE44yk8wN001gjjKTzA3TTWCB9DSVEuXlNQWC5JUV9QUklDRURBVEUuMy8xNS8yMDE4AQAAAJu4KAAFAAAACTMvMTUvMjAxOADDvUDA3TTWCHPSFsHdNNYIIENJUS5eU1BYLklRX1BSSUNFREFURS4xMS8xNy8yMDE1AQAAAJu4KAAFAAAACjExLzE3LzIwMTUA88E+wN001gjTaRDB3TTWCB9DSVEuXlNQWC5JUV9QUklDRURBVEUuMTIvOC8yMDE1AQAAAJu4KAAFAAAACTEyLzgvMjAxNQAD6T7A3TTWCEOZDMHdNNYIH0NJUS5eU1BYLklRX1BSSUNFREFURS41LzMwLzIwMTgBAAAAm7goAAUAAAAJNS8zMC8yMDE4ANPkQMDdNNYIkyAXwd001ggfQ0lRLl5TUFguSVFfUFJJQ0VEQVRFLjEvMjcvMjAxNQEAAACbuCgABQAAAAkxLzI3LzIwMTUAQxQ9wN001ghT9RjB3TTWCB9DSVEuXlNQWC5JUV9QUklDRURBVEUuNC8yMy8yMDE0AQAAAJu4KAAFAAAACTQvMjMvMjAxNAADeDzA3TTWCGPgIsHdNNYIIENJUS5eU1BYLklRX1BSSUNFREFURS4xMi8zMC8yMDE0AQAAAJu4KAAFAAAACjEyLzMwLzIwMTQAQxQ9wN00</t>
  </si>
  <si>
    <t>1ghDsB3B3TTWCB9DSVEuXlNQWC5JUV9QUklDRURBVEUuNi8xNC8yMDE3AQAAAJu4KAAFAAAACTYvMTQvMjAxNwCTSEDA3TTWCJPkIMHdNNYIIENJUS5eU1BYLklRX1BSSUNFREFURS4xMS8yNi8yMDE0AQAAAJu4KAAFAAAACjExLzI2LzIwMTQAM+08wN001ghDsB3B3TTWCCBDSVEuXlNQWC5JUV9QUklDRURBVEUuMTEvMTUvMjAxNwEAAACbuCgABQAAAAoxMS8xNS8yMDE3ALOWQMDdNNYIwzsmwd001ggfQ0lRLl5TUFguSVFfUFJJQ0VEQVRFLjQvMTMvMjAxNgEAAACbuCgABQAAAAk0LzEzLzIwMTYAIzc/wN001gjjARPB3TTWCB9DSVEuXlNQWC5JUV9QUklDRURBVEUuNy8yOS8yMDE0AQAAAJu4KAAFAAAACTcvMjkvMjAxNAAjxjzA3TTWCCPaCcHdNNYIH0NJUS5eU1BYLklRX1BSSUNFREFURS4zLzI3LzIwMTgBAAAAm7goAAUAAAAJMy8yNy8yMDE4AMO9QMDdNNYIc9IWwd001gggQ0lRLl5TUFguSVFfUFJJQ0VEQVRFLjEwLzE3LzIwMTQBAAAAm7goAAUAAAAKMTAvMTcvMjAxNAAz7TzA3TTWCEN7EcHdNNYIHkNJUS5eU1BYLklRX1BSSUNFREFURS4yLzkvMjAxNgEAAACbuCgABQAAAAgyLzkvMjAxNgATED/A3TTWCMOzEsHdNNYIH0NJUS5eU1BYLklRX1BSSUNFREFURS44LzMxLzIwMTYBAAAAm7goAAUAAAAJOC8zMS8yMDE2AEOFP8DdNNYI4zYfwd001gggQ0lRLl5TUFguSVFfUFJJQ0VEQVRFLjEyLzE0</t>
  </si>
  <si>
    <t>LzIwMTcBAAAAm7goAAUAAAAKMTIvMTQvMjAxNwCzlkDA3TTWCOOnIcHdNNYIH0NJUS5eU1BYLklRX1BSSUNFREFURS4zLzE5LzIwMTUBAAAAm7goAAUAAAAJMy8xOS8yMDE1AFM7PcDdNNYIY8kRwd001ggfQ0lRLl5TUFguSVFfUFJJQ0VEQVRFLjYvMjcvMjAxOAEAAACbuCgABQAAAAk2LzI3LzIwMTgA4wtBwN001gijRxfB3TTWCB9DSVEuXlNQWC5JUV9QUklDRURBVEUuMTIvMS8yMDE0AQAAAJu4KAAFAAAACTEyLzEvMjAxNAAz7TzA3TTWCIMuI8HdNNYIIENJUS5eU1BYLklRX1BSSUNFREFURS4xMi8yOC8yMDE2AQAAAJu4KAAFAAAACjEyLzI4LzIwMTYAY9M/wN001ghjOhTB3TTWCB9DSVEuXlNQWC5JUV9QUklDRURBVEUuMy8yMC8yMDE4AQAAAJu4KAAFAAAACTMvMjAvMjAxOADDvUDA3TTWCAP2IcHdNNYIH0NJUS5eU1BYLklRX1BSSUNFREFURS42LzE2LzIwMTUBAAAAm7goAAUAAAAJNi8xNi8yMDE1ANNzPsDdNNYIg6YPwd001gggQ0lRLl5TUFguSVFfUFJJQ0VEQVRFLjEwLzE0LzIwMTYBAAAAm7goAAUAAAAKMTAvMTQvMjAxNgBDhT/A3TTWCPN7GsHdNNYIH0NJUS5eU1BYLklRX1BSSUNFREFURS40LzExLzIwMTQBAAAAm7goAAUAAAAJNC8xMS8yMDE0AAN4PMDdNNYIgzUNwd001gggQ0lRLl5TUFguSVFfUFJJQ0VEQVRFLjEwLzI0LzIwMTcBAAAAm7goAAUAAAAKMTAvMjQvMjAxNwCzlkDA3TTW</t>
  </si>
  <si>
    <t>CLMUJsHdNNYIH0NJUS5eU1BYLklRX1BSSUNFREFURS4xMS8zLzIwMTYBAAAAm7goAAUAAAAJMTEvMy8yMDE2AFOsP8DdNNYIUwwqwd001ggfQ0lRLl5TUFguSVFfUFJJQ0VEQVRFLjIvMjIvMjAxNwEAAACbuCgABQAAAAkyLzIyLzIwMTcAc/o/wN001ghjUSXB3TTWCB9DSVEuXlNQWC5JUV9QUklDRURBVEUuMi8xMC8yMDE2AQAAAJu4KAAFAAAACTIvMTAvMjAxNgATED/A3TTWCMMdK8HdNNYIIENJUS5eU1BYLklRX1BSSUNFREFURS4xMi8xNi8yMDE1AQAAAJu4KAAFAAAACjEyLzE2LzIwMTUAA+k+wN001gjjkBDB3TTWCB9DSVEuXlNQWC5JUV9QUklDRURBVEUuOS8yNi8yMDE4AQAAAJu4KAAFAAAACTkvMjYvMjAxOADjC0HA3TTWCPPsHMHdNNYIH0NJUS5eU1BYLklRX1BSSUNFREFURS40LzE4LzIwMTcBAAAAm7goAAUAAAAJNC8xOC8yMDE3AIMhQMDdNNYI85Irwd001ggfQ0lRLl5TUFguSVFfUFJJQ0VEQVRFLjQvMTIvMjAxNgEAAACbuCgABQAAAAk0LzEyLzIwMTYAIzc/wN001gjTRCvB3TTWCCBDSVEuXlNQWC5JUV9QUklDRURBVEUuMTEvMjUvMjAxNAEAAACbuCgABQAAAAoxMS8yNS8yMDE0ADPtPMDdNNYIY3YKwd001ggfQ0lRLl5TUFguSVFfUFJJQ0VEQVRFLjcvMzAvMjAxNAEAAACbuCgABQAAAAk3LzMwLzIwMTQAI8Y8wN001ggzVBHB3TTWCB9DSVEuXlNQWC5JUV9QUklDRURBVEUuMi8xMy8y</t>
  </si>
  <si>
    <t>MDE1AQAAAJu4KAAFAAAACTIvMTMvMjAxNQBTOz3A3TTWCCO8DsHdNNYIH0NJUS5eU1BYLklRX1BSSUNFREFURS43LzIxLzIwMTUBAAAAm7goAAUAAAAJNy8yMS8yMDE1AOOaPsDdNNYIk80Pwd001ggeQ0lRLl5TUFguSVFfUFJJQ0VEQVRFLjYvMi8yMDE0AQAAAJu4KAAFAAAACDYvMi8yMDE0ABOfPMDdNNYIA4wJwd001ggeQ0lRLl5TUFguSVFfUFJJQ0VEQVRFLjkvNy8yMDE2AQAAAJu4KAAFAAAACDkvNy8yMDE2AEOFP8DdNNYI41Qawd001ggfQ0lRLl5TUFguSVFfUFJJQ0VEQVRFLjEvMjUvMjAxNgEAAACbuCgABQAAAAkxLzI1LzIwMTYAExA/wN001gjT8SPB3TTWCB9DSVEuXlNQWC5JUV9QUklDRURBVEUuNC8yMS8yMDE3AQAAAJu4KAAFAAAACTQvMjEvMjAxNwCDIUDA3TTWCEMhIMHdNNYIIENJUS5eU1BYLklRX1BSSUNFREFURS4xMi8xOS8yMDE3AQAAAJu4KAAFAAAACjEyLzE5LzIwMTcAs5ZAwN001ggDuivB3TTWCB9DSVEuXlNQWC5JUV9QUklDRURBVEUuOS8xMS8yMDE0AQAAAJu4KAAFAAAACTkvMTEvMjAxNAAjxjzA3TTWCCNiHcHdNNYIH0NJUS5eU1BYLklRX1BSSUNFREFURS43LzI4LzIwMTYBAAAAm7goAAUAAAAJNy8yOC8yMDE2ADNeP8DdNNYIw6wowd001ggpQ0lRLk5ZU0U6TU1NLklRX0VQU19FU1QuLjEyLzMxLzIwMTYuLi5VU0QBAAAAqmkEAAIAAAAFOC40MzcBDgAAAAUAAAACMTEB</t>
  </si>
  <si>
    <t>AAAABzI2NTc5OTICAAAABzczNDQ3MzIDAAAABjEwNTEyNgQAAAABMAYAAAABMAcAAAADMTYwCAAAAAEwCQAAAAMzMTQKAAAAATALAAAACjIyMDE3NjU0MTUMAAAAAjEyDQAAAAgxLzEvMjAxNxAAAAAKMTIvMzEvMjAxNvMyQcDdNNYI8zJBwN001ggeQ0lRLl5TUFguSVFfUFJJQ0VEQVRFLjcvMS8yMDE1AQAAAJu4KAAFAAAACDcvMS8yMDE1ANNzPsDdNNYIgxcSwd001ggfQ0lRLl5TUFguSVFfUFJJQ0VEQVRFLjYvMTkvMjAxOAEAAACbuCgABQAAAAk2LzE5LzIwMTgA0+RAwN001gjTnhzB3TTWCB9DSVEuXlNQWC5JUV9QUklDRURBVEUuOS8yMy8yMDE2AQAAAJu4KAAFAAAACTkvMjMvMjAxNgBDhT/A3TTWCPNdH8HdNNYIIENJUS5eU1BYLklRX1BSSUNFREFURS4xMS8xNy8yMDE0AQAAAJu4KAAFAAAACjExLzE3LzIwMTQAM+08wN001gjzRg7B3TTWCB5DSVEuXlNQWC5JUV9QUklDRURBVEUuOS81LzIwMTQBAAAAm7goAAUAAAAIOS81LzIwMTQAI8Y8wN001giz9irB3TTWCC1DSVEuTllTRTpNTU0uSVFfQ0xPU0VQUklDRV9BREouMTAvMTgvMjAxOC5VU0QBAAAAqmkEAAIAAAAGMjAyLjkzABPM/L7dNNYIYwUIwd001ggeQ0lRLl5TUFguSVFfUFJJQ0VEQVRFLjYvOC8yMDE3AQAAAJu4KAAFAAAACDYvOC8yMDE3AJNIQMDdNNYIg58lwd001ggfQ0lRLl5TUFguSVFfUFJJQ0VEQVRFLjEvMjcvMjAxNAEAAACb</t>
  </si>
  <si>
    <t>uCgABQAAAAkxLzI3LzIwMTQA81A8wN001ggD3xDB3TTWCB9DSVEuXlNQWC5JUV9QUklDRURBVEUuNC8yMy8yMDE1AQAAAJu4KAAFAAAACTQvMjMvMjAxNQBjYj3A3TTWCHPwEcHdNNYINENJUS5OWVNFOk1NTS5JUV9ESUxVVF9FUFNfRVhDTC4yMDAwLjEyLzMxLzIwMTQuLi5VU0QBAAAAqmkEAAIAAAAENy40OQEIAAAABQAAAAExAQAAAAoxODI3MTI1MDExAwAAAAMxNjACAAAAAzE0MgQAAAABMAcAAAAKMTIvMzEvMjAxNAgAAAAKMTIvMzEvMjAxNAkAAAABMDOL/77dNNYIo6EIwd001ggeQ0lRLl5TUFguSVFfUFJJQ0VEQVRFLjkvNi8yMDE2AQAAAJu4KAAFAAAACDkvNi8yMDE2AEOFP8DdNNYIUwwqwd001ggeQ0lRLl5TUFguSVFfUFJJQ0VEQVRFLjcvMy8yMDE3AQAAAJu4KAAFAAAACDcvMy8yMDE3AJNIQMDdNNYIwyQVwd001gggQ0lRLl5TUFguSVFfUFJJQ0VEQVRFLjEwLzE5LzIwMTUBAAAAm7goAAUAAAAKMTAvMTkvMjAxNQDzwT7A3TTWCINMHsHdNNYIH0NJUS5eU1BYLklRX1BSSUNFREFURS43LzExLzIwMTYBAAAAm7goAAUAAAAJNy8xMS8yMDE2ADNeP8DdNNYI0w8fwd001ggfQ0lRLl5TUFguSVFfUFJJQ0VEQVRFLjkvMjkvMjAxNQEAAACbuCgABQAAAAk5LzI5LzIwMTUA88E+wN001ghzQxnB3TTWCB9DSVEuXlNQWC5JUV9QUklDRURBVEUuOC8yMi8yMDE4AQAAAJu4KAAFAAAACTgvMjIvMjAx</t>
  </si>
  <si>
    <t>OADjC0HA3TTWCBNwKcHdNNYIH0NJUS5eU1BYLklRX1BSSUNFREFURS44LzExLzIwMTQBAAAAm7goAAUAAAAJOC8xMS8yMDE0ACPGPMDdNNYIM1QRwd001ggeQ0lRLl5TUFguSVFfUFJJQ0VEQVRFLjIvOS8yMDE3AQAAAJu4KAAFAAAACDIvOS8yMDE3AHP6P8DdNNYII/Eawd001ggfQ0lRLl5TUFguSVFfUFJJQ0VEQVRFLjMvMjMvMjAxOAEAAACbuCgABQAAAAkzLzIzLzIwMTgAw71AwN001ggDuivB3TTWCB5DSVEuXlNQWC5JUV9QUklDRURBVEUuMS8yLzIwMTQBAAAAm7goAAUAAAAIMS8yLzIwMTQA4yk8wN001gjztxDB3TTWCB5DSVEuXlNQWC5JUV9QUklDRURBVEUuOS80LzIwMTQBAAAAm7goAAUAAAAIOS80LzIwMTQAI8Y8wN001gjT+A3B3TTWCB5DSVEuXlNQWC5JUV9QUklDRURBVEUuMS85LzIwMTUBAAAAm7goAAUAAAAIMS85LzIwMTUAQxQ9wN001ggTlQ7B3TTWCB5DSVEuXlNQWC5JUV9QUklDRURBVEUuNi8zLzIwMTYBAAAAm7goAAUAAAAINi8zLzIwMTYAIzc/wN001ggDUBPB3TTWCCBDSVEuXlNQWC5JUV9QUklDRURBVEUuMTAvMjQvMjAxNgEAAACbuCgABQAAAAoxMC8yNC8yMDE2AEOFP8DdNNYIA4Ufwd001ggfQ0lRLl5TUFguSVFfUFJJQ0VEQVRFLjgvMjkvMjAxNgEAAACbuCgABQAAAAk4LzI5LzIwMTYAQ4U/wN001ggzxRPB3TTWCB9DSVEuXlNQWC5JUV9QUklDRURBVEUuMTEvMy8yMDE3</t>
  </si>
  <si>
    <t>AQAAAJu4KAAFAAAACTExLzMvMjAxNwCzlkDA3TTWCIPbG8HdNNYIH0NJUS5eU1BYLklRX1BSSUNFREFURS4yLzExLzIwMTYBAAAAm7goAAUAAAAJMi8xMS8yMDE2ABMQP8DdNNYIk5EZwd001ggfQ0lRLl5TUFguSVFfUFJJQ0VEQVRFLjUvMjEvMjAxOAEAAACbuCgABQAAAAk1LzIxLzIwMTgA0+RAwN001ggTHSLB3TTWCB9DSVEuXlNQWC5JUV9QUklDRURBVEUuMi8yOS8yMDE2AQAAAJu4KAAFAAAACTIvMjkvMjAxNgATED/A3TTWCKO4GcHdNNYIIENJUS5eU1BYLklRX1BSSUNFREFURS4xMS8yNS8yMDE1AQAAAJu4KAAFAAAACjExLzI1LzIwMTUAA+k+wN001ghDmQzB3TTWCB9DSVEuXlNQWC5JUV9QUklDRURBVEUuOS8xMy8yMDE3AQAAAJu4KAAFAAAACTkvMTMvMjAxNwCjb0DA3TTWCHO0G8HdNNYIH0NJUS5eU1BYLklRX1BSSUNFREFURS43LzMwLzIwMTUBAAAAm7goAAUAAAAJNy8zMC8yMDE1AOOaPsDdNNYIc0MZwd001ggfQ0lRLl5TUFguSVFfUFJJQ0VEQVRFLjUvMTEvMjAxOAEAAACbuCgABQAAAAk1LzExLzIwMTgA0+RAwN001giD+RbB3TTWCB9DSVEuXlNQWC5JUV9QUklDRURBVEUuMi8xMy8yMDE0AQAAAJu4KAAFAAAACTIvMTMvMjAxNADzUDzA3TTWCGPnDMHdNNYIHkNJUS5eU1BYLklRX1BSSUNFREFURS44LzYvMjAxNQEAAACbuCgABQAAAAg4LzYvMjAxNQDjmj7A3TTWCKP0D8HdNNYIH0NJ</t>
  </si>
  <si>
    <t>US5eU1BYLklRX1BSSUNFREFURS4xLzIwLzIwMTUBAAAAm7goAAUAAAAJMS8yMC8yMDE1AEMUPcDdNNYIg8QKwd001ggfQ0lRLl5TUFguSVFfUFJJQ0VEQVRFLjgvMTkvMjAxNQEAAACbuCgABQAAAAk4LzE5LzIwMTUA45o+wN001ghzJR7B3TTWCB9DSVEuXlNQWC5JUV9QUklDRURBVEUuNC8yNC8yMDE3AQAAAJu4KAAFAAAACTQvMjQvMjAxNwCDIUDA3TTWCHN4JcHdNNYIH0NJUS5eU1BYLklRX1BSSUNFREFURS42LzI5LzIwMTgBAAAAm7goAAUAAAAJNi8yOS8yMDE4AOMLQcDdNNYIA9gmwd001ggfQ0lRLl5TUFguSVFfUFJJQ0VEQVRFLjkvMTEvMjAxNQEAAACbuCgABQAAAAk5LzExLzIwMTUA45o+wN001gjDHSvB3TTWCB9DSVEuXlNQWC5JUV9QUklDRURBVEUuNy8yOC8yMDE3AQAAAJu4KAAFAAAACTcvMjgvMjAxNwCjb0DA3TTWCGONG8HdNNYIHkNJUS5eU1BYLklRX1BSSUNFREFURS43LzEvMjAxNAEAAACbuCgABQAAAAg3LzEvMjAxNAATnzzA3TTWCGPgIsHdNNYIH0NJUS5eU1BYLklRX1BSSUNFREFURS4xMC84LzIwMTgBAAAAm7goAAUAAAAJMTAvOC8yMDE4APMyQcDdNNYIE3Apwd001gggQ0lRLl5TUFguSVFfUFJJQ0VEQVRFLjEwLzEwLzIwMTQBAAAAm7goAAUAAAAKMTAvMTAvMjAxNAAz7TzA3TTWCFNPCsHdNNYIH0NJUS5eU1BYLklRX1BSSUNFREFURS4xLzI5LzIwMTUBAAAAm7goAAUAAAAJ</t>
  </si>
  <si>
    <t>MS8yOS8yMDE1AEMUPcDdNNYIQ7Adwd001ggeQ0lRLl5TUFguSVFfUFJJQ0VEQVRFLjgvNC8yMDE3AQAAAJu4KAAFAAAACDgvNC8yMDE3AKNvQMDdNNYIY40bwd001ggfQ0lRLl5TUFguSVFfUFJJQ0VEQVRFLjgvMTAvMjAxNQEAAACbuCgABQAAAAk4LzEwLzIwMTUA45o+wN001ggTJAzB3TTWCB9DSVEuXlNQWC5JUV9QUklDRURBVEUuMi8yNy8yMDE4AQAAAJu4KAAFAAAACTIvMjcvMjAxOADDvUDA3TTWCFOEFsHdNNYIH0NJUS5eU1BYLklRX1BSSUNFREFURS42LzIwLzIwMTQBAAAAm7goAAUAAAAJNi8yMC8yMDE0ABOfPMDdNNYIo4MNwd001ggfQ0lRLl5TUFguSVFfUFJJQ0VEQVRFLjEvMTYvMjAxNAEAAACbuCgABQAAAAkxLzE2LzIwMTQA4yk8wN001gjTvBfB3TTWCB9DSVEuXlNQWC5JUV9QUklDRURBVEUuMi8xMi8yMDE0AQAAAJu4KAAFAAAACTIvMTIvMjAxNADzUDzA3TTWCFO5IsHdNNYIH0NJUS5eU1BYLklRX1BSSUNFREFURS4yLzIwLzIwMTgBAAAAm7goAAUAAAAJMi8yMC8yMDE4AMO9QMDdNNYI44kmwd001ggeQ0lRLl5TUFguSVFfUFJJQ0VEQVRFLjIvNi8yMDE3AQAAAJu4KAAFAAAACDIvNi8yMDE3AHP6P8DdNNYIUyolwd001ggeQ0lRLl5TUFguSVFfUFJJQ0VEQVRFLjkvNi8yMDE3AQAAAJu4KAAFAAAACDkvNi8yMDE3AKNvQMDdNNYIc7Qbwd001ggfQ0lRLl5TUFguSVFfUFJJQ0VEQVRF</t>
  </si>
  <si>
    <t>LjQvMTgvMjAxOAEAAACbuCgABQAAAAk0LzE4LzIwMTgA0+RAwN001gjDdxzB3TTWCB9DSVEuXlNQWC5JUV9QUklDRURBVEUuNy8zMS8yMDE0AQAAAJu4KAAFAAAACTcvMzEvMjAxNAAjxjzA3TTWCMPRDcHdNNYIH0NJUS5eU1BYLklRX1BSSUNFREFURS45LzE4LzIwMTQBAAAAm7goAAUAAAAJOS8xOC8yMDE0ACPGPMDdNNYIQygKwd001ggfQ0lRLl5TUFguSVFfUFJJQ0VEQVRFLjkvMjkvMjAxNAEAAACbuCgABQAAAAk5LzI5LzIwMTQAI8Y8wN001ggziR3B3TTWCB9DSVEuXlNQWC5JUV9QUklDRURBVEUuMS8xNC8yMDE2AQAAAJu4KAAFAAAACTEvMTQvMjAxNgATED/A3TTWCNPxI8HdNNYIH0NJUS5eU1BYLklRX1BSSUNFREFURS42LzExLzIwMTUBAAAAm7goAAUAAAAJNi8xMS8yMDE1ANNzPsDdNNYIs4Uowd001ggeQ0lRLl5TUFguSVFfUFJJQ0VEQVRFLjEvMi8yMDE1AQAAAJu4KAAFAAAACDEvMi8yMDE1AEMUPcDdNNYIgy4jwd001ggfQ0lRLl5TUFguSVFfUFJJQ0VEQVRFLjEwLzQvMjAxNwEAAACbuCgABQAAAAkxMC80LzIwMTcAs5ZAwN001gjzISnB3TTWCB9DSVEuXlNQWC5JUV9QUklDRURBVEUuNS8xNC8yMDE0AQAAAJu4KAAFAAAACTUvMTQvMjAxNAADeDzA3TTWCPNkCcHdNNYIH0NJUS5eU1BYLklRX1BSSUNFREFURS43LzI0LzIwMTgBAAAAm7goAAUAAAAJNy8yNC8yMDE4AOMLQcDdNNYIE3Ap</t>
  </si>
  <si>
    <t>wd001ggfQ0lRLl5TUFguSVFfUFJJQ0VEQVRFLjkvMTkvMjAxOAEAAACbuCgABQAAAAk5LzE5LzIwMTgA4wtBwN001gjz7BzB3TTWCB9DSVEuXlNQWC5JUV9QUklDRURBVEUuNi8xMy8yMDE3AQAAAJu4KAAFAAAACTYvMTMvMjAxNwCTSEDA3TTWCFNmG8HdNNYIH0NJUS5eU1BYLklRX1BSSUNFREFURS4xMC82LzIwMTUBAAAAm7goAAUAAAAJMTAvNi8yMDE1APPBPsDdNNYII0sMwd001ggfQ0lRLl5TUFguSVFfUFJJQ0VEQVRFLjYvMjIvMjAxOAEAAACbuCgABQAAAAk2LzIyLzIwMTgA0+RAwN001ggD2CbB3TTWCCBDSVEuXlNQWC5JUV9QUklDRURBVEUuMTAvMTQvMjAxNQEAAACbuCgABQAAAAoxMC8xNC8yMDE1APPBPsDdNNYIw0IQwd001ggfQ0lRLl5TUFguSVFfUFJJQ0VEQVRFLjUvMjUvMjAxOAEAAACbuCgABQAAAAk1LzI1LzIwMTgA0+RAwN001gjDdxzB3TTWCB9DSVEuXlNQWC5JUV9QUklDRURBVEUuOC8xMi8yMDE1AQAAAJu4KAAFAAAACTgvMTIvMjAxNQDjmj7A3TTWCKP0D8HdNNYIIENJUS5eU1BYLklRX1BSSUNFREFURS4xMC8yOC8yMDE0AQAAAJu4KAAFAAAACjEwLzI4LzIwMTQAM+08wN001ghTTwrB3TTWCCBDSVEuXlNQWC5JUV9QUklDRURBVEUuMTIvMTYvMjAxNgEAAACbuCgABQAAAAoxMi8xNi8yMDE2AFOsP8DdNNYIE6wfwd001ggfQ0lRLl5TUFguSVFfUFJJQ0VEQVRFLjQvMTAvMjAx</t>
  </si>
  <si>
    <t>OAEAAACbuCgABQAAAAk0LzEwLzIwMTgA0+RAwN001ggDSSnB3TTWCB5DSVEuXlNQWC5JUV9QUklDRURBVEUuOC82LzIwMTQBAAAAm7goAAUAAAAIOC82LzIwMTQAI8Y8wN001gjD0Q3B3TTWCB9DSVEuXlNQWC5JUV9QUklDRURBVEUuOC8xOS8yMDE0AQAAAJu4KAAFAAAACTgvMTkvMjAxNAAjxjzA3TTWCCOXKcHdNNYIH0NJUS5eU1BYLklRX1BSSUNFREFURS41LzE1LzIwMTgBAAAAm7goAAUAAAAJNS8xNS8yMDE4ANPkQMDdNNYI87Amwd001gg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</si>
</sst>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\x"/>
    <numFmt numFmtId="165" formatCode="#,##0.0"/>
    <numFmt numFmtId="166" formatCode="0.0%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rgb="FF008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right"/>
    </xf>
    <xf numFmtId="0" fontId="4" fillId="0" borderId="0" xfId="0" applyFont="1"/>
    <xf numFmtId="14" fontId="3" fillId="0" borderId="0" xfId="0" applyNumberFormat="1" applyFont="1" applyFill="1" applyAlignment="1"/>
    <xf numFmtId="14" fontId="4" fillId="0" borderId="0" xfId="0" applyNumberFormat="1" applyFont="1" applyFill="1" applyAlignment="1"/>
    <xf numFmtId="0" fontId="5" fillId="0" borderId="0" xfId="0" applyFont="1"/>
    <xf numFmtId="0" fontId="5" fillId="0" borderId="0" xfId="0" applyFont="1" applyAlignment="1">
      <alignment wrapText="1"/>
    </xf>
    <xf numFmtId="0" fontId="5" fillId="0" borderId="0" xfId="0" applyFont="1" applyFill="1" applyAlignment="1"/>
    <xf numFmtId="0" fontId="1" fillId="0" borderId="0" xfId="0" applyFont="1" applyFill="1"/>
    <xf numFmtId="14" fontId="5" fillId="0" borderId="0" xfId="0" applyNumberFormat="1" applyFont="1" applyFill="1" applyAlignment="1"/>
    <xf numFmtId="164" fontId="4" fillId="0" borderId="0" xfId="0" applyNumberFormat="1" applyFont="1" applyFill="1" applyAlignment="1">
      <alignment horizontal="right"/>
    </xf>
    <xf numFmtId="0" fontId="7" fillId="0" borderId="0" xfId="0" applyFont="1" applyFill="1"/>
    <xf numFmtId="0" fontId="0" fillId="0" borderId="0" xfId="0" applyFill="1"/>
    <xf numFmtId="14" fontId="2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166" fontId="4" fillId="0" borderId="0" xfId="0" applyNumberFormat="1" applyFont="1" applyFill="1" applyAlignment="1">
      <alignment horizontal="right"/>
    </xf>
    <xf numFmtId="165" fontId="4" fillId="0" borderId="0" xfId="0" applyNumberFormat="1" applyFont="1" applyFill="1"/>
    <xf numFmtId="165" fontId="4" fillId="0" borderId="0" xfId="0" applyNumberFormat="1" applyFont="1" applyFill="1" applyAlignment="1"/>
    <xf numFmtId="0" fontId="5" fillId="0" borderId="1" xfId="0" applyFont="1" applyBorder="1" applyAlignment="1">
      <alignment wrapText="1"/>
    </xf>
    <xf numFmtId="165" fontId="4" fillId="0" borderId="0" xfId="0" applyNumberFormat="1" applyFont="1" applyFill="1" applyBorder="1" applyAlignment="1">
      <alignment horizontal="right"/>
    </xf>
    <xf numFmtId="0" fontId="9" fillId="0" borderId="0" xfId="0" applyFont="1"/>
    <xf numFmtId="0" fontId="8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5EA18089-EC9D-4599-AA33-11FEA6A52189}">
      <tableStyleElement type="wholeTable" dxfId="1"/>
      <tableStyleElement type="headerRow" dxfId="0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</xdr:row>
          <xdr:rowOff>76200</xdr:rowOff>
        </xdr:from>
        <xdr:to>
          <xdr:col>5</xdr:col>
          <xdr:colOff>279400</xdr:colOff>
          <xdr:row>4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</xdr:row>
          <xdr:rowOff>76200</xdr:rowOff>
        </xdr:from>
        <xdr:to>
          <xdr:col>5</xdr:col>
          <xdr:colOff>279400</xdr:colOff>
          <xdr:row>4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</xdr:row>
          <xdr:rowOff>76200</xdr:rowOff>
        </xdr:from>
        <xdr:to>
          <xdr:col>5</xdr:col>
          <xdr:colOff>279400</xdr:colOff>
          <xdr:row>4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</xdr:row>
          <xdr:rowOff>76200</xdr:rowOff>
        </xdr:from>
        <xdr:to>
          <xdr:col>5</xdr:col>
          <xdr:colOff>279400</xdr:colOff>
          <xdr:row>4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</xdr:row>
          <xdr:rowOff>76200</xdr:rowOff>
        </xdr:from>
        <xdr:to>
          <xdr:col>5</xdr:col>
          <xdr:colOff>279400</xdr:colOff>
          <xdr:row>4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2</xdr:row>
          <xdr:rowOff>76200</xdr:rowOff>
        </xdr:from>
        <xdr:to>
          <xdr:col>5</xdr:col>
          <xdr:colOff>279400</xdr:colOff>
          <xdr:row>4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E1"/>
  <sheetViews>
    <sheetView workbookViewId="0"/>
  </sheetViews>
  <sheetFormatPr defaultRowHeight="14.5" x14ac:dyDescent="0.35"/>
  <sheetData>
    <row r="1" spans="1:135" x14ac:dyDescent="0.35">
      <c r="A1">
        <v>135</v>
      </c>
      <c r="B1" t="s">
        <v>1716</v>
      </c>
      <c r="C1" t="s">
        <v>1717</v>
      </c>
      <c r="D1" t="s">
        <v>1718</v>
      </c>
      <c r="E1" t="s">
        <v>1719</v>
      </c>
      <c r="F1" t="s">
        <v>1720</v>
      </c>
      <c r="G1" t="s">
        <v>1721</v>
      </c>
      <c r="H1" t="s">
        <v>1722</v>
      </c>
      <c r="I1" t="s">
        <v>1723</v>
      </c>
      <c r="J1" t="s">
        <v>1724</v>
      </c>
      <c r="K1" t="s">
        <v>1725</v>
      </c>
      <c r="L1" t="s">
        <v>1726</v>
      </c>
      <c r="M1" t="s">
        <v>1727</v>
      </c>
      <c r="N1" t="s">
        <v>1728</v>
      </c>
      <c r="O1" t="s">
        <v>1729</v>
      </c>
      <c r="P1" t="s">
        <v>1730</v>
      </c>
      <c r="Q1" t="s">
        <v>1731</v>
      </c>
      <c r="R1" t="s">
        <v>1732</v>
      </c>
      <c r="S1" t="s">
        <v>1733</v>
      </c>
      <c r="T1" t="s">
        <v>1734</v>
      </c>
      <c r="U1" t="s">
        <v>1735</v>
      </c>
      <c r="V1" t="s">
        <v>1736</v>
      </c>
      <c r="W1" t="s">
        <v>1737</v>
      </c>
      <c r="X1" t="s">
        <v>1738</v>
      </c>
      <c r="Y1" t="s">
        <v>1739</v>
      </c>
      <c r="Z1" t="s">
        <v>1740</v>
      </c>
      <c r="AA1" t="s">
        <v>1741</v>
      </c>
      <c r="AB1" t="s">
        <v>1742</v>
      </c>
      <c r="AC1" t="s">
        <v>1743</v>
      </c>
      <c r="AD1" t="s">
        <v>1744</v>
      </c>
      <c r="AE1" t="s">
        <v>1745</v>
      </c>
      <c r="AF1" t="s">
        <v>1746</v>
      </c>
      <c r="AG1" t="s">
        <v>1747</v>
      </c>
      <c r="AH1" t="s">
        <v>1748</v>
      </c>
      <c r="AI1" t="s">
        <v>1749</v>
      </c>
      <c r="AJ1" t="s">
        <v>1750</v>
      </c>
      <c r="AK1" t="s">
        <v>1751</v>
      </c>
      <c r="AL1" t="s">
        <v>1752</v>
      </c>
      <c r="AM1" t="s">
        <v>1753</v>
      </c>
      <c r="AN1" t="s">
        <v>1754</v>
      </c>
      <c r="AO1" t="s">
        <v>1755</v>
      </c>
      <c r="AP1" t="s">
        <v>1756</v>
      </c>
      <c r="AQ1" t="s">
        <v>1757</v>
      </c>
      <c r="AR1" t="s">
        <v>1758</v>
      </c>
      <c r="AS1" t="s">
        <v>1759</v>
      </c>
      <c r="AT1" t="s">
        <v>1760</v>
      </c>
      <c r="AU1" t="s">
        <v>1761</v>
      </c>
      <c r="AV1" t="s">
        <v>1762</v>
      </c>
      <c r="AW1" t="s">
        <v>1763</v>
      </c>
      <c r="AX1" t="s">
        <v>1764</v>
      </c>
      <c r="AY1" t="s">
        <v>1765</v>
      </c>
      <c r="AZ1" t="s">
        <v>1766</v>
      </c>
      <c r="BA1" t="s">
        <v>1767</v>
      </c>
      <c r="BB1" t="s">
        <v>1768</v>
      </c>
      <c r="BC1" t="s">
        <v>1769</v>
      </c>
      <c r="BD1" t="s">
        <v>1770</v>
      </c>
      <c r="BE1" t="s">
        <v>1771</v>
      </c>
      <c r="BF1" t="s">
        <v>1772</v>
      </c>
      <c r="BG1" t="s">
        <v>1773</v>
      </c>
      <c r="BH1" t="s">
        <v>1774</v>
      </c>
      <c r="BI1" t="s">
        <v>1775</v>
      </c>
      <c r="BJ1" t="s">
        <v>1776</v>
      </c>
      <c r="BK1" t="s">
        <v>1777</v>
      </c>
      <c r="BL1" t="s">
        <v>1778</v>
      </c>
      <c r="BM1" t="s">
        <v>1779</v>
      </c>
      <c r="BN1" t="s">
        <v>1780</v>
      </c>
      <c r="BO1" t="s">
        <v>1781</v>
      </c>
      <c r="BP1" t="s">
        <v>1782</v>
      </c>
      <c r="BQ1" t="s">
        <v>1783</v>
      </c>
      <c r="BR1" t="s">
        <v>1784</v>
      </c>
      <c r="BS1" t="s">
        <v>1785</v>
      </c>
      <c r="BT1" t="s">
        <v>1786</v>
      </c>
      <c r="BU1" t="s">
        <v>1787</v>
      </c>
      <c r="BV1" t="s">
        <v>1788</v>
      </c>
      <c r="BW1" t="s">
        <v>1789</v>
      </c>
      <c r="BX1" t="s">
        <v>1790</v>
      </c>
      <c r="BY1" t="s">
        <v>1791</v>
      </c>
      <c r="BZ1" t="s">
        <v>1792</v>
      </c>
      <c r="CA1" t="s">
        <v>1793</v>
      </c>
      <c r="CB1" t="s">
        <v>1794</v>
      </c>
      <c r="CC1" t="s">
        <v>1795</v>
      </c>
      <c r="CD1" t="s">
        <v>1796</v>
      </c>
      <c r="CE1" t="s">
        <v>1797</v>
      </c>
      <c r="CF1" t="s">
        <v>1798</v>
      </c>
      <c r="CG1" t="s">
        <v>1799</v>
      </c>
      <c r="CH1" t="s">
        <v>1800</v>
      </c>
      <c r="CI1" t="s">
        <v>1801</v>
      </c>
      <c r="CJ1" t="s">
        <v>1802</v>
      </c>
      <c r="CK1" t="s">
        <v>1803</v>
      </c>
      <c r="CL1" t="s">
        <v>1804</v>
      </c>
      <c r="CM1" t="s">
        <v>1805</v>
      </c>
      <c r="CN1" t="s">
        <v>1806</v>
      </c>
      <c r="CO1" t="s">
        <v>1807</v>
      </c>
      <c r="CP1" t="s">
        <v>1808</v>
      </c>
      <c r="CQ1" t="s">
        <v>1809</v>
      </c>
      <c r="CR1" t="s">
        <v>1810</v>
      </c>
      <c r="CS1" t="s">
        <v>1811</v>
      </c>
      <c r="CT1" t="s">
        <v>1812</v>
      </c>
      <c r="CU1" t="s">
        <v>1813</v>
      </c>
      <c r="CV1" t="s">
        <v>1814</v>
      </c>
      <c r="CW1" t="s">
        <v>1815</v>
      </c>
      <c r="CX1" t="s">
        <v>1816</v>
      </c>
      <c r="CY1" t="s">
        <v>1817</v>
      </c>
      <c r="CZ1" t="s">
        <v>1818</v>
      </c>
      <c r="DA1" t="s">
        <v>1819</v>
      </c>
      <c r="DB1" t="s">
        <v>1820</v>
      </c>
      <c r="DC1" t="s">
        <v>1821</v>
      </c>
      <c r="DD1" t="s">
        <v>1822</v>
      </c>
      <c r="DE1" t="s">
        <v>1823</v>
      </c>
      <c r="DF1" t="s">
        <v>1824</v>
      </c>
      <c r="DG1" t="s">
        <v>1825</v>
      </c>
      <c r="DH1" t="s">
        <v>1826</v>
      </c>
      <c r="DI1" t="s">
        <v>1827</v>
      </c>
      <c r="DJ1" t="s">
        <v>1828</v>
      </c>
      <c r="DK1" t="s">
        <v>1829</v>
      </c>
      <c r="DL1" t="s">
        <v>1830</v>
      </c>
      <c r="DM1" t="s">
        <v>1831</v>
      </c>
      <c r="DN1" t="s">
        <v>1832</v>
      </c>
      <c r="DO1" t="s">
        <v>1833</v>
      </c>
      <c r="DP1" t="s">
        <v>1834</v>
      </c>
      <c r="DQ1" t="s">
        <v>1835</v>
      </c>
      <c r="DR1" t="s">
        <v>1836</v>
      </c>
      <c r="DS1" t="s">
        <v>1837</v>
      </c>
      <c r="DT1" t="s">
        <v>1838</v>
      </c>
      <c r="DU1" t="s">
        <v>1839</v>
      </c>
      <c r="DV1" t="s">
        <v>1840</v>
      </c>
      <c r="DW1" t="s">
        <v>1841</v>
      </c>
      <c r="DX1" t="s">
        <v>1842</v>
      </c>
      <c r="DY1" t="s">
        <v>1843</v>
      </c>
      <c r="DZ1" t="s">
        <v>1844</v>
      </c>
      <c r="EA1" t="s">
        <v>1845</v>
      </c>
      <c r="EB1" t="s">
        <v>1846</v>
      </c>
      <c r="EC1" t="s">
        <v>1847</v>
      </c>
      <c r="ED1" t="s">
        <v>1848</v>
      </c>
      <c r="EE1" t="s">
        <v>1849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C1215"/>
  <sheetViews>
    <sheetView tabSelected="1" zoomScale="90" zoomScaleNormal="90" workbookViewId="0">
      <selection activeCell="A11" sqref="A11"/>
    </sheetView>
  </sheetViews>
  <sheetFormatPr defaultRowHeight="14.5" x14ac:dyDescent="0.35"/>
  <cols>
    <col min="1" max="1" width="26.54296875" bestFit="1" customWidth="1"/>
    <col min="2" max="2" width="15.54296875" bestFit="1" customWidth="1"/>
    <col min="3" max="3" width="23.1796875" bestFit="1" customWidth="1"/>
    <col min="4" max="4" width="14.7265625" bestFit="1" customWidth="1"/>
    <col min="5" max="5" width="23.7265625" bestFit="1" customWidth="1"/>
    <col min="6" max="6" width="22.26953125" customWidth="1"/>
    <col min="7" max="7" width="19.453125" customWidth="1"/>
    <col min="8" max="8" width="21.1796875" bestFit="1" customWidth="1"/>
    <col min="9" max="9" width="23.453125" bestFit="1" customWidth="1"/>
    <col min="10" max="10" width="19.81640625" bestFit="1" customWidth="1"/>
    <col min="11" max="11" width="14.453125" bestFit="1" customWidth="1"/>
    <col min="12" max="12" width="20.26953125" bestFit="1" customWidth="1"/>
    <col min="13" max="13" width="20.453125" bestFit="1" customWidth="1"/>
    <col min="14" max="17" width="13.453125" customWidth="1"/>
    <col min="18" max="18" width="10.453125" bestFit="1" customWidth="1"/>
    <col min="19" max="25" width="13.453125" customWidth="1"/>
    <col min="28" max="28" width="11.54296875" bestFit="1" customWidth="1"/>
    <col min="29" max="29" width="11.81640625" bestFit="1" customWidth="1"/>
  </cols>
  <sheetData>
    <row r="1" spans="1:29" ht="23.5" x14ac:dyDescent="0.55000000000000004">
      <c r="A1" t="s">
        <v>0</v>
      </c>
      <c r="B1" s="1" t="s">
        <v>1</v>
      </c>
      <c r="D1" s="21" t="e">
        <f ca="1">IF($B$1="","",_xll.ciqfunctions.udf.CIQ($B$1,"iq_company_name"))</f>
        <v>#NAME?</v>
      </c>
      <c r="E1" s="21"/>
      <c r="F1" s="21"/>
    </row>
    <row r="2" spans="1:29" x14ac:dyDescent="0.35">
      <c r="A2" t="s">
        <v>3</v>
      </c>
      <c r="B2" s="1" t="s">
        <v>4</v>
      </c>
    </row>
    <row r="3" spans="1:29" x14ac:dyDescent="0.35">
      <c r="A3" t="s">
        <v>2</v>
      </c>
      <c r="B3" s="13" t="e">
        <f ca="1">_xll.ciqfunctions.udf.CIQGETDATE(IQ_TODAY)</f>
        <v>#NAME?</v>
      </c>
      <c r="AB3" s="12"/>
      <c r="AC3" s="13"/>
    </row>
    <row r="4" spans="1:29" x14ac:dyDescent="0.35">
      <c r="A4" t="s">
        <v>1715</v>
      </c>
      <c r="B4" s="13">
        <v>41639</v>
      </c>
      <c r="G4" s="11">
        <f>IQ_LTM</f>
        <v>2000</v>
      </c>
      <c r="H4" s="11">
        <f>IQ_NTM</f>
        <v>6000</v>
      </c>
      <c r="N4" s="22" t="s">
        <v>1712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AB4" s="12"/>
    </row>
    <row r="5" spans="1:29" ht="15.5" x14ac:dyDescent="0.35">
      <c r="M5" t="s">
        <v>523</v>
      </c>
      <c r="N5" s="23">
        <v>43388</v>
      </c>
      <c r="O5" s="24"/>
      <c r="P5" s="23">
        <v>43100</v>
      </c>
      <c r="Q5" s="24"/>
      <c r="R5" s="23">
        <v>42735</v>
      </c>
      <c r="S5" s="24"/>
      <c r="T5" s="23">
        <v>42369</v>
      </c>
      <c r="U5" s="24"/>
      <c r="V5" s="23">
        <v>42004</v>
      </c>
      <c r="W5" s="24"/>
      <c r="X5" s="23">
        <v>42004</v>
      </c>
      <c r="Y5" s="24"/>
      <c r="AB5" s="20" t="e">
        <f ca="1">D1&amp;" Values"</f>
        <v>#NAME?</v>
      </c>
    </row>
    <row r="6" spans="1:29" ht="43.5" x14ac:dyDescent="0.35">
      <c r="A6" s="5" t="e">
        <f ca="1">_xll.ciqfunctions.udf.CIQRANGE($B$1,"IQ_CONSTITUENTS",1,,,,,,"Constituents")</f>
        <v>#NAME?</v>
      </c>
      <c r="B6" s="5" t="s">
        <v>5</v>
      </c>
      <c r="C6" s="5" t="s">
        <v>6</v>
      </c>
      <c r="D6" s="5" t="s">
        <v>7</v>
      </c>
      <c r="E6" s="5" t="s">
        <v>8</v>
      </c>
      <c r="F6" s="5" t="s">
        <v>9</v>
      </c>
      <c r="G6" s="6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18" t="s">
        <v>1713</v>
      </c>
      <c r="O6" s="18" t="s">
        <v>1714</v>
      </c>
      <c r="P6" s="18" t="s">
        <v>1713</v>
      </c>
      <c r="Q6" s="18" t="s">
        <v>1714</v>
      </c>
      <c r="R6" s="18" t="s">
        <v>1713</v>
      </c>
      <c r="S6" s="18" t="s">
        <v>1714</v>
      </c>
      <c r="T6" s="18" t="s">
        <v>1713</v>
      </c>
      <c r="U6" s="18" t="s">
        <v>1714</v>
      </c>
      <c r="V6" s="18" t="s">
        <v>1713</v>
      </c>
      <c r="W6" s="18" t="s">
        <v>1714</v>
      </c>
      <c r="X6" s="18" t="s">
        <v>1713</v>
      </c>
      <c r="Y6" s="18" t="s">
        <v>1714</v>
      </c>
      <c r="Z6" s="7"/>
      <c r="AA6" s="8"/>
      <c r="AB6" s="9" t="e">
        <f ca="1">_xll.ciqfunctions.udf.CIQRANGE($B$1,"IQ_PRICEDATE",$B$4,$B$3,,,,,"Date")</f>
        <v>#NAME?</v>
      </c>
      <c r="AC6" s="7" t="s">
        <v>522</v>
      </c>
    </row>
    <row r="7" spans="1:29" x14ac:dyDescent="0.35">
      <c r="A7" s="2" t="s">
        <v>17</v>
      </c>
      <c r="B7" s="4" t="e">
        <f ca="1">IF($A7="","",_xll.ciqfunctions.udf.CIQ($A7,"IQ_COMPANY_NAME"))</f>
        <v>#NAME?</v>
      </c>
      <c r="C7" s="4" t="e">
        <f ca="1">IF($A7="","",_xll.ciqfunctions.udf.CIQ($A7,"IQ_INDUSTRY_SECTOR"))</f>
        <v>#NAME?</v>
      </c>
      <c r="D7" s="4" t="e">
        <f ca="1">IF($A7="","",_xll.ciqfunctions.udf.CIQ($A7,"IQ_INDUSTRY_GROUP"))</f>
        <v>#NAME?</v>
      </c>
      <c r="E7" s="4" t="e">
        <f ca="1">IF($A7="","",_xll.ciqfunctions.udf.CIQ($A7,"IQ_INDUSTRY"))</f>
        <v>#NAME?</v>
      </c>
      <c r="F7" s="4" t="e">
        <f ca="1">IF($A7="","",_xll.ciqfunctions.udf.CIQ($A7,"IQ_PRIMARY_INDUSTRY"))</f>
        <v>#NAME?</v>
      </c>
      <c r="G7" s="14" t="e">
        <f ca="1">IF($A7="","",_xll.ciqfunctions.udf.CIQ($A7,"IQ_CLOSEPRICE_ADJ",$B$3,$B$2))</f>
        <v>#NAME?</v>
      </c>
      <c r="H7" s="10" t="e">
        <f ca="1">IF($A7="","",_xll.ciqfunctions.udf.CIQ($A7,"IQ_TEV_EBITDA",$G$4,$B$3))</f>
        <v>#NAME?</v>
      </c>
      <c r="I7" s="10" t="e">
        <f ca="1">IF($A7="","",_xll.ciqfunctions.udf.CIQ($A7,"IQ_PE_EXCL",$G$4,$B$3))</f>
        <v>#NAME?</v>
      </c>
      <c r="J7" s="10" t="e">
        <f ca="1">IF($A7="","",_xll.ciqfunctions.udf.CIQ($A7,"IQ_PTBV",$G$4,$B$3))</f>
        <v>#NAME?</v>
      </c>
      <c r="K7" s="15" t="str">
        <f ca="1">IF($A7="","",IF(ISERROR(_xll.ciqfunctions.udf.CIQ($A7,"IQ_DIVIDEND_YIELD",$B$3)/100),"NA",_xll.ciqfunctions.udf.CIQ($A7,"IQ_DIVIDEND_YIELD",$B$3)/100))</f>
        <v>NA</v>
      </c>
      <c r="L7" s="17" t="e">
        <f ca="1">IF($A7="","",_xll.ciqfunctions.udf.CIQ($A7,"IQ_MARKETCAP",$B$3,$B$2))</f>
        <v>#NAME?</v>
      </c>
      <c r="M7" s="4" t="e">
        <f ca="1">IF($A7="","",_xll.ciqfunctions.udf.CIQ($A7,"IQ_COMPANY_ADDRESS"))</f>
        <v>#NAME?</v>
      </c>
      <c r="N7" s="19" t="e">
        <f ca="1">IF($A7="","",_xll.ciqfunctions.udf.CIQ($A7,"IQ_DILUT_EPS_EXCL",$G$4,$N$5,,,$B$2))</f>
        <v>#NAME?</v>
      </c>
      <c r="O7" s="19" t="e">
        <f ca="1">IF($A7="","",_xll.ciqfunctions.udf.CIQ($A7,"IQ_EPS_EST",$H$4,$N$5,,,$B$2))</f>
        <v>#NAME?</v>
      </c>
      <c r="P7" s="19" t="e">
        <f ca="1">IF($A7="","",_xll.ciqfunctions.udf.CIQ($A7,"IQ_DILUT_EPS_EXCL",G$4,$P$5,,,$B$2))</f>
        <v>#NAME?</v>
      </c>
      <c r="Q7" s="19" t="e">
        <f ca="1">IF($A7="","",_xll.ciqfunctions.udf.CIQ($A7,"IQ_EPS_EST",H$4,$P$5,,,$B$2))</f>
        <v>#NAME?</v>
      </c>
      <c r="R7" s="19" t="e">
        <f ca="1">IF($A7="","",_xll.ciqfunctions.udf.CIQ($A7,"IQ_DILUT_EPS_EXCL",G$4,$R$5,,,$B$2))</f>
        <v>#NAME?</v>
      </c>
      <c r="S7" s="19" t="e">
        <f ca="1">IF($A7="","",_xll.ciqfunctions.udf.CIQ($A7,"IQ_EPS_EST",H$4,$R$5,,,$B$2))</f>
        <v>#NAME?</v>
      </c>
      <c r="T7" s="19" t="e">
        <f ca="1">IF($A7="","",_xll.ciqfunctions.udf.CIQ($A7,"IQ_DILUT_EPS_EXCL",$G$4,$R$5,,,$B$2))</f>
        <v>#NAME?</v>
      </c>
      <c r="U7" s="19" t="e">
        <f ca="1">IF($A7="","",_xll.ciqfunctions.udf.CIQ($A7,"IQ_EPS_EST",H$4,$T$5,,,$B$2))</f>
        <v>#NAME?</v>
      </c>
      <c r="V7" s="19" t="e">
        <f ca="1">IF($A7="","",_xll.ciqfunctions.udf.CIQ($A7,"IQ_DILUT_EPS_EXCL",G$4,$V$5,,,$B$2))</f>
        <v>#NAME?</v>
      </c>
      <c r="W7" s="19" t="e">
        <f ca="1">IF($A7="","",_xll.ciqfunctions.udf.CIQ($A7,"IQ_EPS_EST",H$4,$V$5,,,$B$2))</f>
        <v>#NAME?</v>
      </c>
      <c r="X7" s="19" t="e">
        <f ca="1">IF($A7="","",_xll.ciqfunctions.udf.CIQ($A7,"IQ_DILUT_EPS_EXCL",G$4,$X$5,,,$B$2))</f>
        <v>#NAME?</v>
      </c>
      <c r="Y7" s="19" t="e">
        <f ca="1">IF($A7="","",_xll.ciqfunctions.udf.CIQ($A7,"IQ_EPS_EST",H$4,$X$5,,,$B$2))</f>
        <v>#NAME?</v>
      </c>
      <c r="Z7" s="3"/>
      <c r="AA7" s="3"/>
      <c r="AB7" s="4" t="e">
        <f ca="1">_xll.ciqfunctions.udf.CIQ("^SPX", "IQ_PRICEDATE", "12/31/2013")</f>
        <v>#NAME?</v>
      </c>
      <c r="AC7" s="16" t="e">
        <f ca="1">IF($AB7="","",_xll.ciqfunctions.udf.CIQ($B$1,"IQ_LASTSALEPRICE",$AB7))</f>
        <v>#NAME?</v>
      </c>
    </row>
    <row r="8" spans="1:29" x14ac:dyDescent="0.35">
      <c r="A8" s="2" t="s">
        <v>18</v>
      </c>
      <c r="B8" s="4" t="s">
        <v>524</v>
      </c>
      <c r="C8" s="4" t="s">
        <v>525</v>
      </c>
      <c r="D8" s="4" t="s">
        <v>526</v>
      </c>
      <c r="E8" s="4" t="s">
        <v>527</v>
      </c>
      <c r="F8" s="4" t="s">
        <v>527</v>
      </c>
      <c r="G8" s="14">
        <v>47.62</v>
      </c>
      <c r="H8" s="10">
        <v>12.431886</v>
      </c>
      <c r="I8" s="10">
        <v>25.099882000000001</v>
      </c>
      <c r="J8" s="10">
        <v>8.8809430000000003</v>
      </c>
      <c r="K8" s="15">
        <v>1.8479000000000002E-2</v>
      </c>
      <c r="L8" s="17">
        <v>8124.2858630000001</v>
      </c>
      <c r="M8" s="4" t="s">
        <v>528</v>
      </c>
      <c r="N8" s="19">
        <v>1.8972199999999999</v>
      </c>
      <c r="O8" s="19">
        <v>2.77</v>
      </c>
      <c r="P8" s="19">
        <v>1.699999</v>
      </c>
      <c r="Q8" s="19">
        <v>2.3384999999999998</v>
      </c>
      <c r="R8" s="19">
        <v>1.85</v>
      </c>
      <c r="S8" s="19">
        <v>2.0019999999999998</v>
      </c>
      <c r="T8" s="19">
        <v>1.85</v>
      </c>
      <c r="U8" s="19">
        <v>1.7150000000000001</v>
      </c>
      <c r="V8" s="19">
        <v>1.1399999999999999</v>
      </c>
      <c r="W8" s="19">
        <v>1.3201000000000001</v>
      </c>
      <c r="X8" s="19">
        <v>1.1399999999999999</v>
      </c>
      <c r="Y8" s="19">
        <v>1.3201000000000001</v>
      </c>
      <c r="Z8" s="4"/>
      <c r="AA8" s="4"/>
      <c r="AB8" s="4" t="e">
        <f ca="1">_xll.ciqfunctions.udf.CIQ("^SPX", "IQ_PRICEDATE", "1/2/2014")</f>
        <v>#NAME?</v>
      </c>
      <c r="AC8" s="16">
        <v>1831.9847069969001</v>
      </c>
    </row>
    <row r="9" spans="1:29" x14ac:dyDescent="0.35">
      <c r="A9" s="2" t="s">
        <v>19</v>
      </c>
      <c r="B9" s="4" t="s">
        <v>529</v>
      </c>
      <c r="C9" s="4" t="s">
        <v>530</v>
      </c>
      <c r="D9" s="4" t="s">
        <v>531</v>
      </c>
      <c r="E9" s="4" t="s">
        <v>532</v>
      </c>
      <c r="F9" s="4" t="s">
        <v>533</v>
      </c>
      <c r="G9" s="14">
        <v>70.23</v>
      </c>
      <c r="H9" s="10">
        <v>20.619713000000001</v>
      </c>
      <c r="I9" s="10">
        <v>151.43086299999999</v>
      </c>
      <c r="J9" s="10" t="s">
        <v>534</v>
      </c>
      <c r="K9" s="15">
        <v>1.5946999999999999E-2</v>
      </c>
      <c r="L9" s="17">
        <v>123205.84331500001</v>
      </c>
      <c r="M9" s="4" t="s">
        <v>535</v>
      </c>
      <c r="N9" s="19">
        <v>0.45742100000000002</v>
      </c>
      <c r="O9" s="19">
        <v>3.0392999999999999</v>
      </c>
      <c r="P9" s="19">
        <v>0.19770099999999999</v>
      </c>
      <c r="Q9" s="19">
        <v>2.7597</v>
      </c>
      <c r="R9" s="19">
        <v>0.71</v>
      </c>
      <c r="S9" s="19">
        <v>2.3942999999999999</v>
      </c>
      <c r="T9" s="19">
        <v>0.71</v>
      </c>
      <c r="U9" s="19">
        <v>2.2970000000000002</v>
      </c>
      <c r="V9" s="19">
        <v>1.1200000000000001</v>
      </c>
      <c r="W9" s="19">
        <v>2.2957000000000001</v>
      </c>
      <c r="X9" s="19">
        <v>1.1200000000000001</v>
      </c>
      <c r="Y9" s="19">
        <v>2.2957000000000001</v>
      </c>
      <c r="Z9" s="4"/>
      <c r="AA9" s="4"/>
      <c r="AB9" s="4" t="e">
        <f ca="1">_xll.ciqfunctions.udf.CIQ("^SPX", "IQ_PRICEDATE", "1/3/2014")</f>
        <v>#NAME?</v>
      </c>
      <c r="AC9" s="16">
        <v>1831.3665650882001</v>
      </c>
    </row>
    <row r="10" spans="1:29" x14ac:dyDescent="0.35">
      <c r="A10" s="2" t="s">
        <v>20</v>
      </c>
      <c r="B10" s="4" t="s">
        <v>536</v>
      </c>
      <c r="C10" s="4" t="s">
        <v>530</v>
      </c>
      <c r="D10" s="4" t="s">
        <v>537</v>
      </c>
      <c r="E10" s="4" t="s">
        <v>538</v>
      </c>
      <c r="F10" s="4" t="s">
        <v>538</v>
      </c>
      <c r="G10" s="14">
        <v>92.27</v>
      </c>
      <c r="H10" s="10">
        <v>13.411451</v>
      </c>
      <c r="I10" s="10">
        <v>22.903839999999999</v>
      </c>
      <c r="J10" s="10" t="s">
        <v>534</v>
      </c>
      <c r="K10" s="15">
        <v>4.1616E-2</v>
      </c>
      <c r="L10" s="17">
        <v>139721.94184399999</v>
      </c>
      <c r="M10" s="4" t="s">
        <v>539</v>
      </c>
      <c r="N10" s="19">
        <v>4.0285820000000001</v>
      </c>
      <c r="O10" s="19">
        <v>8.2057000000000002</v>
      </c>
      <c r="P10" s="19">
        <v>3.3</v>
      </c>
      <c r="Q10" s="19">
        <v>6.2378999999999998</v>
      </c>
      <c r="R10" s="19">
        <v>3.63</v>
      </c>
      <c r="S10" s="19">
        <v>5.2127999999999997</v>
      </c>
      <c r="T10" s="19">
        <v>3.63</v>
      </c>
      <c r="U10" s="19">
        <v>4.7849000000000004</v>
      </c>
      <c r="V10" s="19">
        <v>1.1000000000000001</v>
      </c>
      <c r="W10" s="19">
        <v>3.9489000000000001</v>
      </c>
      <c r="X10" s="19">
        <v>1.1000000000000001</v>
      </c>
      <c r="Y10" s="19">
        <v>3.9489000000000001</v>
      </c>
      <c r="Z10" s="4"/>
      <c r="AA10" s="4"/>
      <c r="AB10" s="4" t="e">
        <f ca="1">_xll.ciqfunctions.udf.CIQ("^SPX", "IQ_PRICEDATE", "1/6/2014")</f>
        <v>#NAME?</v>
      </c>
      <c r="AC10" s="16">
        <v>1826.7671905136999</v>
      </c>
    </row>
    <row r="11" spans="1:29" x14ac:dyDescent="0.35">
      <c r="A11" s="2" t="s">
        <v>21</v>
      </c>
      <c r="B11" s="4" t="s">
        <v>540</v>
      </c>
      <c r="C11" s="4" t="s">
        <v>530</v>
      </c>
      <c r="D11" s="4" t="s">
        <v>531</v>
      </c>
      <c r="E11" s="4" t="s">
        <v>532</v>
      </c>
      <c r="F11" s="4" t="s">
        <v>533</v>
      </c>
      <c r="G11" s="14">
        <v>389.79</v>
      </c>
      <c r="H11" s="10">
        <v>93.505396000000005</v>
      </c>
      <c r="I11" s="10">
        <v>108.669015</v>
      </c>
      <c r="J11" s="10">
        <v>25.372848999999999</v>
      </c>
      <c r="K11" s="15">
        <v>0</v>
      </c>
      <c r="L11" s="17">
        <v>17492.668195999999</v>
      </c>
      <c r="M11" s="4" t="s">
        <v>541</v>
      </c>
      <c r="N11" s="19">
        <v>3.5869469999999999</v>
      </c>
      <c r="O11" s="19">
        <v>3.7967</v>
      </c>
      <c r="P11" s="19">
        <v>1.9928250000000001</v>
      </c>
      <c r="Q11" s="19">
        <v>2.3254999999999999</v>
      </c>
      <c r="R11" s="19">
        <v>1.069429</v>
      </c>
      <c r="S11" s="19">
        <v>1.5048999999999999</v>
      </c>
      <c r="T11" s="19">
        <v>1.069429</v>
      </c>
      <c r="U11" s="19">
        <v>0.83340000000000003</v>
      </c>
      <c r="V11" s="19">
        <v>0.43869999999999998</v>
      </c>
      <c r="W11" s="19">
        <v>0.27</v>
      </c>
      <c r="X11" s="19">
        <v>0.43869999999999998</v>
      </c>
      <c r="Y11" s="19">
        <v>0.27</v>
      </c>
      <c r="Z11" s="4"/>
      <c r="AA11" s="4"/>
      <c r="AB11" s="4" t="e">
        <f ca="1">_xll.ciqfunctions.udf.CIQ("^SPX", "IQ_PRICEDATE", "1/7/2014")</f>
        <v>#NAME?</v>
      </c>
      <c r="AC11" s="16">
        <v>1837.8771502604</v>
      </c>
    </row>
    <row r="12" spans="1:29" x14ac:dyDescent="0.35">
      <c r="A12" s="2" t="s">
        <v>22</v>
      </c>
      <c r="B12" s="4" t="s">
        <v>542</v>
      </c>
      <c r="C12" s="4" t="s">
        <v>543</v>
      </c>
      <c r="D12" s="4" t="s">
        <v>544</v>
      </c>
      <c r="E12" s="4" t="s">
        <v>545</v>
      </c>
      <c r="F12" s="4" t="s">
        <v>546</v>
      </c>
      <c r="G12" s="14">
        <v>158.9</v>
      </c>
      <c r="H12" s="10">
        <v>14.352510000000001</v>
      </c>
      <c r="I12" s="10">
        <v>25.060727</v>
      </c>
      <c r="J12" s="10">
        <v>20.432095</v>
      </c>
      <c r="K12" s="15">
        <v>1.8376E-2</v>
      </c>
      <c r="L12" s="17">
        <v>101814.86975300001</v>
      </c>
      <c r="M12" s="4" t="s">
        <v>547</v>
      </c>
      <c r="N12" s="19">
        <v>6.340598</v>
      </c>
      <c r="O12" s="19">
        <v>7.2157799999999996</v>
      </c>
      <c r="P12" s="19">
        <v>5.6416959999999996</v>
      </c>
      <c r="Q12" s="19">
        <v>6.7298</v>
      </c>
      <c r="R12" s="19">
        <v>6.7577980000000002</v>
      </c>
      <c r="S12" s="19">
        <v>5.9042000000000003</v>
      </c>
      <c r="T12" s="19">
        <v>6.7577980000000002</v>
      </c>
      <c r="U12" s="19">
        <v>5.3948</v>
      </c>
      <c r="V12" s="19">
        <v>4.6630919999999998</v>
      </c>
      <c r="W12" s="19">
        <v>4.8414000000000001</v>
      </c>
      <c r="X12" s="19">
        <v>4.6630919999999998</v>
      </c>
      <c r="Y12" s="19">
        <v>4.8414000000000001</v>
      </c>
      <c r="Z12" s="4"/>
      <c r="AA12" s="4"/>
      <c r="AB12" s="4" t="e">
        <f ca="1">_xll.ciqfunctions.udf.CIQ("^SPX", "IQ_PRICEDATE", "1/8/2014")</f>
        <v>#NAME?</v>
      </c>
      <c r="AC12" s="16">
        <v>1837.4946026504999</v>
      </c>
    </row>
    <row r="13" spans="1:29" x14ac:dyDescent="0.35">
      <c r="A13" s="2" t="s">
        <v>23</v>
      </c>
      <c r="B13" s="4" t="s">
        <v>548</v>
      </c>
      <c r="C13" s="4" t="s">
        <v>549</v>
      </c>
      <c r="D13" s="4" t="s">
        <v>550</v>
      </c>
      <c r="E13" s="4" t="s">
        <v>551</v>
      </c>
      <c r="F13" s="4" t="s">
        <v>552</v>
      </c>
      <c r="G13" s="14">
        <v>78.3</v>
      </c>
      <c r="H13" s="10">
        <v>26.368684999999999</v>
      </c>
      <c r="I13" s="10">
        <v>119.25867700000001</v>
      </c>
      <c r="J13" s="10" t="s">
        <v>534</v>
      </c>
      <c r="K13" s="15">
        <v>4.3419999999999995E-3</v>
      </c>
      <c r="L13" s="17">
        <v>59696.592362000003</v>
      </c>
      <c r="M13" s="4" t="s">
        <v>553</v>
      </c>
      <c r="N13" s="19">
        <v>0.65655600000000003</v>
      </c>
      <c r="O13" s="19">
        <v>2.8862999999999999</v>
      </c>
      <c r="P13" s="19">
        <v>0.36</v>
      </c>
      <c r="Q13" s="19">
        <v>2.3892000000000002</v>
      </c>
      <c r="R13" s="19">
        <v>1.28</v>
      </c>
      <c r="S13" s="19">
        <v>1.9939</v>
      </c>
      <c r="T13" s="19">
        <v>1.28</v>
      </c>
      <c r="U13" s="19">
        <v>1.4822</v>
      </c>
      <c r="V13" s="19">
        <v>1.1299999999999999</v>
      </c>
      <c r="W13" s="19">
        <v>1.3381000000000001</v>
      </c>
      <c r="X13" s="19">
        <v>1.1299999999999999</v>
      </c>
      <c r="Y13" s="19">
        <v>1.3381000000000001</v>
      </c>
      <c r="Z13" s="4"/>
      <c r="AA13" s="4"/>
      <c r="AB13" s="4" t="e">
        <f ca="1">_xll.ciqfunctions.udf.CIQ("^SPX", "IQ_PRICEDATE", "1/9/2014")</f>
        <v>#NAME?</v>
      </c>
      <c r="AC13" s="16">
        <v>1838.1253009133</v>
      </c>
    </row>
    <row r="14" spans="1:29" x14ac:dyDescent="0.35">
      <c r="A14" s="2" t="s">
        <v>24</v>
      </c>
      <c r="B14" s="4" t="s">
        <v>554</v>
      </c>
      <c r="C14" s="4" t="s">
        <v>543</v>
      </c>
      <c r="D14" s="4" t="s">
        <v>544</v>
      </c>
      <c r="E14" s="4" t="s">
        <v>555</v>
      </c>
      <c r="F14" s="4" t="s">
        <v>556</v>
      </c>
      <c r="G14" s="14">
        <v>258.91000000000003</v>
      </c>
      <c r="H14" s="10">
        <v>39.908220999999998</v>
      </c>
      <c r="I14" s="10">
        <v>53.507344000000003</v>
      </c>
      <c r="J14" s="10">
        <v>119.940592</v>
      </c>
      <c r="K14" s="15">
        <v>0</v>
      </c>
      <c r="L14" s="17">
        <v>126382.651476</v>
      </c>
      <c r="M14" s="4" t="s">
        <v>557</v>
      </c>
      <c r="N14" s="19">
        <v>4.838775</v>
      </c>
      <c r="O14" s="19">
        <v>7.5877999999999997</v>
      </c>
      <c r="P14" s="19">
        <v>3.38</v>
      </c>
      <c r="Q14" s="19">
        <v>5.5664100000000003</v>
      </c>
      <c r="R14" s="19">
        <v>2.3199999999999998</v>
      </c>
      <c r="S14" s="19">
        <v>3.8252299999999999</v>
      </c>
      <c r="T14" s="19">
        <v>2.3199999999999998</v>
      </c>
      <c r="U14" s="19">
        <v>2.7635700000000001</v>
      </c>
      <c r="V14" s="19">
        <v>0.53</v>
      </c>
      <c r="W14" s="19">
        <v>2.1261000000000001</v>
      </c>
      <c r="X14" s="19">
        <v>0.53</v>
      </c>
      <c r="Y14" s="19">
        <v>2.1261000000000001</v>
      </c>
      <c r="Z14" s="4"/>
      <c r="AA14" s="4"/>
      <c r="AB14" s="4" t="e">
        <f ca="1">_xll.ciqfunctions.udf.CIQ("^SPX", "IQ_PRICEDATE", "1/10/2014")</f>
        <v>#NAME?</v>
      </c>
      <c r="AC14" s="16">
        <v>1842.3721870462</v>
      </c>
    </row>
    <row r="15" spans="1:29" x14ac:dyDescent="0.35">
      <c r="A15" s="2" t="s">
        <v>25</v>
      </c>
      <c r="B15" s="4" t="s">
        <v>558</v>
      </c>
      <c r="C15" s="4" t="s">
        <v>559</v>
      </c>
      <c r="D15" s="4" t="s">
        <v>560</v>
      </c>
      <c r="E15" s="4" t="s">
        <v>561</v>
      </c>
      <c r="F15" s="4" t="s">
        <v>562</v>
      </c>
      <c r="G15" s="14">
        <v>159.58000000000001</v>
      </c>
      <c r="H15" s="10">
        <v>12.834377999999999</v>
      </c>
      <c r="I15" s="10">
        <v>22.104013999999999</v>
      </c>
      <c r="J15" s="10">
        <v>5.6433559999999998</v>
      </c>
      <c r="K15" s="15">
        <v>1.503E-3</v>
      </c>
      <c r="L15" s="17">
        <v>11821.686400000001</v>
      </c>
      <c r="M15" s="4" t="s">
        <v>563</v>
      </c>
      <c r="N15" s="19">
        <v>7.2195029999999996</v>
      </c>
      <c r="O15" s="19">
        <v>7.5393999999999997</v>
      </c>
      <c r="P15" s="19">
        <v>6.42</v>
      </c>
      <c r="Q15" s="19">
        <v>5.6608000000000001</v>
      </c>
      <c r="R15" s="19">
        <v>6.2</v>
      </c>
      <c r="S15" s="19">
        <v>7.5974000000000004</v>
      </c>
      <c r="T15" s="19">
        <v>6.2</v>
      </c>
      <c r="U15" s="19">
        <v>8.8721999999999994</v>
      </c>
      <c r="V15" s="19">
        <v>6.229724</v>
      </c>
      <c r="W15" s="19">
        <v>8.5260999999999996</v>
      </c>
      <c r="X15" s="19">
        <v>6.229724</v>
      </c>
      <c r="Y15" s="19">
        <v>8.5260999999999996</v>
      </c>
      <c r="Z15" s="4"/>
      <c r="AA15" s="4"/>
      <c r="AB15" s="4" t="e">
        <f ca="1">_xll.ciqfunctions.udf.CIQ("^SPX", "IQ_PRICEDATE", "1/13/2014")</f>
        <v>#NAME?</v>
      </c>
      <c r="AC15" s="16">
        <v>1819.2026637956001</v>
      </c>
    </row>
    <row r="16" spans="1:29" x14ac:dyDescent="0.35">
      <c r="A16" s="2" t="s">
        <v>26</v>
      </c>
      <c r="B16" s="4" t="s">
        <v>564</v>
      </c>
      <c r="C16" s="4" t="s">
        <v>543</v>
      </c>
      <c r="D16" s="4" t="s">
        <v>565</v>
      </c>
      <c r="E16" s="4" t="s">
        <v>565</v>
      </c>
      <c r="F16" s="4" t="s">
        <v>566</v>
      </c>
      <c r="G16" s="14">
        <v>27.3</v>
      </c>
      <c r="H16" s="10">
        <v>43.307718999999999</v>
      </c>
      <c r="I16" s="10">
        <v>94.396381000000005</v>
      </c>
      <c r="J16" s="10">
        <v>89.320476999999997</v>
      </c>
      <c r="K16" s="15">
        <v>0</v>
      </c>
      <c r="L16" s="17">
        <v>26614.016766000001</v>
      </c>
      <c r="M16" s="4" t="s">
        <v>567</v>
      </c>
      <c r="N16" s="19">
        <v>0.28920600000000002</v>
      </c>
      <c r="O16" s="19">
        <v>0.51690000000000003</v>
      </c>
      <c r="P16" s="19">
        <v>0.04</v>
      </c>
      <c r="Q16" s="19">
        <v>0.28760000000000002</v>
      </c>
      <c r="R16" s="19">
        <v>-0.6</v>
      </c>
      <c r="S16" s="19">
        <v>6.4000000000000003E-3</v>
      </c>
      <c r="T16" s="19">
        <v>-0.6</v>
      </c>
      <c r="U16" s="19">
        <v>-0.36670000000000003</v>
      </c>
      <c r="V16" s="19">
        <v>-0.53</v>
      </c>
      <c r="W16" s="19">
        <v>6.59E-2</v>
      </c>
      <c r="X16" s="19">
        <v>-0.53</v>
      </c>
      <c r="Y16" s="19">
        <v>6.59E-2</v>
      </c>
      <c r="Z16" s="4"/>
      <c r="AA16" s="4"/>
      <c r="AB16" s="4" t="e">
        <f ca="1">_xll.ciqfunctions.udf.CIQ("^SPX", "IQ_PRICEDATE", "1/14/2014")</f>
        <v>#NAME?</v>
      </c>
      <c r="AC16" s="16">
        <v>1838.8825956266001</v>
      </c>
    </row>
    <row r="17" spans="1:29" x14ac:dyDescent="0.35">
      <c r="A17" s="2" t="s">
        <v>27</v>
      </c>
      <c r="B17" s="4" t="s">
        <v>568</v>
      </c>
      <c r="C17" s="4" t="s">
        <v>530</v>
      </c>
      <c r="D17" s="4" t="s">
        <v>531</v>
      </c>
      <c r="E17" s="4" t="s">
        <v>569</v>
      </c>
      <c r="F17" s="4" t="s">
        <v>570</v>
      </c>
      <c r="G17" s="14">
        <v>201.29</v>
      </c>
      <c r="H17" s="10">
        <v>10.971513</v>
      </c>
      <c r="I17" s="10">
        <v>18.976153</v>
      </c>
      <c r="J17" s="10">
        <v>11.517362</v>
      </c>
      <c r="K17" s="15">
        <v>9.9350000000000011E-3</v>
      </c>
      <c r="L17" s="17">
        <v>65902.346000000005</v>
      </c>
      <c r="M17" s="4" t="s">
        <v>571</v>
      </c>
      <c r="N17" s="19">
        <v>10.607524</v>
      </c>
      <c r="O17" s="19">
        <v>11.4535</v>
      </c>
      <c r="P17" s="19">
        <v>5.68</v>
      </c>
      <c r="Q17" s="19">
        <v>9.3135999999999992</v>
      </c>
      <c r="R17" s="19">
        <v>6.41</v>
      </c>
      <c r="S17" s="19">
        <v>8.4269999999999996</v>
      </c>
      <c r="T17" s="19">
        <v>6.41</v>
      </c>
      <c r="U17" s="19">
        <v>7.7839999999999998</v>
      </c>
      <c r="V17" s="19">
        <v>5.68</v>
      </c>
      <c r="W17" s="19">
        <v>6.8905000000000003</v>
      </c>
      <c r="X17" s="19">
        <v>5.68</v>
      </c>
      <c r="Y17" s="19">
        <v>6.8905000000000003</v>
      </c>
      <c r="Z17" s="4"/>
      <c r="AA17" s="4"/>
      <c r="AB17" s="4" t="e">
        <f ca="1">_xll.ciqfunctions.udf.CIQ("^SPX", "IQ_PRICEDATE", "1/15/2014")</f>
        <v>#NAME?</v>
      </c>
      <c r="AC17" s="16">
        <v>1848.3784960119001</v>
      </c>
    </row>
    <row r="18" spans="1:29" x14ac:dyDescent="0.35">
      <c r="A18" s="2" t="s">
        <v>28</v>
      </c>
      <c r="B18" s="4" t="s">
        <v>572</v>
      </c>
      <c r="C18" s="4" t="s">
        <v>573</v>
      </c>
      <c r="D18" s="4" t="s">
        <v>574</v>
      </c>
      <c r="E18" s="4" t="s">
        <v>575</v>
      </c>
      <c r="F18" s="4" t="s">
        <v>576</v>
      </c>
      <c r="G18" s="14">
        <v>127.3</v>
      </c>
      <c r="H18" s="10">
        <v>8.0659589999999994</v>
      </c>
      <c r="I18" s="10">
        <v>10.055982999999999</v>
      </c>
      <c r="J18" s="10" t="s">
        <v>534</v>
      </c>
      <c r="K18" s="15">
        <v>9.4260000000000004E-3</v>
      </c>
      <c r="L18" s="17">
        <v>6801.8869800000002</v>
      </c>
      <c r="M18" s="4" t="s">
        <v>577</v>
      </c>
      <c r="N18" s="19">
        <v>12.659129999999999</v>
      </c>
      <c r="O18" s="19">
        <v>15.7136</v>
      </c>
      <c r="P18" s="19">
        <v>12.030716</v>
      </c>
      <c r="Q18" s="19">
        <v>15.8079</v>
      </c>
      <c r="R18" s="19">
        <v>8.5666659999999997</v>
      </c>
      <c r="S18" s="19">
        <v>13.959</v>
      </c>
      <c r="T18" s="19">
        <v>8.5666659999999997</v>
      </c>
      <c r="U18" s="19">
        <v>13.321099999999999</v>
      </c>
      <c r="V18" s="19">
        <v>7.6900680000000001</v>
      </c>
      <c r="W18" s="19">
        <v>12.5372</v>
      </c>
      <c r="X18" s="19">
        <v>7.6900680000000001</v>
      </c>
      <c r="Y18" s="19">
        <v>12.5372</v>
      </c>
      <c r="Z18" s="4"/>
      <c r="AA18" s="4"/>
      <c r="AB18" s="4" t="e">
        <f ca="1">_xll.ciqfunctions.udf.CIQ("^SPX", "IQ_PRICEDATE", "1/16/2014")</f>
        <v>#NAME?</v>
      </c>
      <c r="AC18" s="16">
        <v>1845.8910317350999</v>
      </c>
    </row>
    <row r="19" spans="1:29" x14ac:dyDescent="0.35">
      <c r="A19" s="2" t="s">
        <v>29</v>
      </c>
      <c r="B19" s="4" t="s">
        <v>578</v>
      </c>
      <c r="C19" s="4" t="s">
        <v>573</v>
      </c>
      <c r="D19" s="4" t="s">
        <v>579</v>
      </c>
      <c r="E19" s="4" t="s">
        <v>579</v>
      </c>
      <c r="F19" s="4" t="s">
        <v>580</v>
      </c>
      <c r="G19" s="14">
        <v>44.72</v>
      </c>
      <c r="H19" s="10">
        <v>8.5708760000000002</v>
      </c>
      <c r="I19" s="10">
        <v>7.2554119999999998</v>
      </c>
      <c r="J19" s="10">
        <v>1.4454549999999999</v>
      </c>
      <c r="K19" s="15">
        <v>2.3254999999999998E-2</v>
      </c>
      <c r="L19" s="17">
        <v>34336.027538000002</v>
      </c>
      <c r="M19" s="4" t="s">
        <v>581</v>
      </c>
      <c r="N19" s="19">
        <v>6.1636740000000003</v>
      </c>
      <c r="O19" s="19">
        <v>4.0414000000000003</v>
      </c>
      <c r="P19" s="19">
        <v>5.77</v>
      </c>
      <c r="Q19" s="19">
        <v>3.3582000000000001</v>
      </c>
      <c r="R19" s="19">
        <v>3.21</v>
      </c>
      <c r="S19" s="19">
        <v>3.2810999999999999</v>
      </c>
      <c r="T19" s="19">
        <v>3.21</v>
      </c>
      <c r="U19" s="19">
        <v>3.1200999999999999</v>
      </c>
      <c r="V19" s="19">
        <v>3.25</v>
      </c>
      <c r="W19" s="19">
        <v>3.0108000000000001</v>
      </c>
      <c r="X19" s="19">
        <v>3.25</v>
      </c>
      <c r="Y19" s="19">
        <v>3.0108000000000001</v>
      </c>
      <c r="Z19" s="4"/>
      <c r="AA19" s="4"/>
      <c r="AB19" s="4" t="e">
        <f ca="1">_xll.ciqfunctions.udf.CIQ("^SPX", "IQ_PRICEDATE", "1/17/2014")</f>
        <v>#NAME?</v>
      </c>
      <c r="AC19" s="16">
        <v>1838.6994866672001</v>
      </c>
    </row>
    <row r="20" spans="1:29" x14ac:dyDescent="0.35">
      <c r="A20" s="2" t="s">
        <v>30</v>
      </c>
      <c r="B20" s="4" t="s">
        <v>582</v>
      </c>
      <c r="C20" s="4" t="s">
        <v>530</v>
      </c>
      <c r="D20" s="4" t="s">
        <v>537</v>
      </c>
      <c r="E20" s="4" t="s">
        <v>583</v>
      </c>
      <c r="F20" s="4" t="s">
        <v>583</v>
      </c>
      <c r="G20" s="14">
        <v>67.2</v>
      </c>
      <c r="H20" s="10">
        <v>18.043894999999999</v>
      </c>
      <c r="I20" s="10">
        <v>73.628907999999996</v>
      </c>
      <c r="J20" s="10">
        <v>19.208604999999999</v>
      </c>
      <c r="K20" s="15">
        <v>8.8690000000000001E-3</v>
      </c>
      <c r="L20" s="17">
        <v>21421.313558000002</v>
      </c>
      <c r="M20" s="4" t="s">
        <v>584</v>
      </c>
      <c r="N20" s="19">
        <v>0.91268499999999997</v>
      </c>
      <c r="O20" s="19">
        <v>2.9154</v>
      </c>
      <c r="P20" s="19">
        <v>2.1</v>
      </c>
      <c r="Q20" s="19">
        <v>2.5831</v>
      </c>
      <c r="R20" s="19">
        <v>1.4</v>
      </c>
      <c r="S20" s="19">
        <v>2.1518000000000002</v>
      </c>
      <c r="T20" s="19">
        <v>1.4</v>
      </c>
      <c r="U20" s="19">
        <v>1.8944000000000001</v>
      </c>
      <c r="V20" s="19">
        <v>0.69</v>
      </c>
      <c r="W20" s="19">
        <v>1.73434</v>
      </c>
      <c r="X20" s="19">
        <v>0.69</v>
      </c>
      <c r="Y20" s="19">
        <v>1.73434</v>
      </c>
      <c r="Z20" s="4"/>
      <c r="AA20" s="4"/>
      <c r="AB20" s="4" t="e">
        <f ca="1">_xll.ciqfunctions.udf.CIQ("^SPX", "IQ_PRICEDATE", "1/21/2014")</f>
        <v>#NAME?</v>
      </c>
      <c r="AC20" s="16">
        <v>1843.8044457285</v>
      </c>
    </row>
    <row r="21" spans="1:29" x14ac:dyDescent="0.35">
      <c r="A21" s="2" t="s">
        <v>31</v>
      </c>
      <c r="B21" s="4" t="s">
        <v>585</v>
      </c>
      <c r="C21" s="4" t="s">
        <v>586</v>
      </c>
      <c r="D21" s="4" t="s">
        <v>586</v>
      </c>
      <c r="E21" s="4" t="s">
        <v>587</v>
      </c>
      <c r="F21" s="4" t="s">
        <v>588</v>
      </c>
      <c r="G21" s="14">
        <v>159.47999999999999</v>
      </c>
      <c r="H21" s="10">
        <v>12.168284</v>
      </c>
      <c r="I21" s="10">
        <v>23.810020999999999</v>
      </c>
      <c r="J21" s="10">
        <v>3.783398</v>
      </c>
      <c r="K21" s="15">
        <v>2.7589000000000002E-2</v>
      </c>
      <c r="L21" s="17">
        <v>34969.577662000003</v>
      </c>
      <c r="M21" s="4" t="s">
        <v>589</v>
      </c>
      <c r="N21" s="19">
        <v>6.6980199999999996</v>
      </c>
      <c r="O21" s="19">
        <v>7.9725000000000001</v>
      </c>
      <c r="P21" s="19">
        <v>4.708685</v>
      </c>
      <c r="Q21" s="19">
        <v>7.02379</v>
      </c>
      <c r="R21" s="19">
        <v>4.8997820000000001</v>
      </c>
      <c r="S21" s="19">
        <v>6.4468800000000002</v>
      </c>
      <c r="T21" s="19">
        <v>4.8997820000000001</v>
      </c>
      <c r="U21" s="19">
        <v>7.3868499999999999</v>
      </c>
      <c r="V21" s="19">
        <v>4.7526630000000001</v>
      </c>
      <c r="W21" s="19">
        <v>6.47464</v>
      </c>
      <c r="X21" s="19">
        <v>4.7526630000000001</v>
      </c>
      <c r="Y21" s="19">
        <v>6.47464</v>
      </c>
      <c r="Z21" s="4"/>
      <c r="AA21" s="4"/>
      <c r="AB21" s="4" t="e">
        <f ca="1">_xll.ciqfunctions.udf.CIQ("^SPX", "IQ_PRICEDATE", "1/22/2014")</f>
        <v>#NAME?</v>
      </c>
      <c r="AC21" s="16">
        <v>1844.8559052889</v>
      </c>
    </row>
    <row r="22" spans="1:29" x14ac:dyDescent="0.35">
      <c r="A22" s="2" t="s">
        <v>32</v>
      </c>
      <c r="B22" s="4" t="s">
        <v>590</v>
      </c>
      <c r="C22" s="4" t="s">
        <v>543</v>
      </c>
      <c r="D22" s="4" t="s">
        <v>544</v>
      </c>
      <c r="E22" s="4" t="s">
        <v>545</v>
      </c>
      <c r="F22" s="4" t="s">
        <v>591</v>
      </c>
      <c r="G22" s="14">
        <v>65.69</v>
      </c>
      <c r="H22" s="10">
        <v>16.105796000000002</v>
      </c>
      <c r="I22" s="10">
        <v>61.511983000000001</v>
      </c>
      <c r="J22" s="10">
        <v>6.2977559999999997</v>
      </c>
      <c r="K22" s="15">
        <v>0</v>
      </c>
      <c r="L22" s="17">
        <v>11134.759013000001</v>
      </c>
      <c r="M22" s="4" t="s">
        <v>592</v>
      </c>
      <c r="N22" s="19">
        <v>1.067922</v>
      </c>
      <c r="O22" s="19">
        <v>3.5804</v>
      </c>
      <c r="P22" s="19">
        <v>1.26</v>
      </c>
      <c r="Q22" s="19">
        <v>2.5524</v>
      </c>
      <c r="R22" s="19">
        <v>1.79</v>
      </c>
      <c r="S22" s="19">
        <v>2.7942999999999998</v>
      </c>
      <c r="T22" s="19">
        <v>1.79</v>
      </c>
      <c r="U22" s="19">
        <v>2.5880999999999998</v>
      </c>
      <c r="V22" s="19">
        <v>1.84</v>
      </c>
      <c r="W22" s="19">
        <v>2.6307</v>
      </c>
      <c r="X22" s="19">
        <v>1.84</v>
      </c>
      <c r="Y22" s="19">
        <v>2.6307</v>
      </c>
      <c r="Z22" s="4"/>
      <c r="AA22" s="4"/>
      <c r="AB22" s="4" t="e">
        <f ca="1">_xll.ciqfunctions.udf.CIQ("^SPX", "IQ_PRICEDATE", "1/23/2014")</f>
        <v>#NAME?</v>
      </c>
      <c r="AC22" s="16">
        <v>1828.4642100517999</v>
      </c>
    </row>
    <row r="23" spans="1:29" x14ac:dyDescent="0.35">
      <c r="A23" s="2" t="s">
        <v>33</v>
      </c>
      <c r="B23" s="4" t="s">
        <v>593</v>
      </c>
      <c r="C23" s="4" t="s">
        <v>525</v>
      </c>
      <c r="D23" s="4" t="s">
        <v>594</v>
      </c>
      <c r="E23" s="4" t="s">
        <v>595</v>
      </c>
      <c r="F23" s="4" t="s">
        <v>595</v>
      </c>
      <c r="G23" s="14">
        <v>64.489999999999995</v>
      </c>
      <c r="H23" s="10">
        <v>6.3517780000000004</v>
      </c>
      <c r="I23" s="10">
        <v>9.4285270000000008</v>
      </c>
      <c r="J23" s="10">
        <v>5.2272410000000002</v>
      </c>
      <c r="K23" s="15">
        <v>1.9847999999999998E-2</v>
      </c>
      <c r="L23" s="17">
        <v>7957.9370200000003</v>
      </c>
      <c r="M23" s="4" t="s">
        <v>596</v>
      </c>
      <c r="N23" s="19">
        <v>6.83988</v>
      </c>
      <c r="O23" s="19">
        <v>4.9287000000000001</v>
      </c>
      <c r="P23" s="19">
        <v>8.35</v>
      </c>
      <c r="Q23" s="19">
        <v>5.9124999999999996</v>
      </c>
      <c r="R23" s="19">
        <v>6.54</v>
      </c>
      <c r="S23" s="19">
        <v>7.1219999999999999</v>
      </c>
      <c r="T23" s="19">
        <v>6.54</v>
      </c>
      <c r="U23" s="19">
        <v>7.1466000000000003</v>
      </c>
      <c r="V23" s="19">
        <v>4.42</v>
      </c>
      <c r="W23" s="19">
        <v>5.0696000000000003</v>
      </c>
      <c r="X23" s="19">
        <v>4.42</v>
      </c>
      <c r="Y23" s="19">
        <v>5.0696000000000003</v>
      </c>
      <c r="Z23" s="4"/>
      <c r="AA23" s="4"/>
      <c r="AB23" s="4" t="e">
        <f ca="1">_xll.ciqfunctions.udf.CIQ("^SPX", "IQ_PRICEDATE", "1/24/2014")</f>
        <v>#NAME?</v>
      </c>
      <c r="AC23" s="16">
        <v>1790.2854774268999</v>
      </c>
    </row>
    <row r="24" spans="1:29" x14ac:dyDescent="0.35">
      <c r="A24" s="2" t="s">
        <v>34</v>
      </c>
      <c r="B24" s="4" t="s">
        <v>597</v>
      </c>
      <c r="C24" s="4" t="s">
        <v>586</v>
      </c>
      <c r="D24" s="4" t="s">
        <v>586</v>
      </c>
      <c r="E24" s="4" t="s">
        <v>587</v>
      </c>
      <c r="F24" s="4" t="s">
        <v>598</v>
      </c>
      <c r="G24" s="14">
        <v>96.32</v>
      </c>
      <c r="H24" s="10">
        <v>11.009551</v>
      </c>
      <c r="I24" s="10">
        <v>32.144286000000001</v>
      </c>
      <c r="J24" s="10">
        <v>6.1348890000000003</v>
      </c>
      <c r="K24" s="15">
        <v>1.3911E-2</v>
      </c>
      <c r="L24" s="17">
        <v>10445.881171999999</v>
      </c>
      <c r="M24" s="4" t="s">
        <v>599</v>
      </c>
      <c r="N24" s="19">
        <v>2.996489</v>
      </c>
      <c r="O24" s="19">
        <v>5.8300999999999998</v>
      </c>
      <c r="P24" s="19">
        <v>0.49</v>
      </c>
      <c r="Q24" s="19">
        <v>4.9772999999999996</v>
      </c>
      <c r="R24" s="19">
        <v>3.9</v>
      </c>
      <c r="S24" s="19">
        <v>3.6690999999999998</v>
      </c>
      <c r="T24" s="19">
        <v>3.9</v>
      </c>
      <c r="U24" s="19">
        <v>3.7957000000000001</v>
      </c>
      <c r="V24" s="19">
        <v>2.57</v>
      </c>
      <c r="W24" s="19">
        <v>4.4009</v>
      </c>
      <c r="X24" s="19">
        <v>2.57</v>
      </c>
      <c r="Y24" s="19">
        <v>4.4009</v>
      </c>
      <c r="Z24" s="4"/>
      <c r="AA24" s="4"/>
      <c r="AB24" s="4" t="e">
        <f ca="1">_xll.ciqfunctions.udf.CIQ("^SPX", "IQ_PRICEDATE", "1/27/2014")</f>
        <v>#NAME?</v>
      </c>
      <c r="AC24" s="16">
        <v>1781.5598990844001</v>
      </c>
    </row>
    <row r="25" spans="1:29" x14ac:dyDescent="0.35">
      <c r="A25" s="2" t="s">
        <v>35</v>
      </c>
      <c r="B25" s="4" t="s">
        <v>600</v>
      </c>
      <c r="C25" s="4" t="s">
        <v>601</v>
      </c>
      <c r="D25" s="4" t="s">
        <v>601</v>
      </c>
      <c r="E25" s="4" t="s">
        <v>602</v>
      </c>
      <c r="F25" s="4" t="s">
        <v>603</v>
      </c>
      <c r="G25" s="14">
        <v>122.57</v>
      </c>
      <c r="H25" s="10">
        <v>24.392128</v>
      </c>
      <c r="I25" s="10">
        <v>43.903275000000001</v>
      </c>
      <c r="J25" s="10">
        <v>2.0320589999999998</v>
      </c>
      <c r="K25" s="15">
        <v>3.0350000000000002E-2</v>
      </c>
      <c r="L25" s="17">
        <v>12962.680963000001</v>
      </c>
      <c r="M25" s="4" t="s">
        <v>604</v>
      </c>
      <c r="N25" s="19">
        <v>2.7918189999999998</v>
      </c>
      <c r="O25" s="19">
        <v>2.3774999999999999</v>
      </c>
      <c r="P25" s="19">
        <v>1.5799989999999999</v>
      </c>
      <c r="Q25" s="19">
        <v>1.9208000000000001</v>
      </c>
      <c r="R25" s="19">
        <v>-1.99</v>
      </c>
      <c r="S25" s="19">
        <v>1.8141</v>
      </c>
      <c r="T25" s="19">
        <v>-1.99</v>
      </c>
      <c r="U25" s="19">
        <v>1.9378</v>
      </c>
      <c r="V25" s="19">
        <v>0.98999899999999996</v>
      </c>
      <c r="W25" s="19">
        <v>1.6573</v>
      </c>
      <c r="X25" s="19">
        <v>0.98999899999999996</v>
      </c>
      <c r="Y25" s="19">
        <v>1.6573</v>
      </c>
      <c r="Z25" s="4"/>
      <c r="AA25" s="4"/>
      <c r="AB25" s="4" t="e">
        <f ca="1">_xll.ciqfunctions.udf.CIQ("^SPX", "IQ_PRICEDATE", "1/28/2014")</f>
        <v>#NAME?</v>
      </c>
      <c r="AC25" s="16">
        <v>1792.4964343403001</v>
      </c>
    </row>
    <row r="26" spans="1:29" x14ac:dyDescent="0.35">
      <c r="A26" s="2" t="s">
        <v>36</v>
      </c>
      <c r="B26" s="4" t="s">
        <v>605</v>
      </c>
      <c r="C26" s="4" t="s">
        <v>530</v>
      </c>
      <c r="D26" s="4" t="s">
        <v>537</v>
      </c>
      <c r="E26" s="4" t="s">
        <v>538</v>
      </c>
      <c r="F26" s="4" t="s">
        <v>538</v>
      </c>
      <c r="G26" s="14">
        <v>128.94</v>
      </c>
      <c r="H26" s="10">
        <v>18.010165000000001</v>
      </c>
      <c r="I26" s="10" t="s">
        <v>534</v>
      </c>
      <c r="J26" s="10" t="s">
        <v>534</v>
      </c>
      <c r="K26" s="15">
        <v>0</v>
      </c>
      <c r="L26" s="17">
        <v>28735.458543000001</v>
      </c>
      <c r="M26" s="4" t="s">
        <v>606</v>
      </c>
      <c r="N26" s="19">
        <v>-0.454295</v>
      </c>
      <c r="O26" s="19">
        <v>7.6116999999999999</v>
      </c>
      <c r="P26" s="19">
        <v>1.97</v>
      </c>
      <c r="Q26" s="19">
        <v>6.35</v>
      </c>
      <c r="R26" s="19">
        <v>1.76</v>
      </c>
      <c r="S26" s="19">
        <v>5.4255000000000004</v>
      </c>
      <c r="T26" s="19">
        <v>1.76</v>
      </c>
      <c r="U26" s="19">
        <v>4.9871999999999996</v>
      </c>
      <c r="V26" s="19">
        <v>3.26</v>
      </c>
      <c r="W26" s="19">
        <v>5.4734999999999996</v>
      </c>
      <c r="X26" s="19">
        <v>3.26</v>
      </c>
      <c r="Y26" s="19">
        <v>5.4734999999999996</v>
      </c>
      <c r="Z26" s="4"/>
      <c r="AA26" s="4"/>
      <c r="AB26" s="4" t="e">
        <f ca="1">_xll.ciqfunctions.udf.CIQ("^SPX", "IQ_PRICEDATE", "1/29/2014")</f>
        <v>#NAME?</v>
      </c>
      <c r="AC26" s="16">
        <v>1774.202749994</v>
      </c>
    </row>
    <row r="27" spans="1:29" x14ac:dyDescent="0.35">
      <c r="A27" s="2" t="s">
        <v>37</v>
      </c>
      <c r="B27" s="4" t="s">
        <v>607</v>
      </c>
      <c r="C27" s="4" t="s">
        <v>530</v>
      </c>
      <c r="D27" s="4" t="s">
        <v>531</v>
      </c>
      <c r="E27" s="4" t="s">
        <v>532</v>
      </c>
      <c r="F27" s="4" t="s">
        <v>608</v>
      </c>
      <c r="G27" s="14">
        <v>332.83</v>
      </c>
      <c r="H27" s="10">
        <v>55.485967000000002</v>
      </c>
      <c r="I27" s="10">
        <v>92.256270999999998</v>
      </c>
      <c r="J27" s="10">
        <v>23.579172</v>
      </c>
      <c r="K27" s="15">
        <v>0</v>
      </c>
      <c r="L27" s="17">
        <v>26732.932892000001</v>
      </c>
      <c r="M27" s="4" t="s">
        <v>609</v>
      </c>
      <c r="N27" s="19">
        <v>3.6076679999999999</v>
      </c>
      <c r="O27" s="19">
        <v>5.3796999999999997</v>
      </c>
      <c r="P27" s="19">
        <v>2.83</v>
      </c>
      <c r="Q27" s="19">
        <v>4.1074000000000002</v>
      </c>
      <c r="R27" s="19">
        <v>2.33</v>
      </c>
      <c r="S27" s="19">
        <v>2.8119999999999998</v>
      </c>
      <c r="T27" s="19">
        <v>2.33</v>
      </c>
      <c r="U27" s="19">
        <v>2.1110000000000002</v>
      </c>
      <c r="V27" s="19">
        <v>1.77</v>
      </c>
      <c r="W27" s="19">
        <v>2.0026000000000002</v>
      </c>
      <c r="X27" s="19">
        <v>1.77</v>
      </c>
      <c r="Y27" s="19">
        <v>2.0026000000000002</v>
      </c>
      <c r="Z27" s="4"/>
      <c r="AA27" s="4"/>
      <c r="AB27" s="4" t="e">
        <f ca="1">_xll.ciqfunctions.udf.CIQ("^SPX", "IQ_PRICEDATE", "1/30/2014")</f>
        <v>#NAME?</v>
      </c>
      <c r="AC27" s="16">
        <v>1794.1901899019001</v>
      </c>
    </row>
    <row r="28" spans="1:29" x14ac:dyDescent="0.35">
      <c r="A28" s="2" t="s">
        <v>38</v>
      </c>
      <c r="B28" s="4" t="s">
        <v>610</v>
      </c>
      <c r="C28" s="4" t="s">
        <v>525</v>
      </c>
      <c r="D28" s="4" t="s">
        <v>526</v>
      </c>
      <c r="E28" s="4" t="s">
        <v>527</v>
      </c>
      <c r="F28" s="4" t="s">
        <v>527</v>
      </c>
      <c r="G28" s="14">
        <v>84.17</v>
      </c>
      <c r="H28" s="10">
        <v>15.928915</v>
      </c>
      <c r="I28" s="10">
        <v>28.258327000000001</v>
      </c>
      <c r="J28" s="10" t="s">
        <v>534</v>
      </c>
      <c r="K28" s="15">
        <v>9.979E-3</v>
      </c>
      <c r="L28" s="17">
        <v>7996.4288550000001</v>
      </c>
      <c r="M28" s="4" t="s">
        <v>611</v>
      </c>
      <c r="N28" s="19">
        <v>2.9785910000000002</v>
      </c>
      <c r="O28" s="19">
        <v>4.6982999999999997</v>
      </c>
      <c r="P28" s="19">
        <v>2.85</v>
      </c>
      <c r="Q28" s="19">
        <v>4.0679999999999996</v>
      </c>
      <c r="R28" s="19">
        <v>2.36</v>
      </c>
      <c r="S28" s="19">
        <v>3.6274999999999999</v>
      </c>
      <c r="T28" s="19">
        <v>2.36</v>
      </c>
      <c r="U28" s="19">
        <v>3.2574000000000001</v>
      </c>
      <c r="V28" s="19">
        <v>1.92</v>
      </c>
      <c r="W28" s="19">
        <v>2.8837000000000002</v>
      </c>
      <c r="X28" s="19">
        <v>1.92</v>
      </c>
      <c r="Y28" s="19">
        <v>2.8837000000000002</v>
      </c>
      <c r="Z28" s="4"/>
      <c r="AA28" s="4"/>
      <c r="AB28" s="4" t="e">
        <f ca="1">_xll.ciqfunctions.udf.CIQ("^SPX", "IQ_PRICEDATE", "1/31/2014")</f>
        <v>#NAME?</v>
      </c>
      <c r="AC28" s="16">
        <v>1782.5869667694001</v>
      </c>
    </row>
    <row r="29" spans="1:29" x14ac:dyDescent="0.35">
      <c r="A29" s="2" t="s">
        <v>39</v>
      </c>
      <c r="B29" s="4" t="s">
        <v>612</v>
      </c>
      <c r="C29" s="4" t="s">
        <v>530</v>
      </c>
      <c r="D29" s="4" t="s">
        <v>537</v>
      </c>
      <c r="E29" s="4" t="s">
        <v>613</v>
      </c>
      <c r="F29" s="4" t="s">
        <v>613</v>
      </c>
      <c r="G29" s="14">
        <v>191</v>
      </c>
      <c r="H29" s="10">
        <v>11.933862</v>
      </c>
      <c r="I29" s="10" t="s">
        <v>534</v>
      </c>
      <c r="J29" s="10" t="s">
        <v>534</v>
      </c>
      <c r="K29" s="15">
        <v>1.5078000000000001E-2</v>
      </c>
      <c r="L29" s="17">
        <v>64833.884601999998</v>
      </c>
      <c r="M29" s="4" t="s">
        <v>614</v>
      </c>
      <c r="N29" s="19">
        <v>-4.1488509999999996</v>
      </c>
      <c r="O29" s="19">
        <v>16.184799999999999</v>
      </c>
      <c r="P29" s="19">
        <v>-11.99</v>
      </c>
      <c r="Q29" s="19">
        <v>16.450600000000001</v>
      </c>
      <c r="R29" s="19">
        <v>-3.17</v>
      </c>
      <c r="S29" s="19">
        <v>15.389900000000001</v>
      </c>
      <c r="T29" s="19">
        <v>-3.17</v>
      </c>
      <c r="U29" s="19">
        <v>15.541399999999999</v>
      </c>
      <c r="V29" s="19">
        <v>-11.31</v>
      </c>
      <c r="W29" s="19">
        <v>15.8141</v>
      </c>
      <c r="X29" s="19">
        <v>-11.31</v>
      </c>
      <c r="Y29" s="19">
        <v>15.8141</v>
      </c>
      <c r="Z29" s="4"/>
      <c r="AA29" s="4"/>
      <c r="AB29" s="4" t="e">
        <f ca="1">_xll.ciqfunctions.udf.CIQ("^SPX", "IQ_PRICEDATE", "2/3/2014")</f>
        <v>#NAME?</v>
      </c>
      <c r="AC29" s="16">
        <v>1741.8855076612001</v>
      </c>
    </row>
    <row r="30" spans="1:29" x14ac:dyDescent="0.35">
      <c r="A30" s="2" t="s">
        <v>40</v>
      </c>
      <c r="B30" s="4" t="s">
        <v>615</v>
      </c>
      <c r="C30" s="4" t="s">
        <v>543</v>
      </c>
      <c r="D30" s="4" t="s">
        <v>544</v>
      </c>
      <c r="E30" s="4" t="s">
        <v>545</v>
      </c>
      <c r="F30" s="4" t="s">
        <v>616</v>
      </c>
      <c r="G30" s="14">
        <v>211.46</v>
      </c>
      <c r="H30" s="10">
        <v>18.218432</v>
      </c>
      <c r="I30" s="10">
        <v>13.258654</v>
      </c>
      <c r="J30" s="10" t="s">
        <v>534</v>
      </c>
      <c r="K30" s="15">
        <v>1.0782E-2</v>
      </c>
      <c r="L30" s="17">
        <v>11618.371752999999</v>
      </c>
      <c r="M30" s="4" t="s">
        <v>617</v>
      </c>
      <c r="N30" s="19">
        <v>15.948828000000001</v>
      </c>
      <c r="O30" s="19">
        <v>24.6281</v>
      </c>
      <c r="P30" s="19">
        <v>14.1</v>
      </c>
      <c r="Q30" s="19">
        <v>20.595700000000001</v>
      </c>
      <c r="R30" s="19">
        <v>7.34</v>
      </c>
      <c r="S30" s="19">
        <v>18.249500000000001</v>
      </c>
      <c r="T30" s="19">
        <v>7.34</v>
      </c>
      <c r="U30" s="19">
        <v>16.690100000000001</v>
      </c>
      <c r="V30" s="19">
        <v>7.87</v>
      </c>
      <c r="W30" s="19">
        <v>14.158099999999999</v>
      </c>
      <c r="X30" s="19">
        <v>7.87</v>
      </c>
      <c r="Y30" s="19">
        <v>14.158099999999999</v>
      </c>
      <c r="Z30" s="4"/>
      <c r="AA30" s="4"/>
      <c r="AB30" s="4" t="e">
        <f ca="1">_xll.ciqfunctions.udf.CIQ("^SPX", "IQ_PRICEDATE", "2/4/2014")</f>
        <v>#NAME?</v>
      </c>
      <c r="AC30" s="16">
        <v>1755.2041996217999</v>
      </c>
    </row>
    <row r="31" spans="1:29" x14ac:dyDescent="0.35">
      <c r="A31" s="2" t="s">
        <v>41</v>
      </c>
      <c r="B31" s="4" t="s">
        <v>618</v>
      </c>
      <c r="C31" s="4" t="s">
        <v>619</v>
      </c>
      <c r="D31" s="4" t="s">
        <v>619</v>
      </c>
      <c r="E31" s="4" t="s">
        <v>620</v>
      </c>
      <c r="F31" s="4" t="s">
        <v>620</v>
      </c>
      <c r="G31" s="14">
        <v>43.23</v>
      </c>
      <c r="H31" s="10">
        <v>13.025459</v>
      </c>
      <c r="I31" s="10">
        <v>20.672498999999998</v>
      </c>
      <c r="J31" s="10">
        <v>2.322845</v>
      </c>
      <c r="K31" s="15">
        <v>3.0996000000000003E-2</v>
      </c>
      <c r="L31" s="17">
        <v>10287.568813</v>
      </c>
      <c r="M31" s="4" t="s">
        <v>621</v>
      </c>
      <c r="N31" s="19">
        <v>2.0911840000000002</v>
      </c>
      <c r="O31" s="19">
        <v>2.1358000000000001</v>
      </c>
      <c r="P31" s="19">
        <v>1.9847619999999999</v>
      </c>
      <c r="Q31" s="19">
        <v>2.2665999999999999</v>
      </c>
      <c r="R31" s="19">
        <v>1.6459699999999999</v>
      </c>
      <c r="S31" s="19">
        <v>2.0745</v>
      </c>
      <c r="T31" s="19">
        <v>1.6459699999999999</v>
      </c>
      <c r="U31" s="19">
        <v>1.921</v>
      </c>
      <c r="V31" s="19">
        <v>1.738836</v>
      </c>
      <c r="W31" s="19">
        <v>1.8338000000000001</v>
      </c>
      <c r="X31" s="19">
        <v>1.738836</v>
      </c>
      <c r="Y31" s="19">
        <v>1.8338000000000001</v>
      </c>
      <c r="Z31" s="4"/>
      <c r="AA31" s="4"/>
      <c r="AB31" s="4" t="e">
        <f ca="1">_xll.ciqfunctions.udf.CIQ("^SPX", "IQ_PRICEDATE", "2/5/2014")</f>
        <v>#NAME?</v>
      </c>
      <c r="AC31" s="16">
        <v>1751.6417690134999</v>
      </c>
    </row>
    <row r="32" spans="1:29" x14ac:dyDescent="0.35">
      <c r="A32" s="2" t="s">
        <v>42</v>
      </c>
      <c r="B32" s="4" t="s">
        <v>622</v>
      </c>
      <c r="C32" s="4" t="s">
        <v>549</v>
      </c>
      <c r="D32" s="4" t="s">
        <v>550</v>
      </c>
      <c r="E32" s="4" t="s">
        <v>623</v>
      </c>
      <c r="F32" s="4" t="s">
        <v>623</v>
      </c>
      <c r="G32" s="14">
        <v>1115.69</v>
      </c>
      <c r="H32" s="10">
        <v>17.851136</v>
      </c>
      <c r="I32" s="10">
        <v>0</v>
      </c>
      <c r="J32" s="10">
        <v>0</v>
      </c>
      <c r="K32" s="15">
        <v>0</v>
      </c>
      <c r="L32" s="17">
        <v>780275.68643100001</v>
      </c>
      <c r="M32" s="4" t="s">
        <v>624</v>
      </c>
      <c r="N32" s="19">
        <v>23.155086000000001</v>
      </c>
      <c r="O32" s="19">
        <v>44.751199999999997</v>
      </c>
      <c r="P32" s="19">
        <v>17.996428999999999</v>
      </c>
      <c r="Q32" s="19">
        <v>39.5794</v>
      </c>
      <c r="R32" s="19">
        <v>27.877247000000001</v>
      </c>
      <c r="S32" s="19">
        <v>39.429200000000002</v>
      </c>
      <c r="T32" s="19">
        <v>27.877247000000001</v>
      </c>
      <c r="U32" s="19">
        <v>32.428199999999997</v>
      </c>
      <c r="V32" s="19">
        <v>19.823307</v>
      </c>
      <c r="W32" s="19">
        <v>28.783000000000001</v>
      </c>
      <c r="X32" s="19">
        <v>19.823307</v>
      </c>
      <c r="Y32" s="19">
        <v>28.783000000000001</v>
      </c>
      <c r="Z32" s="4"/>
      <c r="AA32" s="4"/>
      <c r="AB32" s="4" t="e">
        <f ca="1">_xll.ciqfunctions.udf.CIQ("^SPX", "IQ_PRICEDATE", "2/6/2014")</f>
        <v>#NAME?</v>
      </c>
      <c r="AC32" s="16">
        <v>1773.4299637595</v>
      </c>
    </row>
    <row r="33" spans="1:29" x14ac:dyDescent="0.35">
      <c r="A33" s="2" t="s">
        <v>43</v>
      </c>
      <c r="B33" s="4" t="s">
        <v>622</v>
      </c>
      <c r="C33" s="4" t="s">
        <v>549</v>
      </c>
      <c r="D33" s="4" t="s">
        <v>550</v>
      </c>
      <c r="E33" s="4" t="s">
        <v>623</v>
      </c>
      <c r="F33" s="4" t="s">
        <v>623</v>
      </c>
      <c r="G33" s="14">
        <v>1127.5899999999999</v>
      </c>
      <c r="H33" s="10">
        <v>17.851136</v>
      </c>
      <c r="I33" s="10">
        <v>48.697291999999997</v>
      </c>
      <c r="J33" s="10">
        <v>5.5481129999999999</v>
      </c>
      <c r="K33" s="15">
        <v>0</v>
      </c>
      <c r="L33" s="17">
        <v>780275.68643100001</v>
      </c>
      <c r="M33" s="4" t="s">
        <v>624</v>
      </c>
      <c r="N33" s="19">
        <v>23.155086000000001</v>
      </c>
      <c r="O33" s="19">
        <v>43.810899999999997</v>
      </c>
      <c r="P33" s="19">
        <v>17.996428999999999</v>
      </c>
      <c r="Q33" s="19">
        <v>39.5794</v>
      </c>
      <c r="R33" s="19">
        <v>27.877247000000001</v>
      </c>
      <c r="S33" s="19">
        <v>39.433999999999997</v>
      </c>
      <c r="T33" s="19">
        <v>27.877247000000001</v>
      </c>
      <c r="U33" s="19">
        <v>32.431699999999999</v>
      </c>
      <c r="V33" s="19">
        <v>19.823307</v>
      </c>
      <c r="W33" s="19">
        <v>28.863</v>
      </c>
      <c r="X33" s="19">
        <v>19.823307</v>
      </c>
      <c r="Y33" s="19">
        <v>28.863</v>
      </c>
      <c r="Z33" s="4"/>
      <c r="AA33" s="4"/>
      <c r="AB33" s="4" t="e">
        <f ca="1">_xll.ciqfunctions.udf.CIQ("^SPX", "IQ_PRICEDATE", "2/7/2014")</f>
        <v>#NAME?</v>
      </c>
      <c r="AC33" s="16">
        <v>1797.0169234533</v>
      </c>
    </row>
    <row r="34" spans="1:29" x14ac:dyDescent="0.35">
      <c r="A34" s="2" t="s">
        <v>44</v>
      </c>
      <c r="B34" s="4" t="s">
        <v>625</v>
      </c>
      <c r="C34" s="4" t="s">
        <v>626</v>
      </c>
      <c r="D34" s="4" t="s">
        <v>627</v>
      </c>
      <c r="E34" s="4" t="s">
        <v>628</v>
      </c>
      <c r="F34" s="4" t="s">
        <v>628</v>
      </c>
      <c r="G34" s="14">
        <v>60.62</v>
      </c>
      <c r="H34" s="10">
        <v>11.487541999999999</v>
      </c>
      <c r="I34" s="10">
        <v>10.889616</v>
      </c>
      <c r="J34" s="10" t="s">
        <v>534</v>
      </c>
      <c r="K34" s="15">
        <v>5.2787000000000001E-2</v>
      </c>
      <c r="L34" s="17">
        <v>114279.00539999999</v>
      </c>
      <c r="M34" s="4" t="s">
        <v>629</v>
      </c>
      <c r="N34" s="19">
        <v>5.5667710000000001</v>
      </c>
      <c r="O34" s="19">
        <v>4.1566999999999998</v>
      </c>
      <c r="P34" s="19">
        <v>5.31</v>
      </c>
      <c r="Q34" s="19">
        <v>3.5179999999999998</v>
      </c>
      <c r="R34" s="19">
        <v>7.28</v>
      </c>
      <c r="S34" s="19">
        <v>3.2063000000000001</v>
      </c>
      <c r="T34" s="19">
        <v>7.28</v>
      </c>
      <c r="U34" s="19">
        <v>2.9863</v>
      </c>
      <c r="V34" s="19">
        <v>2.5571280000000001</v>
      </c>
      <c r="W34" s="19">
        <v>2.7555999999999998</v>
      </c>
      <c r="X34" s="19">
        <v>2.5571280000000001</v>
      </c>
      <c r="Y34" s="19">
        <v>2.7555999999999998</v>
      </c>
      <c r="Z34" s="4"/>
      <c r="AA34" s="4"/>
      <c r="AB34" s="4" t="e">
        <f ca="1">_xll.ciqfunctions.udf.CIQ("^SPX", "IQ_PRICEDATE", "2/10/2014")</f>
        <v>#NAME?</v>
      </c>
      <c r="AC34" s="16">
        <v>1799.8393518810001</v>
      </c>
    </row>
    <row r="35" spans="1:29" x14ac:dyDescent="0.35">
      <c r="A35" s="2" t="s">
        <v>45</v>
      </c>
      <c r="B35" s="4" t="s">
        <v>630</v>
      </c>
      <c r="C35" s="4" t="s">
        <v>559</v>
      </c>
      <c r="D35" s="4" t="s">
        <v>560</v>
      </c>
      <c r="E35" s="4" t="s">
        <v>631</v>
      </c>
      <c r="F35" s="4" t="s">
        <v>631</v>
      </c>
      <c r="G35" s="14">
        <v>1831.73</v>
      </c>
      <c r="H35" s="10">
        <v>44.208266000000002</v>
      </c>
      <c r="I35" s="10">
        <v>145.068691</v>
      </c>
      <c r="J35" s="10">
        <v>42.375779000000001</v>
      </c>
      <c r="K35" s="15">
        <v>0</v>
      </c>
      <c r="L35" s="17">
        <v>893410.16812699998</v>
      </c>
      <c r="M35" s="4" t="s">
        <v>632</v>
      </c>
      <c r="N35" s="19">
        <v>12.626639000000001</v>
      </c>
      <c r="O35" s="19">
        <v>20.139900000000001</v>
      </c>
      <c r="P35" s="19">
        <v>6.15</v>
      </c>
      <c r="Q35" s="19">
        <v>6.0980999999999996</v>
      </c>
      <c r="R35" s="19">
        <v>4.9000000000000004</v>
      </c>
      <c r="S35" s="19">
        <v>7.1908000000000003</v>
      </c>
      <c r="T35" s="19">
        <v>4.9000000000000004</v>
      </c>
      <c r="U35" s="19">
        <v>4.3808999999999996</v>
      </c>
      <c r="V35" s="19">
        <v>-0.52164500000000003</v>
      </c>
      <c r="W35" s="19">
        <v>5.5E-2</v>
      </c>
      <c r="X35" s="19">
        <v>-0.52164500000000003</v>
      </c>
      <c r="Y35" s="19">
        <v>5.5E-2</v>
      </c>
      <c r="Z35" s="4"/>
      <c r="AA35" s="4"/>
      <c r="AB35" s="4" t="e">
        <f ca="1">_xll.ciqfunctions.udf.CIQ("^SPX", "IQ_PRICEDATE", "2/11/2014")</f>
        <v>#NAME?</v>
      </c>
      <c r="AC35" s="16">
        <v>1819.7478427199001</v>
      </c>
    </row>
    <row r="36" spans="1:29" x14ac:dyDescent="0.35">
      <c r="A36" s="2" t="s">
        <v>46</v>
      </c>
      <c r="B36" s="4" t="s">
        <v>633</v>
      </c>
      <c r="C36" s="4" t="s">
        <v>619</v>
      </c>
      <c r="D36" s="4" t="s">
        <v>619</v>
      </c>
      <c r="E36" s="4" t="s">
        <v>634</v>
      </c>
      <c r="F36" s="4" t="s">
        <v>634</v>
      </c>
      <c r="G36" s="14">
        <v>64.760000000000005</v>
      </c>
      <c r="H36" s="10">
        <v>10.078181000000001</v>
      </c>
      <c r="I36" s="10">
        <v>25.687097999999999</v>
      </c>
      <c r="J36" s="10">
        <v>2.2654390000000002</v>
      </c>
      <c r="K36" s="15">
        <v>2.9339E-2</v>
      </c>
      <c r="L36" s="17">
        <v>15804.029105</v>
      </c>
      <c r="M36" s="4" t="s">
        <v>635</v>
      </c>
      <c r="N36" s="19">
        <v>2.5211100000000002</v>
      </c>
      <c r="O36" s="19">
        <v>3.3363999999999998</v>
      </c>
      <c r="P36" s="19">
        <v>2.14</v>
      </c>
      <c r="Q36" s="19">
        <v>2.8441999999999998</v>
      </c>
      <c r="R36" s="19">
        <v>2.68</v>
      </c>
      <c r="S36" s="19">
        <v>2.73</v>
      </c>
      <c r="T36" s="19">
        <v>2.68</v>
      </c>
      <c r="U36" s="19">
        <v>2.3107000000000002</v>
      </c>
      <c r="V36" s="19">
        <v>2.4</v>
      </c>
      <c r="W36" s="19">
        <v>2.5133999999999999</v>
      </c>
      <c r="X36" s="19">
        <v>2.4</v>
      </c>
      <c r="Y36" s="19">
        <v>2.5133999999999999</v>
      </c>
      <c r="Z36" s="4"/>
      <c r="AA36" s="4"/>
      <c r="AB36" s="4" t="e">
        <f ca="1">_xll.ciqfunctions.udf.CIQ("^SPX", "IQ_PRICEDATE", "2/12/2014")</f>
        <v>#NAME?</v>
      </c>
      <c r="AC36" s="16">
        <v>1819.2642758690999</v>
      </c>
    </row>
    <row r="37" spans="1:29" x14ac:dyDescent="0.35">
      <c r="A37" s="2" t="s">
        <v>47</v>
      </c>
      <c r="B37" s="4" t="s">
        <v>636</v>
      </c>
      <c r="C37" s="4" t="s">
        <v>525</v>
      </c>
      <c r="D37" s="4" t="s">
        <v>594</v>
      </c>
      <c r="E37" s="4" t="s">
        <v>595</v>
      </c>
      <c r="F37" s="4" t="s">
        <v>595</v>
      </c>
      <c r="G37" s="14">
        <v>33.57</v>
      </c>
      <c r="H37" s="10">
        <v>5.791874</v>
      </c>
      <c r="I37" s="10">
        <v>10.928908</v>
      </c>
      <c r="J37" s="10" t="s">
        <v>534</v>
      </c>
      <c r="K37" s="15">
        <v>1.1915E-2</v>
      </c>
      <c r="L37" s="17">
        <v>15459.294381</v>
      </c>
      <c r="M37" s="4" t="s">
        <v>637</v>
      </c>
      <c r="N37" s="19">
        <v>3.0716700000000001</v>
      </c>
      <c r="O37" s="19">
        <v>4.5327000000000002</v>
      </c>
      <c r="P37" s="19">
        <v>3.9</v>
      </c>
      <c r="Q37" s="19">
        <v>4.7663000000000002</v>
      </c>
      <c r="R37" s="19">
        <v>4.8099999999999996</v>
      </c>
      <c r="S37" s="19">
        <v>4.4809000000000001</v>
      </c>
      <c r="T37" s="19">
        <v>4.8099999999999996</v>
      </c>
      <c r="U37" s="19">
        <v>7.1485000000000003</v>
      </c>
      <c r="V37" s="19">
        <v>3.9304320000000001</v>
      </c>
      <c r="W37" s="19">
        <v>8.4161000000000001</v>
      </c>
      <c r="X37" s="19">
        <v>3.9304320000000001</v>
      </c>
      <c r="Y37" s="19">
        <v>8.4161000000000001</v>
      </c>
      <c r="Z37" s="4"/>
      <c r="AA37" s="4"/>
      <c r="AB37" s="4" t="e">
        <f ca="1">_xll.ciqfunctions.udf.CIQ("^SPX", "IQ_PRICEDATE", "2/13/2014")</f>
        <v>#NAME?</v>
      </c>
      <c r="AC37" s="16">
        <v>1829.82975844</v>
      </c>
    </row>
    <row r="38" spans="1:29" x14ac:dyDescent="0.35">
      <c r="A38" s="2" t="s">
        <v>48</v>
      </c>
      <c r="B38" s="4" t="s">
        <v>638</v>
      </c>
      <c r="C38" s="4" t="s">
        <v>619</v>
      </c>
      <c r="D38" s="4" t="s">
        <v>619</v>
      </c>
      <c r="E38" s="4" t="s">
        <v>620</v>
      </c>
      <c r="F38" s="4" t="s">
        <v>620</v>
      </c>
      <c r="G38" s="14">
        <v>71.72</v>
      </c>
      <c r="H38" s="10">
        <v>11.156098</v>
      </c>
      <c r="I38" s="10">
        <v>18.342466999999999</v>
      </c>
      <c r="J38" s="10">
        <v>1.8935759999999999</v>
      </c>
      <c r="K38" s="15">
        <v>3.4578000000000005E-2</v>
      </c>
      <c r="L38" s="17">
        <v>35353.230640000002</v>
      </c>
      <c r="M38" s="4" t="s">
        <v>639</v>
      </c>
      <c r="N38" s="19">
        <v>3.9100519999999999</v>
      </c>
      <c r="O38" s="19">
        <v>3.9563999999999999</v>
      </c>
      <c r="P38" s="19">
        <v>3.88</v>
      </c>
      <c r="Q38" s="19">
        <v>3.7833000000000001</v>
      </c>
      <c r="R38" s="19">
        <v>1.248027</v>
      </c>
      <c r="S38" s="19">
        <v>3.5844999999999998</v>
      </c>
      <c r="T38" s="19">
        <v>1.248027</v>
      </c>
      <c r="U38" s="19">
        <v>3.5718000000000001</v>
      </c>
      <c r="V38" s="19">
        <v>3.24</v>
      </c>
      <c r="W38" s="19">
        <v>3.3292999999999999</v>
      </c>
      <c r="X38" s="19">
        <v>3.24</v>
      </c>
      <c r="Y38" s="19">
        <v>3.3292999999999999</v>
      </c>
      <c r="Z38" s="4"/>
      <c r="AA38" s="4"/>
      <c r="AB38" s="4" t="e">
        <f ca="1">_xll.ciqfunctions.udf.CIQ("^SPX", "IQ_PRICEDATE", "2/14/2014")</f>
        <v>#NAME?</v>
      </c>
      <c r="AC38" s="16">
        <v>1838.6327143240001</v>
      </c>
    </row>
    <row r="39" spans="1:29" x14ac:dyDescent="0.35">
      <c r="A39" s="2" t="s">
        <v>49</v>
      </c>
      <c r="B39" s="4" t="s">
        <v>640</v>
      </c>
      <c r="C39" s="4" t="s">
        <v>573</v>
      </c>
      <c r="D39" s="4" t="s">
        <v>574</v>
      </c>
      <c r="E39" s="4" t="s">
        <v>641</v>
      </c>
      <c r="F39" s="4" t="s">
        <v>641</v>
      </c>
      <c r="G39" s="14">
        <v>104.34</v>
      </c>
      <c r="H39" s="10">
        <v>0</v>
      </c>
      <c r="I39" s="10">
        <v>27.540894000000002</v>
      </c>
      <c r="J39" s="10">
        <v>4.3000540000000003</v>
      </c>
      <c r="K39" s="15">
        <v>1.3416999999999998E-2</v>
      </c>
      <c r="L39" s="17">
        <v>89842.400445000007</v>
      </c>
      <c r="M39" s="4" t="s">
        <v>642</v>
      </c>
      <c r="N39" s="19">
        <v>3.788548</v>
      </c>
      <c r="O39" s="19">
        <v>7.5248999999999997</v>
      </c>
      <c r="P39" s="19">
        <v>2.97</v>
      </c>
      <c r="Q39" s="19">
        <v>6.3056000000000001</v>
      </c>
      <c r="R39" s="19">
        <v>5.65</v>
      </c>
      <c r="S39" s="19">
        <v>5.2156000000000002</v>
      </c>
      <c r="T39" s="19">
        <v>5.65</v>
      </c>
      <c r="U39" s="19">
        <v>5.2336</v>
      </c>
      <c r="V39" s="19">
        <v>5.56</v>
      </c>
      <c r="W39" s="19">
        <v>5.9082999999999997</v>
      </c>
      <c r="X39" s="19">
        <v>5.56</v>
      </c>
      <c r="Y39" s="19">
        <v>5.9082999999999997</v>
      </c>
      <c r="Z39" s="4"/>
      <c r="AA39" s="4"/>
      <c r="AB39" s="4" t="e">
        <f ca="1">_xll.ciqfunctions.udf.CIQ("^SPX", "IQ_PRICEDATE", "2/18/2014")</f>
        <v>#NAME?</v>
      </c>
      <c r="AC39" s="16">
        <v>1840.7563614977</v>
      </c>
    </row>
    <row r="40" spans="1:29" x14ac:dyDescent="0.35">
      <c r="A40" s="2" t="s">
        <v>50</v>
      </c>
      <c r="B40" s="4" t="s">
        <v>643</v>
      </c>
      <c r="C40" s="4" t="s">
        <v>573</v>
      </c>
      <c r="D40" s="4" t="s">
        <v>579</v>
      </c>
      <c r="E40" s="4" t="s">
        <v>579</v>
      </c>
      <c r="F40" s="4" t="s">
        <v>644</v>
      </c>
      <c r="G40" s="14">
        <v>49.62</v>
      </c>
      <c r="H40" s="10">
        <v>11.805273</v>
      </c>
      <c r="I40" s="10" t="s">
        <v>534</v>
      </c>
      <c r="J40" s="10">
        <v>0.72274700000000003</v>
      </c>
      <c r="K40" s="15">
        <v>2.5795999999999999E-2</v>
      </c>
      <c r="L40" s="17">
        <v>44084.703867999997</v>
      </c>
      <c r="M40" s="4" t="s">
        <v>645</v>
      </c>
      <c r="N40" s="19">
        <v>-7.1890980000000004</v>
      </c>
      <c r="O40" s="19">
        <v>5.0500999999999996</v>
      </c>
      <c r="P40" s="19">
        <v>-6.5422880000000001</v>
      </c>
      <c r="Q40" s="19">
        <v>4.6581999999999999</v>
      </c>
      <c r="R40" s="19">
        <v>-0.7</v>
      </c>
      <c r="S40" s="19">
        <v>5.1496000000000004</v>
      </c>
      <c r="T40" s="19">
        <v>-0.7</v>
      </c>
      <c r="U40" s="19">
        <v>4.9114000000000004</v>
      </c>
      <c r="V40" s="19">
        <v>5.2399990000000001</v>
      </c>
      <c r="W40" s="19">
        <v>4.7538</v>
      </c>
      <c r="X40" s="19">
        <v>5.2399990000000001</v>
      </c>
      <c r="Y40" s="19">
        <v>4.7538</v>
      </c>
      <c r="Z40" s="4"/>
      <c r="AA40" s="4"/>
      <c r="AB40" s="4" t="e">
        <f ca="1">_xll.ciqfunctions.udf.CIQ("^SPX", "IQ_PRICEDATE", "2/19/2014")</f>
        <v>#NAME?</v>
      </c>
      <c r="AC40" s="16">
        <v>1828.7467956528999</v>
      </c>
    </row>
    <row r="41" spans="1:29" x14ac:dyDescent="0.35">
      <c r="A41" s="2" t="s">
        <v>51</v>
      </c>
      <c r="B41" s="4" t="s">
        <v>646</v>
      </c>
      <c r="C41" s="4" t="s">
        <v>601</v>
      </c>
      <c r="D41" s="4" t="s">
        <v>601</v>
      </c>
      <c r="E41" s="4" t="s">
        <v>602</v>
      </c>
      <c r="F41" s="4" t="s">
        <v>647</v>
      </c>
      <c r="G41" s="14">
        <v>146.68</v>
      </c>
      <c r="H41" s="10">
        <v>21.115278</v>
      </c>
      <c r="I41" s="10">
        <v>58.161458000000003</v>
      </c>
      <c r="J41" s="10" t="s">
        <v>534</v>
      </c>
      <c r="K41" s="15">
        <v>2.1543E-2</v>
      </c>
      <c r="L41" s="17">
        <v>64661.686307000004</v>
      </c>
      <c r="M41" s="4" t="s">
        <v>648</v>
      </c>
      <c r="N41" s="19">
        <v>2.5219450000000001</v>
      </c>
      <c r="O41" s="19">
        <v>3.5129999999999999</v>
      </c>
      <c r="P41" s="19">
        <v>2.67</v>
      </c>
      <c r="Q41" s="19">
        <v>3.3589000000000002</v>
      </c>
      <c r="R41" s="19">
        <v>1.98</v>
      </c>
      <c r="S41" s="19">
        <v>2.5825</v>
      </c>
      <c r="T41" s="19">
        <v>1.98</v>
      </c>
      <c r="U41" s="19">
        <v>2.2949999999999999</v>
      </c>
      <c r="V41" s="19">
        <v>2</v>
      </c>
      <c r="W41" s="19">
        <v>2.5792000000000002</v>
      </c>
      <c r="X41" s="19">
        <v>2</v>
      </c>
      <c r="Y41" s="19">
        <v>2.5792000000000002</v>
      </c>
      <c r="Z41" s="4"/>
      <c r="AA41" s="4"/>
      <c r="AB41" s="4" t="e">
        <f ca="1">_xll.ciqfunctions.udf.CIQ("^SPX", "IQ_PRICEDATE", "2/20/2014")</f>
        <v>#NAME?</v>
      </c>
      <c r="AC41" s="16">
        <v>1839.7822149358999</v>
      </c>
    </row>
    <row r="42" spans="1:29" x14ac:dyDescent="0.35">
      <c r="A42" s="2" t="s">
        <v>52</v>
      </c>
      <c r="B42" s="4" t="s">
        <v>649</v>
      </c>
      <c r="C42" s="4" t="s">
        <v>619</v>
      </c>
      <c r="D42" s="4" t="s">
        <v>619</v>
      </c>
      <c r="E42" s="4" t="s">
        <v>650</v>
      </c>
      <c r="F42" s="4" t="s">
        <v>650</v>
      </c>
      <c r="G42" s="14">
        <v>89.95</v>
      </c>
      <c r="H42" s="10">
        <v>14.688186999999999</v>
      </c>
      <c r="I42" s="10">
        <v>34.332061000000003</v>
      </c>
      <c r="J42" s="10">
        <v>4.0446179999999998</v>
      </c>
      <c r="K42" s="15">
        <v>2.0232999999999998E-2</v>
      </c>
      <c r="L42" s="17">
        <v>16235.273209999999</v>
      </c>
      <c r="M42" s="4" t="s">
        <v>651</v>
      </c>
      <c r="N42" s="19">
        <v>2.62</v>
      </c>
      <c r="O42" s="19">
        <v>3.3288000000000002</v>
      </c>
      <c r="P42" s="19">
        <v>2.38</v>
      </c>
      <c r="Q42" s="19">
        <v>3.1894</v>
      </c>
      <c r="R42" s="19">
        <v>2.62</v>
      </c>
      <c r="S42" s="19">
        <v>2.9403999999999999</v>
      </c>
      <c r="T42" s="19">
        <v>2.62</v>
      </c>
      <c r="U42" s="19">
        <v>2.7743000000000002</v>
      </c>
      <c r="V42" s="19">
        <v>2.39</v>
      </c>
      <c r="W42" s="19">
        <v>2.5543</v>
      </c>
      <c r="X42" s="19">
        <v>2.39</v>
      </c>
      <c r="Y42" s="19">
        <v>2.5543</v>
      </c>
      <c r="Z42" s="4"/>
      <c r="AA42" s="4"/>
      <c r="AB42" s="4" t="e">
        <f ca="1">_xll.ciqfunctions.udf.CIQ("^SPX", "IQ_PRICEDATE", "2/21/2014")</f>
        <v>#NAME?</v>
      </c>
      <c r="AC42" s="16">
        <v>1836.2461813611001</v>
      </c>
    </row>
    <row r="43" spans="1:29" x14ac:dyDescent="0.35">
      <c r="A43" s="2" t="s">
        <v>53</v>
      </c>
      <c r="B43" s="4" t="s">
        <v>652</v>
      </c>
      <c r="C43" s="4" t="s">
        <v>573</v>
      </c>
      <c r="D43" s="4" t="s">
        <v>574</v>
      </c>
      <c r="E43" s="4" t="s">
        <v>575</v>
      </c>
      <c r="F43" s="4" t="s">
        <v>576</v>
      </c>
      <c r="G43" s="14">
        <v>138.37</v>
      </c>
      <c r="H43" s="10">
        <v>5.8799390000000002</v>
      </c>
      <c r="I43" s="10">
        <v>12.130046999999999</v>
      </c>
      <c r="J43" s="10">
        <v>3.4941469999999999</v>
      </c>
      <c r="K43" s="15">
        <v>2.6017000000000002E-2</v>
      </c>
      <c r="L43" s="17">
        <v>19629.701201</v>
      </c>
      <c r="M43" s="4" t="s">
        <v>653</v>
      </c>
      <c r="N43" s="19">
        <v>11.407209999999999</v>
      </c>
      <c r="O43" s="19">
        <v>15.475300000000001</v>
      </c>
      <c r="P43" s="19">
        <v>9.44</v>
      </c>
      <c r="Q43" s="19">
        <v>12.704599999999999</v>
      </c>
      <c r="R43" s="19">
        <v>7.81</v>
      </c>
      <c r="S43" s="19">
        <v>10.0672</v>
      </c>
      <c r="T43" s="19">
        <v>7.81</v>
      </c>
      <c r="U43" s="19">
        <v>9.9716000000000005</v>
      </c>
      <c r="V43" s="19">
        <v>8.31</v>
      </c>
      <c r="W43" s="19">
        <v>9.2737999999999996</v>
      </c>
      <c r="X43" s="19">
        <v>8.31</v>
      </c>
      <c r="Y43" s="19">
        <v>9.2737999999999996</v>
      </c>
      <c r="Z43" s="4"/>
      <c r="AA43" s="4"/>
      <c r="AB43" s="4" t="e">
        <f ca="1">_xll.ciqfunctions.udf.CIQ("^SPX", "IQ_PRICEDATE", "2/24/2014")</f>
        <v>#NAME?</v>
      </c>
      <c r="AC43" s="16">
        <v>1847.6146440903001</v>
      </c>
    </row>
    <row r="44" spans="1:29" x14ac:dyDescent="0.35">
      <c r="A44" s="2" t="s">
        <v>54</v>
      </c>
      <c r="B44" s="4" t="s">
        <v>654</v>
      </c>
      <c r="C44" s="4" t="s">
        <v>530</v>
      </c>
      <c r="D44" s="4" t="s">
        <v>531</v>
      </c>
      <c r="E44" s="4" t="s">
        <v>569</v>
      </c>
      <c r="F44" s="4" t="s">
        <v>655</v>
      </c>
      <c r="G44" s="14">
        <v>93.76</v>
      </c>
      <c r="H44" s="10">
        <v>9.5782790000000002</v>
      </c>
      <c r="I44" s="10">
        <v>19.227425</v>
      </c>
      <c r="J44" s="10" t="s">
        <v>534</v>
      </c>
      <c r="K44" s="15">
        <v>1.6211E-2</v>
      </c>
      <c r="L44" s="17">
        <v>20285.598941</v>
      </c>
      <c r="M44" s="4" t="s">
        <v>656</v>
      </c>
      <c r="N44" s="19">
        <v>4.8763680000000003</v>
      </c>
      <c r="O44" s="19">
        <v>6.9241999999999999</v>
      </c>
      <c r="P44" s="19">
        <v>4.420153</v>
      </c>
      <c r="Q44" s="19">
        <v>6.0747600000000004</v>
      </c>
      <c r="R44" s="19">
        <v>5.9869690000000002</v>
      </c>
      <c r="S44" s="19">
        <v>5.7546099999999996</v>
      </c>
      <c r="T44" s="19">
        <v>5.9869690000000002</v>
      </c>
      <c r="U44" s="19">
        <v>5.8305100000000003</v>
      </c>
      <c r="V44" s="19">
        <v>0.15307399999999999</v>
      </c>
      <c r="W44" s="19">
        <v>4.4666899999999998</v>
      </c>
      <c r="X44" s="19">
        <v>0.15307399999999999</v>
      </c>
      <c r="Y44" s="19">
        <v>4.4666899999999998</v>
      </c>
      <c r="Z44" s="4"/>
      <c r="AA44" s="4"/>
      <c r="AB44" s="4" t="e">
        <f ca="1">_xll.ciqfunctions.udf.CIQ("^SPX", "IQ_PRICEDATE", "2/25/2014")</f>
        <v>#NAME?</v>
      </c>
      <c r="AC44" s="16">
        <v>1845.1199680528</v>
      </c>
    </row>
    <row r="45" spans="1:29" x14ac:dyDescent="0.35">
      <c r="A45" s="2" t="s">
        <v>55</v>
      </c>
      <c r="B45" s="4" t="s">
        <v>657</v>
      </c>
      <c r="C45" s="4" t="s">
        <v>525</v>
      </c>
      <c r="D45" s="4" t="s">
        <v>526</v>
      </c>
      <c r="E45" s="4" t="s">
        <v>658</v>
      </c>
      <c r="F45" s="4" t="s">
        <v>659</v>
      </c>
      <c r="G45" s="14">
        <v>73.31</v>
      </c>
      <c r="H45" s="10">
        <v>15.390796</v>
      </c>
      <c r="I45" s="10">
        <v>22.222995999999998</v>
      </c>
      <c r="J45" s="10" t="s">
        <v>534</v>
      </c>
      <c r="K45" s="15">
        <v>7.6380000000000007E-3</v>
      </c>
      <c r="L45" s="17">
        <v>17000.381020000001</v>
      </c>
      <c r="M45" s="4" t="s">
        <v>660</v>
      </c>
      <c r="N45" s="19">
        <v>3.298835</v>
      </c>
      <c r="O45" s="19">
        <v>3.3536000000000001</v>
      </c>
      <c r="P45" s="19">
        <v>2.94</v>
      </c>
      <c r="Q45" s="19">
        <v>2.8050999999999999</v>
      </c>
      <c r="R45" s="19">
        <v>2.19</v>
      </c>
      <c r="S45" s="19">
        <v>2.3963999999999999</v>
      </c>
      <c r="T45" s="19">
        <v>2.19</v>
      </c>
      <c r="U45" s="19">
        <v>2.6741999999999999</v>
      </c>
      <c r="V45" s="19">
        <v>2.37</v>
      </c>
      <c r="W45" s="19">
        <v>2.5880999999999998</v>
      </c>
      <c r="X45" s="19">
        <v>2.37</v>
      </c>
      <c r="Y45" s="19">
        <v>2.5880999999999998</v>
      </c>
      <c r="Z45" s="4"/>
      <c r="AA45" s="4"/>
      <c r="AB45" s="4" t="e">
        <f ca="1">_xll.ciqfunctions.udf.CIQ("^SPX", "IQ_PRICEDATE", "2/26/2014")</f>
        <v>#NAME?</v>
      </c>
      <c r="AC45" s="16">
        <v>1845.1639780911</v>
      </c>
    </row>
    <row r="46" spans="1:29" x14ac:dyDescent="0.35">
      <c r="A46" s="2" t="s">
        <v>56</v>
      </c>
      <c r="B46" s="4" t="s">
        <v>661</v>
      </c>
      <c r="C46" s="4" t="s">
        <v>530</v>
      </c>
      <c r="D46" s="4" t="s">
        <v>537</v>
      </c>
      <c r="E46" s="4" t="s">
        <v>538</v>
      </c>
      <c r="F46" s="4" t="s">
        <v>538</v>
      </c>
      <c r="G46" s="14">
        <v>202.77</v>
      </c>
      <c r="H46" s="10">
        <v>10.840305000000001</v>
      </c>
      <c r="I46" s="10">
        <v>60.741714999999999</v>
      </c>
      <c r="J46" s="10" t="s">
        <v>534</v>
      </c>
      <c r="K46" s="15">
        <v>2.6039E-2</v>
      </c>
      <c r="L46" s="17">
        <v>131247.35702600001</v>
      </c>
      <c r="M46" s="4" t="s">
        <v>662</v>
      </c>
      <c r="N46" s="19">
        <v>3.3382329999999998</v>
      </c>
      <c r="O46" s="19">
        <v>14.0382</v>
      </c>
      <c r="P46" s="19">
        <v>2.69</v>
      </c>
      <c r="Q46" s="19">
        <v>12.5274</v>
      </c>
      <c r="R46" s="19">
        <v>10.24</v>
      </c>
      <c r="S46" s="19">
        <v>11.9491</v>
      </c>
      <c r="T46" s="19">
        <v>10.24</v>
      </c>
      <c r="U46" s="19">
        <v>10.189399999999999</v>
      </c>
      <c r="V46" s="19">
        <v>6.7</v>
      </c>
      <c r="W46" s="19">
        <v>8.8605</v>
      </c>
      <c r="X46" s="19">
        <v>6.7</v>
      </c>
      <c r="Y46" s="19">
        <v>8.8605</v>
      </c>
      <c r="Z46" s="4"/>
      <c r="AA46" s="4"/>
      <c r="AB46" s="4" t="e">
        <f ca="1">_xll.ciqfunctions.udf.CIQ("^SPX", "IQ_PRICEDATE", "2/27/2014")</f>
        <v>#NAME?</v>
      </c>
      <c r="AC46" s="16">
        <v>1854.2920045507999</v>
      </c>
    </row>
    <row r="47" spans="1:29" x14ac:dyDescent="0.35">
      <c r="A47" s="2" t="s">
        <v>57</v>
      </c>
      <c r="B47" s="4" t="s">
        <v>663</v>
      </c>
      <c r="C47" s="4" t="s">
        <v>543</v>
      </c>
      <c r="D47" s="4" t="s">
        <v>664</v>
      </c>
      <c r="E47" s="4" t="s">
        <v>665</v>
      </c>
      <c r="F47" s="4" t="s">
        <v>666</v>
      </c>
      <c r="G47" s="14">
        <v>85.83</v>
      </c>
      <c r="H47" s="10">
        <v>15.702054</v>
      </c>
      <c r="I47" s="10">
        <v>37.384796999999999</v>
      </c>
      <c r="J47" s="10" t="s">
        <v>534</v>
      </c>
      <c r="K47" s="15">
        <v>1.0718E-2</v>
      </c>
      <c r="L47" s="17">
        <v>25779.260396000001</v>
      </c>
      <c r="M47" s="4" t="s">
        <v>667</v>
      </c>
      <c r="N47" s="19">
        <v>2.2958530000000001</v>
      </c>
      <c r="O47" s="19">
        <v>3.7726999999999999</v>
      </c>
      <c r="P47" s="19">
        <v>2.06</v>
      </c>
      <c r="Q47" s="19">
        <v>3.3321000000000001</v>
      </c>
      <c r="R47" s="19">
        <v>2.61</v>
      </c>
      <c r="S47" s="19">
        <v>2.9285000000000001</v>
      </c>
      <c r="T47" s="19">
        <v>2.61</v>
      </c>
      <c r="U47" s="19">
        <v>2.4822000000000002</v>
      </c>
      <c r="V47" s="19">
        <v>2.21</v>
      </c>
      <c r="W47" s="19">
        <v>2.411</v>
      </c>
      <c r="X47" s="19">
        <v>2.21</v>
      </c>
      <c r="Y47" s="19">
        <v>2.411</v>
      </c>
      <c r="Z47" s="4"/>
      <c r="AA47" s="4"/>
      <c r="AB47" s="4" t="e">
        <f ca="1">_xll.ciqfunctions.udf.CIQ("^SPX", "IQ_PRICEDATE", "2/28/2014")</f>
        <v>#NAME?</v>
      </c>
      <c r="AC47" s="16">
        <v>1859.4493719912</v>
      </c>
    </row>
    <row r="48" spans="1:29" x14ac:dyDescent="0.35">
      <c r="A48" s="2" t="s">
        <v>58</v>
      </c>
      <c r="B48" s="4" t="s">
        <v>668</v>
      </c>
      <c r="C48" s="4" t="s">
        <v>669</v>
      </c>
      <c r="D48" s="4" t="s">
        <v>669</v>
      </c>
      <c r="E48" s="4" t="s">
        <v>670</v>
      </c>
      <c r="F48" s="4" t="s">
        <v>671</v>
      </c>
      <c r="G48" s="14">
        <v>67.05</v>
      </c>
      <c r="H48" s="10">
        <v>10.743789</v>
      </c>
      <c r="I48" s="10">
        <v>85.307079999999999</v>
      </c>
      <c r="J48" s="10">
        <v>10.329324</v>
      </c>
      <c r="K48" s="15">
        <v>1.4914E-2</v>
      </c>
      <c r="L48" s="17">
        <v>34334.632974</v>
      </c>
      <c r="M48" s="4" t="s">
        <v>672</v>
      </c>
      <c r="N48" s="19">
        <v>0.78598400000000002</v>
      </c>
      <c r="O48" s="19">
        <v>4.0381</v>
      </c>
      <c r="P48" s="19">
        <v>-0.85036400000000001</v>
      </c>
      <c r="Q48" s="19">
        <v>-0.4073</v>
      </c>
      <c r="R48" s="19">
        <v>-5.8984670000000001</v>
      </c>
      <c r="S48" s="19">
        <v>-0.56389999999999996</v>
      </c>
      <c r="T48" s="19">
        <v>-5.8984670000000001</v>
      </c>
      <c r="U48" s="19">
        <v>-2.6663000000000001</v>
      </c>
      <c r="V48" s="19">
        <v>-3.47</v>
      </c>
      <c r="W48" s="19">
        <v>2.8883000000000001</v>
      </c>
      <c r="X48" s="19">
        <v>-3.47</v>
      </c>
      <c r="Y48" s="19">
        <v>2.8883000000000001</v>
      </c>
      <c r="Z48" s="4"/>
      <c r="AA48" s="4"/>
      <c r="AB48" s="4" t="e">
        <f ca="1">_xll.ciqfunctions.udf.CIQ("^SPX", "IQ_PRICEDATE", "3/3/2014")</f>
        <v>#NAME?</v>
      </c>
      <c r="AC48" s="16">
        <v>1845.7344417764</v>
      </c>
    </row>
    <row r="49" spans="1:29" x14ac:dyDescent="0.35">
      <c r="A49" s="2" t="s">
        <v>59</v>
      </c>
      <c r="B49" s="4" t="s">
        <v>673</v>
      </c>
      <c r="C49" s="4" t="s">
        <v>543</v>
      </c>
      <c r="D49" s="4" t="s">
        <v>565</v>
      </c>
      <c r="E49" s="4" t="s">
        <v>565</v>
      </c>
      <c r="F49" s="4" t="s">
        <v>566</v>
      </c>
      <c r="G49" s="14">
        <v>85.25</v>
      </c>
      <c r="H49" s="10">
        <v>13.499216000000001</v>
      </c>
      <c r="I49" s="10">
        <v>22.70299</v>
      </c>
      <c r="J49" s="10" t="s">
        <v>534</v>
      </c>
      <c r="K49" s="15">
        <v>2.2520999999999999E-2</v>
      </c>
      <c r="L49" s="17">
        <v>31684.864602000001</v>
      </c>
      <c r="M49" s="4" t="s">
        <v>674</v>
      </c>
      <c r="N49" s="19">
        <v>3.7550119999999998</v>
      </c>
      <c r="O49" s="19">
        <v>5.819</v>
      </c>
      <c r="P49" s="19">
        <v>2.0699999999999998</v>
      </c>
      <c r="Q49" s="19">
        <v>5.1731600000000002</v>
      </c>
      <c r="R49" s="19">
        <v>2.76</v>
      </c>
      <c r="S49" s="19">
        <v>3.40123</v>
      </c>
      <c r="T49" s="19">
        <v>2.76</v>
      </c>
      <c r="U49" s="19">
        <v>3.2889200000000001</v>
      </c>
      <c r="V49" s="19">
        <v>1.98</v>
      </c>
      <c r="W49" s="19">
        <v>2.8330899999999999</v>
      </c>
      <c r="X49" s="19">
        <v>1.98</v>
      </c>
      <c r="Y49" s="19">
        <v>2.8330899999999999</v>
      </c>
      <c r="Z49" s="4"/>
      <c r="AA49" s="4"/>
      <c r="AB49" s="4" t="e">
        <f ca="1">_xll.ciqfunctions.udf.CIQ("^SPX", "IQ_PRICEDATE", "3/4/2014")</f>
        <v>#NAME?</v>
      </c>
      <c r="AC49" s="16">
        <v>1873.9137272164</v>
      </c>
    </row>
    <row r="50" spans="1:29" x14ac:dyDescent="0.35">
      <c r="A50" s="2" t="s">
        <v>60</v>
      </c>
      <c r="B50" s="4" t="s">
        <v>675</v>
      </c>
      <c r="C50" s="4" t="s">
        <v>543</v>
      </c>
      <c r="D50" s="4" t="s">
        <v>544</v>
      </c>
      <c r="E50" s="4" t="s">
        <v>555</v>
      </c>
      <c r="F50" s="4" t="s">
        <v>556</v>
      </c>
      <c r="G50" s="14">
        <v>158.85</v>
      </c>
      <c r="H50" s="10">
        <v>27.055145</v>
      </c>
      <c r="I50" s="10">
        <v>45.285257999999999</v>
      </c>
      <c r="J50" s="10">
        <v>19.048786</v>
      </c>
      <c r="K50" s="15">
        <v>0</v>
      </c>
      <c r="L50" s="17">
        <v>13390.707753999999</v>
      </c>
      <c r="M50" s="4" t="s">
        <v>676</v>
      </c>
      <c r="N50" s="19">
        <v>3.5077639999999999</v>
      </c>
      <c r="O50" s="19">
        <v>5.1750999999999996</v>
      </c>
      <c r="P50" s="19">
        <v>2.98</v>
      </c>
      <c r="Q50" s="19">
        <v>4.1280999999999999</v>
      </c>
      <c r="R50" s="19">
        <v>2.99</v>
      </c>
      <c r="S50" s="19">
        <v>3.7214</v>
      </c>
      <c r="T50" s="19">
        <v>2.99</v>
      </c>
      <c r="U50" s="19">
        <v>3.5400999999999998</v>
      </c>
      <c r="V50" s="19">
        <v>2.7</v>
      </c>
      <c r="W50" s="19">
        <v>3.4318</v>
      </c>
      <c r="X50" s="19">
        <v>2.7</v>
      </c>
      <c r="Y50" s="19">
        <v>3.4318</v>
      </c>
      <c r="Z50" s="4"/>
      <c r="AA50" s="4"/>
      <c r="AB50" s="4" t="e">
        <f ca="1">_xll.ciqfunctions.udf.CIQ("^SPX", "IQ_PRICEDATE", "3/5/2014")</f>
        <v>#NAME?</v>
      </c>
      <c r="AC50" s="16">
        <v>1873.8115208239999</v>
      </c>
    </row>
    <row r="51" spans="1:29" x14ac:dyDescent="0.35">
      <c r="A51" s="2" t="s">
        <v>61</v>
      </c>
      <c r="B51" s="4" t="s">
        <v>677</v>
      </c>
      <c r="C51" s="4" t="s">
        <v>530</v>
      </c>
      <c r="D51" s="4" t="s">
        <v>531</v>
      </c>
      <c r="E51" s="4" t="s">
        <v>569</v>
      </c>
      <c r="F51" s="4" t="s">
        <v>570</v>
      </c>
      <c r="G51" s="14">
        <v>279.58</v>
      </c>
      <c r="H51" s="10">
        <v>14.451527</v>
      </c>
      <c r="I51" s="10">
        <v>17.014026000000001</v>
      </c>
      <c r="J51" s="10" t="s">
        <v>534</v>
      </c>
      <c r="K51" s="15">
        <v>1.073E-2</v>
      </c>
      <c r="L51" s="17">
        <v>72677.849295000007</v>
      </c>
      <c r="M51" s="4" t="s">
        <v>678</v>
      </c>
      <c r="N51" s="19">
        <v>16.432324000000001</v>
      </c>
      <c r="O51" s="19">
        <v>16.466000000000001</v>
      </c>
      <c r="P51" s="19">
        <v>14.35</v>
      </c>
      <c r="Q51" s="19">
        <v>12.1853</v>
      </c>
      <c r="R51" s="19">
        <v>9.2100000000000009</v>
      </c>
      <c r="S51" s="19">
        <v>11.354699999999999</v>
      </c>
      <c r="T51" s="19">
        <v>9.2100000000000009</v>
      </c>
      <c r="U51" s="19">
        <v>10.542</v>
      </c>
      <c r="V51" s="19">
        <v>8.9600000000000009</v>
      </c>
      <c r="W51" s="19">
        <v>9.2853999999999992</v>
      </c>
      <c r="X51" s="19">
        <v>8.9600000000000009</v>
      </c>
      <c r="Y51" s="19">
        <v>9.2853999999999992</v>
      </c>
      <c r="Z51" s="4"/>
      <c r="AA51" s="4"/>
      <c r="AB51" s="4" t="e">
        <f ca="1">_xll.ciqfunctions.udf.CIQ("^SPX", "IQ_PRICEDATE", "3/6/2014")</f>
        <v>#NAME?</v>
      </c>
      <c r="AC51" s="16">
        <v>1877.0258953811001</v>
      </c>
    </row>
    <row r="52" spans="1:29" x14ac:dyDescent="0.35">
      <c r="A52" s="2" t="s">
        <v>62</v>
      </c>
      <c r="B52" s="4" t="s">
        <v>679</v>
      </c>
      <c r="C52" s="4" t="s">
        <v>573</v>
      </c>
      <c r="D52" s="4" t="s">
        <v>579</v>
      </c>
      <c r="E52" s="4" t="s">
        <v>579</v>
      </c>
      <c r="F52" s="4" t="s">
        <v>680</v>
      </c>
      <c r="G52" s="14">
        <v>150.46</v>
      </c>
      <c r="H52" s="10">
        <v>18.739305999999999</v>
      </c>
      <c r="I52" s="10">
        <v>45.505878000000003</v>
      </c>
      <c r="J52" s="10" t="s">
        <v>534</v>
      </c>
      <c r="K52" s="15">
        <v>1.0633999999999999E-2</v>
      </c>
      <c r="L52" s="17">
        <v>36509.922908</v>
      </c>
      <c r="M52" s="4" t="s">
        <v>681</v>
      </c>
      <c r="N52" s="19">
        <v>3.3063859999999998</v>
      </c>
      <c r="O52" s="19">
        <v>8.5817999999999994</v>
      </c>
      <c r="P52" s="19">
        <v>1.53</v>
      </c>
      <c r="Q52" s="19">
        <v>7.5286999999999997</v>
      </c>
      <c r="R52" s="19">
        <v>4.51</v>
      </c>
      <c r="S52" s="19">
        <v>6.8296000000000001</v>
      </c>
      <c r="T52" s="19">
        <v>4.51</v>
      </c>
      <c r="U52" s="19">
        <v>6.2182000000000004</v>
      </c>
      <c r="V52" s="19">
        <v>4.6628829999999999</v>
      </c>
      <c r="W52" s="19">
        <v>5.8129</v>
      </c>
      <c r="X52" s="19">
        <v>4.6628829999999999</v>
      </c>
      <c r="Y52" s="19">
        <v>5.8129</v>
      </c>
      <c r="Z52" s="4"/>
      <c r="AA52" s="4"/>
      <c r="AB52" s="4" t="e">
        <f ca="1">_xll.ciqfunctions.udf.CIQ("^SPX", "IQ_PRICEDATE", "3/7/2014")</f>
        <v>#NAME?</v>
      </c>
      <c r="AC52" s="16">
        <v>1878.0391851899001</v>
      </c>
    </row>
    <row r="53" spans="1:29" x14ac:dyDescent="0.35">
      <c r="A53" s="2" t="s">
        <v>63</v>
      </c>
      <c r="B53" s="4" t="s">
        <v>682</v>
      </c>
      <c r="C53" s="4" t="s">
        <v>669</v>
      </c>
      <c r="D53" s="4" t="s">
        <v>669</v>
      </c>
      <c r="E53" s="4" t="s">
        <v>670</v>
      </c>
      <c r="F53" s="4" t="s">
        <v>671</v>
      </c>
      <c r="G53" s="14">
        <v>43.28</v>
      </c>
      <c r="H53" s="10">
        <v>6.2995989999999997</v>
      </c>
      <c r="I53" s="10">
        <v>19.326829</v>
      </c>
      <c r="J53" s="10">
        <v>2.166601</v>
      </c>
      <c r="K53" s="15">
        <v>2.3105000000000001E-2</v>
      </c>
      <c r="L53" s="17">
        <v>16553.992045999999</v>
      </c>
      <c r="M53" s="4" t="s">
        <v>683</v>
      </c>
      <c r="N53" s="19">
        <v>2.2393740000000002</v>
      </c>
      <c r="O53" s="19">
        <v>2.0139999999999998</v>
      </c>
      <c r="P53" s="19">
        <v>3.41</v>
      </c>
      <c r="Q53" s="19">
        <v>0.89849999999999997</v>
      </c>
      <c r="R53" s="19">
        <v>-3.6200519999999998</v>
      </c>
      <c r="S53" s="19">
        <v>1.1649</v>
      </c>
      <c r="T53" s="19">
        <v>-3.6200519999999998</v>
      </c>
      <c r="U53" s="19">
        <v>-0.7903</v>
      </c>
      <c r="V53" s="19">
        <v>-17.325520000000001</v>
      </c>
      <c r="W53" s="19">
        <v>1.9764999999999999</v>
      </c>
      <c r="X53" s="19">
        <v>-17.325520000000001</v>
      </c>
      <c r="Y53" s="19">
        <v>1.9764999999999999</v>
      </c>
      <c r="Z53" s="4"/>
      <c r="AA53" s="4"/>
      <c r="AB53" s="4" t="e">
        <f ca="1">_xll.ciqfunctions.udf.CIQ("^SPX", "IQ_PRICEDATE", "3/10/2014")</f>
        <v>#NAME?</v>
      </c>
      <c r="AC53" s="16">
        <v>1877.1738938220001</v>
      </c>
    </row>
    <row r="54" spans="1:29" x14ac:dyDescent="0.35">
      <c r="A54" s="2" t="s">
        <v>64</v>
      </c>
      <c r="B54" s="4" t="s">
        <v>684</v>
      </c>
      <c r="C54" s="4" t="s">
        <v>601</v>
      </c>
      <c r="D54" s="4" t="s">
        <v>601</v>
      </c>
      <c r="E54" s="4" t="s">
        <v>602</v>
      </c>
      <c r="F54" s="4" t="s">
        <v>685</v>
      </c>
      <c r="G54" s="14">
        <v>42.84</v>
      </c>
      <c r="H54" s="10">
        <v>18.993903</v>
      </c>
      <c r="I54" s="10">
        <v>18.426662</v>
      </c>
      <c r="J54" s="10">
        <v>4.5242969999999998</v>
      </c>
      <c r="K54" s="15">
        <v>3.5479999999999998E-2</v>
      </c>
      <c r="L54" s="17">
        <v>6740.935176</v>
      </c>
      <c r="M54" s="4" t="s">
        <v>686</v>
      </c>
      <c r="N54" s="19">
        <v>2.3248920000000002</v>
      </c>
      <c r="O54" s="19">
        <v>0.33029999999999998</v>
      </c>
      <c r="P54" s="19">
        <v>1.96</v>
      </c>
      <c r="Q54" s="19">
        <v>0.66559999999999997</v>
      </c>
      <c r="R54" s="19">
        <v>2.67</v>
      </c>
      <c r="S54" s="19">
        <v>0.29970000000000002</v>
      </c>
      <c r="T54" s="19">
        <v>2.67</v>
      </c>
      <c r="U54" s="19">
        <v>0.47310000000000002</v>
      </c>
      <c r="V54" s="19">
        <v>2.06</v>
      </c>
      <c r="W54" s="19">
        <v>0.43669999999999998</v>
      </c>
      <c r="X54" s="19">
        <v>2.06</v>
      </c>
      <c r="Y54" s="19">
        <v>0.43669999999999998</v>
      </c>
      <c r="Z54" s="4"/>
      <c r="AA54" s="4"/>
      <c r="AB54" s="4" t="e">
        <f ca="1">_xll.ciqfunctions.udf.CIQ("^SPX", "IQ_PRICEDATE", "3/11/2014")</f>
        <v>#NAME?</v>
      </c>
      <c r="AC54" s="16">
        <v>1867.6260374315</v>
      </c>
    </row>
    <row r="55" spans="1:29" x14ac:dyDescent="0.35">
      <c r="A55" s="2" t="s">
        <v>65</v>
      </c>
      <c r="B55" s="4" t="s">
        <v>687</v>
      </c>
      <c r="C55" s="4" t="s">
        <v>543</v>
      </c>
      <c r="D55" s="4" t="s">
        <v>664</v>
      </c>
      <c r="E55" s="4" t="s">
        <v>688</v>
      </c>
      <c r="F55" s="4" t="s">
        <v>688</v>
      </c>
      <c r="G55" s="14">
        <v>221.19</v>
      </c>
      <c r="H55" s="10">
        <v>14.159171000000001</v>
      </c>
      <c r="I55" s="10">
        <v>20.039470000000001</v>
      </c>
      <c r="J55" s="10">
        <v>9.3189569999999993</v>
      </c>
      <c r="K55" s="15">
        <v>1.3201000000000001E-2</v>
      </c>
      <c r="L55" s="17">
        <v>1068332.2167</v>
      </c>
      <c r="M55" s="4" t="s">
        <v>689</v>
      </c>
      <c r="N55" s="19">
        <v>11.037717000000001</v>
      </c>
      <c r="O55" s="19">
        <v>13.3803</v>
      </c>
      <c r="P55" s="19">
        <v>9.7002210000000009</v>
      </c>
      <c r="Q55" s="19">
        <v>11.456049999999999</v>
      </c>
      <c r="R55" s="19">
        <v>8.3295469999999998</v>
      </c>
      <c r="S55" s="19">
        <v>9.0141500000000008</v>
      </c>
      <c r="T55" s="19">
        <v>8.3295469999999998</v>
      </c>
      <c r="U55" s="19">
        <v>9.7505699999999997</v>
      </c>
      <c r="V55" s="19">
        <v>7.3854069999999998</v>
      </c>
      <c r="W55" s="19">
        <v>7.7707300000000004</v>
      </c>
      <c r="X55" s="19">
        <v>7.3854069999999998</v>
      </c>
      <c r="Y55" s="19">
        <v>7.7707300000000004</v>
      </c>
      <c r="Z55" s="4"/>
      <c r="AA55" s="4"/>
      <c r="AB55" s="4" t="e">
        <f ca="1">_xll.ciqfunctions.udf.CIQ("^SPX", "IQ_PRICEDATE", "3/12/2014")</f>
        <v>#NAME?</v>
      </c>
      <c r="AC55" s="16">
        <v>1868.1951226484</v>
      </c>
    </row>
    <row r="56" spans="1:29" x14ac:dyDescent="0.35">
      <c r="A56" s="2" t="s">
        <v>66</v>
      </c>
      <c r="B56" s="4" t="s">
        <v>690</v>
      </c>
      <c r="C56" s="4" t="s">
        <v>543</v>
      </c>
      <c r="D56" s="4" t="s">
        <v>565</v>
      </c>
      <c r="E56" s="4" t="s">
        <v>565</v>
      </c>
      <c r="F56" s="4" t="s">
        <v>691</v>
      </c>
      <c r="G56" s="14">
        <v>34.96</v>
      </c>
      <c r="H56" s="10">
        <v>6.7097850000000001</v>
      </c>
      <c r="I56" s="10">
        <v>10.708788999999999</v>
      </c>
      <c r="J56" s="10">
        <v>10.759346000000001</v>
      </c>
      <c r="K56" s="15">
        <v>2.2883000000000001E-2</v>
      </c>
      <c r="L56" s="17">
        <v>34365.348614000002</v>
      </c>
      <c r="M56" s="4" t="s">
        <v>692</v>
      </c>
      <c r="N56" s="19">
        <v>3.264608</v>
      </c>
      <c r="O56" s="19">
        <v>3.9666999999999999</v>
      </c>
      <c r="P56" s="19">
        <v>3.17</v>
      </c>
      <c r="Q56" s="19">
        <v>4.0048399999999997</v>
      </c>
      <c r="R56" s="19">
        <v>1.54</v>
      </c>
      <c r="S56" s="19">
        <v>2.37785</v>
      </c>
      <c r="T56" s="19">
        <v>1.54</v>
      </c>
      <c r="U56" s="19">
        <v>1.2066399999999999</v>
      </c>
      <c r="V56" s="19">
        <v>0.87</v>
      </c>
      <c r="W56" s="19">
        <v>1.30138</v>
      </c>
      <c r="X56" s="19">
        <v>0.87</v>
      </c>
      <c r="Y56" s="19">
        <v>1.30138</v>
      </c>
      <c r="Z56" s="4"/>
      <c r="AA56" s="4"/>
      <c r="AB56" s="4" t="e">
        <f ca="1">_xll.ciqfunctions.udf.CIQ("^SPX", "IQ_PRICEDATE", "3/13/2014")</f>
        <v>#NAME?</v>
      </c>
      <c r="AC56" s="16">
        <v>1846.3448121255001</v>
      </c>
    </row>
    <row r="57" spans="1:29" x14ac:dyDescent="0.35">
      <c r="A57" s="2" t="s">
        <v>67</v>
      </c>
      <c r="B57" s="4" t="s">
        <v>693</v>
      </c>
      <c r="C57" s="4" t="s">
        <v>559</v>
      </c>
      <c r="D57" s="4" t="s">
        <v>694</v>
      </c>
      <c r="E57" s="4" t="s">
        <v>695</v>
      </c>
      <c r="F57" s="4" t="s">
        <v>696</v>
      </c>
      <c r="G57" s="14">
        <v>73.98</v>
      </c>
      <c r="H57" s="10">
        <v>10.14565</v>
      </c>
      <c r="I57" s="10">
        <v>18.121883</v>
      </c>
      <c r="J57" s="10">
        <v>161.92789999999999</v>
      </c>
      <c r="K57" s="15">
        <v>1.1894999999999999E-2</v>
      </c>
      <c r="L57" s="17">
        <v>19585.316129999999</v>
      </c>
      <c r="M57" s="4" t="s">
        <v>697</v>
      </c>
      <c r="N57" s="19">
        <v>4.082357</v>
      </c>
      <c r="O57" s="19">
        <v>5.5492999999999997</v>
      </c>
      <c r="P57" s="19">
        <v>3.6982119999999998</v>
      </c>
      <c r="Q57" s="19">
        <v>5.1178999999999997</v>
      </c>
      <c r="R57" s="19">
        <v>2.9166349999999999</v>
      </c>
      <c r="S57" s="19">
        <v>6.3044000000000002</v>
      </c>
      <c r="T57" s="19">
        <v>2.9166349999999999</v>
      </c>
      <c r="U57" s="19">
        <v>5.9668999999999999</v>
      </c>
      <c r="V57" s="19">
        <v>4.2812520000000003</v>
      </c>
      <c r="W57" s="19">
        <v>5.5155000000000003</v>
      </c>
      <c r="X57" s="19">
        <v>4.2812520000000003</v>
      </c>
      <c r="Y57" s="19">
        <v>5.5155000000000003</v>
      </c>
      <c r="Z57" s="4"/>
      <c r="AA57" s="4"/>
      <c r="AB57" s="4" t="e">
        <f ca="1">_xll.ciqfunctions.udf.CIQ("^SPX", "IQ_PRICEDATE", "3/14/2014")</f>
        <v>#NAME?</v>
      </c>
      <c r="AC57" s="16">
        <v>1841.1335089520001</v>
      </c>
    </row>
    <row r="58" spans="1:29" x14ac:dyDescent="0.35">
      <c r="A58" s="2" t="s">
        <v>68</v>
      </c>
      <c r="B58" s="4" t="s">
        <v>698</v>
      </c>
      <c r="C58" s="4" t="s">
        <v>626</v>
      </c>
      <c r="D58" s="4" t="s">
        <v>627</v>
      </c>
      <c r="E58" s="4" t="s">
        <v>699</v>
      </c>
      <c r="F58" s="4" t="s">
        <v>700</v>
      </c>
      <c r="G58" s="14">
        <v>49.03</v>
      </c>
      <c r="H58" s="10">
        <v>10.862416</v>
      </c>
      <c r="I58" s="10">
        <v>14.316916000000001</v>
      </c>
      <c r="J58" s="10">
        <v>1.8424149999999999</v>
      </c>
      <c r="K58" s="15">
        <v>2.733E-2</v>
      </c>
      <c r="L58" s="17">
        <v>27443.924623999999</v>
      </c>
      <c r="M58" s="4" t="s">
        <v>701</v>
      </c>
      <c r="N58" s="19">
        <v>3.42462</v>
      </c>
      <c r="O58" s="19">
        <v>3.6072000000000002</v>
      </c>
      <c r="P58" s="19">
        <v>2.79</v>
      </c>
      <c r="Q58" s="19">
        <v>2.6318000000000001</v>
      </c>
      <c r="R58" s="19">
        <v>2.16</v>
      </c>
      <c r="S58" s="19">
        <v>2.8992</v>
      </c>
      <c r="T58" s="19">
        <v>2.16</v>
      </c>
      <c r="U58" s="19">
        <v>2.9195000000000002</v>
      </c>
      <c r="V58" s="19">
        <v>3.43</v>
      </c>
      <c r="W58" s="19">
        <v>3.5432000000000001</v>
      </c>
      <c r="X58" s="19">
        <v>3.43</v>
      </c>
      <c r="Y58" s="19">
        <v>3.5432000000000001</v>
      </c>
      <c r="Z58" s="4"/>
      <c r="AA58" s="4"/>
      <c r="AB58" s="4" t="e">
        <f ca="1">_xll.ciqfunctions.udf.CIQ("^SPX", "IQ_PRICEDATE", "3/17/2014")</f>
        <v>#NAME?</v>
      </c>
      <c r="AC58" s="16">
        <v>1858.8322294687</v>
      </c>
    </row>
    <row r="59" spans="1:29" x14ac:dyDescent="0.35">
      <c r="A59" s="2" t="s">
        <v>69</v>
      </c>
      <c r="B59" s="4" t="s">
        <v>702</v>
      </c>
      <c r="C59" s="4" t="s">
        <v>525</v>
      </c>
      <c r="D59" s="4" t="s">
        <v>526</v>
      </c>
      <c r="E59" s="4" t="s">
        <v>703</v>
      </c>
      <c r="F59" s="4" t="s">
        <v>703</v>
      </c>
      <c r="G59" s="14">
        <v>22.52</v>
      </c>
      <c r="H59" s="10">
        <v>9.0503370000000007</v>
      </c>
      <c r="I59" s="10" t="s">
        <v>534</v>
      </c>
      <c r="J59" s="10" t="s">
        <v>534</v>
      </c>
      <c r="K59" s="15">
        <v>1.0657000000000002E-2</v>
      </c>
      <c r="L59" s="17">
        <v>10876.140249</v>
      </c>
      <c r="M59" s="4" t="s">
        <v>704</v>
      </c>
      <c r="N59" s="19">
        <v>-0.83657099999999995</v>
      </c>
      <c r="O59" s="19">
        <v>1.3976</v>
      </c>
      <c r="P59" s="19">
        <v>-0.28159600000000001</v>
      </c>
      <c r="Q59" s="19">
        <v>1.3622000000000001</v>
      </c>
      <c r="R59" s="19">
        <v>-2.5821909999999999</v>
      </c>
      <c r="S59" s="19">
        <v>1.2056500000000001</v>
      </c>
      <c r="T59" s="19">
        <v>-2.5821909999999999</v>
      </c>
      <c r="U59" s="19">
        <v>0</v>
      </c>
      <c r="V59" s="19">
        <v>-0.21188599999999999</v>
      </c>
      <c r="W59" s="19">
        <v>0</v>
      </c>
      <c r="X59" s="19">
        <v>-0.21188599999999999</v>
      </c>
      <c r="Y59" s="19">
        <v>0</v>
      </c>
      <c r="Z59" s="4"/>
      <c r="AA59" s="4"/>
      <c r="AB59" s="4" t="e">
        <f ca="1">_xll.ciqfunctions.udf.CIQ("^SPX", "IQ_PRICEDATE", "3/18/2014")</f>
        <v>#NAME?</v>
      </c>
      <c r="AC59" s="16">
        <v>1872.2515034585999</v>
      </c>
    </row>
    <row r="60" spans="1:29" x14ac:dyDescent="0.35">
      <c r="A60" s="2" t="s">
        <v>70</v>
      </c>
      <c r="B60" s="4" t="s">
        <v>705</v>
      </c>
      <c r="C60" s="4" t="s">
        <v>543</v>
      </c>
      <c r="D60" s="4" t="s">
        <v>664</v>
      </c>
      <c r="E60" s="4" t="s">
        <v>706</v>
      </c>
      <c r="F60" s="4" t="s">
        <v>706</v>
      </c>
      <c r="G60" s="14">
        <v>238.95</v>
      </c>
      <c r="H60" s="10">
        <v>26.489977</v>
      </c>
      <c r="I60" s="10">
        <v>81.112485000000007</v>
      </c>
      <c r="J60" s="10">
        <v>10.390459</v>
      </c>
      <c r="K60" s="15">
        <v>0</v>
      </c>
      <c r="L60" s="17">
        <v>17879.120487</v>
      </c>
      <c r="M60" s="4" t="s">
        <v>707</v>
      </c>
      <c r="N60" s="19">
        <v>2.9459089999999999</v>
      </c>
      <c r="O60" s="19">
        <v>7.7565999999999997</v>
      </c>
      <c r="P60" s="19">
        <v>5.349253</v>
      </c>
      <c r="Q60" s="19">
        <v>5.8776999999999999</v>
      </c>
      <c r="R60" s="19">
        <v>2.499781</v>
      </c>
      <c r="S60" s="19">
        <v>3.2968000000000002</v>
      </c>
      <c r="T60" s="19">
        <v>2.499781</v>
      </c>
      <c r="U60" s="19">
        <v>2.4504000000000001</v>
      </c>
      <c r="V60" s="19">
        <v>1.291884</v>
      </c>
      <c r="W60" s="19">
        <v>1.4689000000000001</v>
      </c>
      <c r="X60" s="19">
        <v>1.291884</v>
      </c>
      <c r="Y60" s="19">
        <v>1.4689000000000001</v>
      </c>
      <c r="Z60" s="4"/>
      <c r="AA60" s="4"/>
      <c r="AB60" s="4" t="e">
        <f ca="1">_xll.ciqfunctions.udf.CIQ("^SPX", "IQ_PRICEDATE", "3/19/2014")</f>
        <v>#NAME?</v>
      </c>
      <c r="AC60" s="16">
        <v>1860.771428732</v>
      </c>
    </row>
    <row r="61" spans="1:29" x14ac:dyDescent="0.35">
      <c r="A61" s="2" t="s">
        <v>71</v>
      </c>
      <c r="B61" s="4" t="s">
        <v>708</v>
      </c>
      <c r="C61" s="4" t="s">
        <v>573</v>
      </c>
      <c r="D61" s="4" t="s">
        <v>579</v>
      </c>
      <c r="E61" s="4" t="s">
        <v>579</v>
      </c>
      <c r="F61" s="4" t="s">
        <v>680</v>
      </c>
      <c r="G61" s="14">
        <v>72.11</v>
      </c>
      <c r="H61" s="10">
        <v>15.740428</v>
      </c>
      <c r="I61" s="10">
        <v>24.028448000000001</v>
      </c>
      <c r="J61" s="10" t="s">
        <v>534</v>
      </c>
      <c r="K61" s="15">
        <v>2.2743000000000003E-2</v>
      </c>
      <c r="L61" s="17">
        <v>13168.151320000001</v>
      </c>
      <c r="M61" s="4" t="s">
        <v>709</v>
      </c>
      <c r="N61" s="19">
        <v>3.001026</v>
      </c>
      <c r="O61" s="19">
        <v>3.6972</v>
      </c>
      <c r="P61" s="19">
        <v>2.54</v>
      </c>
      <c r="Q61" s="19">
        <v>3.2663000000000002</v>
      </c>
      <c r="R61" s="19">
        <v>2.3199999999999998</v>
      </c>
      <c r="S61" s="19">
        <v>2.9754</v>
      </c>
      <c r="T61" s="19">
        <v>2.3199999999999998</v>
      </c>
      <c r="U61" s="19">
        <v>2.6560000000000001</v>
      </c>
      <c r="V61" s="19">
        <v>1.97</v>
      </c>
      <c r="W61" s="19">
        <v>2.6497999999999999</v>
      </c>
      <c r="X61" s="19">
        <v>1.97</v>
      </c>
      <c r="Y61" s="19">
        <v>2.6497999999999999</v>
      </c>
      <c r="Z61" s="4"/>
      <c r="AA61" s="4"/>
      <c r="AB61" s="4" t="e">
        <f ca="1">_xll.ciqfunctions.udf.CIQ("^SPX", "IQ_PRICEDATE", "3/20/2014")</f>
        <v>#NAME?</v>
      </c>
      <c r="AC61" s="16">
        <v>1872.0084084619</v>
      </c>
    </row>
    <row r="62" spans="1:29" x14ac:dyDescent="0.35">
      <c r="A62" s="2" t="s">
        <v>72</v>
      </c>
      <c r="B62" s="4" t="s">
        <v>710</v>
      </c>
      <c r="C62" s="4" t="s">
        <v>573</v>
      </c>
      <c r="D62" s="4" t="s">
        <v>579</v>
      </c>
      <c r="E62" s="4" t="s">
        <v>579</v>
      </c>
      <c r="F62" s="4" t="s">
        <v>644</v>
      </c>
      <c r="G62" s="14">
        <v>105.89</v>
      </c>
      <c r="H62" s="10">
        <v>14.818097</v>
      </c>
      <c r="I62" s="10">
        <v>13.824254</v>
      </c>
      <c r="J62" s="10">
        <v>2.935953</v>
      </c>
      <c r="K62" s="15">
        <v>2.1154000000000003E-2</v>
      </c>
      <c r="L62" s="17">
        <v>6616.8672390000002</v>
      </c>
      <c r="M62" s="4" t="s">
        <v>711</v>
      </c>
      <c r="N62" s="19">
        <v>7.659726</v>
      </c>
      <c r="O62" s="19">
        <v>7.9082999999999997</v>
      </c>
      <c r="P62" s="19">
        <v>9.3899989999999995</v>
      </c>
      <c r="Q62" s="19">
        <v>6.7249999999999996</v>
      </c>
      <c r="R62" s="19">
        <v>9.1300000000000008</v>
      </c>
      <c r="S62" s="19">
        <v>5.0307000000000004</v>
      </c>
      <c r="T62" s="19">
        <v>9.1300000000000008</v>
      </c>
      <c r="U62" s="19">
        <v>6.3696000000000002</v>
      </c>
      <c r="V62" s="19">
        <v>6.4399990000000003</v>
      </c>
      <c r="W62" s="19">
        <v>6.4756</v>
      </c>
      <c r="X62" s="19">
        <v>6.4399990000000003</v>
      </c>
      <c r="Y62" s="19">
        <v>6.4756</v>
      </c>
      <c r="Z62" s="4"/>
      <c r="AA62" s="4"/>
      <c r="AB62" s="4" t="e">
        <f ca="1">_xll.ciqfunctions.udf.CIQ("^SPX", "IQ_PRICEDATE", "3/21/2014")</f>
        <v>#NAME?</v>
      </c>
      <c r="AC62" s="16">
        <v>1866.5207372805</v>
      </c>
    </row>
    <row r="63" spans="1:29" x14ac:dyDescent="0.35">
      <c r="A63" s="2" t="s">
        <v>73</v>
      </c>
      <c r="B63" s="4" t="s">
        <v>712</v>
      </c>
      <c r="C63" s="4" t="s">
        <v>549</v>
      </c>
      <c r="D63" s="4" t="s">
        <v>713</v>
      </c>
      <c r="E63" s="4" t="s">
        <v>714</v>
      </c>
      <c r="F63" s="4" t="s">
        <v>715</v>
      </c>
      <c r="G63" s="14">
        <v>32.57</v>
      </c>
      <c r="H63" s="10">
        <v>9.1452080000000002</v>
      </c>
      <c r="I63" s="10">
        <v>6.364617</v>
      </c>
      <c r="J63" s="10" t="s">
        <v>534</v>
      </c>
      <c r="K63" s="15">
        <v>6.1406000000000002E-2</v>
      </c>
      <c r="L63" s="17">
        <v>236523.34</v>
      </c>
      <c r="M63" s="4" t="s">
        <v>716</v>
      </c>
      <c r="N63" s="19">
        <v>5.1173539999999997</v>
      </c>
      <c r="O63" s="19">
        <v>3.5756999999999999</v>
      </c>
      <c r="P63" s="19">
        <v>4.7651620000000001</v>
      </c>
      <c r="Q63" s="19">
        <v>2.9018000000000002</v>
      </c>
      <c r="R63" s="19">
        <v>2.0987230000000001</v>
      </c>
      <c r="S63" s="19">
        <v>2.9396</v>
      </c>
      <c r="T63" s="19">
        <v>2.0987230000000001</v>
      </c>
      <c r="U63" s="19">
        <v>2.8005</v>
      </c>
      <c r="V63" s="19">
        <v>1.236353</v>
      </c>
      <c r="W63" s="19">
        <v>2.5251000000000001</v>
      </c>
      <c r="X63" s="19">
        <v>1.236353</v>
      </c>
      <c r="Y63" s="19">
        <v>2.5251000000000001</v>
      </c>
      <c r="Z63" s="4"/>
      <c r="AA63" s="4"/>
      <c r="AB63" s="4" t="e">
        <f ca="1">_xll.ciqfunctions.udf.CIQ("^SPX", "IQ_PRICEDATE", "3/24/2014")</f>
        <v>#NAME?</v>
      </c>
      <c r="AC63" s="16">
        <v>1857.4444747878999</v>
      </c>
    </row>
    <row r="64" spans="1:29" x14ac:dyDescent="0.35">
      <c r="A64" s="2" t="s">
        <v>74</v>
      </c>
      <c r="B64" s="4" t="s">
        <v>717</v>
      </c>
      <c r="C64" s="4" t="s">
        <v>543</v>
      </c>
      <c r="D64" s="4" t="s">
        <v>544</v>
      </c>
      <c r="E64" s="4" t="s">
        <v>555</v>
      </c>
      <c r="F64" s="4" t="s">
        <v>556</v>
      </c>
      <c r="G64" s="14">
        <v>141.77000000000001</v>
      </c>
      <c r="H64" s="10" t="s">
        <v>534</v>
      </c>
      <c r="I64" s="10" t="s">
        <v>534</v>
      </c>
      <c r="J64" s="10" t="s">
        <v>534</v>
      </c>
      <c r="K64" s="15">
        <v>0</v>
      </c>
      <c r="L64" s="17">
        <v>30993.280060000001</v>
      </c>
      <c r="M64" s="4" t="s">
        <v>718</v>
      </c>
      <c r="N64" s="19">
        <v>-1.8950009999999999</v>
      </c>
      <c r="O64" s="19">
        <v>1.9783999999999999</v>
      </c>
      <c r="P64" s="19">
        <v>-2.5763630000000002</v>
      </c>
      <c r="Q64" s="19">
        <v>0.66180000000000005</v>
      </c>
      <c r="R64" s="19">
        <v>-1.9964839999999999</v>
      </c>
      <c r="S64" s="19">
        <v>-0.52749999999999997</v>
      </c>
      <c r="T64" s="19">
        <v>-1.9964839999999999</v>
      </c>
      <c r="U64" s="19">
        <v>-0.3221</v>
      </c>
      <c r="V64" s="19">
        <v>0.53063800000000005</v>
      </c>
      <c r="W64" s="19">
        <v>1.2554000000000001</v>
      </c>
      <c r="X64" s="19">
        <v>0.53063800000000005</v>
      </c>
      <c r="Y64" s="19">
        <v>1.2554000000000001</v>
      </c>
      <c r="Z64" s="4"/>
      <c r="AA64" s="4"/>
      <c r="AB64" s="4" t="e">
        <f ca="1">_xll.ciqfunctions.udf.CIQ("^SPX", "IQ_PRICEDATE", "3/25/2014")</f>
        <v>#NAME?</v>
      </c>
      <c r="AC64" s="16">
        <v>1865.6243739253</v>
      </c>
    </row>
    <row r="65" spans="1:29" x14ac:dyDescent="0.35">
      <c r="A65" s="2" t="s">
        <v>75</v>
      </c>
      <c r="B65" s="4" t="s">
        <v>719</v>
      </c>
      <c r="C65" s="4" t="s">
        <v>543</v>
      </c>
      <c r="D65" s="4" t="s">
        <v>544</v>
      </c>
      <c r="E65" s="4" t="s">
        <v>545</v>
      </c>
      <c r="F65" s="4" t="s">
        <v>616</v>
      </c>
      <c r="G65" s="14">
        <v>143.66</v>
      </c>
      <c r="H65" s="10">
        <v>21.476887999999999</v>
      </c>
      <c r="I65" s="10">
        <v>39.251365999999997</v>
      </c>
      <c r="J65" s="10">
        <v>191.19817599999999</v>
      </c>
      <c r="K65" s="15">
        <v>1.9212E-2</v>
      </c>
      <c r="L65" s="17">
        <v>62842.607558000003</v>
      </c>
      <c r="M65" s="4" t="s">
        <v>720</v>
      </c>
      <c r="N65" s="19">
        <v>3.66</v>
      </c>
      <c r="O65" s="19">
        <v>5.1756099999999998</v>
      </c>
      <c r="P65" s="19">
        <v>3.8696419999999998</v>
      </c>
      <c r="Q65" s="19">
        <v>3.9645000000000001</v>
      </c>
      <c r="R65" s="19">
        <v>3.7221359999999999</v>
      </c>
      <c r="S65" s="19">
        <v>3.6962000000000002</v>
      </c>
      <c r="T65" s="19">
        <v>3.7221359999999999</v>
      </c>
      <c r="U65" s="19">
        <v>3.3454999999999999</v>
      </c>
      <c r="V65" s="19">
        <v>2.6802760000000001</v>
      </c>
      <c r="W65" s="19">
        <v>3.0026000000000002</v>
      </c>
      <c r="X65" s="19">
        <v>2.6802760000000001</v>
      </c>
      <c r="Y65" s="19">
        <v>3.0026000000000002</v>
      </c>
      <c r="Z65" s="4"/>
      <c r="AA65" s="4"/>
      <c r="AB65" s="4" t="e">
        <f ca="1">_xll.ciqfunctions.udf.CIQ("^SPX", "IQ_PRICEDATE", "3/26/2014")</f>
        <v>#NAME?</v>
      </c>
      <c r="AC65" s="16">
        <v>1852.5611685929</v>
      </c>
    </row>
    <row r="66" spans="1:29" x14ac:dyDescent="0.35">
      <c r="A66" s="2" t="s">
        <v>76</v>
      </c>
      <c r="B66" s="4" t="s">
        <v>721</v>
      </c>
      <c r="C66" s="4" t="s">
        <v>559</v>
      </c>
      <c r="D66" s="4" t="s">
        <v>560</v>
      </c>
      <c r="E66" s="4" t="s">
        <v>561</v>
      </c>
      <c r="F66" s="4" t="s">
        <v>562</v>
      </c>
      <c r="G66" s="14">
        <v>714.71</v>
      </c>
      <c r="H66" s="10">
        <v>9.9934390000000004</v>
      </c>
      <c r="I66" s="10">
        <v>14.654705</v>
      </c>
      <c r="J66" s="10" t="s">
        <v>534</v>
      </c>
      <c r="K66" s="15">
        <v>0</v>
      </c>
      <c r="L66" s="17">
        <v>18398.06482</v>
      </c>
      <c r="M66" s="4" t="s">
        <v>722</v>
      </c>
      <c r="N66" s="19">
        <v>48.77</v>
      </c>
      <c r="O66" s="19">
        <v>57.526809999999998</v>
      </c>
      <c r="P66" s="19">
        <v>44.790261000000001</v>
      </c>
      <c r="Q66" s="19">
        <v>47.839100000000002</v>
      </c>
      <c r="R66" s="19">
        <v>41.844641000000003</v>
      </c>
      <c r="S66" s="19">
        <v>46.582099999999997</v>
      </c>
      <c r="T66" s="19">
        <v>41.844641000000003</v>
      </c>
      <c r="U66" s="19">
        <v>41.786000000000001</v>
      </c>
      <c r="V66" s="19">
        <v>32.623027999999998</v>
      </c>
      <c r="W66" s="19">
        <v>36.801200000000001</v>
      </c>
      <c r="X66" s="19">
        <v>32.623027999999998</v>
      </c>
      <c r="Y66" s="19">
        <v>36.801200000000001</v>
      </c>
      <c r="Z66" s="4"/>
      <c r="AA66" s="4"/>
      <c r="AB66" s="4" t="e">
        <f ca="1">_xll.ciqfunctions.udf.CIQ("^SPX", "IQ_PRICEDATE", "3/27/2014")</f>
        <v>#NAME?</v>
      </c>
      <c r="AC66" s="16">
        <v>1849.0426430863999</v>
      </c>
    </row>
    <row r="67" spans="1:29" x14ac:dyDescent="0.35">
      <c r="A67" s="2" t="s">
        <v>77</v>
      </c>
      <c r="B67" s="4" t="s">
        <v>723</v>
      </c>
      <c r="C67" s="4" t="s">
        <v>601</v>
      </c>
      <c r="D67" s="4" t="s">
        <v>601</v>
      </c>
      <c r="E67" s="4" t="s">
        <v>602</v>
      </c>
      <c r="F67" s="4" t="s">
        <v>685</v>
      </c>
      <c r="G67" s="14">
        <v>176</v>
      </c>
      <c r="H67" s="10">
        <v>21.987911</v>
      </c>
      <c r="I67" s="10">
        <v>27.894634</v>
      </c>
      <c r="J67" s="10">
        <v>2.3331940000000002</v>
      </c>
      <c r="K67" s="15">
        <v>3.3409000000000001E-2</v>
      </c>
      <c r="L67" s="17">
        <v>24326.496127999999</v>
      </c>
      <c r="M67" s="4" t="s">
        <v>724</v>
      </c>
      <c r="N67" s="19">
        <v>6.3094570000000001</v>
      </c>
      <c r="O67" s="19">
        <v>4.8205</v>
      </c>
      <c r="P67" s="19">
        <v>6.3517340000000004</v>
      </c>
      <c r="Q67" s="19">
        <v>4.6833</v>
      </c>
      <c r="R67" s="19">
        <v>7.522411</v>
      </c>
      <c r="S67" s="19">
        <v>4.4530000000000003</v>
      </c>
      <c r="T67" s="19">
        <v>7.522411</v>
      </c>
      <c r="U67" s="19">
        <v>4.3085000000000004</v>
      </c>
      <c r="V67" s="19">
        <v>4.9179760000000003</v>
      </c>
      <c r="W67" s="19">
        <v>3.7132999999999998</v>
      </c>
      <c r="X67" s="19">
        <v>4.9179760000000003</v>
      </c>
      <c r="Y67" s="19">
        <v>3.7132999999999998</v>
      </c>
      <c r="Z67" s="4"/>
      <c r="AA67" s="4"/>
      <c r="AB67" s="4" t="e">
        <f ca="1">_xll.ciqfunctions.udf.CIQ("^SPX", "IQ_PRICEDATE", "3/28/2014")</f>
        <v>#NAME?</v>
      </c>
      <c r="AC67" s="16">
        <v>1857.6207873610999</v>
      </c>
    </row>
    <row r="68" spans="1:29" x14ac:dyDescent="0.35">
      <c r="A68" s="2" t="s">
        <v>78</v>
      </c>
      <c r="B68" s="4" t="s">
        <v>725</v>
      </c>
      <c r="C68" s="4" t="s">
        <v>586</v>
      </c>
      <c r="D68" s="4" t="s">
        <v>586</v>
      </c>
      <c r="E68" s="4" t="s">
        <v>726</v>
      </c>
      <c r="F68" s="4" t="s">
        <v>727</v>
      </c>
      <c r="G68" s="14">
        <v>99.55</v>
      </c>
      <c r="H68" s="10">
        <v>10.900296000000001</v>
      </c>
      <c r="I68" s="10">
        <v>33.142623</v>
      </c>
      <c r="J68" s="10" t="s">
        <v>534</v>
      </c>
      <c r="K68" s="15">
        <v>2.0893999999999999E-2</v>
      </c>
      <c r="L68" s="17">
        <v>8702.4660810000005</v>
      </c>
      <c r="M68" s="4" t="s">
        <v>728</v>
      </c>
      <c r="N68" s="19">
        <v>3.0036849999999999</v>
      </c>
      <c r="O68" s="19">
        <v>6.3192000000000004</v>
      </c>
      <c r="P68" s="19">
        <v>3.13</v>
      </c>
      <c r="Q68" s="19">
        <v>5.5392999999999999</v>
      </c>
      <c r="R68" s="19">
        <v>3.54</v>
      </c>
      <c r="S68" s="19">
        <v>4.3076999999999996</v>
      </c>
      <c r="T68" s="19">
        <v>3.54</v>
      </c>
      <c r="U68" s="19">
        <v>3.6417000000000002</v>
      </c>
      <c r="V68" s="19">
        <v>2.2942740000000001</v>
      </c>
      <c r="W68" s="19">
        <v>3.3010000000000002</v>
      </c>
      <c r="X68" s="19">
        <v>2.2942740000000001</v>
      </c>
      <c r="Y68" s="19">
        <v>3.3010000000000002</v>
      </c>
      <c r="Z68" s="4"/>
      <c r="AA68" s="4"/>
      <c r="AB68" s="4" t="e">
        <f ca="1">_xll.ciqfunctions.udf.CIQ("^SPX", "IQ_PRICEDATE", "3/31/2014")</f>
        <v>#NAME?</v>
      </c>
      <c r="AC68" s="16">
        <v>1872.3351792173</v>
      </c>
    </row>
    <row r="69" spans="1:29" x14ac:dyDescent="0.35">
      <c r="A69" s="2" t="s">
        <v>79</v>
      </c>
      <c r="B69" s="4" t="s">
        <v>729</v>
      </c>
      <c r="C69" s="4" t="s">
        <v>669</v>
      </c>
      <c r="D69" s="4" t="s">
        <v>669</v>
      </c>
      <c r="E69" s="4" t="s">
        <v>730</v>
      </c>
      <c r="F69" s="4" t="s">
        <v>731</v>
      </c>
      <c r="G69" s="14">
        <v>30.79</v>
      </c>
      <c r="H69" s="10">
        <v>16.215605</v>
      </c>
      <c r="I69" s="10" t="s">
        <v>534</v>
      </c>
      <c r="J69" s="10" t="s">
        <v>534</v>
      </c>
      <c r="K69" s="15">
        <v>2.3384000000000002E-2</v>
      </c>
      <c r="L69" s="17">
        <v>12674.751071000001</v>
      </c>
      <c r="M69" s="4" t="s">
        <v>732</v>
      </c>
      <c r="N69" s="19">
        <v>-5.3901999999999999E-2</v>
      </c>
      <c r="O69" s="19">
        <v>1.0951</v>
      </c>
      <c r="P69" s="19">
        <v>-0.17096</v>
      </c>
      <c r="Q69" s="19">
        <v>0.8427</v>
      </c>
      <c r="R69" s="19">
        <v>0</v>
      </c>
      <c r="S69" s="19">
        <v>0</v>
      </c>
      <c r="T69" s="19">
        <v>0</v>
      </c>
      <c r="U69" s="19">
        <v>0</v>
      </c>
      <c r="V69" s="19">
        <v>0</v>
      </c>
      <c r="W69" s="19">
        <v>0</v>
      </c>
      <c r="X69" s="19">
        <v>0</v>
      </c>
      <c r="Y69" s="19">
        <v>0</v>
      </c>
      <c r="Z69" s="4"/>
      <c r="AA69" s="4"/>
      <c r="AB69" s="4" t="e">
        <f ca="1">_xll.ciqfunctions.udf.CIQ("^SPX", "IQ_PRICEDATE", "4/1/2014")</f>
        <v>#NAME?</v>
      </c>
      <c r="AC69" s="16">
        <v>1885.5225739334001</v>
      </c>
    </row>
    <row r="70" spans="1:29" x14ac:dyDescent="0.35">
      <c r="A70" s="2" t="s">
        <v>80</v>
      </c>
      <c r="B70" s="4" t="s">
        <v>733</v>
      </c>
      <c r="C70" s="4" t="s">
        <v>586</v>
      </c>
      <c r="D70" s="4" t="s">
        <v>586</v>
      </c>
      <c r="E70" s="4" t="s">
        <v>726</v>
      </c>
      <c r="F70" s="4" t="s">
        <v>734</v>
      </c>
      <c r="G70" s="14">
        <v>46.2</v>
      </c>
      <c r="H70" s="10">
        <v>12.136112000000001</v>
      </c>
      <c r="I70" s="10">
        <v>36.649678999999999</v>
      </c>
      <c r="J70" s="10" t="s">
        <v>534</v>
      </c>
      <c r="K70" s="15">
        <v>8.6580000000000008E-3</v>
      </c>
      <c r="L70" s="17">
        <v>15888.708251</v>
      </c>
      <c r="M70" s="4" t="s">
        <v>735</v>
      </c>
      <c r="N70" s="19">
        <v>1.2605839999999999</v>
      </c>
      <c r="O70" s="19">
        <v>2.4104000000000001</v>
      </c>
      <c r="P70" s="19">
        <v>1.05</v>
      </c>
      <c r="Q70" s="19">
        <v>2.2002999999999999</v>
      </c>
      <c r="R70" s="19">
        <v>0.81</v>
      </c>
      <c r="S70" s="19">
        <v>2.0415999999999999</v>
      </c>
      <c r="T70" s="19">
        <v>0.81</v>
      </c>
      <c r="U70" s="19">
        <v>1.7566999999999999</v>
      </c>
      <c r="V70" s="19">
        <v>1.65</v>
      </c>
      <c r="W70" s="19">
        <v>1.9826999999999999</v>
      </c>
      <c r="X70" s="19">
        <v>1.65</v>
      </c>
      <c r="Y70" s="19">
        <v>1.9826999999999999</v>
      </c>
      <c r="Z70" s="4"/>
      <c r="AA70" s="4"/>
      <c r="AB70" s="4" t="e">
        <f ca="1">_xll.ciqfunctions.udf.CIQ("^SPX", "IQ_PRICEDATE", "4/2/2014")</f>
        <v>#NAME?</v>
      </c>
      <c r="AC70" s="16">
        <v>1890.8987744302001</v>
      </c>
    </row>
    <row r="71" spans="1:29" x14ac:dyDescent="0.35">
      <c r="A71" s="2" t="s">
        <v>81</v>
      </c>
      <c r="B71" s="4" t="s">
        <v>736</v>
      </c>
      <c r="C71" s="4" t="s">
        <v>573</v>
      </c>
      <c r="D71" s="4" t="s">
        <v>737</v>
      </c>
      <c r="E71" s="4" t="s">
        <v>737</v>
      </c>
      <c r="F71" s="4" t="s">
        <v>738</v>
      </c>
      <c r="G71" s="14">
        <v>28.9</v>
      </c>
      <c r="H71" s="10">
        <v>0</v>
      </c>
      <c r="I71" s="10">
        <v>13.790528999999999</v>
      </c>
      <c r="J71" s="10">
        <v>1.667262</v>
      </c>
      <c r="K71" s="15">
        <v>2.0760999999999998E-2</v>
      </c>
      <c r="L71" s="17">
        <v>284903.50132500002</v>
      </c>
      <c r="M71" s="4" t="s">
        <v>739</v>
      </c>
      <c r="N71" s="19">
        <v>2.0956410000000001</v>
      </c>
      <c r="O71" s="19">
        <v>2.7846000000000002</v>
      </c>
      <c r="P71" s="19">
        <v>1.5590390000000001</v>
      </c>
      <c r="Q71" s="19">
        <v>2.0701999999999998</v>
      </c>
      <c r="R71" s="19">
        <v>1.4882120000000001</v>
      </c>
      <c r="S71" s="19">
        <v>1.585</v>
      </c>
      <c r="T71" s="19">
        <v>1.4882120000000001</v>
      </c>
      <c r="U71" s="19">
        <v>1.4852000000000001</v>
      </c>
      <c r="V71" s="19">
        <v>0.42</v>
      </c>
      <c r="W71" s="19">
        <v>1.4008</v>
      </c>
      <c r="X71" s="19">
        <v>0.42</v>
      </c>
      <c r="Y71" s="19">
        <v>1.4008</v>
      </c>
      <c r="Z71" s="4"/>
      <c r="AA71" s="4"/>
      <c r="AB71" s="4" t="e">
        <f ca="1">_xll.ciqfunctions.udf.CIQ("^SPX", "IQ_PRICEDATE", "4/3/2014")</f>
        <v>#NAME?</v>
      </c>
      <c r="AC71" s="16">
        <v>1888.7704803894001</v>
      </c>
    </row>
    <row r="72" spans="1:29" x14ac:dyDescent="0.35">
      <c r="A72" s="2" t="s">
        <v>82</v>
      </c>
      <c r="B72" s="4" t="s">
        <v>740</v>
      </c>
      <c r="C72" s="4" t="s">
        <v>530</v>
      </c>
      <c r="D72" s="4" t="s">
        <v>531</v>
      </c>
      <c r="E72" s="4" t="s">
        <v>532</v>
      </c>
      <c r="F72" s="4" t="s">
        <v>533</v>
      </c>
      <c r="G72" s="14">
        <v>72.44</v>
      </c>
      <c r="H72" s="10">
        <v>16.729575000000001</v>
      </c>
      <c r="I72" s="10">
        <v>43.768250000000002</v>
      </c>
      <c r="J72" s="10">
        <v>8.6702689999999993</v>
      </c>
      <c r="K72" s="15">
        <v>1.0490999999999999E-2</v>
      </c>
      <c r="L72" s="17">
        <v>38702.232154999998</v>
      </c>
      <c r="M72" s="4" t="s">
        <v>741</v>
      </c>
      <c r="N72" s="19">
        <v>1.655081</v>
      </c>
      <c r="O72" s="19">
        <v>3.0848</v>
      </c>
      <c r="P72" s="19">
        <v>1.3</v>
      </c>
      <c r="Q72" s="19">
        <v>2.5802999999999998</v>
      </c>
      <c r="R72" s="19">
        <v>9.01</v>
      </c>
      <c r="S72" s="19">
        <v>2.0653000000000001</v>
      </c>
      <c r="T72" s="19">
        <v>9.01</v>
      </c>
      <c r="U72" s="19">
        <v>1.3563000000000001</v>
      </c>
      <c r="V72" s="19">
        <v>0.83</v>
      </c>
      <c r="W72" s="19">
        <v>4.6683000000000003</v>
      </c>
      <c r="X72" s="19">
        <v>0.83</v>
      </c>
      <c r="Y72" s="19">
        <v>4.6683000000000003</v>
      </c>
      <c r="Z72" s="4"/>
      <c r="AA72" s="4"/>
      <c r="AB72" s="4" t="e">
        <f ca="1">_xll.ciqfunctions.udf.CIQ("^SPX", "IQ_PRICEDATE", "4/4/2014")</f>
        <v>#NAME?</v>
      </c>
      <c r="AC72" s="16">
        <v>1865.093413869</v>
      </c>
    </row>
    <row r="73" spans="1:29" x14ac:dyDescent="0.35">
      <c r="A73" s="2" t="s">
        <v>83</v>
      </c>
      <c r="B73" s="4" t="s">
        <v>742</v>
      </c>
      <c r="C73" s="4" t="s">
        <v>573</v>
      </c>
      <c r="D73" s="4" t="s">
        <v>737</v>
      </c>
      <c r="E73" s="4" t="s">
        <v>737</v>
      </c>
      <c r="F73" s="4" t="s">
        <v>743</v>
      </c>
      <c r="G73" s="14">
        <v>47.71</v>
      </c>
      <c r="H73" s="10">
        <v>0</v>
      </c>
      <c r="I73" s="10">
        <v>13.868186</v>
      </c>
      <c r="J73" s="10">
        <v>2.2443569999999999</v>
      </c>
      <c r="K73" s="15">
        <v>3.3954999999999999E-2</v>
      </c>
      <c r="L73" s="17">
        <v>36948.860502000003</v>
      </c>
      <c r="M73" s="4" t="s">
        <v>744</v>
      </c>
      <c r="N73" s="19">
        <v>3.440248</v>
      </c>
      <c r="O73" s="19">
        <v>4.1311999999999998</v>
      </c>
      <c r="P73" s="19">
        <v>2.74</v>
      </c>
      <c r="Q73" s="19">
        <v>3.3536999999999999</v>
      </c>
      <c r="R73" s="19">
        <v>2.77</v>
      </c>
      <c r="S73" s="19">
        <v>3.0568</v>
      </c>
      <c r="T73" s="19">
        <v>2.77</v>
      </c>
      <c r="U73" s="19">
        <v>3.0432000000000001</v>
      </c>
      <c r="V73" s="19">
        <v>2.72</v>
      </c>
      <c r="W73" s="19">
        <v>2.9737</v>
      </c>
      <c r="X73" s="19">
        <v>2.72</v>
      </c>
      <c r="Y73" s="19">
        <v>2.9737</v>
      </c>
      <c r="Z73" s="4"/>
      <c r="AA73" s="4"/>
      <c r="AB73" s="4" t="e">
        <f ca="1">_xll.ciqfunctions.udf.CIQ("^SPX", "IQ_PRICEDATE", "4/7/2014")</f>
        <v>#NAME?</v>
      </c>
      <c r="AC73" s="16">
        <v>1845.0353750807999</v>
      </c>
    </row>
    <row r="74" spans="1:29" x14ac:dyDescent="0.35">
      <c r="A74" s="2" t="s">
        <v>84</v>
      </c>
      <c r="B74" s="4" t="s">
        <v>745</v>
      </c>
      <c r="C74" s="4" t="s">
        <v>530</v>
      </c>
      <c r="D74" s="4" t="s">
        <v>531</v>
      </c>
      <c r="E74" s="4" t="s">
        <v>532</v>
      </c>
      <c r="F74" s="4" t="s">
        <v>533</v>
      </c>
      <c r="G74" s="14">
        <v>244.98</v>
      </c>
      <c r="H74" s="10">
        <v>20.324798999999999</v>
      </c>
      <c r="I74" s="10">
        <v>100.458826</v>
      </c>
      <c r="J74" s="10" t="s">
        <v>534</v>
      </c>
      <c r="K74" s="15">
        <v>1.2244999999999999E-2</v>
      </c>
      <c r="L74" s="17">
        <v>65547.724359</v>
      </c>
      <c r="M74" s="4" t="s">
        <v>746</v>
      </c>
      <c r="N74" s="19">
        <v>2.4386109999999999</v>
      </c>
      <c r="O74" s="19">
        <v>12.128399999999999</v>
      </c>
      <c r="P74" s="19">
        <v>1.287857</v>
      </c>
      <c r="Q74" s="19">
        <v>10.95617</v>
      </c>
      <c r="R74" s="19">
        <v>6.0084809999999997</v>
      </c>
      <c r="S74" s="19">
        <v>9.4920399999999994</v>
      </c>
      <c r="T74" s="19">
        <v>6.0084809999999997</v>
      </c>
      <c r="U74" s="19">
        <v>8.4030100000000001</v>
      </c>
      <c r="V74" s="19">
        <v>5.8210879999999996</v>
      </c>
      <c r="W74" s="19">
        <v>6.8008100000000002</v>
      </c>
      <c r="X74" s="19">
        <v>5.8210879999999996</v>
      </c>
      <c r="Y74" s="19">
        <v>6.8008100000000002</v>
      </c>
      <c r="Z74" s="4"/>
      <c r="AA74" s="4"/>
      <c r="AB74" s="4" t="e">
        <f ca="1">_xll.ciqfunctions.udf.CIQ("^SPX", "IQ_PRICEDATE", "4/8/2014")</f>
        <v>#NAME?</v>
      </c>
      <c r="AC74" s="16">
        <v>1851.9568565739</v>
      </c>
    </row>
    <row r="75" spans="1:29" x14ac:dyDescent="0.35">
      <c r="A75" s="2" t="s">
        <v>85</v>
      </c>
      <c r="B75" s="4" t="s">
        <v>747</v>
      </c>
      <c r="C75" s="4" t="s">
        <v>573</v>
      </c>
      <c r="D75" s="4" t="s">
        <v>574</v>
      </c>
      <c r="E75" s="4" t="s">
        <v>748</v>
      </c>
      <c r="F75" s="4" t="s">
        <v>749</v>
      </c>
      <c r="G75" s="14">
        <v>210.52</v>
      </c>
      <c r="H75" s="10">
        <v>13.176541</v>
      </c>
      <c r="I75" s="10">
        <v>0</v>
      </c>
      <c r="J75" s="10">
        <v>0</v>
      </c>
      <c r="K75" s="15">
        <v>0</v>
      </c>
      <c r="L75" s="17">
        <v>522541.546638</v>
      </c>
      <c r="M75" s="4" t="s">
        <v>750</v>
      </c>
      <c r="N75" s="19">
        <v>28872.225612999999</v>
      </c>
      <c r="O75" s="19">
        <v>9.8932000000000002</v>
      </c>
      <c r="P75" s="19">
        <v>27325.544276000001</v>
      </c>
      <c r="Q75" s="19">
        <v>7.9211999999999998</v>
      </c>
      <c r="R75" s="19">
        <v>14645.102339999999</v>
      </c>
      <c r="S75" s="19">
        <v>8.2537000000000003</v>
      </c>
      <c r="T75" s="19">
        <v>14645.102339999999</v>
      </c>
      <c r="U75" s="19">
        <v>7.9124999999999996</v>
      </c>
      <c r="V75" s="19">
        <v>12091.592350999999</v>
      </c>
      <c r="W75" s="19">
        <v>7.3375000000000004</v>
      </c>
      <c r="X75" s="19">
        <v>12091.592350999999</v>
      </c>
      <c r="Y75" s="19">
        <v>7.3375000000000004</v>
      </c>
      <c r="Z75" s="4"/>
      <c r="AA75" s="4"/>
      <c r="AB75" s="4" t="e">
        <f ca="1">_xll.ciqfunctions.udf.CIQ("^SPX", "IQ_PRICEDATE", "4/9/2014")</f>
        <v>#NAME?</v>
      </c>
      <c r="AC75" s="16">
        <v>1872.1787969918</v>
      </c>
    </row>
    <row r="76" spans="1:29" x14ac:dyDescent="0.35">
      <c r="A76" s="2" t="s">
        <v>86</v>
      </c>
      <c r="B76" s="4" t="s">
        <v>751</v>
      </c>
      <c r="C76" s="4" t="s">
        <v>559</v>
      </c>
      <c r="D76" s="4" t="s">
        <v>560</v>
      </c>
      <c r="E76" s="4" t="s">
        <v>561</v>
      </c>
      <c r="F76" s="4" t="s">
        <v>752</v>
      </c>
      <c r="G76" s="14">
        <v>73.83</v>
      </c>
      <c r="H76" s="10">
        <v>6.8990669999999996</v>
      </c>
      <c r="I76" s="10">
        <v>20.536394000000001</v>
      </c>
      <c r="J76" s="10">
        <v>7.4287570000000001</v>
      </c>
      <c r="K76" s="15">
        <v>2.4380000000000002E-2</v>
      </c>
      <c r="L76" s="17">
        <v>20270.584286000001</v>
      </c>
      <c r="M76" s="4" t="s">
        <v>753</v>
      </c>
      <c r="N76" s="19">
        <v>3.595081</v>
      </c>
      <c r="O76" s="19">
        <v>5.2553000000000001</v>
      </c>
      <c r="P76" s="19">
        <v>3.9762970000000002</v>
      </c>
      <c r="Q76" s="19">
        <v>4.218</v>
      </c>
      <c r="R76" s="19">
        <v>3.2797740000000002</v>
      </c>
      <c r="S76" s="19">
        <v>3.395</v>
      </c>
      <c r="T76" s="19">
        <v>3.2797740000000002</v>
      </c>
      <c r="U76" s="19">
        <v>2.7639</v>
      </c>
      <c r="V76" s="19">
        <v>2.9402910000000002</v>
      </c>
      <c r="W76" s="19">
        <v>2.5731000000000002</v>
      </c>
      <c r="X76" s="19">
        <v>2.9402910000000002</v>
      </c>
      <c r="Y76" s="19">
        <v>2.5731000000000002</v>
      </c>
      <c r="Z76" s="4"/>
      <c r="AA76" s="4"/>
      <c r="AB76" s="4" t="e">
        <f ca="1">_xll.ciqfunctions.udf.CIQ("^SPX", "IQ_PRICEDATE", "4/10/2014")</f>
        <v>#NAME?</v>
      </c>
      <c r="AC76" s="16">
        <v>1833.0779771555999</v>
      </c>
    </row>
    <row r="77" spans="1:29" x14ac:dyDescent="0.35">
      <c r="A77" s="2" t="s">
        <v>87</v>
      </c>
      <c r="B77" s="4" t="s">
        <v>754</v>
      </c>
      <c r="C77" s="4" t="s">
        <v>530</v>
      </c>
      <c r="D77" s="4" t="s">
        <v>537</v>
      </c>
      <c r="E77" s="4" t="s">
        <v>538</v>
      </c>
      <c r="F77" s="4" t="s">
        <v>538</v>
      </c>
      <c r="G77" s="14">
        <v>338.23</v>
      </c>
      <c r="H77" s="10">
        <v>10.526857</v>
      </c>
      <c r="I77" s="10">
        <v>24.015906999999999</v>
      </c>
      <c r="J77" s="10">
        <v>19.868200000000002</v>
      </c>
      <c r="K77" s="15">
        <v>0</v>
      </c>
      <c r="L77" s="17">
        <v>68134.015155999994</v>
      </c>
      <c r="M77" s="4" t="s">
        <v>755</v>
      </c>
      <c r="N77" s="19">
        <v>14.083582</v>
      </c>
      <c r="O77" s="19">
        <v>27.034800000000001</v>
      </c>
      <c r="P77" s="19">
        <v>11.92</v>
      </c>
      <c r="Q77" s="19">
        <v>23.4514</v>
      </c>
      <c r="R77" s="19">
        <v>16.93</v>
      </c>
      <c r="S77" s="19">
        <v>20.423400000000001</v>
      </c>
      <c r="T77" s="19">
        <v>16.93</v>
      </c>
      <c r="U77" s="19">
        <v>17.5108</v>
      </c>
      <c r="V77" s="19">
        <v>12.37</v>
      </c>
      <c r="W77" s="19">
        <v>15.878500000000001</v>
      </c>
      <c r="X77" s="19">
        <v>12.37</v>
      </c>
      <c r="Y77" s="19">
        <v>15.878500000000001</v>
      </c>
      <c r="Z77" s="4"/>
      <c r="AA77" s="4"/>
      <c r="AB77" s="4" t="e">
        <f ca="1">_xll.ciqfunctions.udf.CIQ("^SPX", "IQ_PRICEDATE", "4/11/2014")</f>
        <v>#NAME?</v>
      </c>
      <c r="AC77" s="16">
        <v>1815.6850871536001</v>
      </c>
    </row>
    <row r="78" spans="1:29" x14ac:dyDescent="0.35">
      <c r="A78" s="2" t="s">
        <v>88</v>
      </c>
      <c r="B78" s="4" t="s">
        <v>756</v>
      </c>
      <c r="C78" s="4" t="s">
        <v>573</v>
      </c>
      <c r="D78" s="4" t="s">
        <v>574</v>
      </c>
      <c r="E78" s="4" t="s">
        <v>575</v>
      </c>
      <c r="F78" s="4" t="s">
        <v>576</v>
      </c>
      <c r="G78" s="14">
        <v>411.85</v>
      </c>
      <c r="H78" s="10">
        <v>10.503163000000001</v>
      </c>
      <c r="I78" s="10">
        <v>11.781677999999999</v>
      </c>
      <c r="J78" s="10">
        <v>42.775889999999997</v>
      </c>
      <c r="K78" s="15">
        <v>3.0398999999999999E-2</v>
      </c>
      <c r="L78" s="17">
        <v>65815.427312999993</v>
      </c>
      <c r="M78" s="4" t="s">
        <v>757</v>
      </c>
      <c r="N78" s="19">
        <v>34.95682</v>
      </c>
      <c r="O78" s="19">
        <v>28.341999999999999</v>
      </c>
      <c r="P78" s="19">
        <v>30.229998999999999</v>
      </c>
      <c r="Q78" s="19">
        <v>24.3644</v>
      </c>
      <c r="R78" s="19">
        <v>19.039999000000002</v>
      </c>
      <c r="S78" s="19">
        <v>21.220500000000001</v>
      </c>
      <c r="T78" s="19">
        <v>19.039999000000002</v>
      </c>
      <c r="U78" s="19">
        <v>20.105899999999998</v>
      </c>
      <c r="V78" s="19">
        <v>19.249998999999999</v>
      </c>
      <c r="W78" s="19">
        <v>19.6983</v>
      </c>
      <c r="X78" s="19">
        <v>19.249998999999999</v>
      </c>
      <c r="Y78" s="19">
        <v>19.6983</v>
      </c>
      <c r="Z78" s="4"/>
      <c r="AA78" s="4"/>
      <c r="AB78" s="4" t="e">
        <f ca="1">_xll.ciqfunctions.udf.CIQ("^SPX", "IQ_PRICEDATE", "4/14/2014")</f>
        <v>#NAME?</v>
      </c>
      <c r="AC78" s="16">
        <v>1830.6099712215</v>
      </c>
    </row>
    <row r="79" spans="1:29" x14ac:dyDescent="0.35">
      <c r="A79" s="2" t="s">
        <v>89</v>
      </c>
      <c r="B79" s="4" t="s">
        <v>758</v>
      </c>
      <c r="C79" s="4" t="s">
        <v>559</v>
      </c>
      <c r="D79" s="4" t="s">
        <v>560</v>
      </c>
      <c r="E79" s="4" t="s">
        <v>631</v>
      </c>
      <c r="F79" s="4" t="s">
        <v>631</v>
      </c>
      <c r="G79" s="14">
        <v>1850.51</v>
      </c>
      <c r="H79" s="10">
        <v>16.342027999999999</v>
      </c>
      <c r="I79" s="10">
        <v>33.222943000000001</v>
      </c>
      <c r="J79" s="10">
        <v>16.318456999999999</v>
      </c>
      <c r="K79" s="15">
        <v>0</v>
      </c>
      <c r="L79" s="17">
        <v>87847.458832999997</v>
      </c>
      <c r="M79" s="4" t="s">
        <v>759</v>
      </c>
      <c r="N79" s="19">
        <v>55.699759999999998</v>
      </c>
      <c r="O79" s="19">
        <v>93.3322</v>
      </c>
      <c r="P79" s="19">
        <v>46.86</v>
      </c>
      <c r="Q79" s="19">
        <v>80.751900000000006</v>
      </c>
      <c r="R79" s="19">
        <v>42.65</v>
      </c>
      <c r="S79" s="19">
        <v>75.648700000000005</v>
      </c>
      <c r="T79" s="19">
        <v>42.65</v>
      </c>
      <c r="U79" s="19">
        <v>65.969300000000004</v>
      </c>
      <c r="V79" s="19">
        <v>45.67</v>
      </c>
      <c r="W79" s="19">
        <v>59.284100000000002</v>
      </c>
      <c r="X79" s="19">
        <v>45.67</v>
      </c>
      <c r="Y79" s="19">
        <v>59.284100000000002</v>
      </c>
      <c r="Z79" s="4"/>
      <c r="AA79" s="4"/>
      <c r="AB79" s="4" t="e">
        <f ca="1">_xll.ciqfunctions.udf.CIQ("^SPX", "IQ_PRICEDATE", "4/15/2014")</f>
        <v>#NAME?</v>
      </c>
      <c r="AC79" s="16">
        <v>1842.9812684377</v>
      </c>
    </row>
    <row r="80" spans="1:29" x14ac:dyDescent="0.35">
      <c r="A80" s="2" t="s">
        <v>90</v>
      </c>
      <c r="B80" s="4" t="s">
        <v>760</v>
      </c>
      <c r="C80" s="4" t="s">
        <v>559</v>
      </c>
      <c r="D80" s="4" t="s">
        <v>694</v>
      </c>
      <c r="E80" s="4" t="s">
        <v>695</v>
      </c>
      <c r="F80" s="4" t="s">
        <v>696</v>
      </c>
      <c r="G80" s="14">
        <v>37.9</v>
      </c>
      <c r="H80" s="10">
        <v>5.4776449999999999</v>
      </c>
      <c r="I80" s="10">
        <v>14.90521</v>
      </c>
      <c r="J80" s="10">
        <v>4.8259889999999999</v>
      </c>
      <c r="K80" s="15">
        <v>1.7940999999999999E-2</v>
      </c>
      <c r="L80" s="17">
        <v>7916.0707460000003</v>
      </c>
      <c r="M80" s="4" t="s">
        <v>761</v>
      </c>
      <c r="N80" s="19">
        <v>2.542735</v>
      </c>
      <c r="O80" s="19">
        <v>4.5087999999999999</v>
      </c>
      <c r="P80" s="19">
        <v>2.08</v>
      </c>
      <c r="Q80" s="19">
        <v>4.1189999999999998</v>
      </c>
      <c r="R80" s="19">
        <v>0.55000000000000004</v>
      </c>
      <c r="S80" s="19">
        <v>3.3852000000000002</v>
      </c>
      <c r="T80" s="19">
        <v>0.55000000000000004</v>
      </c>
      <c r="U80" s="19">
        <v>3.2254</v>
      </c>
      <c r="V80" s="19">
        <v>2.86</v>
      </c>
      <c r="W80" s="19">
        <v>3.5762999999999998</v>
      </c>
      <c r="X80" s="19">
        <v>2.86</v>
      </c>
      <c r="Y80" s="19">
        <v>3.5762999999999998</v>
      </c>
      <c r="Z80" s="4"/>
      <c r="AA80" s="4"/>
      <c r="AB80" s="4" t="e">
        <f ca="1">_xll.ciqfunctions.udf.CIQ("^SPX", "IQ_PRICEDATE", "4/16/2014")</f>
        <v>#NAME?</v>
      </c>
      <c r="AC80" s="16">
        <v>1862.3119970058001</v>
      </c>
    </row>
    <row r="81" spans="1:29" x14ac:dyDescent="0.35">
      <c r="A81" s="2" t="s">
        <v>91</v>
      </c>
      <c r="B81" s="4" t="s">
        <v>762</v>
      </c>
      <c r="C81" s="4" t="s">
        <v>601</v>
      </c>
      <c r="D81" s="4" t="s">
        <v>601</v>
      </c>
      <c r="E81" s="4" t="s">
        <v>602</v>
      </c>
      <c r="F81" s="4" t="s">
        <v>603</v>
      </c>
      <c r="G81" s="14">
        <v>117.52</v>
      </c>
      <c r="H81" s="10">
        <v>20.020022000000001</v>
      </c>
      <c r="I81" s="10">
        <v>34.561849000000002</v>
      </c>
      <c r="J81" s="10">
        <v>3.1875900000000001</v>
      </c>
      <c r="K81" s="15">
        <v>3.2334000000000002E-2</v>
      </c>
      <c r="L81" s="17">
        <v>18147.415601000001</v>
      </c>
      <c r="M81" s="4" t="s">
        <v>763</v>
      </c>
      <c r="N81" s="19">
        <v>3.4002810000000001</v>
      </c>
      <c r="O81" s="19">
        <v>2.8677000000000001</v>
      </c>
      <c r="P81" s="19">
        <v>2.93</v>
      </c>
      <c r="Q81" s="19">
        <v>2.8548</v>
      </c>
      <c r="R81" s="19">
        <v>3.26</v>
      </c>
      <c r="S81" s="19">
        <v>2.0867</v>
      </c>
      <c r="T81" s="19">
        <v>3.26</v>
      </c>
      <c r="U81" s="19">
        <v>1.9963</v>
      </c>
      <c r="V81" s="19">
        <v>2.829145</v>
      </c>
      <c r="W81" s="19">
        <v>1.458</v>
      </c>
      <c r="X81" s="19">
        <v>2.829145</v>
      </c>
      <c r="Y81" s="19">
        <v>1.458</v>
      </c>
      <c r="Z81" s="4"/>
      <c r="AA81" s="4"/>
      <c r="AB81" s="4" t="e">
        <f ca="1">_xll.ciqfunctions.udf.CIQ("^SPX", "IQ_PRICEDATE", "4/17/2014")</f>
        <v>#NAME?</v>
      </c>
      <c r="AC81" s="16">
        <v>1864.8513770633001</v>
      </c>
    </row>
    <row r="82" spans="1:29" x14ac:dyDescent="0.35">
      <c r="A82" s="2" t="s">
        <v>92</v>
      </c>
      <c r="B82" s="4" t="s">
        <v>764</v>
      </c>
      <c r="C82" s="4" t="s">
        <v>530</v>
      </c>
      <c r="D82" s="4" t="s">
        <v>531</v>
      </c>
      <c r="E82" s="4" t="s">
        <v>532</v>
      </c>
      <c r="F82" s="4" t="s">
        <v>533</v>
      </c>
      <c r="G82" s="14">
        <v>38</v>
      </c>
      <c r="H82" s="10">
        <v>22.884535</v>
      </c>
      <c r="I82" s="10">
        <v>100.32817799999999</v>
      </c>
      <c r="J82" s="10" t="s">
        <v>534</v>
      </c>
      <c r="K82" s="15">
        <v>0</v>
      </c>
      <c r="L82" s="17">
        <v>52551.141525999999</v>
      </c>
      <c r="M82" s="4" t="s">
        <v>765</v>
      </c>
      <c r="N82" s="19">
        <v>0.37875700000000001</v>
      </c>
      <c r="O82" s="19">
        <v>1.4548000000000001</v>
      </c>
      <c r="P82" s="19">
        <v>7.5906000000000001E-2</v>
      </c>
      <c r="Q82" s="19">
        <v>1.337</v>
      </c>
      <c r="R82" s="19">
        <v>0.25</v>
      </c>
      <c r="S82" s="19">
        <v>1.2065999999999999</v>
      </c>
      <c r="T82" s="19">
        <v>0.25</v>
      </c>
      <c r="U82" s="19">
        <v>1.0217000000000001</v>
      </c>
      <c r="V82" s="19">
        <v>-0.09</v>
      </c>
      <c r="W82" s="19">
        <v>0.87619999999999998</v>
      </c>
      <c r="X82" s="19">
        <v>-0.09</v>
      </c>
      <c r="Y82" s="19">
        <v>0.87619999999999998</v>
      </c>
      <c r="Z82" s="4"/>
      <c r="AA82" s="4"/>
      <c r="AB82" s="4" t="e">
        <f ca="1">_xll.ciqfunctions.udf.CIQ("^SPX", "IQ_PRICEDATE", "4/21/2014")</f>
        <v>#NAME?</v>
      </c>
      <c r="AC82" s="16">
        <v>1871.8875618069001</v>
      </c>
    </row>
    <row r="83" spans="1:29" x14ac:dyDescent="0.35">
      <c r="A83" s="2" t="s">
        <v>93</v>
      </c>
      <c r="B83" s="4" t="s">
        <v>766</v>
      </c>
      <c r="C83" s="4" t="s">
        <v>573</v>
      </c>
      <c r="D83" s="4" t="s">
        <v>579</v>
      </c>
      <c r="E83" s="4" t="s">
        <v>579</v>
      </c>
      <c r="F83" s="4" t="s">
        <v>580</v>
      </c>
      <c r="G83" s="14">
        <v>44.06</v>
      </c>
      <c r="H83" s="10" t="s">
        <v>534</v>
      </c>
      <c r="I83" s="10" t="s">
        <v>534</v>
      </c>
      <c r="J83" s="10">
        <v>0.39279500000000001</v>
      </c>
      <c r="K83" s="15">
        <v>0</v>
      </c>
      <c r="L83" s="17">
        <v>5277.6243519999998</v>
      </c>
      <c r="M83" s="4" t="s">
        <v>767</v>
      </c>
      <c r="N83" s="19">
        <v>-4.8559669999999997</v>
      </c>
      <c r="O83" s="19">
        <v>8.5884</v>
      </c>
      <c r="P83" s="19">
        <v>-3.155967</v>
      </c>
      <c r="Q83" s="19">
        <v>8.6027000000000005</v>
      </c>
      <c r="R83" s="19">
        <v>-24.538062</v>
      </c>
      <c r="S83" s="19">
        <v>0</v>
      </c>
      <c r="T83" s="19">
        <v>-24.538062</v>
      </c>
      <c r="U83" s="19">
        <v>0</v>
      </c>
      <c r="V83" s="19">
        <v>0</v>
      </c>
      <c r="W83" s="19">
        <v>0</v>
      </c>
      <c r="X83" s="19">
        <v>0</v>
      </c>
      <c r="Y83" s="19">
        <v>0</v>
      </c>
      <c r="Z83" s="4"/>
      <c r="AA83" s="4"/>
      <c r="AB83" s="4" t="e">
        <f ca="1">_xll.ciqfunctions.udf.CIQ("^SPX", "IQ_PRICEDATE", "4/22/2014")</f>
        <v>#NAME?</v>
      </c>
      <c r="AC83" s="16">
        <v>1879.5510464813999</v>
      </c>
    </row>
    <row r="84" spans="1:29" x14ac:dyDescent="0.35">
      <c r="A84" s="2" t="s">
        <v>94</v>
      </c>
      <c r="B84" s="4" t="s">
        <v>768</v>
      </c>
      <c r="C84" s="4" t="s">
        <v>530</v>
      </c>
      <c r="D84" s="4" t="s">
        <v>537</v>
      </c>
      <c r="E84" s="4" t="s">
        <v>613</v>
      </c>
      <c r="F84" s="4" t="s">
        <v>613</v>
      </c>
      <c r="G84" s="14">
        <v>58.9</v>
      </c>
      <c r="H84" s="10">
        <v>16.096806000000001</v>
      </c>
      <c r="I84" s="10">
        <v>262.17978599999998</v>
      </c>
      <c r="J84" s="10">
        <v>21.152635</v>
      </c>
      <c r="K84" s="15">
        <v>2.7164000000000001E-2</v>
      </c>
      <c r="L84" s="17">
        <v>96117.549939999997</v>
      </c>
      <c r="M84" s="4" t="s">
        <v>769</v>
      </c>
      <c r="N84" s="19">
        <v>0.22465499999999999</v>
      </c>
      <c r="O84" s="19">
        <v>3.8197000000000001</v>
      </c>
      <c r="P84" s="19">
        <v>0.61</v>
      </c>
      <c r="Q84" s="19">
        <v>3.0831</v>
      </c>
      <c r="R84" s="19">
        <v>2.65</v>
      </c>
      <c r="S84" s="19">
        <v>2.9203000000000001</v>
      </c>
      <c r="T84" s="19">
        <v>2.65</v>
      </c>
      <c r="U84" s="19">
        <v>2.0779000000000001</v>
      </c>
      <c r="V84" s="19">
        <v>1.2</v>
      </c>
      <c r="W84" s="19">
        <v>1.8321000000000001</v>
      </c>
      <c r="X84" s="19">
        <v>1.2</v>
      </c>
      <c r="Y84" s="19">
        <v>1.8321000000000001</v>
      </c>
      <c r="Z84" s="4"/>
      <c r="AA84" s="4"/>
      <c r="AB84" s="4" t="e">
        <f ca="1">_xll.ciqfunctions.udf.CIQ("^SPX", "IQ_PRICEDATE", "4/23/2014")</f>
        <v>#NAME?</v>
      </c>
      <c r="AC84" s="16">
        <v>1875.3877070323001</v>
      </c>
    </row>
    <row r="85" spans="1:29" x14ac:dyDescent="0.35">
      <c r="A85" s="2" t="s">
        <v>95</v>
      </c>
      <c r="B85" s="4" t="s">
        <v>770</v>
      </c>
      <c r="C85" s="4" t="s">
        <v>543</v>
      </c>
      <c r="D85" s="4" t="s">
        <v>565</v>
      </c>
      <c r="E85" s="4" t="s">
        <v>565</v>
      </c>
      <c r="F85" s="4" t="s">
        <v>566</v>
      </c>
      <c r="G85" s="14">
        <v>237.17</v>
      </c>
      <c r="H85" s="10">
        <v>12.161959</v>
      </c>
      <c r="I85" s="10">
        <v>8.5225469999999994</v>
      </c>
      <c r="J85" s="10" t="s">
        <v>534</v>
      </c>
      <c r="K85" s="15">
        <v>2.9513999999999999E-2</v>
      </c>
      <c r="L85" s="17">
        <v>98057.166882999998</v>
      </c>
      <c r="M85" s="4" t="s">
        <v>771</v>
      </c>
      <c r="N85" s="19">
        <v>27.828533</v>
      </c>
      <c r="O85" s="19">
        <v>21.167400000000001</v>
      </c>
      <c r="P85" s="19">
        <v>4.03</v>
      </c>
      <c r="Q85" s="19">
        <v>0</v>
      </c>
      <c r="R85" s="19">
        <v>-4.5665789999999999</v>
      </c>
      <c r="S85" s="19">
        <v>0</v>
      </c>
      <c r="T85" s="19">
        <v>-4.5665789999999999</v>
      </c>
      <c r="U85" s="19">
        <v>0</v>
      </c>
      <c r="V85" s="19">
        <v>1.1599999999999999</v>
      </c>
      <c r="W85" s="19">
        <v>0</v>
      </c>
      <c r="X85" s="19">
        <v>1.1599999999999999</v>
      </c>
      <c r="Y85" s="19">
        <v>0</v>
      </c>
      <c r="Z85" s="4"/>
      <c r="AA85" s="4"/>
      <c r="AB85" s="4" t="e">
        <f ca="1">_xll.ciqfunctions.udf.CIQ("^SPX", "IQ_PRICEDATE", "4/24/2014")</f>
        <v>#NAME?</v>
      </c>
      <c r="AC85" s="16">
        <v>1878.610508557</v>
      </c>
    </row>
    <row r="86" spans="1:29" x14ac:dyDescent="0.35">
      <c r="A86" s="2" t="s">
        <v>96</v>
      </c>
      <c r="B86" s="4" t="s">
        <v>772</v>
      </c>
      <c r="C86" s="4" t="s">
        <v>543</v>
      </c>
      <c r="D86" s="4" t="s">
        <v>544</v>
      </c>
      <c r="E86" s="4" t="s">
        <v>545</v>
      </c>
      <c r="F86" s="4" t="s">
        <v>616</v>
      </c>
      <c r="G86" s="14">
        <v>118.81</v>
      </c>
      <c r="H86" s="10">
        <v>18.167111999999999</v>
      </c>
      <c r="I86" s="10">
        <v>33.373595000000002</v>
      </c>
      <c r="J86" s="10" t="s">
        <v>534</v>
      </c>
      <c r="K86" s="15">
        <v>1.6327999999999999E-2</v>
      </c>
      <c r="L86" s="17">
        <v>13820.592259999999</v>
      </c>
      <c r="M86" s="4" t="s">
        <v>773</v>
      </c>
      <c r="N86" s="19">
        <v>3.56</v>
      </c>
      <c r="O86" s="19">
        <v>4.66167</v>
      </c>
      <c r="P86" s="19">
        <v>3.119675</v>
      </c>
      <c r="Q86" s="19">
        <v>3.7469999999999999</v>
      </c>
      <c r="R86" s="19">
        <v>2.4420839999999999</v>
      </c>
      <c r="S86" s="19">
        <v>3.2098</v>
      </c>
      <c r="T86" s="19">
        <v>2.4420839999999999</v>
      </c>
      <c r="U86" s="19">
        <v>2.8180999999999998</v>
      </c>
      <c r="V86" s="19">
        <v>2.0777489999999998</v>
      </c>
      <c r="W86" s="19">
        <v>2.5493000000000001</v>
      </c>
      <c r="X86" s="19">
        <v>2.0777489999999998</v>
      </c>
      <c r="Y86" s="19">
        <v>2.5493000000000001</v>
      </c>
      <c r="Z86" s="4"/>
      <c r="AA86" s="4"/>
      <c r="AB86" s="4" t="e">
        <f ca="1">_xll.ciqfunctions.udf.CIQ("^SPX", "IQ_PRICEDATE", "4/25/2014")</f>
        <v>#NAME?</v>
      </c>
      <c r="AC86" s="16">
        <v>1863.4006714401</v>
      </c>
    </row>
    <row r="87" spans="1:29" x14ac:dyDescent="0.35">
      <c r="A87" s="2" t="s">
        <v>97</v>
      </c>
      <c r="B87" s="4" t="s">
        <v>774</v>
      </c>
      <c r="C87" s="4" t="s">
        <v>626</v>
      </c>
      <c r="D87" s="4" t="s">
        <v>627</v>
      </c>
      <c r="E87" s="4" t="s">
        <v>775</v>
      </c>
      <c r="F87" s="4" t="s">
        <v>776</v>
      </c>
      <c r="G87" s="14">
        <v>47.9</v>
      </c>
      <c r="H87" s="10">
        <v>22.599243000000001</v>
      </c>
      <c r="I87" s="10">
        <v>31.513468</v>
      </c>
      <c r="J87" s="10" t="s">
        <v>534</v>
      </c>
      <c r="K87" s="15">
        <v>1.3193999999999999E-2</v>
      </c>
      <c r="L87" s="17">
        <v>23081.351655999999</v>
      </c>
      <c r="M87" s="4" t="s">
        <v>777</v>
      </c>
      <c r="N87" s="19">
        <v>1.5199849999999999</v>
      </c>
      <c r="O87" s="19">
        <v>1.7033</v>
      </c>
      <c r="P87" s="19">
        <v>1.5397130000000001</v>
      </c>
      <c r="Q87" s="19">
        <v>1.6486000000000001</v>
      </c>
      <c r="R87" s="19">
        <v>2.1137489999999999</v>
      </c>
      <c r="S87" s="19">
        <v>1.4413</v>
      </c>
      <c r="T87" s="19">
        <v>2.1137489999999999</v>
      </c>
      <c r="U87" s="19">
        <v>1.4343999999999999</v>
      </c>
      <c r="V87" s="19">
        <v>1.2437910000000001</v>
      </c>
      <c r="W87" s="19">
        <v>1.3714999999999999</v>
      </c>
      <c r="X87" s="19">
        <v>1.2437910000000001</v>
      </c>
      <c r="Y87" s="19">
        <v>1.3714999999999999</v>
      </c>
      <c r="Z87" s="4"/>
      <c r="AA87" s="4"/>
      <c r="AB87" s="4" t="e">
        <f ca="1">_xll.ciqfunctions.udf.CIQ("^SPX", "IQ_PRICEDATE", "4/28/2014")</f>
        <v>#NAME?</v>
      </c>
      <c r="AC87" s="16">
        <v>1869.4252355353999</v>
      </c>
    </row>
    <row r="88" spans="1:29" x14ac:dyDescent="0.35">
      <c r="A88" s="2" t="s">
        <v>98</v>
      </c>
      <c r="B88" s="4" t="s">
        <v>778</v>
      </c>
      <c r="C88" s="4" t="s">
        <v>525</v>
      </c>
      <c r="D88" s="4" t="s">
        <v>594</v>
      </c>
      <c r="E88" s="4" t="s">
        <v>779</v>
      </c>
      <c r="F88" s="4" t="s">
        <v>779</v>
      </c>
      <c r="G88" s="14">
        <v>93.68</v>
      </c>
      <c r="H88" s="10">
        <v>15.520675000000001</v>
      </c>
      <c r="I88" s="10">
        <v>23.070698</v>
      </c>
      <c r="J88" s="10">
        <v>106.42648699999999</v>
      </c>
      <c r="K88" s="15">
        <v>1.9640999999999999E-2</v>
      </c>
      <c r="L88" s="17">
        <v>12978.848666</v>
      </c>
      <c r="M88" s="4" t="s">
        <v>780</v>
      </c>
      <c r="N88" s="19">
        <v>4.060562</v>
      </c>
      <c r="O88" s="19">
        <v>4.6940999999999997</v>
      </c>
      <c r="P88" s="19">
        <v>3.57</v>
      </c>
      <c r="Q88" s="19">
        <v>3.5849000000000002</v>
      </c>
      <c r="R88" s="19">
        <v>3.59</v>
      </c>
      <c r="S88" s="19">
        <v>3.6333000000000002</v>
      </c>
      <c r="T88" s="19">
        <v>3.59</v>
      </c>
      <c r="U88" s="19">
        <v>3.6848000000000001</v>
      </c>
      <c r="V88" s="19">
        <v>3.05</v>
      </c>
      <c r="W88" s="19">
        <v>3.3041999999999998</v>
      </c>
      <c r="X88" s="19">
        <v>3.05</v>
      </c>
      <c r="Y88" s="19">
        <v>3.3041999999999998</v>
      </c>
      <c r="Z88" s="4"/>
      <c r="AA88" s="4"/>
      <c r="AB88" s="4" t="e">
        <f ca="1">_xll.ciqfunctions.udf.CIQ("^SPX", "IQ_PRICEDATE", "4/29/2014")</f>
        <v>#NAME?</v>
      </c>
      <c r="AC88" s="16">
        <v>1878.3300711029999</v>
      </c>
    </row>
    <row r="89" spans="1:29" x14ac:dyDescent="0.35">
      <c r="A89" s="2" t="s">
        <v>99</v>
      </c>
      <c r="B89" s="4" t="s">
        <v>781</v>
      </c>
      <c r="C89" s="4" t="s">
        <v>543</v>
      </c>
      <c r="D89" s="4" t="s">
        <v>544</v>
      </c>
      <c r="E89" s="4" t="s">
        <v>555</v>
      </c>
      <c r="F89" s="4" t="s">
        <v>782</v>
      </c>
      <c r="G89" s="14">
        <v>43.98</v>
      </c>
      <c r="H89" s="10">
        <v>14.339661</v>
      </c>
      <c r="I89" s="10">
        <v>39.706865999999998</v>
      </c>
      <c r="J89" s="10" t="s">
        <v>534</v>
      </c>
      <c r="K89" s="15">
        <v>2.3192000000000001E-2</v>
      </c>
      <c r="L89" s="17">
        <v>18390.935578000001</v>
      </c>
      <c r="M89" s="4" t="s">
        <v>783</v>
      </c>
      <c r="N89" s="19">
        <v>1.1076170000000001</v>
      </c>
      <c r="O89" s="19">
        <v>2.8094000000000001</v>
      </c>
      <c r="P89" s="19">
        <v>1.0120769999999999</v>
      </c>
      <c r="Q89" s="19">
        <v>2.4868999999999999</v>
      </c>
      <c r="R89" s="19">
        <v>1.878744</v>
      </c>
      <c r="S89" s="19">
        <v>2.5095999999999998</v>
      </c>
      <c r="T89" s="19">
        <v>1.878744</v>
      </c>
      <c r="U89" s="19">
        <v>2.4708999999999999</v>
      </c>
      <c r="V89" s="19">
        <v>1.7158370000000001</v>
      </c>
      <c r="W89" s="19">
        <v>2.4104000000000001</v>
      </c>
      <c r="X89" s="19">
        <v>1.7158370000000001</v>
      </c>
      <c r="Y89" s="19">
        <v>2.4104000000000001</v>
      </c>
      <c r="Z89" s="4"/>
      <c r="AA89" s="4"/>
      <c r="AB89" s="4" t="e">
        <f ca="1">_xll.ciqfunctions.udf.CIQ("^SPX", "IQ_PRICEDATE", "4/30/2014")</f>
        <v>#NAME?</v>
      </c>
      <c r="AC89" s="16">
        <v>1883.9501304206001</v>
      </c>
    </row>
    <row r="90" spans="1:29" x14ac:dyDescent="0.35">
      <c r="A90" s="2" t="s">
        <v>100</v>
      </c>
      <c r="B90" s="4" t="s">
        <v>784</v>
      </c>
      <c r="C90" s="4" t="s">
        <v>669</v>
      </c>
      <c r="D90" s="4" t="s">
        <v>669</v>
      </c>
      <c r="E90" s="4" t="s">
        <v>670</v>
      </c>
      <c r="F90" s="4" t="s">
        <v>671</v>
      </c>
      <c r="G90" s="14">
        <v>23.8</v>
      </c>
      <c r="H90" s="10">
        <v>14.452731</v>
      </c>
      <c r="I90" s="10">
        <v>82.235421000000002</v>
      </c>
      <c r="J90" s="10">
        <v>4.8742570000000001</v>
      </c>
      <c r="K90" s="15">
        <v>1.0083999999999999E-2</v>
      </c>
      <c r="L90" s="17">
        <v>10500.021739</v>
      </c>
      <c r="M90" s="4" t="s">
        <v>785</v>
      </c>
      <c r="N90" s="19">
        <v>0.28941299999999998</v>
      </c>
      <c r="O90" s="19">
        <v>1.4618</v>
      </c>
      <c r="P90" s="19">
        <v>0.21648700000000001</v>
      </c>
      <c r="Q90" s="19">
        <v>0.84609999999999996</v>
      </c>
      <c r="R90" s="19">
        <v>-0.913049</v>
      </c>
      <c r="S90" s="19">
        <v>0.32229999999999998</v>
      </c>
      <c r="T90" s="19">
        <v>-0.913049</v>
      </c>
      <c r="U90" s="19">
        <v>-0.10050000000000001</v>
      </c>
      <c r="V90" s="19">
        <v>0.25</v>
      </c>
      <c r="W90" s="19">
        <v>0.85319999999999996</v>
      </c>
      <c r="X90" s="19">
        <v>0.25</v>
      </c>
      <c r="Y90" s="19">
        <v>0.85319999999999996</v>
      </c>
      <c r="Z90" s="4"/>
      <c r="AA90" s="4"/>
      <c r="AB90" s="4" t="e">
        <f ca="1">_xll.ciqfunctions.udf.CIQ("^SPX", "IQ_PRICEDATE", "5/1/2014")</f>
        <v>#NAME?</v>
      </c>
      <c r="AC90" s="16">
        <v>1883.6834685870001</v>
      </c>
    </row>
    <row r="91" spans="1:29" x14ac:dyDescent="0.35">
      <c r="A91" s="2" t="s">
        <v>101</v>
      </c>
      <c r="B91" s="4" t="s">
        <v>786</v>
      </c>
      <c r="C91" s="4" t="s">
        <v>543</v>
      </c>
      <c r="D91" s="4" t="s">
        <v>544</v>
      </c>
      <c r="E91" s="4" t="s">
        <v>555</v>
      </c>
      <c r="F91" s="4" t="s">
        <v>556</v>
      </c>
      <c r="G91" s="14">
        <v>40.4</v>
      </c>
      <c r="H91" s="10">
        <v>24.092434999999998</v>
      </c>
      <c r="I91" s="10">
        <v>52.391258000000001</v>
      </c>
      <c r="J91" s="10">
        <v>41.808138999999997</v>
      </c>
      <c r="K91" s="15">
        <v>0</v>
      </c>
      <c r="L91" s="17">
        <v>11425.4432</v>
      </c>
      <c r="M91" s="4" t="s">
        <v>787</v>
      </c>
      <c r="N91" s="19">
        <v>0.77112099999999995</v>
      </c>
      <c r="O91" s="19">
        <v>1.7259</v>
      </c>
      <c r="P91" s="19">
        <v>0.73</v>
      </c>
      <c r="Q91" s="19">
        <v>1.4874000000000001</v>
      </c>
      <c r="R91" s="19">
        <v>0.7</v>
      </c>
      <c r="S91" s="19">
        <v>1.3187</v>
      </c>
      <c r="T91" s="19">
        <v>0.7</v>
      </c>
      <c r="U91" s="19">
        <v>1.1363000000000001</v>
      </c>
      <c r="V91" s="19">
        <v>0.43928200000000001</v>
      </c>
      <c r="W91" s="19">
        <v>1.0418000000000001</v>
      </c>
      <c r="X91" s="19">
        <v>0.43928200000000001</v>
      </c>
      <c r="Y91" s="19">
        <v>1.0418000000000001</v>
      </c>
      <c r="Z91" s="4"/>
      <c r="AA91" s="4"/>
      <c r="AB91" s="4" t="e">
        <f ca="1">_xll.ciqfunctions.udf.CIQ("^SPX", "IQ_PRICEDATE", "5/2/2014")</f>
        <v>#NAME?</v>
      </c>
      <c r="AC91" s="16">
        <v>1881.1381375353999</v>
      </c>
    </row>
    <row r="92" spans="1:29" x14ac:dyDescent="0.35">
      <c r="A92" s="2" t="s">
        <v>102</v>
      </c>
      <c r="B92" s="4" t="s">
        <v>788</v>
      </c>
      <c r="C92" s="4" t="s">
        <v>626</v>
      </c>
      <c r="D92" s="4" t="s">
        <v>627</v>
      </c>
      <c r="E92" s="4" t="s">
        <v>699</v>
      </c>
      <c r="F92" s="4" t="s">
        <v>789</v>
      </c>
      <c r="G92" s="14">
        <v>36.32</v>
      </c>
      <c r="H92" s="10">
        <v>10.58963</v>
      </c>
      <c r="I92" s="10">
        <v>42.232557999999997</v>
      </c>
      <c r="J92" s="10" t="s">
        <v>534</v>
      </c>
      <c r="K92" s="15">
        <v>3.8545999999999997E-2</v>
      </c>
      <c r="L92" s="17">
        <v>10919.830604999999</v>
      </c>
      <c r="M92" s="4" t="s">
        <v>790</v>
      </c>
      <c r="N92" s="19">
        <v>0.86</v>
      </c>
      <c r="O92" s="19">
        <v>2.4372699999999998</v>
      </c>
      <c r="P92" s="19">
        <v>2.85459</v>
      </c>
      <c r="Q92" s="19">
        <v>2.9523000000000001</v>
      </c>
      <c r="R92" s="19">
        <v>2.1284049999999999</v>
      </c>
      <c r="S92" s="19">
        <v>3.1292</v>
      </c>
      <c r="T92" s="19">
        <v>2.1284049999999999</v>
      </c>
      <c r="U92" s="19">
        <v>2.8235000000000001</v>
      </c>
      <c r="V92" s="19">
        <v>2.5402049999999998</v>
      </c>
      <c r="W92" s="19">
        <v>2.4777999999999998</v>
      </c>
      <c r="X92" s="19">
        <v>2.5402049999999998</v>
      </c>
      <c r="Y92" s="19">
        <v>2.4777999999999998</v>
      </c>
      <c r="Z92" s="4"/>
      <c r="AA92" s="4"/>
      <c r="AB92" s="4" t="e">
        <f ca="1">_xll.ciqfunctions.udf.CIQ("^SPX", "IQ_PRICEDATE", "5/5/2014")</f>
        <v>#NAME?</v>
      </c>
      <c r="AC92" s="16">
        <v>1884.6557347001001</v>
      </c>
    </row>
    <row r="93" spans="1:29" x14ac:dyDescent="0.35">
      <c r="A93" s="2" t="s">
        <v>103</v>
      </c>
      <c r="B93" s="4" t="s">
        <v>791</v>
      </c>
      <c r="C93" s="4" t="s">
        <v>573</v>
      </c>
      <c r="D93" s="4" t="s">
        <v>574</v>
      </c>
      <c r="E93" s="4" t="s">
        <v>641</v>
      </c>
      <c r="F93" s="4" t="s">
        <v>641</v>
      </c>
      <c r="G93" s="14">
        <v>91.48</v>
      </c>
      <c r="H93" s="10">
        <v>0</v>
      </c>
      <c r="I93" s="10">
        <v>13.784369999999999</v>
      </c>
      <c r="J93" s="10">
        <v>1.4454560000000001</v>
      </c>
      <c r="K93" s="15">
        <v>1.7490000000000002E-2</v>
      </c>
      <c r="L93" s="17">
        <v>43766.776400000002</v>
      </c>
      <c r="M93" s="4" t="s">
        <v>792</v>
      </c>
      <c r="N93" s="19">
        <v>6.6365020000000001</v>
      </c>
      <c r="O93" s="19">
        <v>10.9521</v>
      </c>
      <c r="P93" s="19">
        <v>3.76</v>
      </c>
      <c r="Q93" s="19">
        <v>8.5507000000000009</v>
      </c>
      <c r="R93" s="19">
        <v>6.93</v>
      </c>
      <c r="S93" s="19">
        <v>7.8623000000000003</v>
      </c>
      <c r="T93" s="19">
        <v>6.93</v>
      </c>
      <c r="U93" s="19">
        <v>7.6513999999999998</v>
      </c>
      <c r="V93" s="19">
        <v>7.58</v>
      </c>
      <c r="W93" s="19">
        <v>7.6684999999999999</v>
      </c>
      <c r="X93" s="19">
        <v>7.58</v>
      </c>
      <c r="Y93" s="19">
        <v>7.6684999999999999</v>
      </c>
      <c r="Z93" s="4"/>
      <c r="AA93" s="4"/>
      <c r="AB93" s="4" t="e">
        <f ca="1">_xll.ciqfunctions.udf.CIQ("^SPX", "IQ_PRICEDATE", "5/6/2014")</f>
        <v>#NAME?</v>
      </c>
      <c r="AC93" s="16">
        <v>1867.7191073542999</v>
      </c>
    </row>
    <row r="94" spans="1:29" x14ac:dyDescent="0.35">
      <c r="A94" s="2" t="s">
        <v>104</v>
      </c>
      <c r="B94" s="4" t="s">
        <v>793</v>
      </c>
      <c r="C94" s="4" t="s">
        <v>530</v>
      </c>
      <c r="D94" s="4" t="s">
        <v>531</v>
      </c>
      <c r="E94" s="4" t="s">
        <v>569</v>
      </c>
      <c r="F94" s="4" t="s">
        <v>655</v>
      </c>
      <c r="G94" s="14">
        <v>53.52</v>
      </c>
      <c r="H94" s="10">
        <v>7.7523270000000002</v>
      </c>
      <c r="I94" s="10">
        <v>66.074073999999996</v>
      </c>
      <c r="J94" s="10" t="s">
        <v>534</v>
      </c>
      <c r="K94" s="15">
        <v>3.5596999999999997E-2</v>
      </c>
      <c r="L94" s="17">
        <v>16048.772070000001</v>
      </c>
      <c r="M94" s="4" t="s">
        <v>794</v>
      </c>
      <c r="N94" s="19">
        <v>0.81</v>
      </c>
      <c r="O94" s="19">
        <v>5.0192600000000001</v>
      </c>
      <c r="P94" s="19">
        <v>5.735188</v>
      </c>
      <c r="Q94" s="19">
        <v>5.1148999999999996</v>
      </c>
      <c r="R94" s="19">
        <v>4.1525109999999996</v>
      </c>
      <c r="S94" s="19">
        <v>5.609</v>
      </c>
      <c r="T94" s="19">
        <v>4.1525109999999996</v>
      </c>
      <c r="U94" s="19">
        <v>5.3914999999999997</v>
      </c>
      <c r="V94" s="19">
        <v>3.239296</v>
      </c>
      <c r="W94" s="19">
        <v>4.4118000000000004</v>
      </c>
      <c r="X94" s="19">
        <v>3.239296</v>
      </c>
      <c r="Y94" s="19">
        <v>4.4118000000000004</v>
      </c>
      <c r="Z94" s="4"/>
      <c r="AA94" s="4"/>
      <c r="AB94" s="4" t="e">
        <f ca="1">_xll.ciqfunctions.udf.CIQ("^SPX", "IQ_PRICEDATE", "5/7/2014")</f>
        <v>#NAME?</v>
      </c>
      <c r="AC94" s="16">
        <v>1878.2077180358999</v>
      </c>
    </row>
    <row r="95" spans="1:29" x14ac:dyDescent="0.35">
      <c r="A95" s="2" t="s">
        <v>105</v>
      </c>
      <c r="B95" s="4" t="s">
        <v>795</v>
      </c>
      <c r="C95" s="4" t="s">
        <v>559</v>
      </c>
      <c r="D95" s="4" t="s">
        <v>560</v>
      </c>
      <c r="E95" s="4" t="s">
        <v>561</v>
      </c>
      <c r="F95" s="4" t="s">
        <v>562</v>
      </c>
      <c r="G95" s="14">
        <v>69.92</v>
      </c>
      <c r="H95" s="10">
        <v>19.832695999999999</v>
      </c>
      <c r="I95" s="10">
        <v>17.3401</v>
      </c>
      <c r="J95" s="10">
        <v>3.5197690000000001</v>
      </c>
      <c r="K95" s="15">
        <v>0</v>
      </c>
      <c r="L95" s="17">
        <v>12209.517311</v>
      </c>
      <c r="M95" s="4" t="s">
        <v>796</v>
      </c>
      <c r="N95" s="19">
        <v>4.0322719999999999</v>
      </c>
      <c r="O95" s="19">
        <v>4.8364000000000003</v>
      </c>
      <c r="P95" s="19">
        <v>3.7372429999999999</v>
      </c>
      <c r="Q95" s="19">
        <v>4.0983999999999998</v>
      </c>
      <c r="R95" s="19">
        <v>3.1556299999999999</v>
      </c>
      <c r="S95" s="19">
        <v>3.5223</v>
      </c>
      <c r="T95" s="19">
        <v>3.1556299999999999</v>
      </c>
      <c r="U95" s="19">
        <v>3.2806999999999999</v>
      </c>
      <c r="V95" s="19">
        <v>2.484111</v>
      </c>
      <c r="W95" s="19">
        <v>2.8491</v>
      </c>
      <c r="X95" s="19">
        <v>2.484111</v>
      </c>
      <c r="Y95" s="19">
        <v>2.8491</v>
      </c>
      <c r="Z95" s="4"/>
      <c r="AA95" s="4"/>
      <c r="AB95" s="4" t="e">
        <f ca="1">_xll.ciqfunctions.udf.CIQ("^SPX", "IQ_PRICEDATE", "5/8/2014")</f>
        <v>#NAME?</v>
      </c>
      <c r="AC95" s="16">
        <v>1875.6291590243</v>
      </c>
    </row>
    <row r="96" spans="1:29" x14ac:dyDescent="0.35">
      <c r="A96" s="2" t="s">
        <v>106</v>
      </c>
      <c r="B96" s="4" t="s">
        <v>797</v>
      </c>
      <c r="C96" s="4" t="s">
        <v>559</v>
      </c>
      <c r="D96" s="4" t="s">
        <v>798</v>
      </c>
      <c r="E96" s="4" t="s">
        <v>799</v>
      </c>
      <c r="F96" s="4" t="s">
        <v>800</v>
      </c>
      <c r="G96" s="14">
        <v>59</v>
      </c>
      <c r="H96" s="10">
        <v>9.2766710000000003</v>
      </c>
      <c r="I96" s="10">
        <v>13.211574000000001</v>
      </c>
      <c r="J96" s="10">
        <v>2.0123760000000002</v>
      </c>
      <c r="K96" s="15">
        <v>3.3898000000000005E-2</v>
      </c>
      <c r="L96" s="17">
        <v>41204.667092000003</v>
      </c>
      <c r="M96" s="4" t="s">
        <v>801</v>
      </c>
      <c r="N96" s="19">
        <v>4.4657809999999998</v>
      </c>
      <c r="O96" s="19">
        <v>4.5016999999999996</v>
      </c>
      <c r="P96" s="19">
        <v>3.59</v>
      </c>
      <c r="Q96" s="19">
        <v>4.2590700000000004</v>
      </c>
      <c r="R96" s="19">
        <v>3.72</v>
      </c>
      <c r="S96" s="19">
        <v>3.5720100000000001</v>
      </c>
      <c r="T96" s="19">
        <v>3.72</v>
      </c>
      <c r="U96" s="19">
        <v>3.3593199999999999</v>
      </c>
      <c r="V96" s="19">
        <v>1.56</v>
      </c>
      <c r="W96" s="19">
        <v>2.5376300000000001</v>
      </c>
      <c r="X96" s="19">
        <v>1.56</v>
      </c>
      <c r="Y96" s="19">
        <v>2.5376300000000001</v>
      </c>
      <c r="Z96" s="4"/>
      <c r="AA96" s="4"/>
      <c r="AB96" s="4" t="e">
        <f ca="1">_xll.ciqfunctions.udf.CIQ("^SPX", "IQ_PRICEDATE", "5/9/2014")</f>
        <v>#NAME?</v>
      </c>
      <c r="AC96" s="16">
        <v>1878.4756878404</v>
      </c>
    </row>
    <row r="97" spans="1:29" x14ac:dyDescent="0.35">
      <c r="A97" s="2" t="s">
        <v>107</v>
      </c>
      <c r="B97" s="4" t="s">
        <v>802</v>
      </c>
      <c r="C97" s="4" t="s">
        <v>525</v>
      </c>
      <c r="D97" s="4" t="s">
        <v>526</v>
      </c>
      <c r="E97" s="4" t="s">
        <v>803</v>
      </c>
      <c r="F97" s="4" t="s">
        <v>804</v>
      </c>
      <c r="G97" s="14">
        <v>141.34</v>
      </c>
      <c r="H97" s="10">
        <v>10.774259000000001</v>
      </c>
      <c r="I97" s="10">
        <v>27.305671</v>
      </c>
      <c r="J97" s="10">
        <v>12.744948000000001</v>
      </c>
      <c r="K97" s="15">
        <v>2.4338000000000002E-2</v>
      </c>
      <c r="L97" s="17">
        <v>84001.950339999996</v>
      </c>
      <c r="M97" s="4" t="s">
        <v>805</v>
      </c>
      <c r="N97" s="19">
        <v>5.1762139999999999</v>
      </c>
      <c r="O97" s="19">
        <v>12.0632</v>
      </c>
      <c r="P97" s="19">
        <v>1.26</v>
      </c>
      <c r="Q97" s="19">
        <v>7.7234999999999996</v>
      </c>
      <c r="R97" s="19">
        <v>-0.11466700000000001</v>
      </c>
      <c r="S97" s="19">
        <v>3.0388000000000002</v>
      </c>
      <c r="T97" s="19">
        <v>-0.11466700000000001</v>
      </c>
      <c r="U97" s="19">
        <v>3.3948</v>
      </c>
      <c r="V97" s="19">
        <v>3.9</v>
      </c>
      <c r="W97" s="19">
        <v>6.7378</v>
      </c>
      <c r="X97" s="19">
        <v>3.9</v>
      </c>
      <c r="Y97" s="19">
        <v>6.7378</v>
      </c>
      <c r="Z97" s="4"/>
      <c r="AA97" s="4"/>
      <c r="AB97" s="4" t="e">
        <f ca="1">_xll.ciqfunctions.udf.CIQ("^SPX", "IQ_PRICEDATE", "5/12/2014")</f>
        <v>#NAME?</v>
      </c>
      <c r="AC97" s="16">
        <v>1896.6543225495</v>
      </c>
    </row>
    <row r="98" spans="1:29" x14ac:dyDescent="0.35">
      <c r="A98" s="2" t="s">
        <v>108</v>
      </c>
      <c r="B98" s="4" t="s">
        <v>806</v>
      </c>
      <c r="C98" s="4" t="s">
        <v>573</v>
      </c>
      <c r="D98" s="4" t="s">
        <v>574</v>
      </c>
      <c r="E98" s="4" t="s">
        <v>575</v>
      </c>
      <c r="F98" s="4" t="s">
        <v>807</v>
      </c>
      <c r="G98" s="14">
        <v>102.64</v>
      </c>
      <c r="H98" s="10">
        <v>15.851008999999999</v>
      </c>
      <c r="I98" s="10">
        <v>22.533776</v>
      </c>
      <c r="J98" s="10" t="s">
        <v>534</v>
      </c>
      <c r="K98" s="15">
        <v>1.2081E-2</v>
      </c>
      <c r="L98" s="17">
        <v>11477.076499999999</v>
      </c>
      <c r="M98" s="4" t="s">
        <v>808</v>
      </c>
      <c r="N98" s="19">
        <v>4.5549400000000002</v>
      </c>
      <c r="O98" s="19">
        <v>4.5174000000000003</v>
      </c>
      <c r="P98" s="19">
        <v>3.69</v>
      </c>
      <c r="Q98" s="19">
        <v>3.8010000000000002</v>
      </c>
      <c r="R98" s="19">
        <v>2.27</v>
      </c>
      <c r="S98" s="19">
        <v>2.4192999999999998</v>
      </c>
      <c r="T98" s="19">
        <v>2.27</v>
      </c>
      <c r="U98" s="19">
        <v>2.5352000000000001</v>
      </c>
      <c r="V98" s="19">
        <v>2.2058399999999998</v>
      </c>
      <c r="W98" s="19">
        <v>2.5146000000000002</v>
      </c>
      <c r="X98" s="19">
        <v>2.2058399999999998</v>
      </c>
      <c r="Y98" s="19">
        <v>2.5146000000000002</v>
      </c>
      <c r="Z98" s="4"/>
      <c r="AA98" s="4"/>
      <c r="AB98" s="4" t="e">
        <f ca="1">_xll.ciqfunctions.udf.CIQ("^SPX", "IQ_PRICEDATE", "5/13/2014")</f>
        <v>#NAME?</v>
      </c>
      <c r="AC98" s="16">
        <v>1897.4458157632</v>
      </c>
    </row>
    <row r="99" spans="1:29" x14ac:dyDescent="0.35">
      <c r="A99" s="2" t="s">
        <v>109</v>
      </c>
      <c r="B99" s="4" t="s">
        <v>809</v>
      </c>
      <c r="C99" s="4" t="s">
        <v>601</v>
      </c>
      <c r="D99" s="4" t="s">
        <v>601</v>
      </c>
      <c r="E99" s="4" t="s">
        <v>810</v>
      </c>
      <c r="F99" s="4" t="s">
        <v>811</v>
      </c>
      <c r="G99" s="14">
        <v>39.659999999999997</v>
      </c>
      <c r="H99" s="10">
        <v>9.3254260000000002</v>
      </c>
      <c r="I99" s="10">
        <v>18.618659999999998</v>
      </c>
      <c r="J99" s="10" t="s">
        <v>534</v>
      </c>
      <c r="K99" s="15">
        <v>0</v>
      </c>
      <c r="L99" s="17">
        <v>13169.513559999999</v>
      </c>
      <c r="M99" s="4" t="s">
        <v>812</v>
      </c>
      <c r="N99" s="19">
        <v>2.1301209999999999</v>
      </c>
      <c r="O99" s="19">
        <v>3.2469000000000001</v>
      </c>
      <c r="P99" s="19">
        <v>2.0299999999999998</v>
      </c>
      <c r="Q99" s="19">
        <v>2.6916000000000002</v>
      </c>
      <c r="R99" s="19">
        <v>1.689999</v>
      </c>
      <c r="S99" s="19">
        <v>2.2982</v>
      </c>
      <c r="T99" s="19">
        <v>1.689999</v>
      </c>
      <c r="U99" s="19">
        <v>2.2416999999999998</v>
      </c>
      <c r="V99" s="19">
        <v>1.449999</v>
      </c>
      <c r="W99" s="19">
        <v>1.8380000000000001</v>
      </c>
      <c r="X99" s="19">
        <v>1.449999</v>
      </c>
      <c r="Y99" s="19">
        <v>1.8380000000000001</v>
      </c>
      <c r="Z99" s="4"/>
      <c r="AA99" s="4"/>
      <c r="AB99" s="4" t="e">
        <f ca="1">_xll.ciqfunctions.udf.CIQ("^SPX", "IQ_PRICEDATE", "5/14/2014")</f>
        <v>#NAME?</v>
      </c>
      <c r="AC99" s="16">
        <v>1888.5257205712001</v>
      </c>
    </row>
    <row r="100" spans="1:29" x14ac:dyDescent="0.35">
      <c r="A100" s="2" t="s">
        <v>110</v>
      </c>
      <c r="B100" s="4" t="s">
        <v>813</v>
      </c>
      <c r="C100" s="4" t="s">
        <v>549</v>
      </c>
      <c r="D100" s="4" t="s">
        <v>550</v>
      </c>
      <c r="E100" s="4" t="s">
        <v>814</v>
      </c>
      <c r="F100" s="4" t="s">
        <v>815</v>
      </c>
      <c r="G100" s="14">
        <v>55.86</v>
      </c>
      <c r="H100" s="10">
        <v>9.9723369999999996</v>
      </c>
      <c r="I100" s="10">
        <v>15.968147999999999</v>
      </c>
      <c r="J100" s="10" t="s">
        <v>534</v>
      </c>
      <c r="K100" s="15">
        <v>1.2888999999999999E-2</v>
      </c>
      <c r="L100" s="17">
        <v>21017.076614000001</v>
      </c>
      <c r="M100" s="4" t="s">
        <v>816</v>
      </c>
      <c r="N100" s="19">
        <v>3.4982139999999999</v>
      </c>
      <c r="O100" s="19">
        <v>5.7276999999999996</v>
      </c>
      <c r="P100" s="19">
        <v>3.22</v>
      </c>
      <c r="Q100" s="19">
        <v>4.7521000000000004</v>
      </c>
      <c r="R100" s="19">
        <v>3.46</v>
      </c>
      <c r="S100" s="19">
        <v>4.3316999999999997</v>
      </c>
      <c r="T100" s="19">
        <v>3.46</v>
      </c>
      <c r="U100" s="19">
        <v>3.7648000000000001</v>
      </c>
      <c r="V100" s="19">
        <v>2.0499999999999998</v>
      </c>
      <c r="W100" s="19">
        <v>3.4969999999999999</v>
      </c>
      <c r="X100" s="19">
        <v>2.0499999999999998</v>
      </c>
      <c r="Y100" s="19">
        <v>3.4969999999999999</v>
      </c>
      <c r="Z100" s="4"/>
      <c r="AA100" s="4"/>
      <c r="AB100" s="4" t="e">
        <f ca="1">_xll.ciqfunctions.udf.CIQ("^SPX", "IQ_PRICEDATE", "5/15/2014")</f>
        <v>#NAME?</v>
      </c>
      <c r="AC100" s="16">
        <v>1870.8486363597001</v>
      </c>
    </row>
    <row r="101" spans="1:29" x14ac:dyDescent="0.35">
      <c r="A101" s="2" t="s">
        <v>111</v>
      </c>
      <c r="B101" s="4" t="s">
        <v>817</v>
      </c>
      <c r="C101" s="4" t="s">
        <v>530</v>
      </c>
      <c r="D101" s="4" t="s">
        <v>537</v>
      </c>
      <c r="E101" s="4" t="s">
        <v>538</v>
      </c>
      <c r="F101" s="4" t="s">
        <v>538</v>
      </c>
      <c r="G101" s="14">
        <v>84.28</v>
      </c>
      <c r="H101" s="10">
        <v>15.243911000000001</v>
      </c>
      <c r="I101" s="10">
        <v>23.439433000000001</v>
      </c>
      <c r="J101" s="10" t="s">
        <v>534</v>
      </c>
      <c r="K101" s="15">
        <v>0</v>
      </c>
      <c r="L101" s="17">
        <v>59279.434482999997</v>
      </c>
      <c r="M101" s="4" t="s">
        <v>818</v>
      </c>
      <c r="N101" s="19">
        <v>3.59565</v>
      </c>
      <c r="O101" s="19">
        <v>9.6285000000000007</v>
      </c>
      <c r="P101" s="19">
        <v>3.64</v>
      </c>
      <c r="Q101" s="19">
        <v>8.2898999999999994</v>
      </c>
      <c r="R101" s="19">
        <v>2.4900000000000002</v>
      </c>
      <c r="S101" s="19">
        <v>6.7851999999999997</v>
      </c>
      <c r="T101" s="19">
        <v>2.4900000000000002</v>
      </c>
      <c r="U101" s="19">
        <v>5.4412000000000003</v>
      </c>
      <c r="V101" s="19">
        <v>2.39</v>
      </c>
      <c r="W101" s="19">
        <v>4.4302000000000001</v>
      </c>
      <c r="X101" s="19">
        <v>2.39</v>
      </c>
      <c r="Y101" s="19">
        <v>4.4302000000000001</v>
      </c>
      <c r="Z101" s="4"/>
      <c r="AA101" s="4"/>
      <c r="AB101" s="4" t="e">
        <f ca="1">_xll.ciqfunctions.udf.CIQ("^SPX", "IQ_PRICEDATE", "5/16/2014")</f>
        <v>#NAME?</v>
      </c>
      <c r="AC101" s="16">
        <v>1877.8552731881</v>
      </c>
    </row>
    <row r="102" spans="1:29" x14ac:dyDescent="0.35">
      <c r="A102" s="2" t="s">
        <v>112</v>
      </c>
      <c r="B102" s="4" t="s">
        <v>819</v>
      </c>
      <c r="C102" s="4" t="s">
        <v>530</v>
      </c>
      <c r="D102" s="4" t="s">
        <v>531</v>
      </c>
      <c r="E102" s="4" t="s">
        <v>569</v>
      </c>
      <c r="F102" s="4" t="s">
        <v>570</v>
      </c>
      <c r="G102" s="14">
        <v>145.36000000000001</v>
      </c>
      <c r="H102" s="10">
        <v>13.104380000000001</v>
      </c>
      <c r="I102" s="10">
        <v>24.729672000000001</v>
      </c>
      <c r="J102" s="10">
        <v>7.9284350000000003</v>
      </c>
      <c r="K102" s="15">
        <v>0</v>
      </c>
      <c r="L102" s="17">
        <v>29836.109697</v>
      </c>
      <c r="M102" s="4" t="s">
        <v>820</v>
      </c>
      <c r="N102" s="19">
        <v>5.8779589999999997</v>
      </c>
      <c r="O102" s="19">
        <v>7.8372000000000002</v>
      </c>
      <c r="P102" s="19">
        <v>4.6900000000000004</v>
      </c>
      <c r="Q102" s="19">
        <v>5.3230000000000004</v>
      </c>
      <c r="R102" s="19">
        <v>3.41</v>
      </c>
      <c r="S102" s="19">
        <v>4.6642999999999999</v>
      </c>
      <c r="T102" s="19">
        <v>3.41</v>
      </c>
      <c r="U102" s="19">
        <v>3.5289000000000001</v>
      </c>
      <c r="V102" s="19">
        <v>2.23</v>
      </c>
      <c r="W102" s="19">
        <v>2.6775000000000002</v>
      </c>
      <c r="X102" s="19">
        <v>2.23</v>
      </c>
      <c r="Y102" s="19">
        <v>2.6775000000000002</v>
      </c>
      <c r="Z102" s="4"/>
      <c r="AA102" s="4"/>
      <c r="AB102" s="4" t="e">
        <f ca="1">_xll.ciqfunctions.udf.CIQ("^SPX", "IQ_PRICEDATE", "5/19/2014")</f>
        <v>#NAME?</v>
      </c>
      <c r="AC102" s="16">
        <v>1885.0848808167</v>
      </c>
    </row>
    <row r="103" spans="1:29" x14ac:dyDescent="0.35">
      <c r="A103" s="2" t="s">
        <v>113</v>
      </c>
      <c r="B103" s="4" t="s">
        <v>821</v>
      </c>
      <c r="C103" s="4" t="s">
        <v>619</v>
      </c>
      <c r="D103" s="4" t="s">
        <v>619</v>
      </c>
      <c r="E103" s="4" t="s">
        <v>634</v>
      </c>
      <c r="F103" s="4" t="s">
        <v>634</v>
      </c>
      <c r="G103" s="14">
        <v>27.56</v>
      </c>
      <c r="H103" s="10">
        <v>8.565016</v>
      </c>
      <c r="I103" s="10">
        <v>7.6807949999999998</v>
      </c>
      <c r="J103" s="10">
        <v>3.1851780000000001</v>
      </c>
      <c r="K103" s="15">
        <v>4.0274999999999998E-2</v>
      </c>
      <c r="L103" s="17">
        <v>13812.765533</v>
      </c>
      <c r="M103" s="4" t="s">
        <v>822</v>
      </c>
      <c r="N103" s="19">
        <v>3.5881699999999999</v>
      </c>
      <c r="O103" s="19">
        <v>1.6241000000000001</v>
      </c>
      <c r="P103" s="19">
        <v>4.13</v>
      </c>
      <c r="Q103" s="19">
        <v>1.4000999999999999</v>
      </c>
      <c r="R103" s="19">
        <v>1</v>
      </c>
      <c r="S103" s="19">
        <v>1.2421</v>
      </c>
      <c r="T103" s="19">
        <v>1</v>
      </c>
      <c r="U103" s="19">
        <v>1.0885</v>
      </c>
      <c r="V103" s="19">
        <v>1.42</v>
      </c>
      <c r="W103" s="19">
        <v>1.1583000000000001</v>
      </c>
      <c r="X103" s="19">
        <v>1.42</v>
      </c>
      <c r="Y103" s="19">
        <v>1.1583000000000001</v>
      </c>
      <c r="Z103" s="4"/>
      <c r="AA103" s="4"/>
      <c r="AB103" s="4" t="e">
        <f ca="1">_xll.ciqfunctions.udf.CIQ("^SPX", "IQ_PRICEDATE", "5/20/2014")</f>
        <v>#NAME?</v>
      </c>
      <c r="AC103" s="16">
        <v>1872.834226359</v>
      </c>
    </row>
    <row r="104" spans="1:29" x14ac:dyDescent="0.35">
      <c r="A104" s="2" t="s">
        <v>114</v>
      </c>
      <c r="B104" s="4" t="s">
        <v>823</v>
      </c>
      <c r="C104" s="4" t="s">
        <v>549</v>
      </c>
      <c r="D104" s="4" t="s">
        <v>713</v>
      </c>
      <c r="E104" s="4" t="s">
        <v>714</v>
      </c>
      <c r="F104" s="4" t="s">
        <v>824</v>
      </c>
      <c r="G104" s="14">
        <v>21.15</v>
      </c>
      <c r="H104" s="10">
        <v>7.876487</v>
      </c>
      <c r="I104" s="10">
        <v>11.669796</v>
      </c>
      <c r="J104" s="10" t="s">
        <v>534</v>
      </c>
      <c r="K104" s="15">
        <v>0.102127</v>
      </c>
      <c r="L104" s="17">
        <v>22844.607350999999</v>
      </c>
      <c r="M104" s="4" t="s">
        <v>825</v>
      </c>
      <c r="N104" s="19">
        <v>1.812371</v>
      </c>
      <c r="O104" s="19">
        <v>1.1889000000000001</v>
      </c>
      <c r="P104" s="19">
        <v>2.21</v>
      </c>
      <c r="Q104" s="19">
        <v>1.4044000000000001</v>
      </c>
      <c r="R104" s="19">
        <v>1.1599999999999999</v>
      </c>
      <c r="S104" s="19">
        <v>2.2555000000000001</v>
      </c>
      <c r="T104" s="19">
        <v>1.1599999999999999</v>
      </c>
      <c r="U104" s="19">
        <v>2.4289999999999998</v>
      </c>
      <c r="V104" s="19">
        <v>1.358114</v>
      </c>
      <c r="W104" s="19">
        <v>2.5156999999999998</v>
      </c>
      <c r="X104" s="19">
        <v>1.358114</v>
      </c>
      <c r="Y104" s="19">
        <v>2.5156999999999998</v>
      </c>
      <c r="Z104" s="4"/>
      <c r="AA104" s="4"/>
      <c r="AB104" s="4" t="e">
        <f ca="1">_xll.ciqfunctions.udf.CIQ("^SPX", "IQ_PRICEDATE", "5/21/2014")</f>
        <v>#NAME?</v>
      </c>
      <c r="AC104" s="16">
        <v>1888.0302964502</v>
      </c>
    </row>
    <row r="105" spans="1:29" x14ac:dyDescent="0.35">
      <c r="A105" s="2" t="s">
        <v>115</v>
      </c>
      <c r="B105" s="4" t="s">
        <v>826</v>
      </c>
      <c r="C105" s="4" t="s">
        <v>530</v>
      </c>
      <c r="D105" s="4" t="s">
        <v>531</v>
      </c>
      <c r="E105" s="4" t="s">
        <v>827</v>
      </c>
      <c r="F105" s="4" t="s">
        <v>827</v>
      </c>
      <c r="G105" s="14">
        <v>64.23</v>
      </c>
      <c r="H105" s="10">
        <v>16.017620000000001</v>
      </c>
      <c r="I105" s="10">
        <v>25.674551000000001</v>
      </c>
      <c r="J105" s="10">
        <v>7.7621149999999997</v>
      </c>
      <c r="K105" s="15">
        <v>0</v>
      </c>
      <c r="L105" s="17">
        <v>21131.950749</v>
      </c>
      <c r="M105" s="4" t="s">
        <v>828</v>
      </c>
      <c r="N105" s="19">
        <v>2.5016989999999999</v>
      </c>
      <c r="O105" s="19">
        <v>2.6396000000000002</v>
      </c>
      <c r="P105" s="19">
        <v>2.57</v>
      </c>
      <c r="Q105" s="19">
        <v>2.5301999999999998</v>
      </c>
      <c r="R105" s="19">
        <v>1.85</v>
      </c>
      <c r="S105" s="19">
        <v>2.4882</v>
      </c>
      <c r="T105" s="19">
        <v>1.85</v>
      </c>
      <c r="U105" s="19">
        <v>2.286</v>
      </c>
      <c r="V105" s="19">
        <v>1.24926</v>
      </c>
      <c r="W105" s="19">
        <v>1.94</v>
      </c>
      <c r="X105" s="19">
        <v>1.24926</v>
      </c>
      <c r="Y105" s="19">
        <v>1.94</v>
      </c>
      <c r="Z105" s="4"/>
      <c r="AA105" s="4"/>
      <c r="AB105" s="4" t="e">
        <f ca="1">_xll.ciqfunctions.udf.CIQ("^SPX", "IQ_PRICEDATE", "5/22/2014")</f>
        <v>#NAME?</v>
      </c>
      <c r="AC105" s="16">
        <v>1892.4936293646999</v>
      </c>
    </row>
    <row r="106" spans="1:29" x14ac:dyDescent="0.35">
      <c r="A106" s="2" t="s">
        <v>116</v>
      </c>
      <c r="B106" s="4" t="s">
        <v>829</v>
      </c>
      <c r="C106" s="4" t="s">
        <v>586</v>
      </c>
      <c r="D106" s="4" t="s">
        <v>586</v>
      </c>
      <c r="E106" s="4" t="s">
        <v>587</v>
      </c>
      <c r="F106" s="4" t="s">
        <v>830</v>
      </c>
      <c r="G106" s="14">
        <v>51.5</v>
      </c>
      <c r="H106" s="10">
        <v>13.435985000000001</v>
      </c>
      <c r="I106" s="10">
        <v>20.480450999999999</v>
      </c>
      <c r="J106" s="10">
        <v>11.226429</v>
      </c>
      <c r="K106" s="15">
        <v>2.3300000000000001E-2</v>
      </c>
      <c r="L106" s="17">
        <v>12023.636145</v>
      </c>
      <c r="M106" s="4" t="s">
        <v>831</v>
      </c>
      <c r="N106" s="19">
        <v>2.5145930000000001</v>
      </c>
      <c r="O106" s="19">
        <v>2.0055000000000001</v>
      </c>
      <c r="P106" s="19">
        <v>1.53</v>
      </c>
      <c r="Q106" s="19">
        <v>0.20280000000000001</v>
      </c>
      <c r="R106" s="19">
        <v>-1.19</v>
      </c>
      <c r="S106" s="19">
        <v>0.26919999999999999</v>
      </c>
      <c r="T106" s="19">
        <v>-1.19</v>
      </c>
      <c r="U106" s="19">
        <v>4.0796000000000001</v>
      </c>
      <c r="V106" s="19">
        <v>5.42</v>
      </c>
      <c r="W106" s="19">
        <v>4.0696000000000003</v>
      </c>
      <c r="X106" s="19">
        <v>5.42</v>
      </c>
      <c r="Y106" s="19">
        <v>4.0696000000000003</v>
      </c>
      <c r="Z106" s="4"/>
      <c r="AA106" s="4"/>
      <c r="AB106" s="4" t="e">
        <f ca="1">_xll.ciqfunctions.udf.CIQ("^SPX", "IQ_PRICEDATE", "5/23/2014")</f>
        <v>#NAME?</v>
      </c>
      <c r="AC106" s="16">
        <v>1900.5332285925999</v>
      </c>
    </row>
    <row r="107" spans="1:29" x14ac:dyDescent="0.35">
      <c r="A107" s="2" t="s">
        <v>117</v>
      </c>
      <c r="B107" s="4" t="s">
        <v>832</v>
      </c>
      <c r="C107" s="4" t="s">
        <v>549</v>
      </c>
      <c r="D107" s="4" t="s">
        <v>550</v>
      </c>
      <c r="E107" s="4" t="s">
        <v>814</v>
      </c>
      <c r="F107" s="4" t="s">
        <v>833</v>
      </c>
      <c r="G107" s="14">
        <v>319.83</v>
      </c>
      <c r="H107" s="10">
        <v>9.9014389999999999</v>
      </c>
      <c r="I107" s="10">
        <v>8.7660979999999995</v>
      </c>
      <c r="J107" s="10" t="s">
        <v>534</v>
      </c>
      <c r="K107" s="15">
        <v>0</v>
      </c>
      <c r="L107" s="17">
        <v>74157.041372000007</v>
      </c>
      <c r="M107" s="4" t="s">
        <v>834</v>
      </c>
      <c r="N107" s="19">
        <v>36.484875000000002</v>
      </c>
      <c r="O107" s="19">
        <v>5.9424999999999999</v>
      </c>
      <c r="P107" s="19">
        <v>34.087850000000003</v>
      </c>
      <c r="Q107" s="19">
        <v>3.9973999999999998</v>
      </c>
      <c r="R107" s="19">
        <v>15.946066</v>
      </c>
      <c r="S107" s="19">
        <v>4.7812999999999999</v>
      </c>
      <c r="T107" s="19">
        <v>15.946066</v>
      </c>
      <c r="U107" s="19">
        <v>0</v>
      </c>
      <c r="V107" s="19">
        <v>-1.879999</v>
      </c>
      <c r="W107" s="19">
        <v>0</v>
      </c>
      <c r="X107" s="19">
        <v>-1.879999</v>
      </c>
      <c r="Y107" s="19">
        <v>0</v>
      </c>
      <c r="Z107" s="4"/>
      <c r="AA107" s="4"/>
      <c r="AB107" s="4" t="e">
        <f ca="1">_xll.ciqfunctions.udf.CIQ("^SPX", "IQ_PRICEDATE", "5/27/2014")</f>
        <v>#NAME?</v>
      </c>
      <c r="AC107" s="16">
        <v>1911.9106246526001</v>
      </c>
    </row>
    <row r="108" spans="1:29" x14ac:dyDescent="0.35">
      <c r="A108" s="2" t="s">
        <v>118</v>
      </c>
      <c r="B108" s="4" t="s">
        <v>835</v>
      </c>
      <c r="C108" s="4" t="s">
        <v>669</v>
      </c>
      <c r="D108" s="4" t="s">
        <v>669</v>
      </c>
      <c r="E108" s="4" t="s">
        <v>670</v>
      </c>
      <c r="F108" s="4" t="s">
        <v>836</v>
      </c>
      <c r="G108" s="14">
        <v>117.29</v>
      </c>
      <c r="H108" s="10">
        <v>8.180911</v>
      </c>
      <c r="I108" s="10">
        <v>18.462710000000001</v>
      </c>
      <c r="J108" s="10">
        <v>1.5218370000000001</v>
      </c>
      <c r="K108" s="15">
        <v>3.8195E-2</v>
      </c>
      <c r="L108" s="17">
        <v>224744.89335900001</v>
      </c>
      <c r="M108" s="4" t="s">
        <v>837</v>
      </c>
      <c r="N108" s="19">
        <v>6.352805</v>
      </c>
      <c r="O108" s="19">
        <v>9.1348000000000003</v>
      </c>
      <c r="P108" s="19">
        <v>4.8499999999999996</v>
      </c>
      <c r="Q108" s="19">
        <v>5.5984999999999996</v>
      </c>
      <c r="R108" s="19">
        <v>-0.27</v>
      </c>
      <c r="S108" s="19">
        <v>3.8411</v>
      </c>
      <c r="T108" s="19">
        <v>-0.27</v>
      </c>
      <c r="U108" s="19">
        <v>3.4708999999999999</v>
      </c>
      <c r="V108" s="19">
        <v>10.14</v>
      </c>
      <c r="W108" s="19">
        <v>6.7920999999999996</v>
      </c>
      <c r="X108" s="19">
        <v>10.14</v>
      </c>
      <c r="Y108" s="19">
        <v>6.7920999999999996</v>
      </c>
      <c r="Z108" s="4"/>
      <c r="AA108" s="4"/>
      <c r="AB108" s="4" t="e">
        <f ca="1">_xll.ciqfunctions.udf.CIQ("^SPX", "IQ_PRICEDATE", "5/28/2014")</f>
        <v>#NAME?</v>
      </c>
      <c r="AC108" s="16">
        <v>1909.7819247730999</v>
      </c>
    </row>
    <row r="109" spans="1:29" x14ac:dyDescent="0.35">
      <c r="A109" s="2" t="s">
        <v>119</v>
      </c>
      <c r="B109" s="4" t="s">
        <v>838</v>
      </c>
      <c r="C109" s="4" t="s">
        <v>559</v>
      </c>
      <c r="D109" s="4" t="s">
        <v>798</v>
      </c>
      <c r="E109" s="4" t="s">
        <v>799</v>
      </c>
      <c r="F109" s="4" t="s">
        <v>839</v>
      </c>
      <c r="G109" s="14">
        <v>429.85</v>
      </c>
      <c r="H109" s="10">
        <v>21.943809000000002</v>
      </c>
      <c r="I109" s="10">
        <v>71.232399999999998</v>
      </c>
      <c r="J109" s="10">
        <v>8.725835</v>
      </c>
      <c r="K109" s="15">
        <v>0</v>
      </c>
      <c r="L109" s="17">
        <v>11951.594534</v>
      </c>
      <c r="M109" s="4" t="s">
        <v>840</v>
      </c>
      <c r="N109" s="19">
        <v>6.0344730000000002</v>
      </c>
      <c r="O109" s="19">
        <v>10.248100000000001</v>
      </c>
      <c r="P109" s="19">
        <v>6.17</v>
      </c>
      <c r="Q109" s="19">
        <v>8.5454000000000008</v>
      </c>
      <c r="R109" s="19">
        <v>0.77</v>
      </c>
      <c r="S109" s="19">
        <v>7.6215000000000002</v>
      </c>
      <c r="T109" s="19">
        <v>0.77</v>
      </c>
      <c r="U109" s="19">
        <v>14.9651</v>
      </c>
      <c r="V109" s="19">
        <v>14.13</v>
      </c>
      <c r="W109" s="19">
        <v>16.701000000000001</v>
      </c>
      <c r="X109" s="19">
        <v>14.13</v>
      </c>
      <c r="Y109" s="19">
        <v>16.701000000000001</v>
      </c>
      <c r="Z109" s="4"/>
      <c r="AA109" s="4"/>
      <c r="AB109" s="4" t="e">
        <f ca="1">_xll.ciqfunctions.udf.CIQ("^SPX", "IQ_PRICEDATE", "5/29/2014")</f>
        <v>#NAME?</v>
      </c>
      <c r="AC109" s="16">
        <v>1920.0268444223</v>
      </c>
    </row>
    <row r="110" spans="1:29" x14ac:dyDescent="0.35">
      <c r="A110" s="2" t="s">
        <v>120</v>
      </c>
      <c r="B110" s="4" t="s">
        <v>841</v>
      </c>
      <c r="C110" s="4" t="s">
        <v>573</v>
      </c>
      <c r="D110" s="4" t="s">
        <v>579</v>
      </c>
      <c r="E110" s="4" t="s">
        <v>579</v>
      </c>
      <c r="F110" s="4" t="s">
        <v>842</v>
      </c>
      <c r="G110" s="14">
        <v>127.13</v>
      </c>
      <c r="H110" s="10">
        <v>15.337028</v>
      </c>
      <c r="I110" s="10">
        <v>15.554173</v>
      </c>
      <c r="J110" s="10">
        <v>2.0171510000000001</v>
      </c>
      <c r="K110" s="15">
        <v>2.2968000000000002E-2</v>
      </c>
      <c r="L110" s="17">
        <v>58616.60828</v>
      </c>
      <c r="M110" s="4" t="s">
        <v>843</v>
      </c>
      <c r="N110" s="19">
        <v>8.1733689999999992</v>
      </c>
      <c r="O110" s="19">
        <v>10.541700000000001</v>
      </c>
      <c r="P110" s="19">
        <v>8.1899990000000003</v>
      </c>
      <c r="Q110" s="19">
        <v>10.3453</v>
      </c>
      <c r="R110" s="19">
        <v>8.869999</v>
      </c>
      <c r="S110" s="19">
        <v>10.172700000000001</v>
      </c>
      <c r="T110" s="19">
        <v>8.869999</v>
      </c>
      <c r="U110" s="19">
        <v>9.4906000000000006</v>
      </c>
      <c r="V110" s="19">
        <v>8.42</v>
      </c>
      <c r="W110" s="19">
        <v>9.2250999999999994</v>
      </c>
      <c r="X110" s="19">
        <v>8.42</v>
      </c>
      <c r="Y110" s="19">
        <v>9.2250999999999994</v>
      </c>
      <c r="Z110" s="4"/>
      <c r="AA110" s="4"/>
      <c r="AB110" s="4" t="e">
        <f ca="1">_xll.ciqfunctions.udf.CIQ("^SPX", "IQ_PRICEDATE", "5/30/2014")</f>
        <v>#NAME?</v>
      </c>
      <c r="AC110" s="16">
        <v>1923.5726606584001</v>
      </c>
    </row>
    <row r="111" spans="1:29" x14ac:dyDescent="0.35">
      <c r="A111" s="2" t="s">
        <v>121</v>
      </c>
      <c r="B111" s="4" t="s">
        <v>844</v>
      </c>
      <c r="C111" s="4" t="s">
        <v>626</v>
      </c>
      <c r="D111" s="4" t="s">
        <v>845</v>
      </c>
      <c r="E111" s="4" t="s">
        <v>846</v>
      </c>
      <c r="F111" s="4" t="s">
        <v>846</v>
      </c>
      <c r="G111" s="14">
        <v>58.51</v>
      </c>
      <c r="H111" s="10">
        <v>17.282603999999999</v>
      </c>
      <c r="I111" s="10">
        <v>18.015260000000001</v>
      </c>
      <c r="J111" s="10" t="s">
        <v>534</v>
      </c>
      <c r="K111" s="15">
        <v>1.4869E-2</v>
      </c>
      <c r="L111" s="17">
        <v>14358.819563999999</v>
      </c>
      <c r="M111" s="4" t="s">
        <v>847</v>
      </c>
      <c r="N111" s="19">
        <v>3.2478020000000001</v>
      </c>
      <c r="O111" s="19">
        <v>2.3222</v>
      </c>
      <c r="P111" s="19">
        <v>2.9</v>
      </c>
      <c r="Q111" s="19">
        <v>2.0617999999999999</v>
      </c>
      <c r="R111" s="19">
        <v>1.75</v>
      </c>
      <c r="S111" s="19">
        <v>1.8452999999999999</v>
      </c>
      <c r="T111" s="19">
        <v>1.75</v>
      </c>
      <c r="U111" s="19">
        <v>1.7171000000000001</v>
      </c>
      <c r="V111" s="19">
        <v>1.51</v>
      </c>
      <c r="W111" s="19">
        <v>1.6175999999999999</v>
      </c>
      <c r="X111" s="19">
        <v>1.51</v>
      </c>
      <c r="Y111" s="19">
        <v>1.6175999999999999</v>
      </c>
      <c r="Z111" s="4"/>
      <c r="AA111" s="4"/>
      <c r="AB111" s="4" t="e">
        <f ca="1">_xll.ciqfunctions.udf.CIQ("^SPX", "IQ_PRICEDATE", "6/2/2014")</f>
        <v>#NAME?</v>
      </c>
      <c r="AC111" s="16">
        <v>1924.9653923408</v>
      </c>
    </row>
    <row r="112" spans="1:29" x14ac:dyDescent="0.35">
      <c r="A112" s="2" t="s">
        <v>122</v>
      </c>
      <c r="B112" s="4" t="s">
        <v>848</v>
      </c>
      <c r="C112" s="4" t="s">
        <v>530</v>
      </c>
      <c r="D112" s="4" t="s">
        <v>531</v>
      </c>
      <c r="E112" s="4" t="s">
        <v>569</v>
      </c>
      <c r="F112" s="4" t="s">
        <v>570</v>
      </c>
      <c r="G112" s="14">
        <v>211.2</v>
      </c>
      <c r="H112" s="10">
        <v>10.692087000000001</v>
      </c>
      <c r="I112" s="10">
        <v>20.594889999999999</v>
      </c>
      <c r="J112" s="10">
        <v>5.9753179999999997</v>
      </c>
      <c r="K112" s="15">
        <v>1.8900000000000001E-4</v>
      </c>
      <c r="L112" s="17">
        <v>51398.599085000002</v>
      </c>
      <c r="M112" s="4" t="s">
        <v>849</v>
      </c>
      <c r="N112" s="19">
        <v>10.254970999999999</v>
      </c>
      <c r="O112" s="19">
        <v>14.3537</v>
      </c>
      <c r="P112" s="19">
        <v>8.77</v>
      </c>
      <c r="Q112" s="19">
        <v>10.8766</v>
      </c>
      <c r="R112" s="19">
        <v>7.19</v>
      </c>
      <c r="S112" s="19">
        <v>9.0960999999999999</v>
      </c>
      <c r="T112" s="19">
        <v>7.19</v>
      </c>
      <c r="U112" s="19">
        <v>9.0611999999999995</v>
      </c>
      <c r="V112" s="19">
        <v>7.83</v>
      </c>
      <c r="W112" s="19">
        <v>7.9344999999999999</v>
      </c>
      <c r="X112" s="19">
        <v>7.83</v>
      </c>
      <c r="Y112" s="19">
        <v>7.9344999999999999</v>
      </c>
      <c r="Z112" s="4"/>
      <c r="AA112" s="4"/>
      <c r="AB112" s="4" t="e">
        <f ca="1">_xll.ciqfunctions.udf.CIQ("^SPX", "IQ_PRICEDATE", "6/3/2014")</f>
        <v>#NAME?</v>
      </c>
      <c r="AC112" s="16">
        <v>1924.2447476350001</v>
      </c>
    </row>
    <row r="113" spans="1:29" x14ac:dyDescent="0.35">
      <c r="A113" s="2" t="s">
        <v>123</v>
      </c>
      <c r="B113" s="4" t="s">
        <v>850</v>
      </c>
      <c r="C113" s="4" t="s">
        <v>669</v>
      </c>
      <c r="D113" s="4" t="s">
        <v>669</v>
      </c>
      <c r="E113" s="4" t="s">
        <v>670</v>
      </c>
      <c r="F113" s="4" t="s">
        <v>671</v>
      </c>
      <c r="G113" s="14">
        <v>92.25</v>
      </c>
      <c r="H113" s="10">
        <v>7.5562699999999996</v>
      </c>
      <c r="I113" s="10">
        <v>14.790518</v>
      </c>
      <c r="J113" s="10">
        <v>3.8152659999999998</v>
      </c>
      <c r="K113" s="15">
        <v>7.8040000000000002E-3</v>
      </c>
      <c r="L113" s="17">
        <v>8796.5978269999996</v>
      </c>
      <c r="M113" s="4" t="s">
        <v>851</v>
      </c>
      <c r="N113" s="19">
        <v>6.2371040000000004</v>
      </c>
      <c r="O113" s="19">
        <v>7.1073000000000004</v>
      </c>
      <c r="P113" s="19">
        <v>5.1950180000000001</v>
      </c>
      <c r="Q113" s="19">
        <v>5.6308999999999996</v>
      </c>
      <c r="R113" s="19">
        <v>-4.38</v>
      </c>
      <c r="S113" s="19">
        <v>3.3431000000000002</v>
      </c>
      <c r="T113" s="19">
        <v>-4.38</v>
      </c>
      <c r="U113" s="19">
        <v>2.5700000000000001E-2</v>
      </c>
      <c r="V113" s="19">
        <v>6.0154290000000001</v>
      </c>
      <c r="W113" s="19">
        <v>3.4388000000000001</v>
      </c>
      <c r="X113" s="19">
        <v>6.0154290000000001</v>
      </c>
      <c r="Y113" s="19">
        <v>3.4388000000000001</v>
      </c>
      <c r="Z113" s="4"/>
      <c r="AA113" s="4"/>
      <c r="AB113" s="4" t="e">
        <f ca="1">_xll.ciqfunctions.udf.CIQ("^SPX", "IQ_PRICEDATE", "6/4/2014")</f>
        <v>#NAME?</v>
      </c>
      <c r="AC113" s="16">
        <v>1927.8750457919</v>
      </c>
    </row>
    <row r="114" spans="1:29" x14ac:dyDescent="0.35">
      <c r="A114" s="2" t="s">
        <v>124</v>
      </c>
      <c r="B114" s="4" t="s">
        <v>852</v>
      </c>
      <c r="C114" s="4" t="s">
        <v>573</v>
      </c>
      <c r="D114" s="4" t="s">
        <v>579</v>
      </c>
      <c r="E114" s="4" t="s">
        <v>579</v>
      </c>
      <c r="F114" s="4" t="s">
        <v>842</v>
      </c>
      <c r="G114" s="14">
        <v>75.75</v>
      </c>
      <c r="H114" s="10">
        <v>19.431715000000001</v>
      </c>
      <c r="I114" s="10">
        <v>13.499415000000001</v>
      </c>
      <c r="J114" s="10">
        <v>1.5559559999999999</v>
      </c>
      <c r="K114" s="15">
        <v>2.7986E-2</v>
      </c>
      <c r="L114" s="17">
        <v>12320.910286</v>
      </c>
      <c r="M114" s="4" t="s">
        <v>853</v>
      </c>
      <c r="N114" s="19">
        <v>5.6113540000000004</v>
      </c>
      <c r="O114" s="19">
        <v>3.1537000000000002</v>
      </c>
      <c r="P114" s="19">
        <v>6.29</v>
      </c>
      <c r="Q114" s="19">
        <v>3.0217000000000001</v>
      </c>
      <c r="R114" s="19">
        <v>3.55</v>
      </c>
      <c r="S114" s="19">
        <v>2.8711000000000002</v>
      </c>
      <c r="T114" s="19">
        <v>3.55</v>
      </c>
      <c r="U114" s="19">
        <v>2.669</v>
      </c>
      <c r="V114" s="19">
        <v>3.18</v>
      </c>
      <c r="W114" s="19">
        <v>2.6869999999999998</v>
      </c>
      <c r="X114" s="19">
        <v>3.18</v>
      </c>
      <c r="Y114" s="19">
        <v>2.6869999999999998</v>
      </c>
      <c r="Z114" s="4"/>
      <c r="AA114" s="4"/>
      <c r="AB114" s="4" t="e">
        <f ca="1">_xll.ciqfunctions.udf.CIQ("^SPX", "IQ_PRICEDATE", "6/5/2014")</f>
        <v>#NAME?</v>
      </c>
      <c r="AC114" s="16">
        <v>1940.4579108554001</v>
      </c>
    </row>
    <row r="115" spans="1:29" x14ac:dyDescent="0.35">
      <c r="A115" s="2" t="s">
        <v>125</v>
      </c>
      <c r="B115" s="4" t="s">
        <v>854</v>
      </c>
      <c r="C115" s="4" t="s">
        <v>525</v>
      </c>
      <c r="D115" s="4" t="s">
        <v>855</v>
      </c>
      <c r="E115" s="4" t="s">
        <v>856</v>
      </c>
      <c r="F115" s="4" t="s">
        <v>857</v>
      </c>
      <c r="G115" s="14">
        <v>186.2</v>
      </c>
      <c r="H115" s="10">
        <v>17.053842</v>
      </c>
      <c r="I115" s="10">
        <v>24.941884000000002</v>
      </c>
      <c r="J115" s="10" t="s">
        <v>534</v>
      </c>
      <c r="K115" s="15">
        <v>8.6999999999999994E-3</v>
      </c>
      <c r="L115" s="17">
        <v>20239.729965999999</v>
      </c>
      <c r="M115" s="4" t="s">
        <v>858</v>
      </c>
      <c r="N115" s="19">
        <v>7.4653539999999996</v>
      </c>
      <c r="O115" s="19">
        <v>7.2948000000000004</v>
      </c>
      <c r="P115" s="19">
        <v>4.5051899999999998</v>
      </c>
      <c r="Q115" s="19">
        <v>6.0221</v>
      </c>
      <c r="R115" s="19">
        <v>4.4190209999999999</v>
      </c>
      <c r="S115" s="19">
        <v>4.6477000000000004</v>
      </c>
      <c r="T115" s="19">
        <v>4.4190209999999999</v>
      </c>
      <c r="U115" s="19">
        <v>4.1696999999999997</v>
      </c>
      <c r="V115" s="19">
        <v>3.481042</v>
      </c>
      <c r="W115" s="19">
        <v>3.4535999999999998</v>
      </c>
      <c r="X115" s="19">
        <v>3.481042</v>
      </c>
      <c r="Y115" s="19">
        <v>3.4535999999999998</v>
      </c>
      <c r="Z115" s="4"/>
      <c r="AA115" s="4"/>
      <c r="AB115" s="4" t="e">
        <f ca="1">_xll.ciqfunctions.udf.CIQ("^SPX", "IQ_PRICEDATE", "6/6/2014")</f>
        <v>#NAME?</v>
      </c>
      <c r="AC115" s="16">
        <v>1949.4407261495001</v>
      </c>
    </row>
    <row r="116" spans="1:29" x14ac:dyDescent="0.35">
      <c r="A116" s="2" t="s">
        <v>126</v>
      </c>
      <c r="B116" s="4" t="s">
        <v>859</v>
      </c>
      <c r="C116" s="4" t="s">
        <v>543</v>
      </c>
      <c r="D116" s="4" t="s">
        <v>664</v>
      </c>
      <c r="E116" s="4" t="s">
        <v>706</v>
      </c>
      <c r="F116" s="4" t="s">
        <v>706</v>
      </c>
      <c r="G116" s="14">
        <v>45.94</v>
      </c>
      <c r="H116" s="10">
        <v>12.831654</v>
      </c>
      <c r="I116" s="10" t="s">
        <v>534</v>
      </c>
      <c r="J116" s="10">
        <v>23.694078999999999</v>
      </c>
      <c r="K116" s="15">
        <v>2.8732999999999998E-2</v>
      </c>
      <c r="L116" s="17">
        <v>210007.09020800001</v>
      </c>
      <c r="M116" s="4" t="s">
        <v>860</v>
      </c>
      <c r="N116" s="19">
        <v>0.02</v>
      </c>
      <c r="O116" s="19">
        <v>2.9945499999999998</v>
      </c>
      <c r="P116" s="19">
        <v>1.920067</v>
      </c>
      <c r="Q116" s="19">
        <v>2.4861</v>
      </c>
      <c r="R116" s="19">
        <v>2.0904799999999999</v>
      </c>
      <c r="S116" s="19">
        <v>2.3752</v>
      </c>
      <c r="T116" s="19">
        <v>2.0904799999999999</v>
      </c>
      <c r="U116" s="19">
        <v>2.2746</v>
      </c>
      <c r="V116" s="19">
        <v>1.470348</v>
      </c>
      <c r="W116" s="19">
        <v>2.1516000000000002</v>
      </c>
      <c r="X116" s="19">
        <v>1.470348</v>
      </c>
      <c r="Y116" s="19">
        <v>2.1516000000000002</v>
      </c>
      <c r="Z116" s="4"/>
      <c r="AA116" s="4"/>
      <c r="AB116" s="4" t="e">
        <f ca="1">_xll.ciqfunctions.udf.CIQ("^SPX", "IQ_PRICEDATE", "6/9/2014")</f>
        <v>#NAME?</v>
      </c>
      <c r="AC116" s="16">
        <v>1951.2725755604999</v>
      </c>
    </row>
    <row r="117" spans="1:29" x14ac:dyDescent="0.35">
      <c r="A117" s="2" t="s">
        <v>127</v>
      </c>
      <c r="B117" s="4" t="s">
        <v>861</v>
      </c>
      <c r="C117" s="4" t="s">
        <v>573</v>
      </c>
      <c r="D117" s="4" t="s">
        <v>737</v>
      </c>
      <c r="E117" s="4" t="s">
        <v>737</v>
      </c>
      <c r="F117" s="4" t="s">
        <v>738</v>
      </c>
      <c r="G117" s="14">
        <v>69.84</v>
      </c>
      <c r="H117" s="10">
        <v>0</v>
      </c>
      <c r="I117" s="10" t="s">
        <v>534</v>
      </c>
      <c r="J117" s="10">
        <v>1.1281369999999999</v>
      </c>
      <c r="K117" s="15">
        <v>2.5773000000000001E-2</v>
      </c>
      <c r="L117" s="17">
        <v>170556.264</v>
      </c>
      <c r="M117" s="4" t="s">
        <v>862</v>
      </c>
      <c r="N117" s="19">
        <v>-2.4616829999999998</v>
      </c>
      <c r="O117" s="19">
        <v>7.3517999999999999</v>
      </c>
      <c r="P117" s="19">
        <v>-2.9412630000000002</v>
      </c>
      <c r="Q117" s="19">
        <v>5.7472000000000003</v>
      </c>
      <c r="R117" s="19">
        <v>4.74</v>
      </c>
      <c r="S117" s="19">
        <v>5.0576999999999996</v>
      </c>
      <c r="T117" s="19">
        <v>4.74</v>
      </c>
      <c r="U117" s="19">
        <v>5.5250000000000004</v>
      </c>
      <c r="V117" s="19">
        <v>2.2031610000000001</v>
      </c>
      <c r="W117" s="19">
        <v>5.2234999999999996</v>
      </c>
      <c r="X117" s="19">
        <v>2.2031610000000001</v>
      </c>
      <c r="Y117" s="19">
        <v>5.2234999999999996</v>
      </c>
      <c r="Z117" s="4"/>
      <c r="AA117" s="4"/>
      <c r="AB117" s="4" t="e">
        <f ca="1">_xll.ciqfunctions.udf.CIQ("^SPX", "IQ_PRICEDATE", "6/10/2014")</f>
        <v>#NAME?</v>
      </c>
      <c r="AC117" s="16">
        <v>1950.7944545133</v>
      </c>
    </row>
    <row r="118" spans="1:29" x14ac:dyDescent="0.35">
      <c r="A118" s="2" t="s">
        <v>128</v>
      </c>
      <c r="B118" s="4" t="s">
        <v>863</v>
      </c>
      <c r="C118" s="4" t="s">
        <v>573</v>
      </c>
      <c r="D118" s="4" t="s">
        <v>737</v>
      </c>
      <c r="E118" s="4" t="s">
        <v>737</v>
      </c>
      <c r="F118" s="4" t="s">
        <v>743</v>
      </c>
      <c r="G118" s="14">
        <v>35.89</v>
      </c>
      <c r="H118" s="10">
        <v>0</v>
      </c>
      <c r="I118" s="10">
        <v>9.7722610000000003</v>
      </c>
      <c r="J118" s="10">
        <v>1.3325709999999999</v>
      </c>
      <c r="K118" s="15">
        <v>3.0091E-2</v>
      </c>
      <c r="L118" s="17">
        <v>17081.717766999998</v>
      </c>
      <c r="M118" s="4" t="s">
        <v>864</v>
      </c>
      <c r="N118" s="19">
        <v>3.6726399999999999</v>
      </c>
      <c r="O118" s="19">
        <v>3.6179000000000001</v>
      </c>
      <c r="P118" s="19">
        <v>3.25</v>
      </c>
      <c r="Q118" s="19">
        <v>2.7635000000000001</v>
      </c>
      <c r="R118" s="19">
        <v>1.9699990000000001</v>
      </c>
      <c r="S118" s="19">
        <v>2.1251000000000002</v>
      </c>
      <c r="T118" s="19">
        <v>1.9699990000000001</v>
      </c>
      <c r="U118" s="19">
        <v>1.788</v>
      </c>
      <c r="V118" s="19">
        <v>1.55</v>
      </c>
      <c r="W118" s="19">
        <v>1.538</v>
      </c>
      <c r="X118" s="19">
        <v>1.55</v>
      </c>
      <c r="Y118" s="19">
        <v>1.538</v>
      </c>
      <c r="Z118" s="4"/>
      <c r="AA118" s="4"/>
      <c r="AB118" s="4" t="e">
        <f ca="1">_xll.ciqfunctions.udf.CIQ("^SPX", "IQ_PRICEDATE", "6/11/2014")</f>
        <v>#NAME?</v>
      </c>
      <c r="AC118" s="16">
        <v>1943.8902085838999</v>
      </c>
    </row>
    <row r="119" spans="1:29" x14ac:dyDescent="0.35">
      <c r="A119" s="2" t="s">
        <v>129</v>
      </c>
      <c r="B119" s="4" t="s">
        <v>865</v>
      </c>
      <c r="C119" s="4" t="s">
        <v>543</v>
      </c>
      <c r="D119" s="4" t="s">
        <v>544</v>
      </c>
      <c r="E119" s="4" t="s">
        <v>555</v>
      </c>
      <c r="F119" s="4" t="s">
        <v>556</v>
      </c>
      <c r="G119" s="14">
        <v>105.12</v>
      </c>
      <c r="H119" s="10">
        <v>16.721952000000002</v>
      </c>
      <c r="I119" s="10">
        <v>169.00267199999999</v>
      </c>
      <c r="J119" s="10" t="s">
        <v>534</v>
      </c>
      <c r="K119" s="15">
        <v>0</v>
      </c>
      <c r="L119" s="17">
        <v>14260.415843999999</v>
      </c>
      <c r="M119" s="4" t="s">
        <v>866</v>
      </c>
      <c r="N119" s="19">
        <v>0.62200200000000005</v>
      </c>
      <c r="O119" s="19">
        <v>5.6304999999999996</v>
      </c>
      <c r="P119" s="19">
        <v>0.14000000000000001</v>
      </c>
      <c r="Q119" s="19">
        <v>4.8891999999999998</v>
      </c>
      <c r="R119" s="19">
        <v>2.99</v>
      </c>
      <c r="S119" s="19">
        <v>5.2575000000000003</v>
      </c>
      <c r="T119" s="19">
        <v>2.99</v>
      </c>
      <c r="U119" s="19">
        <v>4.3033999999999999</v>
      </c>
      <c r="V119" s="19">
        <v>1.47</v>
      </c>
      <c r="W119" s="19">
        <v>3.5560999999999998</v>
      </c>
      <c r="X119" s="19">
        <v>1.47</v>
      </c>
      <c r="Y119" s="19">
        <v>3.5560999999999998</v>
      </c>
      <c r="Z119" s="4"/>
      <c r="AA119" s="4"/>
      <c r="AB119" s="4" t="e">
        <f ca="1">_xll.ciqfunctions.udf.CIQ("^SPX", "IQ_PRICEDATE", "6/12/2014")</f>
        <v>#NAME?</v>
      </c>
      <c r="AC119" s="16">
        <v>1930.1146012465999</v>
      </c>
    </row>
    <row r="120" spans="1:29" x14ac:dyDescent="0.35">
      <c r="A120" s="2" t="s">
        <v>130</v>
      </c>
      <c r="B120" s="4" t="s">
        <v>867</v>
      </c>
      <c r="C120" s="4" t="s">
        <v>573</v>
      </c>
      <c r="D120" s="4" t="s">
        <v>574</v>
      </c>
      <c r="E120" s="4" t="s">
        <v>575</v>
      </c>
      <c r="F120" s="4" t="s">
        <v>807</v>
      </c>
      <c r="G120" s="14">
        <v>181.32</v>
      </c>
      <c r="H120" s="10">
        <v>22.435179000000002</v>
      </c>
      <c r="I120" s="10">
        <v>13.99994</v>
      </c>
      <c r="J120" s="10" t="s">
        <v>534</v>
      </c>
      <c r="K120" s="15">
        <v>3.4744999999999998E-2</v>
      </c>
      <c r="L120" s="17">
        <v>61759.392326000001</v>
      </c>
      <c r="M120" s="4" t="s">
        <v>868</v>
      </c>
      <c r="N120" s="19">
        <v>12.951484000000001</v>
      </c>
      <c r="O120" s="19">
        <v>6.6123000000000003</v>
      </c>
      <c r="P120" s="19">
        <v>11.94</v>
      </c>
      <c r="Q120" s="19">
        <v>5.1109999999999998</v>
      </c>
      <c r="R120" s="19">
        <v>4.53</v>
      </c>
      <c r="S120" s="19">
        <v>4.6337000000000002</v>
      </c>
      <c r="T120" s="19">
        <v>4.53</v>
      </c>
      <c r="U120" s="19">
        <v>4.1345999999999998</v>
      </c>
      <c r="V120" s="19">
        <v>3.35</v>
      </c>
      <c r="W120" s="19">
        <v>3.7172000000000001</v>
      </c>
      <c r="X120" s="19">
        <v>3.35</v>
      </c>
      <c r="Y120" s="19">
        <v>3.7172000000000001</v>
      </c>
      <c r="Z120" s="4"/>
      <c r="AA120" s="4"/>
      <c r="AB120" s="4" t="e">
        <f ca="1">_xll.ciqfunctions.udf.CIQ("^SPX", "IQ_PRICEDATE", "6/13/2014")</f>
        <v>#NAME?</v>
      </c>
      <c r="AC120" s="16">
        <v>1936.1593523250999</v>
      </c>
    </row>
    <row r="121" spans="1:29" x14ac:dyDescent="0.35">
      <c r="A121" s="2" t="s">
        <v>131</v>
      </c>
      <c r="B121" s="4" t="s">
        <v>869</v>
      </c>
      <c r="C121" s="4" t="s">
        <v>619</v>
      </c>
      <c r="D121" s="4" t="s">
        <v>619</v>
      </c>
      <c r="E121" s="4" t="s">
        <v>634</v>
      </c>
      <c r="F121" s="4" t="s">
        <v>634</v>
      </c>
      <c r="G121" s="14">
        <v>49.87</v>
      </c>
      <c r="H121" s="10">
        <v>11.172008999999999</v>
      </c>
      <c r="I121" s="10">
        <v>25.554976</v>
      </c>
      <c r="J121" s="10">
        <v>3.0229409999999999</v>
      </c>
      <c r="K121" s="15">
        <v>2.8673999999999998E-2</v>
      </c>
      <c r="L121" s="17">
        <v>14125.433686</v>
      </c>
      <c r="M121" s="4" t="s">
        <v>870</v>
      </c>
      <c r="N121" s="19">
        <v>1.951479</v>
      </c>
      <c r="O121" s="19">
        <v>2.2949000000000002</v>
      </c>
      <c r="P121" s="19">
        <v>1.64</v>
      </c>
      <c r="Q121" s="19">
        <v>2.327</v>
      </c>
      <c r="R121" s="19">
        <v>1.98</v>
      </c>
      <c r="S121" s="19">
        <v>1.9267000000000001</v>
      </c>
      <c r="T121" s="19">
        <v>1.98</v>
      </c>
      <c r="U121" s="19">
        <v>2.0087000000000002</v>
      </c>
      <c r="V121" s="19">
        <v>1.74</v>
      </c>
      <c r="W121" s="19">
        <v>1.9068000000000001</v>
      </c>
      <c r="X121" s="19">
        <v>1.74</v>
      </c>
      <c r="Y121" s="19">
        <v>1.9068000000000001</v>
      </c>
      <c r="Z121" s="4"/>
      <c r="AA121" s="4"/>
      <c r="AB121" s="4" t="e">
        <f ca="1">_xll.ciqfunctions.udf.CIQ("^SPX", "IQ_PRICEDATE", "6/16/2014")</f>
        <v>#NAME?</v>
      </c>
      <c r="AC121" s="16">
        <v>1937.7839112977999</v>
      </c>
    </row>
    <row r="122" spans="1:29" x14ac:dyDescent="0.35">
      <c r="A122" s="2" t="s">
        <v>132</v>
      </c>
      <c r="B122" s="4" t="s">
        <v>871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14">
        <v>73.989999999999995</v>
      </c>
      <c r="H122" s="10">
        <v>12.299906</v>
      </c>
      <c r="I122" s="10">
        <v>29.942094000000001</v>
      </c>
      <c r="J122" s="10">
        <v>6.5497860000000001</v>
      </c>
      <c r="K122" s="15">
        <v>1.0811999999999999E-2</v>
      </c>
      <c r="L122" s="17">
        <v>42931.501378000001</v>
      </c>
      <c r="M122" s="4" t="s">
        <v>872</v>
      </c>
      <c r="N122" s="19">
        <v>2.4711029999999998</v>
      </c>
      <c r="O122" s="19">
        <v>4.7278000000000002</v>
      </c>
      <c r="P122" s="19">
        <v>2.5299999999999998</v>
      </c>
      <c r="Q122" s="19">
        <v>4.1723999999999997</v>
      </c>
      <c r="R122" s="19">
        <v>2.5499999999999998</v>
      </c>
      <c r="S122" s="19">
        <v>3.5716999999999999</v>
      </c>
      <c r="T122" s="19">
        <v>2.5499999999999998</v>
      </c>
      <c r="U122" s="19">
        <v>3.3288000000000002</v>
      </c>
      <c r="V122" s="19">
        <v>2.35</v>
      </c>
      <c r="W122" s="19">
        <v>2.8256000000000001</v>
      </c>
      <c r="X122" s="19">
        <v>2.35</v>
      </c>
      <c r="Y122" s="19">
        <v>2.8256000000000001</v>
      </c>
      <c r="Z122" s="4"/>
      <c r="AA122" s="4"/>
      <c r="AB122" s="4" t="e">
        <f ca="1">_xll.ciqfunctions.udf.CIQ("^SPX", "IQ_PRICEDATE", "6/17/2014")</f>
        <v>#NAME?</v>
      </c>
      <c r="AC122" s="16">
        <v>1941.9916494408999</v>
      </c>
    </row>
    <row r="123" spans="1:29" x14ac:dyDescent="0.35">
      <c r="A123" s="2" t="s">
        <v>133</v>
      </c>
      <c r="B123" s="4" t="s">
        <v>873</v>
      </c>
      <c r="C123" s="4" t="s">
        <v>626</v>
      </c>
      <c r="D123" s="4" t="s">
        <v>845</v>
      </c>
      <c r="E123" s="4" t="s">
        <v>846</v>
      </c>
      <c r="F123" s="4" t="s">
        <v>846</v>
      </c>
      <c r="G123" s="14">
        <v>63.13</v>
      </c>
      <c r="H123" s="10">
        <v>13.737043</v>
      </c>
      <c r="I123" s="10">
        <v>25.444243</v>
      </c>
      <c r="J123" s="10" t="s">
        <v>534</v>
      </c>
      <c r="K123" s="15">
        <v>2.6435E-2</v>
      </c>
      <c r="L123" s="17">
        <v>55144.794131000002</v>
      </c>
      <c r="M123" s="4" t="s">
        <v>874</v>
      </c>
      <c r="N123" s="19">
        <v>2.4976180000000001</v>
      </c>
      <c r="O123" s="19">
        <v>3.0533000000000001</v>
      </c>
      <c r="P123" s="19">
        <v>2.2799999999999998</v>
      </c>
      <c r="Q123" s="19">
        <v>3.0268999999999999</v>
      </c>
      <c r="R123" s="19">
        <v>2.72</v>
      </c>
      <c r="S123" s="19">
        <v>2.9862000000000002</v>
      </c>
      <c r="T123" s="19">
        <v>2.72</v>
      </c>
      <c r="U123" s="19">
        <v>2.8849</v>
      </c>
      <c r="V123" s="19">
        <v>2.36</v>
      </c>
      <c r="W123" s="19">
        <v>3.0089999999999999</v>
      </c>
      <c r="X123" s="19">
        <v>2.36</v>
      </c>
      <c r="Y123" s="19">
        <v>3.0089999999999999</v>
      </c>
      <c r="Z123" s="4"/>
      <c r="AA123" s="4"/>
      <c r="AB123" s="4" t="e">
        <f ca="1">_xll.ciqfunctions.udf.CIQ("^SPX", "IQ_PRICEDATE", "6/18/2014")</f>
        <v>#NAME?</v>
      </c>
      <c r="AC123" s="16">
        <v>1956.9841140414001</v>
      </c>
    </row>
    <row r="124" spans="1:29" x14ac:dyDescent="0.35">
      <c r="A124" s="2" t="s">
        <v>134</v>
      </c>
      <c r="B124" s="4" t="s">
        <v>875</v>
      </c>
      <c r="C124" s="4" t="s">
        <v>549</v>
      </c>
      <c r="D124" s="4" t="s">
        <v>550</v>
      </c>
      <c r="E124" s="4" t="s">
        <v>814</v>
      </c>
      <c r="F124" s="4" t="s">
        <v>833</v>
      </c>
      <c r="G124" s="14">
        <v>36.4</v>
      </c>
      <c r="H124" s="10">
        <v>8.0111139999999992</v>
      </c>
      <c r="I124" s="10">
        <v>7.1537319999999998</v>
      </c>
      <c r="J124" s="10" t="s">
        <v>534</v>
      </c>
      <c r="K124" s="15">
        <v>2.0878999999999998E-2</v>
      </c>
      <c r="L124" s="17">
        <v>166782.37510500001</v>
      </c>
      <c r="M124" s="4" t="s">
        <v>876</v>
      </c>
      <c r="N124" s="19">
        <v>5.0882529999999999</v>
      </c>
      <c r="O124" s="19">
        <v>2.5960000000000001</v>
      </c>
      <c r="P124" s="19">
        <v>4.75</v>
      </c>
      <c r="Q124" s="19">
        <v>2.1341999999999999</v>
      </c>
      <c r="R124" s="19">
        <v>1.78</v>
      </c>
      <c r="S124" s="19">
        <v>1.827</v>
      </c>
      <c r="T124" s="19">
        <v>1.78</v>
      </c>
      <c r="U124" s="19">
        <v>1.7591000000000001</v>
      </c>
      <c r="V124" s="19">
        <v>1.6</v>
      </c>
      <c r="W124" s="19">
        <v>1.5855999999999999</v>
      </c>
      <c r="X124" s="19">
        <v>1.6</v>
      </c>
      <c r="Y124" s="19">
        <v>1.5855999999999999</v>
      </c>
      <c r="Z124" s="4"/>
      <c r="AA124" s="4"/>
      <c r="AB124" s="4" t="e">
        <f ca="1">_xll.ciqfunctions.udf.CIQ("^SPX", "IQ_PRICEDATE", "6/19/2014")</f>
        <v>#NAME?</v>
      </c>
      <c r="AC124" s="16">
        <v>1959.4843523509001</v>
      </c>
    </row>
    <row r="125" spans="1:29" x14ac:dyDescent="0.35">
      <c r="A125" s="2" t="s">
        <v>135</v>
      </c>
      <c r="B125" s="4" t="s">
        <v>877</v>
      </c>
      <c r="C125" s="4" t="s">
        <v>573</v>
      </c>
      <c r="D125" s="4" t="s">
        <v>737</v>
      </c>
      <c r="E125" s="4" t="s">
        <v>737</v>
      </c>
      <c r="F125" s="4" t="s">
        <v>743</v>
      </c>
      <c r="G125" s="14">
        <v>85.08</v>
      </c>
      <c r="H125" s="10">
        <v>0</v>
      </c>
      <c r="I125" s="10">
        <v>14.323591</v>
      </c>
      <c r="J125" s="10">
        <v>1.975959</v>
      </c>
      <c r="K125" s="15">
        <v>2.8208E-2</v>
      </c>
      <c r="L125" s="17">
        <v>14118.22846</v>
      </c>
      <c r="M125" s="4" t="s">
        <v>878</v>
      </c>
      <c r="N125" s="19">
        <v>5.939851</v>
      </c>
      <c r="O125" s="19">
        <v>7.4924999999999997</v>
      </c>
      <c r="P125" s="19">
        <v>4.1399999999999997</v>
      </c>
      <c r="Q125" s="19">
        <v>5.2862999999999998</v>
      </c>
      <c r="R125" s="19">
        <v>2.68</v>
      </c>
      <c r="S125" s="19">
        <v>3.9453</v>
      </c>
      <c r="T125" s="19">
        <v>2.68</v>
      </c>
      <c r="U125" s="19">
        <v>2.9983</v>
      </c>
      <c r="V125" s="19">
        <v>3.16</v>
      </c>
      <c r="W125" s="19">
        <v>3.1105999999999998</v>
      </c>
      <c r="X125" s="19">
        <v>3.16</v>
      </c>
      <c r="Y125" s="19">
        <v>3.1105999999999998</v>
      </c>
      <c r="Z125" s="4"/>
      <c r="AA125" s="4"/>
      <c r="AB125" s="4" t="e">
        <f ca="1">_xll.ciqfunctions.udf.CIQ("^SPX", "IQ_PRICEDATE", "6/20/2014")</f>
        <v>#NAME?</v>
      </c>
      <c r="AC125" s="16">
        <v>1962.8734464996</v>
      </c>
    </row>
    <row r="126" spans="1:29" x14ac:dyDescent="0.35">
      <c r="A126" s="2" t="s">
        <v>136</v>
      </c>
      <c r="B126" s="4" t="s">
        <v>879</v>
      </c>
      <c r="C126" s="4" t="s">
        <v>626</v>
      </c>
      <c r="D126" s="4" t="s">
        <v>627</v>
      </c>
      <c r="E126" s="4" t="s">
        <v>699</v>
      </c>
      <c r="F126" s="4" t="s">
        <v>789</v>
      </c>
      <c r="G126" s="14">
        <v>35.299999999999997</v>
      </c>
      <c r="H126" s="10">
        <v>11.613946</v>
      </c>
      <c r="I126" s="10">
        <v>17.249796</v>
      </c>
      <c r="J126" s="10" t="s">
        <v>534</v>
      </c>
      <c r="K126" s="15">
        <v>2.4079000000000003E-2</v>
      </c>
      <c r="L126" s="17">
        <v>14408.123683</v>
      </c>
      <c r="M126" s="4" t="s">
        <v>880</v>
      </c>
      <c r="N126" s="19">
        <v>2.0464009999999999</v>
      </c>
      <c r="O126" s="19">
        <v>2.2486000000000002</v>
      </c>
      <c r="P126" s="19">
        <v>1.6588560000000001</v>
      </c>
      <c r="Q126" s="19">
        <v>1.9602999999999999</v>
      </c>
      <c r="R126" s="19">
        <v>0.34010099999999999</v>
      </c>
      <c r="S126" s="19">
        <v>1.8038000000000001</v>
      </c>
      <c r="T126" s="19">
        <v>0.34010099999999999</v>
      </c>
      <c r="U126" s="19">
        <v>2.3411</v>
      </c>
      <c r="V126" s="19">
        <v>0.29288700000000001</v>
      </c>
      <c r="W126" s="19">
        <v>2.4066000000000001</v>
      </c>
      <c r="X126" s="19">
        <v>0.29288700000000001</v>
      </c>
      <c r="Y126" s="19">
        <v>2.4066000000000001</v>
      </c>
      <c r="Z126" s="4"/>
      <c r="AA126" s="4"/>
      <c r="AB126" s="4" t="e">
        <f ca="1">_xll.ciqfunctions.udf.CIQ("^SPX", "IQ_PRICEDATE", "6/23/2014")</f>
        <v>#NAME?</v>
      </c>
      <c r="AC126" s="16">
        <v>1962.6107536819</v>
      </c>
    </row>
    <row r="127" spans="1:29" x14ac:dyDescent="0.35">
      <c r="A127" s="2" t="s">
        <v>137</v>
      </c>
      <c r="B127" s="4" t="s">
        <v>881</v>
      </c>
      <c r="C127" s="4" t="s">
        <v>669</v>
      </c>
      <c r="D127" s="4" t="s">
        <v>669</v>
      </c>
      <c r="E127" s="4" t="s">
        <v>670</v>
      </c>
      <c r="F127" s="4" t="s">
        <v>671</v>
      </c>
      <c r="G127" s="14">
        <v>150.44999999999999</v>
      </c>
      <c r="H127" s="10">
        <v>21.944783999999999</v>
      </c>
      <c r="I127" s="10">
        <v>19.981642000000001</v>
      </c>
      <c r="J127" s="10">
        <v>2.258543</v>
      </c>
      <c r="K127" s="15">
        <v>0</v>
      </c>
      <c r="L127" s="17">
        <v>29964.77866</v>
      </c>
      <c r="M127" s="4" t="s">
        <v>882</v>
      </c>
      <c r="N127" s="19">
        <v>7.5294109999999996</v>
      </c>
      <c r="O127" s="19">
        <v>5.1081000000000003</v>
      </c>
      <c r="P127" s="19">
        <v>6.41</v>
      </c>
      <c r="Q127" s="19">
        <v>2.1577999999999999</v>
      </c>
      <c r="R127" s="19">
        <v>-10.85</v>
      </c>
      <c r="S127" s="19">
        <v>-0.1091</v>
      </c>
      <c r="T127" s="19">
        <v>-10.85</v>
      </c>
      <c r="U127" s="19">
        <v>0.61660000000000004</v>
      </c>
      <c r="V127" s="19">
        <v>4.876938</v>
      </c>
      <c r="W127" s="19">
        <v>2.9695</v>
      </c>
      <c r="X127" s="19">
        <v>4.876938</v>
      </c>
      <c r="Y127" s="19">
        <v>2.9695</v>
      </c>
      <c r="Z127" s="4"/>
      <c r="AA127" s="4"/>
      <c r="AB127" s="4" t="e">
        <f ca="1">_xll.ciqfunctions.udf.CIQ("^SPX", "IQ_PRICEDATE", "6/24/2014")</f>
        <v>#NAME?</v>
      </c>
      <c r="AC127" s="16">
        <v>1949.9824017625001</v>
      </c>
    </row>
    <row r="128" spans="1:29" x14ac:dyDescent="0.35">
      <c r="A128" s="2" t="s">
        <v>138</v>
      </c>
      <c r="B128" s="4" t="s">
        <v>883</v>
      </c>
      <c r="C128" s="4" t="s">
        <v>669</v>
      </c>
      <c r="D128" s="4" t="s">
        <v>669</v>
      </c>
      <c r="E128" s="4" t="s">
        <v>670</v>
      </c>
      <c r="F128" s="4" t="s">
        <v>671</v>
      </c>
      <c r="G128" s="14">
        <v>72.48</v>
      </c>
      <c r="H128" s="10">
        <v>7.4660320000000002</v>
      </c>
      <c r="I128" s="10">
        <v>19.133102000000001</v>
      </c>
      <c r="J128" s="10">
        <v>2.7133769999999999</v>
      </c>
      <c r="K128" s="15">
        <v>1.6832E-2</v>
      </c>
      <c r="L128" s="17">
        <v>84228.667923999994</v>
      </c>
      <c r="M128" s="4" t="s">
        <v>884</v>
      </c>
      <c r="N128" s="19">
        <v>3.7881990000000001</v>
      </c>
      <c r="O128" s="19">
        <v>5.0327999999999999</v>
      </c>
      <c r="P128" s="19">
        <v>-0.70022300000000004</v>
      </c>
      <c r="Q128" s="19">
        <v>1.5112000000000001</v>
      </c>
      <c r="R128" s="19">
        <v>-2.91</v>
      </c>
      <c r="S128" s="19">
        <v>-0.65049999999999997</v>
      </c>
      <c r="T128" s="19">
        <v>-2.91</v>
      </c>
      <c r="U128" s="19">
        <v>-0.83240000000000003</v>
      </c>
      <c r="V128" s="19">
        <v>4.5999999999999996</v>
      </c>
      <c r="W128" s="19">
        <v>3.4333</v>
      </c>
      <c r="X128" s="19">
        <v>4.5999999999999996</v>
      </c>
      <c r="Y128" s="19">
        <v>3.4333</v>
      </c>
      <c r="Z128" s="4"/>
      <c r="AA128" s="4"/>
      <c r="AB128" s="4" t="e">
        <f ca="1">_xll.ciqfunctions.udf.CIQ("^SPX", "IQ_PRICEDATE", "6/25/2014")</f>
        <v>#NAME?</v>
      </c>
      <c r="AC128" s="16">
        <v>1959.5311112085001</v>
      </c>
    </row>
    <row r="129" spans="1:29" x14ac:dyDescent="0.35">
      <c r="A129" s="2" t="s">
        <v>139</v>
      </c>
      <c r="B129" s="4" t="s">
        <v>885</v>
      </c>
      <c r="C129" s="4" t="s">
        <v>619</v>
      </c>
      <c r="D129" s="4" t="s">
        <v>619</v>
      </c>
      <c r="E129" s="4" t="s">
        <v>634</v>
      </c>
      <c r="F129" s="4" t="s">
        <v>634</v>
      </c>
      <c r="G129" s="14">
        <v>76.11</v>
      </c>
      <c r="H129" s="10">
        <v>10.453811</v>
      </c>
      <c r="I129" s="10">
        <v>15.011653000000001</v>
      </c>
      <c r="J129" s="10">
        <v>1.56829</v>
      </c>
      <c r="K129" s="15">
        <v>3.7576999999999999E-2</v>
      </c>
      <c r="L129" s="17">
        <v>23678.048492999998</v>
      </c>
      <c r="M129" s="4" t="s">
        <v>886</v>
      </c>
      <c r="N129" s="19">
        <v>5.0700609999999999</v>
      </c>
      <c r="O129" s="19">
        <v>4.4249999999999998</v>
      </c>
      <c r="P129" s="19">
        <v>4.9400000000000004</v>
      </c>
      <c r="Q129" s="19">
        <v>4.2163000000000004</v>
      </c>
      <c r="R129" s="19">
        <v>4.12</v>
      </c>
      <c r="S129" s="19">
        <v>4.0926999999999998</v>
      </c>
      <c r="T129" s="19">
        <v>4.12</v>
      </c>
      <c r="U129" s="19">
        <v>4.0667</v>
      </c>
      <c r="V129" s="19">
        <v>3.71</v>
      </c>
      <c r="W129" s="19">
        <v>3.8935</v>
      </c>
      <c r="X129" s="19">
        <v>3.71</v>
      </c>
      <c r="Y129" s="19">
        <v>3.8935</v>
      </c>
      <c r="Z129" s="4"/>
      <c r="AA129" s="4"/>
      <c r="AB129" s="4" t="e">
        <f ca="1">_xll.ciqfunctions.udf.CIQ("^SPX", "IQ_PRICEDATE", "6/26/2014")</f>
        <v>#NAME?</v>
      </c>
      <c r="AC129" s="16">
        <v>1957.2197789147001</v>
      </c>
    </row>
    <row r="130" spans="1:29" x14ac:dyDescent="0.35">
      <c r="A130" s="2" t="s">
        <v>140</v>
      </c>
      <c r="B130" s="4" t="s">
        <v>887</v>
      </c>
      <c r="C130" s="4" t="s">
        <v>626</v>
      </c>
      <c r="D130" s="4" t="s">
        <v>627</v>
      </c>
      <c r="E130" s="4" t="s">
        <v>775</v>
      </c>
      <c r="F130" s="4" t="s">
        <v>776</v>
      </c>
      <c r="G130" s="14">
        <v>227.2</v>
      </c>
      <c r="H130" s="10">
        <v>11.984292</v>
      </c>
      <c r="I130" s="10">
        <v>13.603726</v>
      </c>
      <c r="J130" s="10" t="s">
        <v>534</v>
      </c>
      <c r="K130" s="15">
        <v>1.3028E-2</v>
      </c>
      <c r="L130" s="17">
        <v>43070.365850000002</v>
      </c>
      <c r="M130" s="4" t="s">
        <v>888</v>
      </c>
      <c r="N130" s="19">
        <v>16.701305999999999</v>
      </c>
      <c r="O130" s="19">
        <v>9.9064999999999994</v>
      </c>
      <c r="P130" s="19">
        <v>9.1704439999999998</v>
      </c>
      <c r="Q130" s="19">
        <v>8.7951999999999995</v>
      </c>
      <c r="R130" s="19">
        <v>6.4615049999999998</v>
      </c>
      <c r="S130" s="19">
        <v>7.1273</v>
      </c>
      <c r="T130" s="19">
        <v>6.4615049999999998</v>
      </c>
      <c r="U130" s="19">
        <v>5.4321000000000002</v>
      </c>
      <c r="V130" s="19">
        <v>3.8944220000000001</v>
      </c>
      <c r="W130" s="19">
        <v>4.5663999999999998</v>
      </c>
      <c r="X130" s="19">
        <v>3.8944220000000001</v>
      </c>
      <c r="Y130" s="19">
        <v>4.5663999999999998</v>
      </c>
      <c r="Z130" s="4"/>
      <c r="AA130" s="4"/>
      <c r="AB130" s="4" t="e">
        <f ca="1">_xll.ciqfunctions.udf.CIQ("^SPX", "IQ_PRICEDATE", "6/27/2014")</f>
        <v>#NAME?</v>
      </c>
      <c r="AC130" s="16">
        <v>1960.9605158347999</v>
      </c>
    </row>
    <row r="131" spans="1:29" x14ac:dyDescent="0.35">
      <c r="A131" s="2" t="s">
        <v>141</v>
      </c>
      <c r="B131" s="4" t="s">
        <v>889</v>
      </c>
      <c r="C131" s="4" t="s">
        <v>525</v>
      </c>
      <c r="D131" s="4" t="s">
        <v>855</v>
      </c>
      <c r="E131" s="4" t="s">
        <v>856</v>
      </c>
      <c r="F131" s="4" t="s">
        <v>857</v>
      </c>
      <c r="G131" s="14">
        <v>50.99</v>
      </c>
      <c r="H131" s="10">
        <v>16.596482999999999</v>
      </c>
      <c r="I131" s="10">
        <v>29.473987999999999</v>
      </c>
      <c r="J131" s="10">
        <v>10.243567000000001</v>
      </c>
      <c r="K131" s="15">
        <v>0</v>
      </c>
      <c r="L131" s="17">
        <v>11927.386528000001</v>
      </c>
      <c r="M131" s="4" t="s">
        <v>890</v>
      </c>
      <c r="N131" s="19">
        <v>1.73</v>
      </c>
      <c r="O131" s="19">
        <v>2.1323099999999999</v>
      </c>
      <c r="P131" s="19">
        <v>1.278816</v>
      </c>
      <c r="Q131" s="19">
        <v>1.6492</v>
      </c>
      <c r="R131" s="19">
        <v>1.6050340000000001</v>
      </c>
      <c r="S131" s="19">
        <v>1.2623</v>
      </c>
      <c r="T131" s="19">
        <v>1.6050340000000001</v>
      </c>
      <c r="U131" s="19">
        <v>0.97319999999999995</v>
      </c>
      <c r="V131" s="19">
        <v>0.71996300000000002</v>
      </c>
      <c r="W131" s="19">
        <v>0.88519999999999999</v>
      </c>
      <c r="X131" s="19">
        <v>0.71996300000000002</v>
      </c>
      <c r="Y131" s="19">
        <v>0.88519999999999999</v>
      </c>
      <c r="Z131" s="4"/>
      <c r="AA131" s="4"/>
      <c r="AB131" s="4" t="e">
        <f ca="1">_xll.ciqfunctions.udf.CIQ("^SPX", "IQ_PRICEDATE", "6/30/2014")</f>
        <v>#NAME?</v>
      </c>
      <c r="AC131" s="16">
        <v>1960.2312403638</v>
      </c>
    </row>
    <row r="132" spans="1:29" x14ac:dyDescent="0.35">
      <c r="A132" s="2" t="s">
        <v>142</v>
      </c>
      <c r="B132" s="4" t="s">
        <v>891</v>
      </c>
      <c r="C132" s="4" t="s">
        <v>543</v>
      </c>
      <c r="D132" s="4" t="s">
        <v>664</v>
      </c>
      <c r="E132" s="4" t="s">
        <v>665</v>
      </c>
      <c r="F132" s="4" t="s">
        <v>666</v>
      </c>
      <c r="G132" s="14">
        <v>32.39</v>
      </c>
      <c r="H132" s="10">
        <v>10.17916</v>
      </c>
      <c r="I132" s="10" t="s">
        <v>534</v>
      </c>
      <c r="J132" s="10">
        <v>3.1468120000000002</v>
      </c>
      <c r="K132" s="15">
        <v>2.2229000000000002E-2</v>
      </c>
      <c r="L132" s="17">
        <v>26236.386011999999</v>
      </c>
      <c r="M132" s="4" t="s">
        <v>892</v>
      </c>
      <c r="N132" s="19">
        <v>-1.189378</v>
      </c>
      <c r="O132" s="19">
        <v>1.9618</v>
      </c>
      <c r="P132" s="19">
        <v>-0.66480399999999995</v>
      </c>
      <c r="Q132" s="19">
        <v>1.7302999999999999</v>
      </c>
      <c r="R132" s="19">
        <v>3.229895</v>
      </c>
      <c r="S132" s="19">
        <v>1.6541999999999999</v>
      </c>
      <c r="T132" s="19">
        <v>3.229895</v>
      </c>
      <c r="U132" s="19">
        <v>1.3842000000000001</v>
      </c>
      <c r="V132" s="19">
        <v>1.732305</v>
      </c>
      <c r="W132" s="19">
        <v>1.5363</v>
      </c>
      <c r="X132" s="19">
        <v>1.732305</v>
      </c>
      <c r="Y132" s="19">
        <v>1.5363</v>
      </c>
      <c r="Z132" s="4"/>
      <c r="AA132" s="4"/>
      <c r="AB132" s="4" t="e">
        <f ca="1">_xll.ciqfunctions.udf.CIQ("^SPX", "IQ_PRICEDATE", "7/1/2014")</f>
        <v>#NAME?</v>
      </c>
      <c r="AC132" s="16">
        <v>1973.3185916340999</v>
      </c>
    </row>
    <row r="133" spans="1:29" x14ac:dyDescent="0.35">
      <c r="A133" s="2" t="s">
        <v>143</v>
      </c>
      <c r="B133" s="4" t="s">
        <v>893</v>
      </c>
      <c r="C133" s="4" t="s">
        <v>626</v>
      </c>
      <c r="D133" s="4" t="s">
        <v>894</v>
      </c>
      <c r="E133" s="4" t="s">
        <v>894</v>
      </c>
      <c r="F133" s="4" t="s">
        <v>895</v>
      </c>
      <c r="G133" s="14">
        <v>228.49</v>
      </c>
      <c r="H133" s="10">
        <v>17.118725999999999</v>
      </c>
      <c r="I133" s="10">
        <v>32.227080000000001</v>
      </c>
      <c r="J133" s="10">
        <v>7.8226269999999998</v>
      </c>
      <c r="K133" s="15">
        <v>9.9780000000000008E-3</v>
      </c>
      <c r="L133" s="17">
        <v>100121.80461000001</v>
      </c>
      <c r="M133" s="4" t="s">
        <v>896</v>
      </c>
      <c r="N133" s="19">
        <v>7.09</v>
      </c>
      <c r="O133" s="19">
        <v>7.73529</v>
      </c>
      <c r="P133" s="19">
        <v>6.2897129999999999</v>
      </c>
      <c r="Q133" s="19">
        <v>6.6566000000000001</v>
      </c>
      <c r="R133" s="19">
        <v>5.4802949999999999</v>
      </c>
      <c r="S133" s="19">
        <v>6.0366999999999997</v>
      </c>
      <c r="T133" s="19">
        <v>5.4802949999999999</v>
      </c>
      <c r="U133" s="19">
        <v>5.6771000000000003</v>
      </c>
      <c r="V133" s="19">
        <v>4.8100149999999999</v>
      </c>
      <c r="W133" s="19">
        <v>5.2817999999999996</v>
      </c>
      <c r="X133" s="19">
        <v>4.8100149999999999</v>
      </c>
      <c r="Y133" s="19">
        <v>5.2817999999999996</v>
      </c>
      <c r="Z133" s="4"/>
      <c r="AA133" s="4"/>
      <c r="AB133" s="4" t="e">
        <f ca="1">_xll.ciqfunctions.udf.CIQ("^SPX", "IQ_PRICEDATE", "7/2/2014")</f>
        <v>#NAME?</v>
      </c>
      <c r="AC133" s="16">
        <v>1974.6180479468001</v>
      </c>
    </row>
    <row r="134" spans="1:29" x14ac:dyDescent="0.35">
      <c r="A134" s="2" t="s">
        <v>144</v>
      </c>
      <c r="B134" s="4" t="s">
        <v>897</v>
      </c>
      <c r="C134" s="4" t="s">
        <v>626</v>
      </c>
      <c r="D134" s="4" t="s">
        <v>845</v>
      </c>
      <c r="E134" s="4" t="s">
        <v>898</v>
      </c>
      <c r="F134" s="4" t="s">
        <v>898</v>
      </c>
      <c r="G134" s="14">
        <v>11.21</v>
      </c>
      <c r="H134" s="10">
        <v>11.760125</v>
      </c>
      <c r="I134" s="10" t="s">
        <v>534</v>
      </c>
      <c r="J134" s="10" t="s">
        <v>534</v>
      </c>
      <c r="K134" s="15">
        <v>4.4603000000000004E-2</v>
      </c>
      <c r="L134" s="17">
        <v>8416.5130869999994</v>
      </c>
      <c r="M134" s="4" t="s">
        <v>899</v>
      </c>
      <c r="N134" s="19">
        <v>-0.23</v>
      </c>
      <c r="O134" s="19">
        <v>0.74741000000000002</v>
      </c>
      <c r="P134" s="19">
        <v>-0.51250200000000001</v>
      </c>
      <c r="Q134" s="19">
        <v>0.73409999999999997</v>
      </c>
      <c r="R134" s="19">
        <v>-2.5048000000000001E-2</v>
      </c>
      <c r="S134" s="19">
        <v>0.96250000000000002</v>
      </c>
      <c r="T134" s="19">
        <v>-2.5048000000000001E-2</v>
      </c>
      <c r="U134" s="19">
        <v>0.9214</v>
      </c>
      <c r="V134" s="19">
        <v>-0.386963</v>
      </c>
      <c r="W134" s="19">
        <v>0.88639999999999997</v>
      </c>
      <c r="X134" s="19">
        <v>-0.386963</v>
      </c>
      <c r="Y134" s="19">
        <v>0.88639999999999997</v>
      </c>
      <c r="Z134" s="4"/>
      <c r="AA134" s="4"/>
      <c r="AB134" s="4" t="e">
        <f ca="1">_xll.ciqfunctions.udf.CIQ("^SPX", "IQ_PRICEDATE", "7/3/2014")</f>
        <v>#NAME?</v>
      </c>
      <c r="AC134" s="16">
        <v>1985.4371180636999</v>
      </c>
    </row>
    <row r="135" spans="1:29" x14ac:dyDescent="0.35">
      <c r="A135" s="2" t="s">
        <v>145</v>
      </c>
      <c r="B135" s="4" t="s">
        <v>900</v>
      </c>
      <c r="C135" s="4" t="s">
        <v>601</v>
      </c>
      <c r="D135" s="4" t="s">
        <v>601</v>
      </c>
      <c r="E135" s="4" t="s">
        <v>602</v>
      </c>
      <c r="F135" s="4" t="s">
        <v>647</v>
      </c>
      <c r="G135" s="14">
        <v>106.79</v>
      </c>
      <c r="H135" s="10">
        <v>21.127037999999999</v>
      </c>
      <c r="I135" s="10">
        <v>99.061058000000003</v>
      </c>
      <c r="J135" s="10" t="s">
        <v>534</v>
      </c>
      <c r="K135" s="15">
        <v>3.9329000000000003E-2</v>
      </c>
      <c r="L135" s="17">
        <v>44300.758901000001</v>
      </c>
      <c r="M135" s="4" t="s">
        <v>901</v>
      </c>
      <c r="N135" s="19">
        <v>1.078022</v>
      </c>
      <c r="O135" s="19">
        <v>1.4679</v>
      </c>
      <c r="P135" s="19">
        <v>1.01</v>
      </c>
      <c r="Q135" s="19">
        <v>1.083</v>
      </c>
      <c r="R135" s="19">
        <v>0.95</v>
      </c>
      <c r="S135" s="19">
        <v>1.1644000000000001</v>
      </c>
      <c r="T135" s="19">
        <v>0.95</v>
      </c>
      <c r="U135" s="19">
        <v>1.2323999999999999</v>
      </c>
      <c r="V135" s="19">
        <v>0.88258700000000001</v>
      </c>
      <c r="W135" s="19">
        <v>1.2907</v>
      </c>
      <c r="X135" s="19">
        <v>0.88258700000000001</v>
      </c>
      <c r="Y135" s="19">
        <v>1.2907</v>
      </c>
      <c r="Z135" s="4"/>
      <c r="AA135" s="4"/>
      <c r="AB135" s="4" t="e">
        <f ca="1">_xll.ciqfunctions.udf.CIQ("^SPX", "IQ_PRICEDATE", "7/7/2014")</f>
        <v>#NAME?</v>
      </c>
      <c r="AC135" s="16">
        <v>1977.6508625317999</v>
      </c>
    </row>
    <row r="136" spans="1:29" x14ac:dyDescent="0.35">
      <c r="A136" s="2" t="s">
        <v>146</v>
      </c>
      <c r="B136" s="4" t="s">
        <v>902</v>
      </c>
      <c r="C136" s="4" t="s">
        <v>525</v>
      </c>
      <c r="D136" s="4" t="s">
        <v>594</v>
      </c>
      <c r="E136" s="4" t="s">
        <v>903</v>
      </c>
      <c r="F136" s="4" t="s">
        <v>904</v>
      </c>
      <c r="G136" s="14">
        <v>70.709999999999994</v>
      </c>
      <c r="H136" s="10">
        <v>11.6145</v>
      </c>
      <c r="I136" s="10">
        <v>9.3922609999999995</v>
      </c>
      <c r="J136" s="10">
        <v>4.3522819999999998</v>
      </c>
      <c r="K136" s="15">
        <v>1.2444999999999999E-2</v>
      </c>
      <c r="L136" s="17">
        <v>59708.963726000002</v>
      </c>
      <c r="M136" s="4" t="s">
        <v>905</v>
      </c>
      <c r="N136" s="19">
        <v>7.5285380000000002</v>
      </c>
      <c r="O136" s="19">
        <v>3.8658999999999999</v>
      </c>
      <c r="P136" s="19">
        <v>5.99</v>
      </c>
      <c r="Q136" s="19">
        <v>2.5162</v>
      </c>
      <c r="R136" s="19">
        <v>1.80887</v>
      </c>
      <c r="S136" s="19">
        <v>1.9392</v>
      </c>
      <c r="T136" s="19">
        <v>1.80887</v>
      </c>
      <c r="U136" s="19">
        <v>1.9983</v>
      </c>
      <c r="V136" s="19">
        <v>1.92</v>
      </c>
      <c r="W136" s="19">
        <v>2.1070000000000002</v>
      </c>
      <c r="X136" s="19">
        <v>1.92</v>
      </c>
      <c r="Y136" s="19">
        <v>2.1070000000000002</v>
      </c>
      <c r="Z136" s="4"/>
      <c r="AA136" s="4"/>
      <c r="AB136" s="4" t="e">
        <f ca="1">_xll.ciqfunctions.udf.CIQ("^SPX", "IQ_PRICEDATE", "7/8/2014")</f>
        <v>#NAME?</v>
      </c>
      <c r="AC136" s="16">
        <v>1963.7114770538999</v>
      </c>
    </row>
    <row r="137" spans="1:29" x14ac:dyDescent="0.35">
      <c r="A137" s="2" t="s">
        <v>147</v>
      </c>
      <c r="B137" s="4" t="s">
        <v>906</v>
      </c>
      <c r="C137" s="4" t="s">
        <v>525</v>
      </c>
      <c r="D137" s="4" t="s">
        <v>526</v>
      </c>
      <c r="E137" s="4" t="s">
        <v>803</v>
      </c>
      <c r="F137" s="4" t="s">
        <v>804</v>
      </c>
      <c r="G137" s="14">
        <v>146.19</v>
      </c>
      <c r="H137" s="10">
        <v>8.2986369999999994</v>
      </c>
      <c r="I137" s="10">
        <v>23.113306000000001</v>
      </c>
      <c r="J137" s="10">
        <v>4.5075250000000002</v>
      </c>
      <c r="K137" s="15">
        <v>3.1192000000000001E-2</v>
      </c>
      <c r="L137" s="17">
        <v>23801.193899999998</v>
      </c>
      <c r="M137" s="4" t="s">
        <v>907</v>
      </c>
      <c r="N137" s="19">
        <v>6.3249279999999999</v>
      </c>
      <c r="O137" s="19">
        <v>14.9735</v>
      </c>
      <c r="P137" s="19">
        <v>5.9699989999999996</v>
      </c>
      <c r="Q137" s="19">
        <v>11.3878</v>
      </c>
      <c r="R137" s="19">
        <v>8.23</v>
      </c>
      <c r="S137" s="19">
        <v>7.9602000000000004</v>
      </c>
      <c r="T137" s="19">
        <v>8.23</v>
      </c>
      <c r="U137" s="19">
        <v>8.3613</v>
      </c>
      <c r="V137" s="19">
        <v>9.02</v>
      </c>
      <c r="W137" s="19">
        <v>10.5555</v>
      </c>
      <c r="X137" s="19">
        <v>9.02</v>
      </c>
      <c r="Y137" s="19">
        <v>10.5555</v>
      </c>
      <c r="Z137" s="4"/>
      <c r="AA137" s="4"/>
      <c r="AB137" s="4" t="e">
        <f ca="1">_xll.ciqfunctions.udf.CIQ("^SPX", "IQ_PRICEDATE", "7/9/2014")</f>
        <v>#NAME?</v>
      </c>
      <c r="AC137" s="16">
        <v>1972.8330923594999</v>
      </c>
    </row>
    <row r="138" spans="1:29" x14ac:dyDescent="0.35">
      <c r="A138" s="2" t="s">
        <v>148</v>
      </c>
      <c r="B138" s="4" t="s">
        <v>908</v>
      </c>
      <c r="C138" s="4" t="s">
        <v>530</v>
      </c>
      <c r="D138" s="4" t="s">
        <v>531</v>
      </c>
      <c r="E138" s="4" t="s">
        <v>569</v>
      </c>
      <c r="F138" s="4" t="s">
        <v>909</v>
      </c>
      <c r="G138" s="14">
        <v>74.36</v>
      </c>
      <c r="H138" s="10">
        <v>7.6016019999999997</v>
      </c>
      <c r="I138" s="10">
        <v>25.309519000000002</v>
      </c>
      <c r="J138" s="10" t="s">
        <v>534</v>
      </c>
      <c r="K138" s="15">
        <v>2.6896E-2</v>
      </c>
      <c r="L138" s="17">
        <v>75703.223052999994</v>
      </c>
      <c r="M138" s="4" t="s">
        <v>910</v>
      </c>
      <c r="N138" s="19">
        <v>2.9380250000000001</v>
      </c>
      <c r="O138" s="19">
        <v>7.1859000000000002</v>
      </c>
      <c r="P138" s="19">
        <v>6.45</v>
      </c>
      <c r="Q138" s="19">
        <v>6.1665999999999999</v>
      </c>
      <c r="R138" s="19">
        <v>4.91</v>
      </c>
      <c r="S138" s="19">
        <v>5.7864000000000004</v>
      </c>
      <c r="T138" s="19">
        <v>4.91</v>
      </c>
      <c r="U138" s="19">
        <v>5.5949999999999998</v>
      </c>
      <c r="V138" s="19">
        <v>3.96</v>
      </c>
      <c r="W138" s="19">
        <v>4.899</v>
      </c>
      <c r="X138" s="19">
        <v>3.96</v>
      </c>
      <c r="Y138" s="19">
        <v>4.899</v>
      </c>
      <c r="Z138" s="4"/>
      <c r="AA138" s="4"/>
      <c r="AB138" s="4" t="e">
        <f ca="1">_xll.ciqfunctions.udf.CIQ("^SPX", "IQ_PRICEDATE", "7/10/2014")</f>
        <v>#NAME?</v>
      </c>
      <c r="AC138" s="16">
        <v>1964.6766176333001</v>
      </c>
    </row>
    <row r="139" spans="1:29" x14ac:dyDescent="0.35">
      <c r="A139" s="2" t="s">
        <v>149</v>
      </c>
      <c r="B139" s="4" t="s">
        <v>911</v>
      </c>
      <c r="C139" s="4" t="s">
        <v>559</v>
      </c>
      <c r="D139" s="4" t="s">
        <v>912</v>
      </c>
      <c r="E139" s="4" t="s">
        <v>913</v>
      </c>
      <c r="F139" s="4" t="s">
        <v>914</v>
      </c>
      <c r="G139" s="14">
        <v>37.78</v>
      </c>
      <c r="H139" s="10">
        <v>8.130979</v>
      </c>
      <c r="I139" s="10">
        <v>11.080049000000001</v>
      </c>
      <c r="J139" s="10">
        <v>1.677972</v>
      </c>
      <c r="K139" s="15">
        <v>1.3233999999999999E-2</v>
      </c>
      <c r="L139" s="17">
        <v>14220.299212</v>
      </c>
      <c r="M139" s="4" t="s">
        <v>915</v>
      </c>
      <c r="N139" s="19">
        <v>3.409732</v>
      </c>
      <c r="O139" s="19">
        <v>4.4203999999999999</v>
      </c>
      <c r="P139" s="19">
        <v>2.6772079999999998</v>
      </c>
      <c r="Q139" s="19">
        <v>3.2790699999999999</v>
      </c>
      <c r="R139" s="19">
        <v>2.4886949999999999</v>
      </c>
      <c r="S139" s="19">
        <v>2.67048</v>
      </c>
      <c r="T139" s="19">
        <v>2.4886949999999999</v>
      </c>
      <c r="U139" s="19">
        <v>2.3214000000000001</v>
      </c>
      <c r="V139" s="19">
        <v>1.5333889999999999</v>
      </c>
      <c r="W139" s="19">
        <v>1.84293</v>
      </c>
      <c r="X139" s="19">
        <v>1.5333889999999999</v>
      </c>
      <c r="Y139" s="19">
        <v>1.84293</v>
      </c>
      <c r="Z139" s="4"/>
      <c r="AA139" s="4"/>
      <c r="AB139" s="4" t="e">
        <f ca="1">_xll.ciqfunctions.udf.CIQ("^SPX", "IQ_PRICEDATE", "7/11/2014")</f>
        <v>#NAME?</v>
      </c>
      <c r="AC139" s="16">
        <v>1967.5691612269</v>
      </c>
    </row>
    <row r="140" spans="1:29" x14ac:dyDescent="0.35">
      <c r="A140" s="2" t="s">
        <v>150</v>
      </c>
      <c r="B140" s="4" t="s">
        <v>916</v>
      </c>
      <c r="C140" s="4" t="s">
        <v>530</v>
      </c>
      <c r="D140" s="4" t="s">
        <v>531</v>
      </c>
      <c r="E140" s="4" t="s">
        <v>532</v>
      </c>
      <c r="F140" s="4" t="s">
        <v>533</v>
      </c>
      <c r="G140" s="14">
        <v>104.96</v>
      </c>
      <c r="H140" s="10">
        <v>17.27495</v>
      </c>
      <c r="I140" s="10">
        <v>26.980429999999998</v>
      </c>
      <c r="J140" s="10" t="s">
        <v>534</v>
      </c>
      <c r="K140" s="15">
        <v>6.097E-3</v>
      </c>
      <c r="L140" s="17">
        <v>73446.268320999996</v>
      </c>
      <c r="M140" s="4" t="s">
        <v>917</v>
      </c>
      <c r="N140" s="19">
        <v>3.8902269999999999</v>
      </c>
      <c r="O140" s="19">
        <v>4.6703999999999999</v>
      </c>
      <c r="P140" s="19">
        <v>3.5007779999999999</v>
      </c>
      <c r="Q140" s="19">
        <v>4.2243000000000004</v>
      </c>
      <c r="R140" s="19">
        <v>3.0797370000000002</v>
      </c>
      <c r="S140" s="19">
        <v>3.8018999999999998</v>
      </c>
      <c r="T140" s="19">
        <v>3.0797370000000002</v>
      </c>
      <c r="U140" s="19">
        <v>4.7882999999999996</v>
      </c>
      <c r="V140" s="19">
        <v>2.2929750000000002</v>
      </c>
      <c r="W140" s="19">
        <v>4.0403000000000002</v>
      </c>
      <c r="X140" s="19">
        <v>2.2929750000000002</v>
      </c>
      <c r="Y140" s="19">
        <v>4.0403000000000002</v>
      </c>
      <c r="Z140" s="4"/>
      <c r="AA140" s="4"/>
      <c r="AB140" s="4" t="e">
        <f ca="1">_xll.ciqfunctions.udf.CIQ("^SPX", "IQ_PRICEDATE", "7/14/2014")</f>
        <v>#NAME?</v>
      </c>
      <c r="AC140" s="16">
        <v>1977.0993235454</v>
      </c>
    </row>
    <row r="141" spans="1:29" x14ac:dyDescent="0.35">
      <c r="A141" s="2" t="s">
        <v>151</v>
      </c>
      <c r="B141" s="4" t="s">
        <v>918</v>
      </c>
      <c r="C141" s="4" t="s">
        <v>559</v>
      </c>
      <c r="D141" s="4" t="s">
        <v>798</v>
      </c>
      <c r="E141" s="4" t="s">
        <v>799</v>
      </c>
      <c r="F141" s="4" t="s">
        <v>839</v>
      </c>
      <c r="G141" s="14">
        <v>109.94</v>
      </c>
      <c r="H141" s="10">
        <v>13.100484</v>
      </c>
      <c r="I141" s="10">
        <v>21.209614999999999</v>
      </c>
      <c r="J141" s="10">
        <v>96.977331000000007</v>
      </c>
      <c r="K141" s="15">
        <v>2.7286999999999999E-2</v>
      </c>
      <c r="L141" s="17">
        <v>13644.703533</v>
      </c>
      <c r="M141" s="4" t="s">
        <v>919</v>
      </c>
      <c r="N141" s="19">
        <v>5.1834980000000002</v>
      </c>
      <c r="O141" s="19">
        <v>5.6837</v>
      </c>
      <c r="P141" s="19">
        <v>3.9699439999999999</v>
      </c>
      <c r="Q141" s="19">
        <v>4.7085999999999997</v>
      </c>
      <c r="R141" s="19">
        <v>3.448197</v>
      </c>
      <c r="S141" s="19">
        <v>4.0773000000000001</v>
      </c>
      <c r="T141" s="19">
        <v>3.448197</v>
      </c>
      <c r="U141" s="19">
        <v>3.5392999999999999</v>
      </c>
      <c r="V141" s="19">
        <v>0.647281</v>
      </c>
      <c r="W141" s="19">
        <v>2.5777000000000001</v>
      </c>
      <c r="X141" s="19">
        <v>0.647281</v>
      </c>
      <c r="Y141" s="19">
        <v>2.5777000000000001</v>
      </c>
      <c r="Z141" s="4"/>
      <c r="AA141" s="4"/>
      <c r="AB141" s="4" t="e">
        <f ca="1">_xll.ciqfunctions.udf.CIQ("^SPX", "IQ_PRICEDATE", "7/15/2014")</f>
        <v>#NAME?</v>
      </c>
      <c r="AC141" s="16">
        <v>1973.2820561929</v>
      </c>
    </row>
    <row r="142" spans="1:29" x14ac:dyDescent="0.35">
      <c r="A142" s="2" t="s">
        <v>152</v>
      </c>
      <c r="B142" s="4" t="s">
        <v>920</v>
      </c>
      <c r="C142" s="4" t="s">
        <v>530</v>
      </c>
      <c r="D142" s="4" t="s">
        <v>531</v>
      </c>
      <c r="E142" s="4" t="s">
        <v>569</v>
      </c>
      <c r="F142" s="4" t="s">
        <v>909</v>
      </c>
      <c r="G142" s="14">
        <v>68.36</v>
      </c>
      <c r="H142" s="10">
        <v>9.4707399999999993</v>
      </c>
      <c r="I142" s="10">
        <v>17.875937</v>
      </c>
      <c r="J142" s="10" t="s">
        <v>534</v>
      </c>
      <c r="K142" s="15">
        <v>0</v>
      </c>
      <c r="L142" s="17">
        <v>11409.284</v>
      </c>
      <c r="M142" s="4" t="s">
        <v>921</v>
      </c>
      <c r="N142" s="19">
        <v>3.8241350000000001</v>
      </c>
      <c r="O142" s="19">
        <v>4.2111000000000001</v>
      </c>
      <c r="P142" s="19">
        <v>4.7523299999999997</v>
      </c>
      <c r="Q142" s="19">
        <v>3.5078</v>
      </c>
      <c r="R142" s="19">
        <v>5.0623680000000002</v>
      </c>
      <c r="S142" s="19">
        <v>3.6593</v>
      </c>
      <c r="T142" s="19">
        <v>5.0623680000000002</v>
      </c>
      <c r="U142" s="19">
        <v>3.9411999999999998</v>
      </c>
      <c r="V142" s="19">
        <v>3.33</v>
      </c>
      <c r="W142" s="19">
        <v>3.6556999999999999</v>
      </c>
      <c r="X142" s="19">
        <v>3.33</v>
      </c>
      <c r="Y142" s="19">
        <v>3.6556999999999999</v>
      </c>
      <c r="Z142" s="4"/>
      <c r="AA142" s="4"/>
      <c r="AB142" s="4" t="e">
        <f ca="1">_xll.ciqfunctions.udf.CIQ("^SPX", "IQ_PRICEDATE", "7/16/2014")</f>
        <v>#NAME?</v>
      </c>
      <c r="AC142" s="16">
        <v>1981.5672192156001</v>
      </c>
    </row>
    <row r="143" spans="1:29" x14ac:dyDescent="0.35">
      <c r="A143" s="2" t="s">
        <v>153</v>
      </c>
      <c r="B143" s="4" t="s">
        <v>922</v>
      </c>
      <c r="C143" s="4" t="s">
        <v>525</v>
      </c>
      <c r="D143" s="4" t="s">
        <v>526</v>
      </c>
      <c r="E143" s="4" t="s">
        <v>803</v>
      </c>
      <c r="F143" s="4" t="s">
        <v>923</v>
      </c>
      <c r="G143" s="14">
        <v>151.63999999999999</v>
      </c>
      <c r="H143" s="10">
        <v>16.285527999999999</v>
      </c>
      <c r="I143" s="10">
        <v>23.726424999999999</v>
      </c>
      <c r="J143" s="10">
        <v>8.5143249999999995</v>
      </c>
      <c r="K143" s="15">
        <v>1.8201000000000002E-2</v>
      </c>
      <c r="L143" s="17">
        <v>48778.573027999999</v>
      </c>
      <c r="M143" s="4" t="s">
        <v>924</v>
      </c>
      <c r="N143" s="19">
        <v>6.3911860000000003</v>
      </c>
      <c r="O143" s="19">
        <v>11.091900000000001</v>
      </c>
      <c r="P143" s="19">
        <v>6.68</v>
      </c>
      <c r="Q143" s="19">
        <v>8.0858899999999991</v>
      </c>
      <c r="R143" s="19">
        <v>4.8099999999999996</v>
      </c>
      <c r="S143" s="19">
        <v>4.4488899999999996</v>
      </c>
      <c r="T143" s="19">
        <v>4.8099999999999996</v>
      </c>
      <c r="U143" s="19">
        <v>4.2333299999999996</v>
      </c>
      <c r="V143" s="19">
        <v>8.6300000000000008</v>
      </c>
      <c r="W143" s="19">
        <v>5.5261899999999997</v>
      </c>
      <c r="X143" s="19">
        <v>8.6300000000000008</v>
      </c>
      <c r="Y143" s="19">
        <v>5.5261899999999997</v>
      </c>
      <c r="Z143" s="4"/>
      <c r="AA143" s="4"/>
      <c r="AB143" s="4" t="e">
        <f ca="1">_xll.ciqfunctions.udf.CIQ("^SPX", "IQ_PRICEDATE", "7/17/2014")</f>
        <v>#NAME?</v>
      </c>
      <c r="AC143" s="16">
        <v>1958.1194331985</v>
      </c>
    </row>
    <row r="144" spans="1:29" x14ac:dyDescent="0.35">
      <c r="A144" s="2" t="s">
        <v>154</v>
      </c>
      <c r="B144" s="4" t="s">
        <v>925</v>
      </c>
      <c r="C144" s="4" t="s">
        <v>525</v>
      </c>
      <c r="D144" s="4" t="s">
        <v>594</v>
      </c>
      <c r="E144" s="4" t="s">
        <v>595</v>
      </c>
      <c r="F144" s="4" t="s">
        <v>595</v>
      </c>
      <c r="G144" s="14">
        <v>54.3</v>
      </c>
      <c r="H144" s="10">
        <v>6.0119920000000002</v>
      </c>
      <c r="I144" s="10">
        <v>10.695319</v>
      </c>
      <c r="J144" s="10" t="s">
        <v>534</v>
      </c>
      <c r="K144" s="15">
        <v>2.5781999999999999E-2</v>
      </c>
      <c r="L144" s="17">
        <v>37088.012497999996</v>
      </c>
      <c r="M144" s="4" t="s">
        <v>926</v>
      </c>
      <c r="N144" s="19">
        <v>5.0769869999999999</v>
      </c>
      <c r="O144" s="19">
        <v>5.9714</v>
      </c>
      <c r="P144" s="19">
        <v>4.95</v>
      </c>
      <c r="Q144" s="19">
        <v>5.1833</v>
      </c>
      <c r="R144" s="19">
        <v>5.79</v>
      </c>
      <c r="S144" s="19">
        <v>4.9169</v>
      </c>
      <c r="T144" s="19">
        <v>5.79</v>
      </c>
      <c r="U144" s="19">
        <v>6.2106000000000003</v>
      </c>
      <c r="V144" s="19">
        <v>0.78</v>
      </c>
      <c r="W144" s="19">
        <v>4.3926999999999996</v>
      </c>
      <c r="X144" s="19">
        <v>0.78</v>
      </c>
      <c r="Y144" s="19">
        <v>4.3926999999999996</v>
      </c>
      <c r="Z144" s="4"/>
      <c r="AA144" s="4"/>
      <c r="AB144" s="4" t="e">
        <f ca="1">_xll.ciqfunctions.udf.CIQ("^SPX", "IQ_PRICEDATE", "7/18/2014")</f>
        <v>#NAME?</v>
      </c>
      <c r="AC144" s="16">
        <v>1978.2183536964001</v>
      </c>
    </row>
    <row r="145" spans="1:29" x14ac:dyDescent="0.35">
      <c r="A145" s="2" t="s">
        <v>155</v>
      </c>
      <c r="B145" s="4" t="s">
        <v>927</v>
      </c>
      <c r="C145" s="4" t="s">
        <v>530</v>
      </c>
      <c r="D145" s="4" t="s">
        <v>531</v>
      </c>
      <c r="E145" s="4" t="s">
        <v>532</v>
      </c>
      <c r="F145" s="4" t="s">
        <v>608</v>
      </c>
      <c r="G145" s="14">
        <v>37.07</v>
      </c>
      <c r="H145" s="10">
        <v>11.934528999999999</v>
      </c>
      <c r="I145" s="10" t="s">
        <v>534</v>
      </c>
      <c r="J145" s="10" t="s">
        <v>534</v>
      </c>
      <c r="K145" s="15">
        <v>9.4409999999999997E-3</v>
      </c>
      <c r="L145" s="17">
        <v>8242.3244790000008</v>
      </c>
      <c r="M145" s="4" t="s">
        <v>928</v>
      </c>
      <c r="N145" s="19">
        <v>-7.0338539999999998</v>
      </c>
      <c r="O145" s="19">
        <v>2.1023999999999998</v>
      </c>
      <c r="P145" s="19">
        <v>-6.76</v>
      </c>
      <c r="Q145" s="19">
        <v>2.8889999999999998</v>
      </c>
      <c r="R145" s="19">
        <v>1.94</v>
      </c>
      <c r="S145" s="19">
        <v>2.9278</v>
      </c>
      <c r="T145" s="19">
        <v>1.94</v>
      </c>
      <c r="U145" s="19">
        <v>2.7517999999999998</v>
      </c>
      <c r="V145" s="19">
        <v>2.2400000000000002</v>
      </c>
      <c r="W145" s="19">
        <v>2.6354000000000002</v>
      </c>
      <c r="X145" s="19">
        <v>2.2400000000000002</v>
      </c>
      <c r="Y145" s="19">
        <v>2.6354000000000002</v>
      </c>
      <c r="Z145" s="4"/>
      <c r="AA145" s="4"/>
      <c r="AB145" s="4" t="e">
        <f ca="1">_xll.ciqfunctions.udf.CIQ("^SPX", "IQ_PRICEDATE", "7/21/2014")</f>
        <v>#NAME?</v>
      </c>
      <c r="AC145" s="16">
        <v>1973.6278558585</v>
      </c>
    </row>
    <row r="146" spans="1:29" x14ac:dyDescent="0.35">
      <c r="A146" s="2" t="s">
        <v>156</v>
      </c>
      <c r="B146" s="4" t="s">
        <v>929</v>
      </c>
      <c r="C146" s="4" t="s">
        <v>669</v>
      </c>
      <c r="D146" s="4" t="s">
        <v>669</v>
      </c>
      <c r="E146" s="4" t="s">
        <v>670</v>
      </c>
      <c r="F146" s="4" t="s">
        <v>671</v>
      </c>
      <c r="G146" s="14">
        <v>36</v>
      </c>
      <c r="H146" s="10">
        <v>9.4382180000000009</v>
      </c>
      <c r="I146" s="10" t="s">
        <v>534</v>
      </c>
      <c r="J146" s="10">
        <v>2.5821830000000001</v>
      </c>
      <c r="K146" s="15">
        <v>8.8880000000000001E-3</v>
      </c>
      <c r="L146" s="17">
        <v>18316.8</v>
      </c>
      <c r="M146" s="4" t="s">
        <v>930</v>
      </c>
      <c r="N146" s="19">
        <v>-0.78151999999999999</v>
      </c>
      <c r="O146" s="19">
        <v>2.3226</v>
      </c>
      <c r="P146" s="19">
        <v>1.7</v>
      </c>
      <c r="Q146" s="19">
        <v>2.3673999999999999</v>
      </c>
      <c r="R146" s="19">
        <v>-2.09</v>
      </c>
      <c r="S146" s="19">
        <v>1.2303999999999999</v>
      </c>
      <c r="T146" s="19">
        <v>-2.09</v>
      </c>
      <c r="U146" s="19">
        <v>0.6623</v>
      </c>
      <c r="V146" s="19">
        <v>3.91</v>
      </c>
      <c r="W146" s="19">
        <v>4.4607999999999999</v>
      </c>
      <c r="X146" s="19">
        <v>3.91</v>
      </c>
      <c r="Y146" s="19">
        <v>4.4607999999999999</v>
      </c>
      <c r="Z146" s="4"/>
      <c r="AA146" s="4"/>
      <c r="AB146" s="4" t="e">
        <f ca="1">_xll.ciqfunctions.udf.CIQ("^SPX", "IQ_PRICEDATE", "7/22/2014")</f>
        <v>#NAME?</v>
      </c>
      <c r="AC146" s="16">
        <v>1983.5281525706</v>
      </c>
    </row>
    <row r="147" spans="1:29" x14ac:dyDescent="0.35">
      <c r="A147" s="2" t="s">
        <v>157</v>
      </c>
      <c r="B147" s="4" t="s">
        <v>931</v>
      </c>
      <c r="C147" s="4" t="s">
        <v>601</v>
      </c>
      <c r="D147" s="4" t="s">
        <v>601</v>
      </c>
      <c r="E147" s="4" t="s">
        <v>602</v>
      </c>
      <c r="F147" s="4" t="s">
        <v>647</v>
      </c>
      <c r="G147" s="14">
        <v>110.93</v>
      </c>
      <c r="H147" s="10">
        <v>21.229939000000002</v>
      </c>
      <c r="I147" s="10">
        <v>109.680627</v>
      </c>
      <c r="J147" s="10">
        <v>7.973274</v>
      </c>
      <c r="K147" s="15">
        <v>3.6419E-2</v>
      </c>
      <c r="L147" s="17">
        <v>22868.219499999999</v>
      </c>
      <c r="M147" s="4" t="s">
        <v>932</v>
      </c>
      <c r="N147" s="19">
        <v>1.0113909999999999</v>
      </c>
      <c r="O147" s="19">
        <v>1.3041</v>
      </c>
      <c r="P147" s="19">
        <v>0.98999899999999996</v>
      </c>
      <c r="Q147" s="19">
        <v>1.6814</v>
      </c>
      <c r="R147" s="19">
        <v>2.2000000000000002</v>
      </c>
      <c r="S147" s="19">
        <v>1.4057999999999999</v>
      </c>
      <c r="T147" s="19">
        <v>2.2000000000000002</v>
      </c>
      <c r="U147" s="19">
        <v>1.1819999999999999</v>
      </c>
      <c r="V147" s="19">
        <v>0.99</v>
      </c>
      <c r="W147" s="19">
        <v>1.0226</v>
      </c>
      <c r="X147" s="19">
        <v>0.99</v>
      </c>
      <c r="Y147" s="19">
        <v>1.0226</v>
      </c>
      <c r="Z147" s="4"/>
      <c r="AA147" s="4"/>
      <c r="AB147" s="4" t="e">
        <f ca="1">_xll.ciqfunctions.udf.CIQ("^SPX", "IQ_PRICEDATE", "7/23/2014")</f>
        <v>#NAME?</v>
      </c>
      <c r="AC147" s="16">
        <v>1987.0051750061</v>
      </c>
    </row>
    <row r="148" spans="1:29" x14ac:dyDescent="0.35">
      <c r="A148" s="2" t="s">
        <v>158</v>
      </c>
      <c r="B148" s="4" t="s">
        <v>933</v>
      </c>
      <c r="C148" s="4" t="s">
        <v>573</v>
      </c>
      <c r="D148" s="4" t="s">
        <v>574</v>
      </c>
      <c r="E148" s="4" t="s">
        <v>641</v>
      </c>
      <c r="F148" s="4" t="s">
        <v>641</v>
      </c>
      <c r="G148" s="14">
        <v>75.89</v>
      </c>
      <c r="H148" s="10">
        <v>0</v>
      </c>
      <c r="I148" s="10">
        <v>12.084429</v>
      </c>
      <c r="J148" s="10">
        <v>2.6338300000000001</v>
      </c>
      <c r="K148" s="15">
        <v>2.1082999999999998E-2</v>
      </c>
      <c r="L148" s="17">
        <v>26004.33611</v>
      </c>
      <c r="M148" s="4" t="s">
        <v>934</v>
      </c>
      <c r="N148" s="19">
        <v>6.2799820000000004</v>
      </c>
      <c r="O148" s="19">
        <v>8.2516999999999996</v>
      </c>
      <c r="P148" s="19">
        <v>5.42</v>
      </c>
      <c r="Q148" s="19">
        <v>6.4844999999999997</v>
      </c>
      <c r="R148" s="19">
        <v>5.77</v>
      </c>
      <c r="S148" s="19">
        <v>6.0126999999999997</v>
      </c>
      <c r="T148" s="19">
        <v>5.77</v>
      </c>
      <c r="U148" s="19">
        <v>5.5625</v>
      </c>
      <c r="V148" s="19">
        <v>4.9000000000000004</v>
      </c>
      <c r="W148" s="19">
        <v>5.3948</v>
      </c>
      <c r="X148" s="19">
        <v>4.9000000000000004</v>
      </c>
      <c r="Y148" s="19">
        <v>5.3948</v>
      </c>
      <c r="Z148" s="4"/>
      <c r="AA148" s="4"/>
      <c r="AB148" s="4" t="e">
        <f ca="1">_xll.ciqfunctions.udf.CIQ("^SPX", "IQ_PRICEDATE", "7/24/2014")</f>
        <v>#NAME?</v>
      </c>
      <c r="AC148" s="16">
        <v>1987.980474964</v>
      </c>
    </row>
    <row r="149" spans="1:29" x14ac:dyDescent="0.35">
      <c r="A149" s="2" t="s">
        <v>159</v>
      </c>
      <c r="B149" s="4" t="s">
        <v>935</v>
      </c>
      <c r="C149" s="4" t="s">
        <v>549</v>
      </c>
      <c r="D149" s="4" t="s">
        <v>550</v>
      </c>
      <c r="E149" s="4" t="s">
        <v>814</v>
      </c>
      <c r="F149" s="4" t="s">
        <v>815</v>
      </c>
      <c r="G149" s="14">
        <v>33.049999999999997</v>
      </c>
      <c r="H149" s="10">
        <v>15.319791</v>
      </c>
      <c r="I149" s="10" t="s">
        <v>534</v>
      </c>
      <c r="J149" s="10" t="s">
        <v>534</v>
      </c>
      <c r="K149" s="15">
        <v>0</v>
      </c>
      <c r="L149" s="17">
        <v>22389.863355000001</v>
      </c>
      <c r="M149" s="4" t="s">
        <v>936</v>
      </c>
      <c r="N149" s="19">
        <v>-1.2573890000000001</v>
      </c>
      <c r="O149" s="19">
        <v>3.1124000000000001</v>
      </c>
      <c r="P149" s="19">
        <v>-0.59177599999999997</v>
      </c>
      <c r="Q149" s="19">
        <v>2.2099000000000002</v>
      </c>
      <c r="R149" s="19">
        <v>1.601494</v>
      </c>
      <c r="S149" s="19">
        <v>2.2747000000000002</v>
      </c>
      <c r="T149" s="19">
        <v>1.601494</v>
      </c>
      <c r="U149" s="19">
        <v>2.0402999999999998</v>
      </c>
      <c r="V149" s="19">
        <v>1.472186</v>
      </c>
      <c r="W149" s="19">
        <v>1.9071</v>
      </c>
      <c r="X149" s="19">
        <v>1.472186</v>
      </c>
      <c r="Y149" s="19">
        <v>1.9071</v>
      </c>
      <c r="Z149" s="4"/>
      <c r="AA149" s="4"/>
      <c r="AB149" s="4" t="e">
        <f ca="1">_xll.ciqfunctions.udf.CIQ("^SPX", "IQ_PRICEDATE", "7/25/2014")</f>
        <v>#NAME?</v>
      </c>
      <c r="AC149" s="16">
        <v>1978.3388878225001</v>
      </c>
    </row>
    <row r="150" spans="1:29" x14ac:dyDescent="0.35">
      <c r="A150" s="2" t="s">
        <v>160</v>
      </c>
      <c r="B150" s="4" t="s">
        <v>935</v>
      </c>
      <c r="C150" s="4" t="s">
        <v>549</v>
      </c>
      <c r="D150" s="4" t="s">
        <v>550</v>
      </c>
      <c r="E150" s="4" t="s">
        <v>814</v>
      </c>
      <c r="F150" s="4" t="s">
        <v>815</v>
      </c>
      <c r="G150" s="14">
        <v>30.1</v>
      </c>
      <c r="H150" s="10">
        <v>15.319791</v>
      </c>
      <c r="I150" s="10">
        <v>0</v>
      </c>
      <c r="J150" s="10">
        <v>0</v>
      </c>
      <c r="K150" s="15">
        <v>0</v>
      </c>
      <c r="L150" s="17">
        <v>22389.863355000001</v>
      </c>
      <c r="M150" s="4" t="s">
        <v>936</v>
      </c>
      <c r="N150" s="19">
        <v>-1.2573890000000001</v>
      </c>
      <c r="O150" s="19">
        <v>3.1095999999999999</v>
      </c>
      <c r="P150" s="19">
        <v>-0.59177599999999997</v>
      </c>
      <c r="Q150" s="19">
        <v>2.2099000000000002</v>
      </c>
      <c r="R150" s="19">
        <v>1.601494</v>
      </c>
      <c r="S150" s="19">
        <v>2.2747000000000002</v>
      </c>
      <c r="T150" s="19">
        <v>1.601494</v>
      </c>
      <c r="U150" s="19">
        <v>2.0402999999999998</v>
      </c>
      <c r="V150" s="19">
        <v>1.472186</v>
      </c>
      <c r="W150" s="19">
        <v>1.905</v>
      </c>
      <c r="X150" s="19">
        <v>1.472186</v>
      </c>
      <c r="Y150" s="19">
        <v>1.905</v>
      </c>
      <c r="Z150" s="4"/>
      <c r="AA150" s="4"/>
      <c r="AB150" s="4" t="e">
        <f ca="1">_xll.ciqfunctions.udf.CIQ("^SPX", "IQ_PRICEDATE", "7/28/2014")</f>
        <v>#NAME?</v>
      </c>
      <c r="AC150" s="16">
        <v>1978.9113478934</v>
      </c>
    </row>
    <row r="151" spans="1:29" x14ac:dyDescent="0.35">
      <c r="A151" s="2" t="s">
        <v>161</v>
      </c>
      <c r="B151" s="4" t="s">
        <v>937</v>
      </c>
      <c r="C151" s="4" t="s">
        <v>549</v>
      </c>
      <c r="D151" s="4" t="s">
        <v>550</v>
      </c>
      <c r="E151" s="4" t="s">
        <v>814</v>
      </c>
      <c r="F151" s="4" t="s">
        <v>833</v>
      </c>
      <c r="G151" s="14">
        <v>34.44</v>
      </c>
      <c r="H151" s="10">
        <v>11.009216</v>
      </c>
      <c r="I151" s="10">
        <v>7.2768759999999997</v>
      </c>
      <c r="J151" s="10" t="s">
        <v>534</v>
      </c>
      <c r="K151" s="15">
        <v>0</v>
      </c>
      <c r="L151" s="17">
        <v>16101.261406</v>
      </c>
      <c r="M151" s="4" t="s">
        <v>938</v>
      </c>
      <c r="N151" s="19">
        <v>4.7328000000000001</v>
      </c>
      <c r="O151" s="19">
        <v>2.6312000000000002</v>
      </c>
      <c r="P151" s="19">
        <v>4.0733509999999997</v>
      </c>
      <c r="Q151" s="19">
        <v>2.1316999999999999</v>
      </c>
      <c r="R151" s="19">
        <v>3.150709</v>
      </c>
      <c r="S151" s="19">
        <v>2.7755000000000001</v>
      </c>
      <c r="T151" s="19">
        <v>3.150709</v>
      </c>
      <c r="U151" s="19">
        <v>1.4694</v>
      </c>
      <c r="V151" s="19">
        <v>2.04</v>
      </c>
      <c r="W151" s="19">
        <v>1.7709999999999999</v>
      </c>
      <c r="X151" s="19">
        <v>2.04</v>
      </c>
      <c r="Y151" s="19">
        <v>1.7709999999999999</v>
      </c>
      <c r="Z151" s="4"/>
      <c r="AA151" s="4"/>
      <c r="AB151" s="4" t="e">
        <f ca="1">_xll.ciqfunctions.udf.CIQ("^SPX", "IQ_PRICEDATE", "7/29/2014")</f>
        <v>#NAME?</v>
      </c>
      <c r="AC151" s="16">
        <v>1969.9523243767001</v>
      </c>
    </row>
    <row r="152" spans="1:29" x14ac:dyDescent="0.35">
      <c r="A152" s="2" t="s">
        <v>162</v>
      </c>
      <c r="B152" s="4" t="s">
        <v>939</v>
      </c>
      <c r="C152" s="4" t="s">
        <v>559</v>
      </c>
      <c r="D152" s="4" t="s">
        <v>560</v>
      </c>
      <c r="E152" s="4" t="s">
        <v>940</v>
      </c>
      <c r="F152" s="4" t="s">
        <v>941</v>
      </c>
      <c r="G152" s="14">
        <v>109.77</v>
      </c>
      <c r="H152" s="10">
        <v>12.601635</v>
      </c>
      <c r="I152" s="10">
        <v>17.066841</v>
      </c>
      <c r="J152" s="10">
        <v>34.698382000000002</v>
      </c>
      <c r="K152" s="15">
        <v>1.0567E-2</v>
      </c>
      <c r="L152" s="17">
        <v>29147.711198000001</v>
      </c>
      <c r="M152" s="4" t="s">
        <v>942</v>
      </c>
      <c r="N152" s="19">
        <v>6.4317700000000002</v>
      </c>
      <c r="O152" s="19">
        <v>6.4134000000000002</v>
      </c>
      <c r="P152" s="19">
        <v>4.5134610000000004</v>
      </c>
      <c r="Q152" s="19">
        <v>4.8853999999999997</v>
      </c>
      <c r="R152" s="19">
        <v>4.2629200000000003</v>
      </c>
      <c r="S152" s="19">
        <v>4.6322000000000001</v>
      </c>
      <c r="T152" s="19">
        <v>4.2629200000000003</v>
      </c>
      <c r="U152" s="19">
        <v>4.327</v>
      </c>
      <c r="V152" s="19">
        <v>3.3419159999999999</v>
      </c>
      <c r="W152" s="19">
        <v>3.8633999999999999</v>
      </c>
      <c r="X152" s="19">
        <v>3.3419159999999999</v>
      </c>
      <c r="Y152" s="19">
        <v>3.8633999999999999</v>
      </c>
      <c r="Z152" s="4"/>
      <c r="AA152" s="4"/>
      <c r="AB152" s="4" t="e">
        <f ca="1">_xll.ciqfunctions.udf.CIQ("^SPX", "IQ_PRICEDATE", "7/30/2014")</f>
        <v>#NAME?</v>
      </c>
      <c r="AC152" s="16">
        <v>1970.0681100864999</v>
      </c>
    </row>
    <row r="153" spans="1:29" x14ac:dyDescent="0.35">
      <c r="A153" s="2" t="s">
        <v>163</v>
      </c>
      <c r="B153" s="4" t="s">
        <v>943</v>
      </c>
      <c r="C153" s="4" t="s">
        <v>559</v>
      </c>
      <c r="D153" s="4" t="s">
        <v>560</v>
      </c>
      <c r="E153" s="4" t="s">
        <v>940</v>
      </c>
      <c r="F153" s="4" t="s">
        <v>941</v>
      </c>
      <c r="G153" s="14">
        <v>85.3</v>
      </c>
      <c r="H153" s="10">
        <v>9.3989650000000005</v>
      </c>
      <c r="I153" s="10">
        <v>11.86074</v>
      </c>
      <c r="J153" s="10" t="s">
        <v>534</v>
      </c>
      <c r="K153" s="15">
        <v>0</v>
      </c>
      <c r="L153" s="17">
        <v>20291.883676000001</v>
      </c>
      <c r="M153" s="4" t="s">
        <v>944</v>
      </c>
      <c r="N153" s="19">
        <v>7.1917939999999998</v>
      </c>
      <c r="O153" s="19">
        <v>5.7887000000000004</v>
      </c>
      <c r="P153" s="19">
        <v>4.1888069999999997</v>
      </c>
      <c r="Q153" s="19">
        <v>5.2915999999999999</v>
      </c>
      <c r="R153" s="19">
        <v>3.4005070000000002</v>
      </c>
      <c r="S153" s="19">
        <v>4.2846000000000002</v>
      </c>
      <c r="T153" s="19">
        <v>3.4005070000000002</v>
      </c>
      <c r="U153" s="19">
        <v>3.4607000000000001</v>
      </c>
      <c r="V153" s="19">
        <v>2.9125510000000001</v>
      </c>
      <c r="W153" s="19">
        <v>3.3856999999999999</v>
      </c>
      <c r="X153" s="19">
        <v>2.9125510000000001</v>
      </c>
      <c r="Y153" s="19">
        <v>3.3856999999999999</v>
      </c>
      <c r="Z153" s="4"/>
      <c r="AA153" s="4"/>
      <c r="AB153" s="4" t="e">
        <f ca="1">_xll.ciqfunctions.udf.CIQ("^SPX", "IQ_PRICEDATE", "7/31/2014")</f>
        <v>#NAME?</v>
      </c>
      <c r="AC153" s="16">
        <v>1930.6738707454999</v>
      </c>
    </row>
    <row r="154" spans="1:29" x14ac:dyDescent="0.35">
      <c r="A154" s="2" t="s">
        <v>164</v>
      </c>
      <c r="B154" s="4" t="s">
        <v>945</v>
      </c>
      <c r="C154" s="4" t="s">
        <v>619</v>
      </c>
      <c r="D154" s="4" t="s">
        <v>619</v>
      </c>
      <c r="E154" s="4" t="s">
        <v>634</v>
      </c>
      <c r="F154" s="4" t="s">
        <v>634</v>
      </c>
      <c r="G154" s="14">
        <v>72.3</v>
      </c>
      <c r="H154" s="10">
        <v>13.939857999999999</v>
      </c>
      <c r="I154" s="10">
        <v>16.009725</v>
      </c>
      <c r="J154" s="10">
        <v>4.0555960000000004</v>
      </c>
      <c r="K154" s="15">
        <v>4.6196000000000001E-2</v>
      </c>
      <c r="L154" s="17">
        <v>47267.258012999999</v>
      </c>
      <c r="M154" s="4" t="s">
        <v>946</v>
      </c>
      <c r="N154" s="19">
        <v>4.5160049999999998</v>
      </c>
      <c r="O154" s="19">
        <v>4.0656999999999996</v>
      </c>
      <c r="P154" s="19">
        <v>4.715408</v>
      </c>
      <c r="Q154" s="19">
        <v>4.0162000000000004</v>
      </c>
      <c r="R154" s="19">
        <v>3.44</v>
      </c>
      <c r="S154" s="19">
        <v>3.8892000000000002</v>
      </c>
      <c r="T154" s="19">
        <v>3.44</v>
      </c>
      <c r="U154" s="19">
        <v>3.76</v>
      </c>
      <c r="V154" s="19">
        <v>2.2400000000000002</v>
      </c>
      <c r="W154" s="19">
        <v>3.6734</v>
      </c>
      <c r="X154" s="19">
        <v>2.2400000000000002</v>
      </c>
      <c r="Y154" s="19">
        <v>3.6734</v>
      </c>
      <c r="Z154" s="4"/>
      <c r="AA154" s="4"/>
      <c r="AB154" s="4" t="e">
        <f ca="1">_xll.ciqfunctions.udf.CIQ("^SPX", "IQ_PRICEDATE", "8/1/2014")</f>
        <v>#NAME?</v>
      </c>
      <c r="AC154" s="16">
        <v>1925.1518001969</v>
      </c>
    </row>
    <row r="155" spans="1:29" x14ac:dyDescent="0.35">
      <c r="A155" s="2" t="s">
        <v>165</v>
      </c>
      <c r="B155" s="4" t="s">
        <v>947</v>
      </c>
      <c r="C155" s="4" t="s">
        <v>525</v>
      </c>
      <c r="D155" s="4" t="s">
        <v>526</v>
      </c>
      <c r="E155" s="4" t="s">
        <v>803</v>
      </c>
      <c r="F155" s="4" t="s">
        <v>948</v>
      </c>
      <c r="G155" s="14">
        <v>82.23</v>
      </c>
      <c r="H155" s="10">
        <v>10.735773999999999</v>
      </c>
      <c r="I155" s="10">
        <v>16.318162999999998</v>
      </c>
      <c r="J155" s="10" t="s">
        <v>534</v>
      </c>
      <c r="K155" s="15">
        <v>2.3349000000000002E-2</v>
      </c>
      <c r="L155" s="17">
        <v>12145.668755000001</v>
      </c>
      <c r="M155" s="4" t="s">
        <v>949</v>
      </c>
      <c r="N155" s="19">
        <v>5.0391700000000004</v>
      </c>
      <c r="O155" s="19">
        <v>5.2138999999999998</v>
      </c>
      <c r="P155" s="19">
        <v>5.15</v>
      </c>
      <c r="Q155" s="19">
        <v>4.3601000000000001</v>
      </c>
      <c r="R155" s="19">
        <v>3.25</v>
      </c>
      <c r="S155" s="19">
        <v>3.4489000000000001</v>
      </c>
      <c r="T155" s="19">
        <v>3.25</v>
      </c>
      <c r="U155" s="19">
        <v>3.7324999999999999</v>
      </c>
      <c r="V155" s="19">
        <v>4.6100000000000003</v>
      </c>
      <c r="W155" s="19">
        <v>4.9080000000000004</v>
      </c>
      <c r="X155" s="19">
        <v>4.6100000000000003</v>
      </c>
      <c r="Y155" s="19">
        <v>4.9080000000000004</v>
      </c>
      <c r="Z155" s="4"/>
      <c r="AA155" s="4"/>
      <c r="AB155" s="4" t="e">
        <f ca="1">_xll.ciqfunctions.udf.CIQ("^SPX", "IQ_PRICEDATE", "8/4/2014")</f>
        <v>#NAME?</v>
      </c>
      <c r="AC155" s="16">
        <v>1938.9861642804001</v>
      </c>
    </row>
    <row r="156" spans="1:29" x14ac:dyDescent="0.35">
      <c r="A156" s="2" t="s">
        <v>166</v>
      </c>
      <c r="B156" s="4" t="s">
        <v>950</v>
      </c>
      <c r="C156" s="4" t="s">
        <v>586</v>
      </c>
      <c r="D156" s="4" t="s">
        <v>586</v>
      </c>
      <c r="E156" s="4" t="s">
        <v>587</v>
      </c>
      <c r="F156" s="4" t="s">
        <v>951</v>
      </c>
      <c r="G156" s="14">
        <v>59.57</v>
      </c>
      <c r="H156" s="10">
        <v>9.7027640000000002</v>
      </c>
      <c r="I156" s="10">
        <v>58.49877</v>
      </c>
      <c r="J156" s="10">
        <v>20.342451000000001</v>
      </c>
      <c r="K156" s="15">
        <v>2.5516E-2</v>
      </c>
      <c r="L156" s="17">
        <v>137450.44044400001</v>
      </c>
      <c r="M156" s="4" t="s">
        <v>952</v>
      </c>
      <c r="N156" s="19">
        <v>1.0183120000000001</v>
      </c>
      <c r="O156" s="19">
        <v>4.4066999999999998</v>
      </c>
      <c r="P156" s="19">
        <v>0.95</v>
      </c>
      <c r="Q156" s="19">
        <v>3.8010999999999999</v>
      </c>
      <c r="R156" s="19">
        <v>3.52</v>
      </c>
      <c r="S156" s="19">
        <v>0</v>
      </c>
      <c r="T156" s="19">
        <v>3.52</v>
      </c>
      <c r="U156" s="19">
        <v>0</v>
      </c>
      <c r="V156" s="19">
        <v>2.87</v>
      </c>
      <c r="W156" s="19">
        <v>0</v>
      </c>
      <c r="X156" s="19">
        <v>2.87</v>
      </c>
      <c r="Y156" s="19">
        <v>0</v>
      </c>
      <c r="Z156" s="4"/>
      <c r="AA156" s="4"/>
      <c r="AB156" s="4" t="e">
        <f ca="1">_xll.ciqfunctions.udf.CIQ("^SPX", "IQ_PRICEDATE", "8/5/2014")</f>
        <v>#NAME?</v>
      </c>
      <c r="AC156" s="16">
        <v>1920.2111643633</v>
      </c>
    </row>
    <row r="157" spans="1:29" x14ac:dyDescent="0.35">
      <c r="A157" s="2" t="s">
        <v>167</v>
      </c>
      <c r="B157" s="4" t="s">
        <v>953</v>
      </c>
      <c r="C157" s="4" t="s">
        <v>619</v>
      </c>
      <c r="D157" s="4" t="s">
        <v>619</v>
      </c>
      <c r="E157" s="4" t="s">
        <v>634</v>
      </c>
      <c r="F157" s="4" t="s">
        <v>634</v>
      </c>
      <c r="G157" s="14">
        <v>111.29</v>
      </c>
      <c r="H157" s="10">
        <v>12.954603000000001</v>
      </c>
      <c r="I157" s="10">
        <v>17.387701</v>
      </c>
      <c r="J157" s="10">
        <v>3.024289</v>
      </c>
      <c r="K157" s="15">
        <v>3.1718000000000003E-2</v>
      </c>
      <c r="L157" s="17">
        <v>20229.46976</v>
      </c>
      <c r="M157" s="4" t="s">
        <v>954</v>
      </c>
      <c r="N157" s="19">
        <v>6.4005010000000002</v>
      </c>
      <c r="O157" s="19">
        <v>5.9055999999999997</v>
      </c>
      <c r="P157" s="19">
        <v>6.32</v>
      </c>
      <c r="Q157" s="19">
        <v>5.4972000000000003</v>
      </c>
      <c r="R157" s="19">
        <v>4.83</v>
      </c>
      <c r="S157" s="19">
        <v>5.1742999999999997</v>
      </c>
      <c r="T157" s="19">
        <v>4.83</v>
      </c>
      <c r="U157" s="19">
        <v>5.2446000000000002</v>
      </c>
      <c r="V157" s="19">
        <v>5.0999999999999996</v>
      </c>
      <c r="W157" s="19">
        <v>4.8289999999999997</v>
      </c>
      <c r="X157" s="19">
        <v>5.0999999999999996</v>
      </c>
      <c r="Y157" s="19">
        <v>4.8289999999999997</v>
      </c>
      <c r="Z157" s="4"/>
      <c r="AA157" s="4"/>
      <c r="AB157" s="4" t="e">
        <f ca="1">_xll.ciqfunctions.udf.CIQ("^SPX", "IQ_PRICEDATE", "8/6/2014")</f>
        <v>#NAME?</v>
      </c>
      <c r="AC157" s="16">
        <v>1920.2360031712999</v>
      </c>
    </row>
    <row r="158" spans="1:29" x14ac:dyDescent="0.35">
      <c r="A158" s="2" t="s">
        <v>168</v>
      </c>
      <c r="B158" s="4" t="s">
        <v>955</v>
      </c>
      <c r="C158" s="4" t="s">
        <v>619</v>
      </c>
      <c r="D158" s="4" t="s">
        <v>619</v>
      </c>
      <c r="E158" s="4" t="s">
        <v>620</v>
      </c>
      <c r="F158" s="4" t="s">
        <v>620</v>
      </c>
      <c r="G158" s="14">
        <v>80.77</v>
      </c>
      <c r="H158" s="10">
        <v>10.986605000000001</v>
      </c>
      <c r="I158" s="10">
        <v>20.366824000000001</v>
      </c>
      <c r="J158" s="10">
        <v>2.4883489999999999</v>
      </c>
      <c r="K158" s="15">
        <v>4.5932000000000001E-2</v>
      </c>
      <c r="L158" s="17">
        <v>57536.891057000001</v>
      </c>
      <c r="M158" s="4" t="s">
        <v>956</v>
      </c>
      <c r="N158" s="19">
        <v>3.9657629999999999</v>
      </c>
      <c r="O158" s="19">
        <v>4.8086000000000002</v>
      </c>
      <c r="P158" s="19">
        <v>4.37</v>
      </c>
      <c r="Q158" s="19">
        <v>4.6947999999999999</v>
      </c>
      <c r="R158" s="19">
        <v>3.71</v>
      </c>
      <c r="S158" s="19">
        <v>4.6501000000000001</v>
      </c>
      <c r="T158" s="19">
        <v>3.71</v>
      </c>
      <c r="U158" s="19">
        <v>4.5971000000000002</v>
      </c>
      <c r="V158" s="19">
        <v>3.577086</v>
      </c>
      <c r="W158" s="19">
        <v>4.6863999999999999</v>
      </c>
      <c r="X158" s="19">
        <v>3.577086</v>
      </c>
      <c r="Y158" s="19">
        <v>4.6863999999999999</v>
      </c>
      <c r="Z158" s="4"/>
      <c r="AA158" s="4"/>
      <c r="AB158" s="4" t="e">
        <f ca="1">_xll.ciqfunctions.udf.CIQ("^SPX", "IQ_PRICEDATE", "8/7/2014")</f>
        <v>#NAME?</v>
      </c>
      <c r="AC158" s="16">
        <v>1909.5707789905</v>
      </c>
    </row>
    <row r="159" spans="1:29" x14ac:dyDescent="0.35">
      <c r="A159" s="2" t="s">
        <v>169</v>
      </c>
      <c r="B159" s="4" t="s">
        <v>957</v>
      </c>
      <c r="C159" s="4" t="s">
        <v>601</v>
      </c>
      <c r="D159" s="4" t="s">
        <v>601</v>
      </c>
      <c r="E159" s="4" t="s">
        <v>602</v>
      </c>
      <c r="F159" s="4" t="s">
        <v>958</v>
      </c>
      <c r="G159" s="14">
        <v>27.43</v>
      </c>
      <c r="H159" s="10">
        <v>27.522023999999998</v>
      </c>
      <c r="I159" s="10">
        <v>27.700271000000001</v>
      </c>
      <c r="J159" s="10">
        <v>2.1021519999999998</v>
      </c>
      <c r="K159" s="15">
        <v>2.9165E-2</v>
      </c>
      <c r="L159" s="17">
        <v>9799.9187330000004</v>
      </c>
      <c r="M159" s="4" t="s">
        <v>959</v>
      </c>
      <c r="N159" s="19">
        <v>0.99024299999999998</v>
      </c>
      <c r="O159" s="19">
        <v>0.43330000000000002</v>
      </c>
      <c r="P159" s="19">
        <v>0.74966100000000002</v>
      </c>
      <c r="Q159" s="19">
        <v>0.39989999999999998</v>
      </c>
      <c r="R159" s="19">
        <v>0.83560599999999996</v>
      </c>
      <c r="S159" s="19">
        <v>0.30209999999999998</v>
      </c>
      <c r="T159" s="19">
        <v>0.83560599999999996</v>
      </c>
      <c r="U159" s="19">
        <v>0.19550000000000001</v>
      </c>
      <c r="V159" s="19">
        <v>0.51057600000000003</v>
      </c>
      <c r="W159" s="19">
        <v>5.9799999999999999E-2</v>
      </c>
      <c r="X159" s="19">
        <v>0.51057600000000003</v>
      </c>
      <c r="Y159" s="19">
        <v>5.9799999999999999E-2</v>
      </c>
      <c r="Z159" s="4"/>
      <c r="AA159" s="4"/>
      <c r="AB159" s="4" t="e">
        <f ca="1">_xll.ciqfunctions.udf.CIQ("^SPX", "IQ_PRICEDATE", "8/8/2014")</f>
        <v>#NAME?</v>
      </c>
      <c r="AC159" s="16">
        <v>1931.5931512780001</v>
      </c>
    </row>
    <row r="160" spans="1:29" x14ac:dyDescent="0.35">
      <c r="A160" s="2" t="s">
        <v>170</v>
      </c>
      <c r="B160" s="4" t="s">
        <v>960</v>
      </c>
      <c r="C160" s="4" t="s">
        <v>543</v>
      </c>
      <c r="D160" s="4" t="s">
        <v>544</v>
      </c>
      <c r="E160" s="4" t="s">
        <v>545</v>
      </c>
      <c r="F160" s="4" t="s">
        <v>546</v>
      </c>
      <c r="G160" s="14">
        <v>89.47</v>
      </c>
      <c r="H160" s="10">
        <v>5.5289520000000003</v>
      </c>
      <c r="I160" s="10">
        <v>13.785764</v>
      </c>
      <c r="J160" s="10" t="s">
        <v>534</v>
      </c>
      <c r="K160" s="15">
        <v>8.4939999999999998E-3</v>
      </c>
      <c r="L160" s="17">
        <v>25155.450513</v>
      </c>
      <c r="M160" s="4" t="s">
        <v>961</v>
      </c>
      <c r="N160" s="19">
        <v>6.4900279999999997</v>
      </c>
      <c r="O160" s="19">
        <v>8.3515999999999995</v>
      </c>
      <c r="P160" s="19">
        <v>3.9199169999999999</v>
      </c>
      <c r="Q160" s="19">
        <v>8.0617000000000001</v>
      </c>
      <c r="R160" s="19">
        <v>-0.59858800000000001</v>
      </c>
      <c r="S160" s="19">
        <v>0</v>
      </c>
      <c r="T160" s="19">
        <v>-0.59858800000000001</v>
      </c>
      <c r="U160" s="19">
        <v>0</v>
      </c>
      <c r="V160" s="19">
        <v>4.3897409999999999</v>
      </c>
      <c r="W160" s="19">
        <v>0</v>
      </c>
      <c r="X160" s="19">
        <v>4.3897409999999999</v>
      </c>
      <c r="Y160" s="19">
        <v>0</v>
      </c>
      <c r="Z160" s="4"/>
      <c r="AA160" s="4"/>
      <c r="AB160" s="4" t="e">
        <f ca="1">_xll.ciqfunctions.udf.CIQ("^SPX", "IQ_PRICEDATE", "8/11/2014")</f>
        <v>#NAME?</v>
      </c>
      <c r="AC160" s="16">
        <v>1936.9155999371001</v>
      </c>
    </row>
    <row r="161" spans="1:29" x14ac:dyDescent="0.35">
      <c r="A161" s="2" t="s">
        <v>171</v>
      </c>
      <c r="B161" s="4" t="s">
        <v>962</v>
      </c>
      <c r="C161" s="4" t="s">
        <v>573</v>
      </c>
      <c r="D161" s="4" t="s">
        <v>574</v>
      </c>
      <c r="E161" s="4" t="s">
        <v>575</v>
      </c>
      <c r="F161" s="4" t="s">
        <v>963</v>
      </c>
      <c r="G161" s="14">
        <v>50.57</v>
      </c>
      <c r="H161" s="10">
        <v>0</v>
      </c>
      <c r="I161" s="10">
        <v>18.130347</v>
      </c>
      <c r="J161" s="10">
        <v>4.0110700000000001</v>
      </c>
      <c r="K161" s="15">
        <v>0</v>
      </c>
      <c r="L161" s="17">
        <v>13128.831690000001</v>
      </c>
      <c r="M161" s="4" t="s">
        <v>964</v>
      </c>
      <c r="N161" s="19">
        <v>2.7892459999999999</v>
      </c>
      <c r="O161" s="19">
        <v>3.7160000000000002</v>
      </c>
      <c r="P161" s="19">
        <v>2.15</v>
      </c>
      <c r="Q161" s="19">
        <v>2.4701</v>
      </c>
      <c r="R161" s="19">
        <v>1.98</v>
      </c>
      <c r="S161" s="19">
        <v>1.7403</v>
      </c>
      <c r="T161" s="19">
        <v>1.98</v>
      </c>
      <c r="U161" s="19">
        <v>1.4527000000000001</v>
      </c>
      <c r="V161" s="19">
        <v>1</v>
      </c>
      <c r="W161" s="19">
        <v>1.0808</v>
      </c>
      <c r="X161" s="19">
        <v>1</v>
      </c>
      <c r="Y161" s="19">
        <v>1.0808</v>
      </c>
      <c r="Z161" s="4"/>
      <c r="AA161" s="4"/>
      <c r="AB161" s="4" t="e">
        <f ca="1">_xll.ciqfunctions.udf.CIQ("^SPX", "IQ_PRICEDATE", "8/12/2014")</f>
        <v>#NAME?</v>
      </c>
      <c r="AC161" s="16">
        <v>1933.7466377295</v>
      </c>
    </row>
    <row r="162" spans="1:29" x14ac:dyDescent="0.35">
      <c r="A162" s="2" t="s">
        <v>172</v>
      </c>
      <c r="B162" s="4" t="s">
        <v>965</v>
      </c>
      <c r="C162" s="4" t="s">
        <v>586</v>
      </c>
      <c r="D162" s="4" t="s">
        <v>586</v>
      </c>
      <c r="E162" s="4" t="s">
        <v>587</v>
      </c>
      <c r="F162" s="4" t="s">
        <v>951</v>
      </c>
      <c r="G162" s="14">
        <v>83.33</v>
      </c>
      <c r="H162" s="10">
        <v>7.8055570000000003</v>
      </c>
      <c r="I162" s="10">
        <v>8.3477999999999994</v>
      </c>
      <c r="J162" s="10" t="s">
        <v>534</v>
      </c>
      <c r="K162" s="15">
        <v>2.6880999999999999E-2</v>
      </c>
      <c r="L162" s="17">
        <v>11772.866233000001</v>
      </c>
      <c r="M162" s="4" t="s">
        <v>966</v>
      </c>
      <c r="N162" s="19">
        <v>9.9822699999999998</v>
      </c>
      <c r="O162" s="19">
        <v>8.8890999999999991</v>
      </c>
      <c r="P162" s="19">
        <v>9.4700000000000006</v>
      </c>
      <c r="Q162" s="19">
        <v>7.6932999999999998</v>
      </c>
      <c r="R162" s="19">
        <v>5.75</v>
      </c>
      <c r="S162" s="19">
        <v>7.2042999999999999</v>
      </c>
      <c r="T162" s="19">
        <v>5.75</v>
      </c>
      <c r="U162" s="19">
        <v>7.4515000000000002</v>
      </c>
      <c r="V162" s="19">
        <v>4.95</v>
      </c>
      <c r="W162" s="19">
        <v>7.5366</v>
      </c>
      <c r="X162" s="19">
        <v>4.95</v>
      </c>
      <c r="Y162" s="19">
        <v>7.5366</v>
      </c>
      <c r="Z162" s="4"/>
      <c r="AA162" s="4"/>
      <c r="AB162" s="4" t="e">
        <f ca="1">_xll.ciqfunctions.udf.CIQ("^SPX", "IQ_PRICEDATE", "8/13/2014")</f>
        <v>#NAME?</v>
      </c>
      <c r="AC162" s="16">
        <v>1946.7220009985001</v>
      </c>
    </row>
    <row r="163" spans="1:29" x14ac:dyDescent="0.35">
      <c r="A163" s="2" t="s">
        <v>173</v>
      </c>
      <c r="B163" s="4" t="s">
        <v>967</v>
      </c>
      <c r="C163" s="4" t="s">
        <v>525</v>
      </c>
      <c r="D163" s="4" t="s">
        <v>526</v>
      </c>
      <c r="E163" s="4" t="s">
        <v>658</v>
      </c>
      <c r="F163" s="4" t="s">
        <v>659</v>
      </c>
      <c r="G163" s="14">
        <v>79.81</v>
      </c>
      <c r="H163" s="10">
        <v>11.446998000000001</v>
      </c>
      <c r="I163" s="10">
        <v>11.246233</v>
      </c>
      <c r="J163" s="10" t="s">
        <v>534</v>
      </c>
      <c r="K163" s="15">
        <v>3.3077999999999996E-2</v>
      </c>
      <c r="L163" s="17">
        <v>34581.673000000003</v>
      </c>
      <c r="M163" s="4" t="s">
        <v>968</v>
      </c>
      <c r="N163" s="19">
        <v>7.0965980000000002</v>
      </c>
      <c r="O163" s="19">
        <v>5.6635999999999997</v>
      </c>
      <c r="P163" s="19">
        <v>6.68</v>
      </c>
      <c r="Q163" s="19">
        <v>4.9957000000000003</v>
      </c>
      <c r="R163" s="19">
        <v>4.2</v>
      </c>
      <c r="S163" s="19">
        <v>4.2914000000000003</v>
      </c>
      <c r="T163" s="19">
        <v>4.2</v>
      </c>
      <c r="U163" s="19">
        <v>4.2538</v>
      </c>
      <c r="V163" s="19">
        <v>3.76</v>
      </c>
      <c r="W163" s="19">
        <v>4.9215</v>
      </c>
      <c r="X163" s="19">
        <v>3.76</v>
      </c>
      <c r="Y163" s="19">
        <v>4.9215</v>
      </c>
      <c r="Z163" s="4"/>
      <c r="AA163" s="4"/>
      <c r="AB163" s="4" t="e">
        <f ca="1">_xll.ciqfunctions.udf.CIQ("^SPX", "IQ_PRICEDATE", "8/14/2014")</f>
        <v>#NAME?</v>
      </c>
      <c r="AC163" s="16">
        <v>1955.1824066605</v>
      </c>
    </row>
    <row r="164" spans="1:29" x14ac:dyDescent="0.35">
      <c r="A164" s="2" t="s">
        <v>174</v>
      </c>
      <c r="B164" s="4" t="s">
        <v>969</v>
      </c>
      <c r="C164" s="4" t="s">
        <v>559</v>
      </c>
      <c r="D164" s="4" t="s">
        <v>560</v>
      </c>
      <c r="E164" s="4" t="s">
        <v>631</v>
      </c>
      <c r="F164" s="4" t="s">
        <v>631</v>
      </c>
      <c r="G164" s="14">
        <v>32.020000000000003</v>
      </c>
      <c r="H164" s="10">
        <v>12.302358</v>
      </c>
      <c r="I164" s="10" t="s">
        <v>534</v>
      </c>
      <c r="J164" s="10">
        <v>17.361722</v>
      </c>
      <c r="K164" s="15">
        <v>0</v>
      </c>
      <c r="L164" s="17">
        <v>31685.378543999999</v>
      </c>
      <c r="M164" s="4" t="s">
        <v>970</v>
      </c>
      <c r="N164" s="19">
        <v>-1.0063439999999999</v>
      </c>
      <c r="O164" s="19">
        <v>2.4251</v>
      </c>
      <c r="P164" s="19">
        <v>-0.95112699999999994</v>
      </c>
      <c r="Q164" s="19">
        <v>2.1625000000000001</v>
      </c>
      <c r="R164" s="19">
        <v>6.37</v>
      </c>
      <c r="S164" s="19">
        <v>2.0257999999999998</v>
      </c>
      <c r="T164" s="19">
        <v>6.37</v>
      </c>
      <c r="U164" s="19">
        <v>1.9221999999999999</v>
      </c>
      <c r="V164" s="19">
        <v>-0.69144600000000001</v>
      </c>
      <c r="W164" s="19">
        <v>3.1837</v>
      </c>
      <c r="X164" s="19">
        <v>-0.69144600000000001</v>
      </c>
      <c r="Y164" s="19">
        <v>3.1837</v>
      </c>
      <c r="Z164" s="4"/>
      <c r="AA164" s="4"/>
      <c r="AB164" s="4" t="e">
        <f ca="1">_xll.ciqfunctions.udf.CIQ("^SPX", "IQ_PRICEDATE", "8/15/2014")</f>
        <v>#NAME?</v>
      </c>
      <c r="AC164" s="16">
        <v>1955.0626293536</v>
      </c>
    </row>
    <row r="165" spans="1:29" x14ac:dyDescent="0.35">
      <c r="A165" s="2" t="s">
        <v>175</v>
      </c>
      <c r="B165" s="4" t="s">
        <v>971</v>
      </c>
      <c r="C165" s="4" t="s">
        <v>586</v>
      </c>
      <c r="D165" s="4" t="s">
        <v>586</v>
      </c>
      <c r="E165" s="4" t="s">
        <v>587</v>
      </c>
      <c r="F165" s="4" t="s">
        <v>598</v>
      </c>
      <c r="G165" s="14">
        <v>148.52000000000001</v>
      </c>
      <c r="H165" s="10">
        <v>16.581890000000001</v>
      </c>
      <c r="I165" s="10">
        <v>27.950265999999999</v>
      </c>
      <c r="J165" s="10" t="s">
        <v>534</v>
      </c>
      <c r="K165" s="15">
        <v>1.1042000000000001E-2</v>
      </c>
      <c r="L165" s="17">
        <v>42907.971879999997</v>
      </c>
      <c r="M165" s="4" t="s">
        <v>972</v>
      </c>
      <c r="N165" s="19">
        <v>5.3137239999999997</v>
      </c>
      <c r="O165" s="19">
        <v>5.7054</v>
      </c>
      <c r="P165" s="19">
        <v>5.13</v>
      </c>
      <c r="Q165" s="19">
        <v>5.1037999999999997</v>
      </c>
      <c r="R165" s="19">
        <v>4.1399999999999997</v>
      </c>
      <c r="S165" s="19">
        <v>4.7667999999999999</v>
      </c>
      <c r="T165" s="19">
        <v>4.1399999999999997</v>
      </c>
      <c r="U165" s="19">
        <v>4.7922000000000002</v>
      </c>
      <c r="V165" s="19">
        <v>3.93</v>
      </c>
      <c r="W165" s="19">
        <v>4.6219000000000001</v>
      </c>
      <c r="X165" s="19">
        <v>3.93</v>
      </c>
      <c r="Y165" s="19">
        <v>4.6219000000000001</v>
      </c>
      <c r="Z165" s="4"/>
      <c r="AA165" s="4"/>
      <c r="AB165" s="4" t="e">
        <f ca="1">_xll.ciqfunctions.udf.CIQ("^SPX", "IQ_PRICEDATE", "8/18/2014")</f>
        <v>#NAME?</v>
      </c>
      <c r="AC165" s="16">
        <v>1971.7400377105</v>
      </c>
    </row>
    <row r="166" spans="1:29" x14ac:dyDescent="0.35">
      <c r="A166" s="2" t="s">
        <v>176</v>
      </c>
      <c r="B166" s="4" t="s">
        <v>973</v>
      </c>
      <c r="C166" s="4" t="s">
        <v>619</v>
      </c>
      <c r="D166" s="4" t="s">
        <v>619</v>
      </c>
      <c r="E166" s="4" t="s">
        <v>620</v>
      </c>
      <c r="F166" s="4" t="s">
        <v>620</v>
      </c>
      <c r="G166" s="14">
        <v>69.58</v>
      </c>
      <c r="H166" s="10">
        <v>9.8519109999999994</v>
      </c>
      <c r="I166" s="10">
        <v>54.643993000000002</v>
      </c>
      <c r="J166" s="10">
        <v>1.924606</v>
      </c>
      <c r="K166" s="15">
        <v>3.4780000000000005E-2</v>
      </c>
      <c r="L166" s="17">
        <v>22669.943713000001</v>
      </c>
      <c r="M166" s="4" t="s">
        <v>974</v>
      </c>
      <c r="N166" s="19">
        <v>1.273333</v>
      </c>
      <c r="O166" s="19">
        <v>4.3735999999999997</v>
      </c>
      <c r="P166" s="19">
        <v>1.72</v>
      </c>
      <c r="Q166" s="19">
        <v>4.4199000000000002</v>
      </c>
      <c r="R166" s="19">
        <v>3.9393929999999999</v>
      </c>
      <c r="S166" s="19">
        <v>4.1204000000000001</v>
      </c>
      <c r="T166" s="19">
        <v>3.9393929999999999</v>
      </c>
      <c r="U166" s="19">
        <v>3.6566000000000001</v>
      </c>
      <c r="V166" s="19">
        <v>4.3373860000000004</v>
      </c>
      <c r="W166" s="19">
        <v>3.7683</v>
      </c>
      <c r="X166" s="19">
        <v>4.3373860000000004</v>
      </c>
      <c r="Y166" s="19">
        <v>3.7683</v>
      </c>
      <c r="Z166" s="4"/>
      <c r="AA166" s="4"/>
      <c r="AB166" s="4" t="e">
        <f ca="1">_xll.ciqfunctions.udf.CIQ("^SPX", "IQ_PRICEDATE", "8/19/2014")</f>
        <v>#NAME?</v>
      </c>
      <c r="AC166" s="16">
        <v>1981.6009829652</v>
      </c>
    </row>
    <row r="167" spans="1:29" x14ac:dyDescent="0.35">
      <c r="A167" s="2" t="s">
        <v>177</v>
      </c>
      <c r="B167" s="4" t="s">
        <v>975</v>
      </c>
      <c r="C167" s="4" t="s">
        <v>530</v>
      </c>
      <c r="D167" s="4" t="s">
        <v>531</v>
      </c>
      <c r="E167" s="4" t="s">
        <v>532</v>
      </c>
      <c r="F167" s="4" t="s">
        <v>533</v>
      </c>
      <c r="G167" s="14">
        <v>148.63</v>
      </c>
      <c r="H167" s="10">
        <v>28.791409999999999</v>
      </c>
      <c r="I167" s="10">
        <v>48.815831000000003</v>
      </c>
      <c r="J167" s="10">
        <v>19.684348</v>
      </c>
      <c r="K167" s="15">
        <v>0</v>
      </c>
      <c r="L167" s="17">
        <v>31121.037909999999</v>
      </c>
      <c r="M167" s="4" t="s">
        <v>976</v>
      </c>
      <c r="N167" s="19">
        <v>3.0447090000000001</v>
      </c>
      <c r="O167" s="19">
        <v>4.8441000000000001</v>
      </c>
      <c r="P167" s="19">
        <v>2.7</v>
      </c>
      <c r="Q167" s="19">
        <v>4.0354000000000001</v>
      </c>
      <c r="R167" s="19">
        <v>2.61</v>
      </c>
      <c r="S167" s="19">
        <v>3.2158000000000002</v>
      </c>
      <c r="T167" s="19">
        <v>2.61</v>
      </c>
      <c r="U167" s="19">
        <v>2.3344</v>
      </c>
      <c r="V167" s="19">
        <v>3.74</v>
      </c>
      <c r="W167" s="19">
        <v>1.9337</v>
      </c>
      <c r="X167" s="19">
        <v>3.74</v>
      </c>
      <c r="Y167" s="19">
        <v>1.9337</v>
      </c>
      <c r="Z167" s="4"/>
      <c r="AA167" s="4"/>
      <c r="AB167" s="4" t="e">
        <f ca="1">_xll.ciqfunctions.udf.CIQ("^SPX", "IQ_PRICEDATE", "8/20/2014")</f>
        <v>#NAME?</v>
      </c>
      <c r="AC167" s="16">
        <v>1986.5059612120999</v>
      </c>
    </row>
    <row r="168" spans="1:29" x14ac:dyDescent="0.35">
      <c r="A168" s="2" t="s">
        <v>178</v>
      </c>
      <c r="B168" s="4" t="s">
        <v>977</v>
      </c>
      <c r="C168" s="4" t="s">
        <v>549</v>
      </c>
      <c r="D168" s="4" t="s">
        <v>550</v>
      </c>
      <c r="E168" s="4" t="s">
        <v>551</v>
      </c>
      <c r="F168" s="4" t="s">
        <v>552</v>
      </c>
      <c r="G168" s="14">
        <v>108.79</v>
      </c>
      <c r="H168" s="10">
        <v>25.780193000000001</v>
      </c>
      <c r="I168" s="10">
        <v>48.946077000000002</v>
      </c>
      <c r="J168" s="10">
        <v>10.156397</v>
      </c>
      <c r="K168" s="15">
        <v>0</v>
      </c>
      <c r="L168" s="17">
        <v>33161.178505000003</v>
      </c>
      <c r="M168" s="4" t="s">
        <v>978</v>
      </c>
      <c r="N168" s="19">
        <v>2.2226499999999998</v>
      </c>
      <c r="O168" s="19">
        <v>4.9043000000000001</v>
      </c>
      <c r="P168" s="19">
        <v>3.2063999999999999</v>
      </c>
      <c r="Q168" s="19">
        <v>4.4755000000000003</v>
      </c>
      <c r="R168" s="19">
        <v>4.1187959999999997</v>
      </c>
      <c r="S168" s="19">
        <v>4.0602999999999998</v>
      </c>
      <c r="T168" s="19">
        <v>4.1187959999999997</v>
      </c>
      <c r="U168" s="19">
        <v>3.3176999999999999</v>
      </c>
      <c r="V168" s="19">
        <v>2.5926659999999999</v>
      </c>
      <c r="W168" s="19">
        <v>2.0335999999999999</v>
      </c>
      <c r="X168" s="19">
        <v>2.5926659999999999</v>
      </c>
      <c r="Y168" s="19">
        <v>2.0335999999999999</v>
      </c>
      <c r="Z168" s="4"/>
      <c r="AA168" s="4"/>
      <c r="AB168" s="4" t="e">
        <f ca="1">_xll.ciqfunctions.udf.CIQ("^SPX", "IQ_PRICEDATE", "8/21/2014")</f>
        <v>#NAME?</v>
      </c>
      <c r="AC168" s="16">
        <v>1992.3660382058999</v>
      </c>
    </row>
    <row r="169" spans="1:29" x14ac:dyDescent="0.35">
      <c r="A169" s="2" t="s">
        <v>179</v>
      </c>
      <c r="B169" s="4" t="s">
        <v>979</v>
      </c>
      <c r="C169" s="4" t="s">
        <v>530</v>
      </c>
      <c r="D169" s="4" t="s">
        <v>537</v>
      </c>
      <c r="E169" s="4" t="s">
        <v>613</v>
      </c>
      <c r="F169" s="4" t="s">
        <v>613</v>
      </c>
      <c r="G169" s="14">
        <v>113.59</v>
      </c>
      <c r="H169" s="10">
        <v>16.094757999999999</v>
      </c>
      <c r="I169" s="10" t="s">
        <v>534</v>
      </c>
      <c r="J169" s="10">
        <v>33.918964000000003</v>
      </c>
      <c r="K169" s="15">
        <v>1.9807999999999999E-2</v>
      </c>
      <c r="L169" s="17">
        <v>113306.331693</v>
      </c>
      <c r="M169" s="4" t="s">
        <v>980</v>
      </c>
      <c r="N169" s="19">
        <v>-0.137736</v>
      </c>
      <c r="O169" s="19">
        <v>5.5380000000000003</v>
      </c>
      <c r="P169" s="19">
        <v>-0.19400700000000001</v>
      </c>
      <c r="Q169" s="19">
        <v>4.5490000000000004</v>
      </c>
      <c r="R169" s="19">
        <v>2.58</v>
      </c>
      <c r="S169" s="19">
        <v>3.9485999999999999</v>
      </c>
      <c r="T169" s="19">
        <v>2.58</v>
      </c>
      <c r="U169" s="19">
        <v>3.448</v>
      </c>
      <c r="V169" s="19">
        <v>2.23</v>
      </c>
      <c r="W169" s="19">
        <v>3.0585</v>
      </c>
      <c r="X169" s="19">
        <v>2.23</v>
      </c>
      <c r="Y169" s="19">
        <v>3.0585</v>
      </c>
      <c r="Z169" s="4"/>
      <c r="AA169" s="4"/>
      <c r="AB169" s="4" t="e">
        <f ca="1">_xll.ciqfunctions.udf.CIQ("^SPX", "IQ_PRICEDATE", "8/22/2014")</f>
        <v>#NAME?</v>
      </c>
      <c r="AC169" s="16">
        <v>1988.4024349268</v>
      </c>
    </row>
    <row r="170" spans="1:29" x14ac:dyDescent="0.35">
      <c r="A170" s="2" t="s">
        <v>180</v>
      </c>
      <c r="B170" s="4" t="s">
        <v>981</v>
      </c>
      <c r="C170" s="4" t="s">
        <v>525</v>
      </c>
      <c r="D170" s="4" t="s">
        <v>526</v>
      </c>
      <c r="E170" s="4" t="s">
        <v>658</v>
      </c>
      <c r="F170" s="4" t="s">
        <v>659</v>
      </c>
      <c r="G170" s="14">
        <v>74</v>
      </c>
      <c r="H170" s="10">
        <v>13.781332000000001</v>
      </c>
      <c r="I170" s="10">
        <v>22.696148999999998</v>
      </c>
      <c r="J170" s="10">
        <v>91.002887999999999</v>
      </c>
      <c r="K170" s="15">
        <v>2.6216E-2</v>
      </c>
      <c r="L170" s="17">
        <v>46506.450773999997</v>
      </c>
      <c r="M170" s="4" t="s">
        <v>982</v>
      </c>
      <c r="N170" s="19">
        <v>3.2604649999999999</v>
      </c>
      <c r="O170" s="19">
        <v>3.5472999999999999</v>
      </c>
      <c r="P170" s="19">
        <v>2.5902910000000001</v>
      </c>
      <c r="Q170" s="19">
        <v>2.95017</v>
      </c>
      <c r="R170" s="19">
        <v>2.5518689999999999</v>
      </c>
      <c r="S170" s="19">
        <v>2.40157</v>
      </c>
      <c r="T170" s="19">
        <v>2.5518689999999999</v>
      </c>
      <c r="U170" s="19">
        <v>3.0723799999999999</v>
      </c>
      <c r="V170" s="19">
        <v>3.131192</v>
      </c>
      <c r="W170" s="19">
        <v>3.9719000000000002</v>
      </c>
      <c r="X170" s="19">
        <v>3.131192</v>
      </c>
      <c r="Y170" s="19">
        <v>3.9719000000000002</v>
      </c>
      <c r="Z170" s="4"/>
      <c r="AA170" s="4"/>
      <c r="AB170" s="4" t="e">
        <f ca="1">_xll.ciqfunctions.udf.CIQ("^SPX", "IQ_PRICEDATE", "8/25/2014")</f>
        <v>#NAME?</v>
      </c>
      <c r="AC170" s="16">
        <v>1997.9218098548999</v>
      </c>
    </row>
    <row r="171" spans="1:29" x14ac:dyDescent="0.35">
      <c r="A171" s="2" t="s">
        <v>181</v>
      </c>
      <c r="B171" s="4" t="s">
        <v>983</v>
      </c>
      <c r="C171" s="4" t="s">
        <v>619</v>
      </c>
      <c r="D171" s="4" t="s">
        <v>619</v>
      </c>
      <c r="E171" s="4" t="s">
        <v>620</v>
      </c>
      <c r="F171" s="4" t="s">
        <v>620</v>
      </c>
      <c r="G171" s="14">
        <v>82.63</v>
      </c>
      <c r="H171" s="10">
        <v>9.4988519999999994</v>
      </c>
      <c r="I171" s="10">
        <v>50.475062999999999</v>
      </c>
      <c r="J171" s="10">
        <v>1.954523</v>
      </c>
      <c r="K171" s="15">
        <v>4.3083000000000003E-2</v>
      </c>
      <c r="L171" s="17">
        <v>14944.051294000001</v>
      </c>
      <c r="M171" s="4" t="s">
        <v>984</v>
      </c>
      <c r="N171" s="19">
        <v>1.637046</v>
      </c>
      <c r="O171" s="19">
        <v>6.2205000000000004</v>
      </c>
      <c r="P171" s="19">
        <v>2.2799990000000001</v>
      </c>
      <c r="Q171" s="19">
        <v>5.3472</v>
      </c>
      <c r="R171" s="19">
        <v>-3.2625190000000002</v>
      </c>
      <c r="S171" s="19">
        <v>4.5500999999999996</v>
      </c>
      <c r="T171" s="19">
        <v>-3.2625190000000002</v>
      </c>
      <c r="U171" s="19">
        <v>5.7759</v>
      </c>
      <c r="V171" s="19">
        <v>5.22</v>
      </c>
      <c r="W171" s="19">
        <v>5.6532999999999998</v>
      </c>
      <c r="X171" s="19">
        <v>5.22</v>
      </c>
      <c r="Y171" s="19">
        <v>5.6532999999999998</v>
      </c>
      <c r="Z171" s="4"/>
      <c r="AA171" s="4"/>
      <c r="AB171" s="4" t="e">
        <f ca="1">_xll.ciqfunctions.udf.CIQ("^SPX", "IQ_PRICEDATE", "8/26/2014")</f>
        <v>#NAME?</v>
      </c>
      <c r="AC171" s="16">
        <v>2000.0200490082</v>
      </c>
    </row>
    <row r="172" spans="1:29" x14ac:dyDescent="0.35">
      <c r="A172" s="2" t="s">
        <v>182</v>
      </c>
      <c r="B172" s="4" t="s">
        <v>985</v>
      </c>
      <c r="C172" s="4" t="s">
        <v>669</v>
      </c>
      <c r="D172" s="4" t="s">
        <v>669</v>
      </c>
      <c r="E172" s="4" t="s">
        <v>670</v>
      </c>
      <c r="F172" s="4" t="s">
        <v>671</v>
      </c>
      <c r="G172" s="14">
        <v>120.14</v>
      </c>
      <c r="H172" s="10">
        <v>11.950936</v>
      </c>
      <c r="I172" s="10">
        <v>18.020153000000001</v>
      </c>
      <c r="J172" s="10">
        <v>3.987047</v>
      </c>
      <c r="K172" s="15">
        <v>7.3240000000000006E-3</v>
      </c>
      <c r="L172" s="17">
        <v>69585.182190000007</v>
      </c>
      <c r="M172" s="4" t="s">
        <v>986</v>
      </c>
      <c r="N172" s="19">
        <v>6.6669799999999997</v>
      </c>
      <c r="O172" s="19">
        <v>6.6513</v>
      </c>
      <c r="P172" s="19">
        <v>4.46</v>
      </c>
      <c r="Q172" s="19">
        <v>1.89</v>
      </c>
      <c r="R172" s="19">
        <v>-1.981781</v>
      </c>
      <c r="S172" s="19">
        <v>7.17E-2</v>
      </c>
      <c r="T172" s="19">
        <v>-1.981781</v>
      </c>
      <c r="U172" s="19">
        <v>-0.29499999999999998</v>
      </c>
      <c r="V172" s="19">
        <v>5.32</v>
      </c>
      <c r="W172" s="19">
        <v>3.0949</v>
      </c>
      <c r="X172" s="19">
        <v>5.32</v>
      </c>
      <c r="Y172" s="19">
        <v>3.0949</v>
      </c>
      <c r="Z172" s="4"/>
      <c r="AA172" s="4"/>
      <c r="AB172" s="4" t="e">
        <f ca="1">_xll.ciqfunctions.udf.CIQ("^SPX", "IQ_PRICEDATE", "8/27/2014")</f>
        <v>#NAME?</v>
      </c>
      <c r="AC172" s="16">
        <v>2000.1177053447</v>
      </c>
    </row>
    <row r="173" spans="1:29" x14ac:dyDescent="0.35">
      <c r="A173" s="2" t="s">
        <v>183</v>
      </c>
      <c r="B173" s="4" t="s">
        <v>987</v>
      </c>
      <c r="C173" s="4" t="s">
        <v>669</v>
      </c>
      <c r="D173" s="4" t="s">
        <v>669</v>
      </c>
      <c r="E173" s="4" t="s">
        <v>670</v>
      </c>
      <c r="F173" s="4" t="s">
        <v>671</v>
      </c>
      <c r="G173" s="14">
        <v>47.36</v>
      </c>
      <c r="H173" s="10">
        <v>8.3941149999999993</v>
      </c>
      <c r="I173" s="10" t="s">
        <v>534</v>
      </c>
      <c r="J173" s="10">
        <v>1.393189</v>
      </c>
      <c r="K173" s="15">
        <v>2.5330000000000001E-3</v>
      </c>
      <c r="L173" s="17">
        <v>12518.71616</v>
      </c>
      <c r="M173" s="4" t="s">
        <v>988</v>
      </c>
      <c r="N173" s="19">
        <v>-1.1355040000000001</v>
      </c>
      <c r="O173" s="19">
        <v>2.0722</v>
      </c>
      <c r="P173" s="19">
        <v>8.0399999999999991</v>
      </c>
      <c r="Q173" s="19">
        <v>1.4916</v>
      </c>
      <c r="R173" s="19">
        <v>-2.7128299999999999</v>
      </c>
      <c r="S173" s="19">
        <v>0.21540000000000001</v>
      </c>
      <c r="T173" s="19">
        <v>-2.7128299999999999</v>
      </c>
      <c r="U173" s="19">
        <v>-0.4002</v>
      </c>
      <c r="V173" s="19">
        <v>2.5299999999999998</v>
      </c>
      <c r="W173" s="19">
        <v>2.6046</v>
      </c>
      <c r="X173" s="19">
        <v>2.5299999999999998</v>
      </c>
      <c r="Y173" s="19">
        <v>2.6046</v>
      </c>
      <c r="Z173" s="4"/>
      <c r="AA173" s="4"/>
      <c r="AB173" s="4" t="e">
        <f ca="1">_xll.ciqfunctions.udf.CIQ("^SPX", "IQ_PRICEDATE", "8/28/2014")</f>
        <v>#NAME?</v>
      </c>
      <c r="AC173" s="16">
        <v>1996.740450988</v>
      </c>
    </row>
    <row r="174" spans="1:29" x14ac:dyDescent="0.35">
      <c r="A174" s="2" t="s">
        <v>184</v>
      </c>
      <c r="B174" s="4" t="s">
        <v>989</v>
      </c>
      <c r="C174" s="4" t="s">
        <v>525</v>
      </c>
      <c r="D174" s="4" t="s">
        <v>855</v>
      </c>
      <c r="E174" s="4" t="s">
        <v>990</v>
      </c>
      <c r="F174" s="4" t="s">
        <v>991</v>
      </c>
      <c r="G174" s="14">
        <v>124.27</v>
      </c>
      <c r="H174" s="10">
        <v>17.628937000000001</v>
      </c>
      <c r="I174" s="10">
        <v>29.884326999999999</v>
      </c>
      <c r="J174" s="10" t="s">
        <v>534</v>
      </c>
      <c r="K174" s="15">
        <v>1.2553000000000002E-2</v>
      </c>
      <c r="L174" s="17">
        <v>14963.620117</v>
      </c>
      <c r="M174" s="4" t="s">
        <v>992</v>
      </c>
      <c r="N174" s="19">
        <v>4.1583670000000001</v>
      </c>
      <c r="O174" s="19">
        <v>5.9768999999999997</v>
      </c>
      <c r="P174" s="19">
        <v>4.83</v>
      </c>
      <c r="Q174" s="19">
        <v>5.7621000000000002</v>
      </c>
      <c r="R174" s="19">
        <v>4.04</v>
      </c>
      <c r="S174" s="19">
        <v>5.8643999999999998</v>
      </c>
      <c r="T174" s="19">
        <v>4.04</v>
      </c>
      <c r="U174" s="19">
        <v>4.8018999999999998</v>
      </c>
      <c r="V174" s="19">
        <v>2.97</v>
      </c>
      <c r="W174" s="19">
        <v>4.1630000000000003</v>
      </c>
      <c r="X174" s="19">
        <v>2.97</v>
      </c>
      <c r="Y174" s="19">
        <v>4.1630000000000003</v>
      </c>
      <c r="Z174" s="4"/>
      <c r="AA174" s="4"/>
      <c r="AB174" s="4" t="e">
        <f ca="1">_xll.ciqfunctions.udf.CIQ("^SPX", "IQ_PRICEDATE", "8/29/2014")</f>
        <v>#NAME?</v>
      </c>
      <c r="AC174" s="16">
        <v>2003.3676954513001</v>
      </c>
    </row>
    <row r="175" spans="1:29" x14ac:dyDescent="0.35">
      <c r="A175" s="2" t="s">
        <v>185</v>
      </c>
      <c r="B175" s="4" t="s">
        <v>993</v>
      </c>
      <c r="C175" s="4" t="s">
        <v>601</v>
      </c>
      <c r="D175" s="4" t="s">
        <v>601</v>
      </c>
      <c r="E175" s="4" t="s">
        <v>602</v>
      </c>
      <c r="F175" s="4" t="s">
        <v>647</v>
      </c>
      <c r="G175" s="14">
        <v>410.44</v>
      </c>
      <c r="H175" s="10">
        <v>20.167192</v>
      </c>
      <c r="I175" s="10">
        <v>118.416842</v>
      </c>
      <c r="J175" s="10" t="s">
        <v>534</v>
      </c>
      <c r="K175" s="15">
        <v>2.222E-2</v>
      </c>
      <c r="L175" s="17">
        <v>32633.279116999998</v>
      </c>
      <c r="M175" s="4" t="s">
        <v>994</v>
      </c>
      <c r="N175" s="19">
        <v>3.4660609999999998</v>
      </c>
      <c r="O175" s="19">
        <v>5.2591000000000001</v>
      </c>
      <c r="P175" s="19">
        <v>3</v>
      </c>
      <c r="Q175" s="19">
        <v>5.9145000000000003</v>
      </c>
      <c r="R175" s="19">
        <v>1.62</v>
      </c>
      <c r="S175" s="19">
        <v>4.3853999999999997</v>
      </c>
      <c r="T175" s="19">
        <v>1.62</v>
      </c>
      <c r="U175" s="19">
        <v>5.8022</v>
      </c>
      <c r="V175" s="19">
        <v>-4.9570650000000001</v>
      </c>
      <c r="W175" s="19">
        <v>5.0716999999999999</v>
      </c>
      <c r="X175" s="19">
        <v>-4.9570650000000001</v>
      </c>
      <c r="Y175" s="19">
        <v>5.0716999999999999</v>
      </c>
      <c r="Z175" s="4"/>
      <c r="AA175" s="4"/>
      <c r="AB175" s="4" t="e">
        <f ca="1">_xll.ciqfunctions.udf.CIQ("^SPX", "IQ_PRICEDATE", "9/2/2014")</f>
        <v>#NAME?</v>
      </c>
      <c r="AC175" s="16">
        <v>2002.2844031136001</v>
      </c>
    </row>
    <row r="176" spans="1:29" x14ac:dyDescent="0.35">
      <c r="A176" s="2" t="s">
        <v>186</v>
      </c>
      <c r="B176" s="4" t="s">
        <v>995</v>
      </c>
      <c r="C176" s="4" t="s">
        <v>601</v>
      </c>
      <c r="D176" s="4" t="s">
        <v>601</v>
      </c>
      <c r="E176" s="4" t="s">
        <v>602</v>
      </c>
      <c r="F176" s="4" t="s">
        <v>685</v>
      </c>
      <c r="G176" s="14">
        <v>64.069999999999993</v>
      </c>
      <c r="H176" s="10">
        <v>20.299168999999999</v>
      </c>
      <c r="I176" s="10">
        <v>40.351301999999997</v>
      </c>
      <c r="J176" s="10">
        <v>2.3589289999999998</v>
      </c>
      <c r="K176" s="15">
        <v>3.3713E-2</v>
      </c>
      <c r="L176" s="17">
        <v>23595.826138</v>
      </c>
      <c r="M176" s="4" t="s">
        <v>996</v>
      </c>
      <c r="N176" s="19">
        <v>1.5878049999999999</v>
      </c>
      <c r="O176" s="19">
        <v>1.5105999999999999</v>
      </c>
      <c r="P176" s="19">
        <v>1.6279140000000001</v>
      </c>
      <c r="Q176" s="19">
        <v>1.3</v>
      </c>
      <c r="R176" s="19">
        <v>11.675807000000001</v>
      </c>
      <c r="S176" s="19">
        <v>1.2935000000000001</v>
      </c>
      <c r="T176" s="19">
        <v>11.675807000000001</v>
      </c>
      <c r="U176" s="19">
        <v>1.4645999999999999</v>
      </c>
      <c r="V176" s="19">
        <v>1.721873</v>
      </c>
      <c r="W176" s="19">
        <v>1.1733</v>
      </c>
      <c r="X176" s="19">
        <v>1.721873</v>
      </c>
      <c r="Y176" s="19">
        <v>1.1733</v>
      </c>
      <c r="Z176" s="4"/>
      <c r="AA176" s="4"/>
      <c r="AB176" s="4" t="e">
        <f ca="1">_xll.ciqfunctions.udf.CIQ("^SPX", "IQ_PRICEDATE", "9/3/2014")</f>
        <v>#NAME?</v>
      </c>
      <c r="AC176" s="16">
        <v>2000.7236315149</v>
      </c>
    </row>
    <row r="177" spans="1:29" x14ac:dyDescent="0.35">
      <c r="A177" s="2" t="s">
        <v>187</v>
      </c>
      <c r="B177" s="4" t="s">
        <v>997</v>
      </c>
      <c r="C177" s="4" t="s">
        <v>601</v>
      </c>
      <c r="D177" s="4" t="s">
        <v>601</v>
      </c>
      <c r="E177" s="4" t="s">
        <v>602</v>
      </c>
      <c r="F177" s="4" t="s">
        <v>685</v>
      </c>
      <c r="G177" s="14">
        <v>242.8</v>
      </c>
      <c r="H177" s="10">
        <v>22.115749000000001</v>
      </c>
      <c r="I177" s="10">
        <v>42.851011</v>
      </c>
      <c r="J177" s="10">
        <v>2.5238239999999998</v>
      </c>
      <c r="K177" s="15">
        <v>3.0641999999999999E-2</v>
      </c>
      <c r="L177" s="17">
        <v>16036.964523000001</v>
      </c>
      <c r="M177" s="4" t="s">
        <v>998</v>
      </c>
      <c r="N177" s="19">
        <v>5.6661440000000001</v>
      </c>
      <c r="O177" s="19">
        <v>5.0091000000000001</v>
      </c>
      <c r="P177" s="19">
        <v>6.5699990000000001</v>
      </c>
      <c r="Q177" s="19">
        <v>4.6839000000000004</v>
      </c>
      <c r="R177" s="19">
        <v>6.2699990000000003</v>
      </c>
      <c r="S177" s="19">
        <v>4.2704000000000004</v>
      </c>
      <c r="T177" s="19">
        <v>6.2699990000000003</v>
      </c>
      <c r="U177" s="19">
        <v>2.9306999999999999</v>
      </c>
      <c r="V177" s="19">
        <v>2.06</v>
      </c>
      <c r="W177" s="19">
        <v>2.1476000000000002</v>
      </c>
      <c r="X177" s="19">
        <v>2.06</v>
      </c>
      <c r="Y177" s="19">
        <v>2.1476000000000002</v>
      </c>
      <c r="Z177" s="4"/>
      <c r="AA177" s="4"/>
      <c r="AB177" s="4" t="e">
        <f ca="1">_xll.ciqfunctions.udf.CIQ("^SPX", "IQ_PRICEDATE", "9/4/2014")</f>
        <v>#NAME?</v>
      </c>
      <c r="AC177" s="16">
        <v>1997.6509320497</v>
      </c>
    </row>
    <row r="178" spans="1:29" x14ac:dyDescent="0.35">
      <c r="A178" s="2" t="s">
        <v>188</v>
      </c>
      <c r="B178" s="4" t="s">
        <v>999</v>
      </c>
      <c r="C178" s="4" t="s">
        <v>573</v>
      </c>
      <c r="D178" s="4" t="s">
        <v>579</v>
      </c>
      <c r="E178" s="4" t="s">
        <v>579</v>
      </c>
      <c r="F178" s="4" t="s">
        <v>1000</v>
      </c>
      <c r="G178" s="14">
        <v>216.01</v>
      </c>
      <c r="H178" s="10">
        <v>0</v>
      </c>
      <c r="I178" s="10">
        <v>42.051177000000003</v>
      </c>
      <c r="J178" s="10">
        <v>1.0709660000000001</v>
      </c>
      <c r="K178" s="15">
        <v>2.4072E-2</v>
      </c>
      <c r="L178" s="17">
        <v>8825.1840260000008</v>
      </c>
      <c r="M178" s="4" t="s">
        <v>1001</v>
      </c>
      <c r="N178" s="19">
        <v>5.1368359999999997</v>
      </c>
      <c r="O178" s="19">
        <v>23.686399999999999</v>
      </c>
      <c r="P178" s="19">
        <v>11.36</v>
      </c>
      <c r="Q178" s="19">
        <v>19.404699999999998</v>
      </c>
      <c r="R178" s="19">
        <v>23.68</v>
      </c>
      <c r="S178" s="19">
        <v>16.449300000000001</v>
      </c>
      <c r="T178" s="19">
        <v>23.68</v>
      </c>
      <c r="U178" s="19">
        <v>18.015499999999999</v>
      </c>
      <c r="V178" s="19">
        <v>25.91</v>
      </c>
      <c r="W178" s="19">
        <v>17.809699999999999</v>
      </c>
      <c r="X178" s="19">
        <v>25.91</v>
      </c>
      <c r="Y178" s="19">
        <v>17.809699999999999</v>
      </c>
      <c r="Z178" s="4"/>
      <c r="AA178" s="4"/>
      <c r="AB178" s="4" t="e">
        <f ca="1">_xll.ciqfunctions.udf.CIQ("^SPX", "IQ_PRICEDATE", "9/5/2014")</f>
        <v>#NAME?</v>
      </c>
      <c r="AC178" s="16">
        <v>2007.7119082391</v>
      </c>
    </row>
    <row r="179" spans="1:29" x14ac:dyDescent="0.35">
      <c r="A179" s="2" t="s">
        <v>189</v>
      </c>
      <c r="B179" s="4" t="s">
        <v>1002</v>
      </c>
      <c r="C179" s="4" t="s">
        <v>619</v>
      </c>
      <c r="D179" s="4" t="s">
        <v>619</v>
      </c>
      <c r="E179" s="4" t="s">
        <v>620</v>
      </c>
      <c r="F179" s="4" t="s">
        <v>620</v>
      </c>
      <c r="G179" s="14">
        <v>56.01</v>
      </c>
      <c r="H179" s="10">
        <v>20.242328000000001</v>
      </c>
      <c r="I179" s="10">
        <v>24.079768000000001</v>
      </c>
      <c r="J179" s="10">
        <v>1.76854</v>
      </c>
      <c r="K179" s="15">
        <v>2.8565999999999998E-2</v>
      </c>
      <c r="L179" s="17">
        <v>15217.236422</v>
      </c>
      <c r="M179" s="4" t="s">
        <v>1003</v>
      </c>
      <c r="N179" s="19">
        <v>2.3260190000000001</v>
      </c>
      <c r="O179" s="19">
        <v>2.7218</v>
      </c>
      <c r="P179" s="19">
        <v>2.2696000000000001</v>
      </c>
      <c r="Q179" s="19">
        <v>0</v>
      </c>
      <c r="R179" s="19">
        <v>2.4300000000000002</v>
      </c>
      <c r="S179" s="19">
        <v>0</v>
      </c>
      <c r="T179" s="19">
        <v>2.4300000000000002</v>
      </c>
      <c r="U179" s="19">
        <v>0</v>
      </c>
      <c r="V179" s="19">
        <v>2.35</v>
      </c>
      <c r="W179" s="19">
        <v>0</v>
      </c>
      <c r="X179" s="19">
        <v>2.35</v>
      </c>
      <c r="Y179" s="19">
        <v>0</v>
      </c>
      <c r="Z179" s="4"/>
      <c r="AA179" s="4"/>
      <c r="AB179" s="4" t="e">
        <f ca="1">_xll.ciqfunctions.udf.CIQ("^SPX", "IQ_PRICEDATE", "9/8/2014")</f>
        <v>#NAME?</v>
      </c>
      <c r="AC179" s="16">
        <v>2001.5407326029001</v>
      </c>
    </row>
    <row r="180" spans="1:29" x14ac:dyDescent="0.35">
      <c r="A180" s="2" t="s">
        <v>190</v>
      </c>
      <c r="B180" s="4" t="s">
        <v>1004</v>
      </c>
      <c r="C180" s="4" t="s">
        <v>619</v>
      </c>
      <c r="D180" s="4" t="s">
        <v>619</v>
      </c>
      <c r="E180" s="4" t="s">
        <v>620</v>
      </c>
      <c r="F180" s="4" t="s">
        <v>620</v>
      </c>
      <c r="G180" s="14">
        <v>62.49</v>
      </c>
      <c r="H180" s="10">
        <v>12.843249999999999</v>
      </c>
      <c r="I180" s="10">
        <v>19.650980000000001</v>
      </c>
      <c r="J180" s="10">
        <v>2.8925380000000001</v>
      </c>
      <c r="K180" s="15">
        <v>3.2325E-2</v>
      </c>
      <c r="L180" s="17">
        <v>19802.194142</v>
      </c>
      <c r="M180" s="4" t="s">
        <v>1005</v>
      </c>
      <c r="N180" s="19">
        <v>3.1799940000000002</v>
      </c>
      <c r="O180" s="19">
        <v>3.3603000000000001</v>
      </c>
      <c r="P180" s="19">
        <v>3.11</v>
      </c>
      <c r="Q180" s="19">
        <v>3.3008000000000002</v>
      </c>
      <c r="R180" s="19">
        <v>2.9599989999999998</v>
      </c>
      <c r="S180" s="19">
        <v>3.1556000000000002</v>
      </c>
      <c r="T180" s="19">
        <v>2.9599989999999998</v>
      </c>
      <c r="U180" s="19">
        <v>2.9214000000000002</v>
      </c>
      <c r="V180" s="19">
        <v>2.5799989999999999</v>
      </c>
      <c r="W180" s="19">
        <v>2.8431000000000002</v>
      </c>
      <c r="X180" s="19">
        <v>2.5799989999999999</v>
      </c>
      <c r="Y180" s="19">
        <v>2.8431000000000002</v>
      </c>
      <c r="Z180" s="4"/>
      <c r="AA180" s="4"/>
      <c r="AB180" s="4" t="e">
        <f ca="1">_xll.ciqfunctions.udf.CIQ("^SPX", "IQ_PRICEDATE", "9/9/2014")</f>
        <v>#NAME?</v>
      </c>
      <c r="AC180" s="16">
        <v>1988.4448927521</v>
      </c>
    </row>
    <row r="181" spans="1:29" x14ac:dyDescent="0.35">
      <c r="A181" s="2" t="s">
        <v>191</v>
      </c>
      <c r="B181" s="4" t="s">
        <v>1006</v>
      </c>
      <c r="C181" s="4" t="s">
        <v>619</v>
      </c>
      <c r="D181" s="4" t="s">
        <v>619</v>
      </c>
      <c r="E181" s="4" t="s">
        <v>620</v>
      </c>
      <c r="F181" s="4" t="s">
        <v>620</v>
      </c>
      <c r="G181" s="14">
        <v>42.99</v>
      </c>
      <c r="H181" s="10">
        <v>7.7756040000000004</v>
      </c>
      <c r="I181" s="10">
        <v>10.939911</v>
      </c>
      <c r="J181" s="10">
        <v>1.741938</v>
      </c>
      <c r="K181" s="15">
        <v>3.2099999999999997E-2</v>
      </c>
      <c r="L181" s="17">
        <v>41524.329076000002</v>
      </c>
      <c r="M181" s="4" t="s">
        <v>1007</v>
      </c>
      <c r="N181" s="19">
        <v>3.9296479999999998</v>
      </c>
      <c r="O181" s="19">
        <v>3.0278</v>
      </c>
      <c r="P181" s="19">
        <v>3.97</v>
      </c>
      <c r="Q181" s="19">
        <v>2.9451000000000001</v>
      </c>
      <c r="R181" s="19">
        <v>1.22</v>
      </c>
      <c r="S181" s="19">
        <v>2.5779000000000001</v>
      </c>
      <c r="T181" s="19">
        <v>1.22</v>
      </c>
      <c r="U181" s="19">
        <v>2.3527</v>
      </c>
      <c r="V181" s="19">
        <v>1.88</v>
      </c>
      <c r="W181" s="19">
        <v>2.4390000000000001</v>
      </c>
      <c r="X181" s="19">
        <v>1.88</v>
      </c>
      <c r="Y181" s="19">
        <v>2.4390000000000001</v>
      </c>
      <c r="Z181" s="4"/>
      <c r="AA181" s="4"/>
      <c r="AB181" s="4" t="e">
        <f ca="1">_xll.ciqfunctions.udf.CIQ("^SPX", "IQ_PRICEDATE", "9/10/2014")</f>
        <v>#NAME?</v>
      </c>
      <c r="AC181" s="16">
        <v>1995.6923062226001</v>
      </c>
    </row>
    <row r="182" spans="1:29" x14ac:dyDescent="0.35">
      <c r="A182" s="2" t="s">
        <v>192</v>
      </c>
      <c r="B182" s="4" t="s">
        <v>1008</v>
      </c>
      <c r="C182" s="4" t="s">
        <v>559</v>
      </c>
      <c r="D182" s="4" t="s">
        <v>560</v>
      </c>
      <c r="E182" s="4" t="s">
        <v>631</v>
      </c>
      <c r="F182" s="4" t="s">
        <v>631</v>
      </c>
      <c r="G182" s="14">
        <v>120.55</v>
      </c>
      <c r="H182" s="10">
        <v>16.656531999999999</v>
      </c>
      <c r="I182" s="10">
        <v>69.460890000000006</v>
      </c>
      <c r="J182" s="10" t="s">
        <v>534</v>
      </c>
      <c r="K182" s="15">
        <v>1.0618000000000001E-2</v>
      </c>
      <c r="L182" s="17">
        <v>18016.330587</v>
      </c>
      <c r="M182" s="4" t="s">
        <v>1009</v>
      </c>
      <c r="N182" s="19">
        <v>1.735509</v>
      </c>
      <c r="O182" s="19">
        <v>5.5917000000000003</v>
      </c>
      <c r="P182" s="19">
        <v>2.42</v>
      </c>
      <c r="Q182" s="19">
        <v>5.1760999999999999</v>
      </c>
      <c r="R182" s="19">
        <v>1.82</v>
      </c>
      <c r="S182" s="19">
        <v>6.0576999999999996</v>
      </c>
      <c r="T182" s="19">
        <v>1.82</v>
      </c>
      <c r="U182" s="19">
        <v>5.4242999999999997</v>
      </c>
      <c r="V182" s="19">
        <v>2.99</v>
      </c>
      <c r="W182" s="19">
        <v>4.4554</v>
      </c>
      <c r="X182" s="19">
        <v>2.99</v>
      </c>
      <c r="Y182" s="19">
        <v>4.4554</v>
      </c>
      <c r="Z182" s="4"/>
      <c r="AA182" s="4"/>
      <c r="AB182" s="4" t="e">
        <f ca="1">_xll.ciqfunctions.udf.CIQ("^SPX", "IQ_PRICEDATE", "9/11/2014")</f>
        <v>#NAME?</v>
      </c>
      <c r="AC182" s="16">
        <v>1997.4459678967</v>
      </c>
    </row>
    <row r="183" spans="1:29" x14ac:dyDescent="0.35">
      <c r="A183" s="2" t="s">
        <v>193</v>
      </c>
      <c r="B183" s="4" t="s">
        <v>1010</v>
      </c>
      <c r="C183" s="4" t="s">
        <v>525</v>
      </c>
      <c r="D183" s="4" t="s">
        <v>594</v>
      </c>
      <c r="E183" s="4" t="s">
        <v>779</v>
      </c>
      <c r="F183" s="4" t="s">
        <v>779</v>
      </c>
      <c r="G183" s="14">
        <v>68.8</v>
      </c>
      <c r="H183" s="10">
        <v>13.531746</v>
      </c>
      <c r="I183" s="10">
        <v>22.041786999999999</v>
      </c>
      <c r="J183" s="10">
        <v>6.3460190000000001</v>
      </c>
      <c r="K183" s="15">
        <v>1.3081000000000001E-2</v>
      </c>
      <c r="L183" s="17">
        <v>11994.282469</v>
      </c>
      <c r="M183" s="4" t="s">
        <v>1011</v>
      </c>
      <c r="N183" s="19">
        <v>3.1213440000000001</v>
      </c>
      <c r="O183" s="19">
        <v>3.1850999999999998</v>
      </c>
      <c r="P183" s="19">
        <v>2.69</v>
      </c>
      <c r="Q183" s="19">
        <v>2.5196000000000001</v>
      </c>
      <c r="R183" s="19">
        <v>2.36</v>
      </c>
      <c r="S183" s="19">
        <v>2.4504999999999999</v>
      </c>
      <c r="T183" s="19">
        <v>2.36</v>
      </c>
      <c r="U183" s="19">
        <v>2.4470000000000001</v>
      </c>
      <c r="V183" s="19">
        <v>1.92</v>
      </c>
      <c r="W183" s="19">
        <v>2.0312999999999999</v>
      </c>
      <c r="X183" s="19">
        <v>1.92</v>
      </c>
      <c r="Y183" s="19">
        <v>2.0312999999999999</v>
      </c>
      <c r="Z183" s="4"/>
      <c r="AA183" s="4"/>
      <c r="AB183" s="4" t="e">
        <f ca="1">_xll.ciqfunctions.udf.CIQ("^SPX", "IQ_PRICEDATE", "9/12/2014")</f>
        <v>#NAME?</v>
      </c>
      <c r="AC183" s="16">
        <v>1985.5362909214</v>
      </c>
    </row>
    <row r="184" spans="1:29" x14ac:dyDescent="0.35">
      <c r="A184" s="2" t="s">
        <v>194</v>
      </c>
      <c r="B184" s="4" t="s">
        <v>1012</v>
      </c>
      <c r="C184" s="4" t="s">
        <v>530</v>
      </c>
      <c r="D184" s="4" t="s">
        <v>531</v>
      </c>
      <c r="E184" s="4" t="s">
        <v>569</v>
      </c>
      <c r="F184" s="4" t="s">
        <v>909</v>
      </c>
      <c r="G184" s="14">
        <v>95.77</v>
      </c>
      <c r="H184" s="10">
        <v>9.1142730000000007</v>
      </c>
      <c r="I184" s="10">
        <v>11.664173</v>
      </c>
      <c r="J184" s="10" t="s">
        <v>534</v>
      </c>
      <c r="K184" s="15">
        <v>0</v>
      </c>
      <c r="L184" s="17">
        <v>53834.2958</v>
      </c>
      <c r="M184" s="4" t="s">
        <v>1013</v>
      </c>
      <c r="N184" s="19">
        <v>8.2106119999999994</v>
      </c>
      <c r="O184" s="19">
        <v>9.2988</v>
      </c>
      <c r="P184" s="19">
        <v>7.74</v>
      </c>
      <c r="Q184" s="19">
        <v>7.5823</v>
      </c>
      <c r="R184" s="19">
        <v>5.39</v>
      </c>
      <c r="S184" s="19">
        <v>6.8129</v>
      </c>
      <c r="T184" s="19">
        <v>5.39</v>
      </c>
      <c r="U184" s="19">
        <v>5.9778000000000002</v>
      </c>
      <c r="V184" s="19">
        <v>2.64</v>
      </c>
      <c r="W184" s="19">
        <v>5.3201999999999998</v>
      </c>
      <c r="X184" s="19">
        <v>2.64</v>
      </c>
      <c r="Y184" s="19">
        <v>5.3201999999999998</v>
      </c>
      <c r="Z184" s="4"/>
      <c r="AA184" s="4"/>
      <c r="AB184" s="4" t="e">
        <f ca="1">_xll.ciqfunctions.udf.CIQ("^SPX", "IQ_PRICEDATE", "9/15/2014")</f>
        <v>#NAME?</v>
      </c>
      <c r="AC184" s="16">
        <v>1984.1323104619</v>
      </c>
    </row>
    <row r="185" spans="1:29" x14ac:dyDescent="0.35">
      <c r="A185" s="2" t="s">
        <v>195</v>
      </c>
      <c r="B185" s="4" t="s">
        <v>1014</v>
      </c>
      <c r="C185" s="4" t="s">
        <v>601</v>
      </c>
      <c r="D185" s="4" t="s">
        <v>601</v>
      </c>
      <c r="E185" s="4" t="s">
        <v>602</v>
      </c>
      <c r="F185" s="4" t="s">
        <v>647</v>
      </c>
      <c r="G185" s="14">
        <v>86.06</v>
      </c>
      <c r="H185" s="10">
        <v>20.517057999999999</v>
      </c>
      <c r="I185" s="10">
        <v>22.209793999999999</v>
      </c>
      <c r="J185" s="10">
        <v>4.6355079999999997</v>
      </c>
      <c r="K185" s="15">
        <v>3.9972000000000001E-2</v>
      </c>
      <c r="L185" s="17">
        <v>10886.770726000001</v>
      </c>
      <c r="M185" s="4" t="s">
        <v>1015</v>
      </c>
      <c r="N185" s="19">
        <v>3.8748670000000001</v>
      </c>
      <c r="O185" s="19">
        <v>2.9083000000000001</v>
      </c>
      <c r="P185" s="19">
        <v>3.7643330000000002</v>
      </c>
      <c r="Q185" s="19">
        <v>2.8325999999999998</v>
      </c>
      <c r="R185" s="19">
        <v>2.9069669999999999</v>
      </c>
      <c r="S185" s="19">
        <v>2.3908999999999998</v>
      </c>
      <c r="T185" s="19">
        <v>2.9069669999999999</v>
      </c>
      <c r="U185" s="19">
        <v>1.633</v>
      </c>
      <c r="V185" s="19">
        <v>1.5304770000000001</v>
      </c>
      <c r="W185" s="19">
        <v>1.9904999999999999</v>
      </c>
      <c r="X185" s="19">
        <v>1.5304770000000001</v>
      </c>
      <c r="Y185" s="19">
        <v>1.9904999999999999</v>
      </c>
      <c r="Z185" s="4"/>
      <c r="AA185" s="4"/>
      <c r="AB185" s="4" t="e">
        <f ca="1">_xll.ciqfunctions.udf.CIQ("^SPX", "IQ_PRICEDATE", "9/16/2014")</f>
        <v>#NAME?</v>
      </c>
      <c r="AC185" s="16">
        <v>1998.9814103547001</v>
      </c>
    </row>
    <row r="186" spans="1:29" x14ac:dyDescent="0.35">
      <c r="A186" s="2" t="s">
        <v>196</v>
      </c>
      <c r="B186" s="4" t="s">
        <v>1016</v>
      </c>
      <c r="C186" s="4" t="s">
        <v>669</v>
      </c>
      <c r="D186" s="4" t="s">
        <v>669</v>
      </c>
      <c r="E186" s="4" t="s">
        <v>670</v>
      </c>
      <c r="F186" s="4" t="s">
        <v>836</v>
      </c>
      <c r="G186" s="14">
        <v>81.5</v>
      </c>
      <c r="H186" s="10">
        <v>9.1280590000000004</v>
      </c>
      <c r="I186" s="10">
        <v>16.610835000000002</v>
      </c>
      <c r="J186" s="10">
        <v>1.8430280000000001</v>
      </c>
      <c r="K186" s="15">
        <v>4.0244999999999996E-2</v>
      </c>
      <c r="L186" s="17">
        <v>345055.54336200003</v>
      </c>
      <c r="M186" s="4" t="s">
        <v>1017</v>
      </c>
      <c r="N186" s="19">
        <v>4.9064360000000002</v>
      </c>
      <c r="O186" s="19">
        <v>5.3441999999999998</v>
      </c>
      <c r="P186" s="19">
        <v>4.63</v>
      </c>
      <c r="Q186" s="19">
        <v>4.1340000000000003</v>
      </c>
      <c r="R186" s="19">
        <v>1.8769450000000001</v>
      </c>
      <c r="S186" s="19">
        <v>4.0216000000000003</v>
      </c>
      <c r="T186" s="19">
        <v>1.8769450000000001</v>
      </c>
      <c r="U186" s="19">
        <v>3.4946000000000002</v>
      </c>
      <c r="V186" s="19">
        <v>7.5945809999999998</v>
      </c>
      <c r="W186" s="19">
        <v>5.2165999999999997</v>
      </c>
      <c r="X186" s="19">
        <v>7.5945809999999998</v>
      </c>
      <c r="Y186" s="19">
        <v>5.2165999999999997</v>
      </c>
      <c r="Z186" s="4"/>
      <c r="AA186" s="4"/>
      <c r="AB186" s="4" t="e">
        <f ca="1">_xll.ciqfunctions.udf.CIQ("^SPX", "IQ_PRICEDATE", "9/17/2014")</f>
        <v>#NAME?</v>
      </c>
      <c r="AC186" s="16">
        <v>2001.5651818327999</v>
      </c>
    </row>
    <row r="187" spans="1:29" x14ac:dyDescent="0.35">
      <c r="A187" s="2" t="s">
        <v>197</v>
      </c>
      <c r="B187" s="4" t="s">
        <v>1018</v>
      </c>
      <c r="C187" s="4" t="s">
        <v>543</v>
      </c>
      <c r="D187" s="4" t="s">
        <v>664</v>
      </c>
      <c r="E187" s="4" t="s">
        <v>706</v>
      </c>
      <c r="F187" s="4" t="s">
        <v>706</v>
      </c>
      <c r="G187" s="14">
        <v>170.54</v>
      </c>
      <c r="H187" s="10">
        <v>14.283758000000001</v>
      </c>
      <c r="I187" s="10">
        <v>23.367546000000001</v>
      </c>
      <c r="J187" s="10">
        <v>14.608107</v>
      </c>
      <c r="K187" s="15">
        <v>0</v>
      </c>
      <c r="L187" s="17">
        <v>10371.956803999999</v>
      </c>
      <c r="M187" s="4" t="s">
        <v>1019</v>
      </c>
      <c r="N187" s="19">
        <v>7.2981559999999996</v>
      </c>
      <c r="O187" s="19">
        <v>10.2645</v>
      </c>
      <c r="P187" s="19">
        <v>6.4796259999999997</v>
      </c>
      <c r="Q187" s="19">
        <v>8.6733399999999996</v>
      </c>
      <c r="R187" s="19">
        <v>5.5410490000000001</v>
      </c>
      <c r="S187" s="19">
        <v>8.2807499999999994</v>
      </c>
      <c r="T187" s="19">
        <v>5.5410490000000001</v>
      </c>
      <c r="U187" s="19">
        <v>7.0302199999999999</v>
      </c>
      <c r="V187" s="19">
        <v>4.4324199999999996</v>
      </c>
      <c r="W187" s="19">
        <v>6.3712600000000004</v>
      </c>
      <c r="X187" s="19">
        <v>4.4324199999999996</v>
      </c>
      <c r="Y187" s="19">
        <v>6.3712600000000004</v>
      </c>
      <c r="Z187" s="4"/>
      <c r="AA187" s="4"/>
      <c r="AB187" s="4" t="e">
        <f ca="1">_xll.ciqfunctions.udf.CIQ("^SPX", "IQ_PRICEDATE", "9/18/2014")</f>
        <v>#NAME?</v>
      </c>
      <c r="AC187" s="16">
        <v>2011.3638145702</v>
      </c>
    </row>
    <row r="188" spans="1:29" x14ac:dyDescent="0.35">
      <c r="A188" s="2" t="s">
        <v>198</v>
      </c>
      <c r="B188" s="4" t="s">
        <v>1020</v>
      </c>
      <c r="C188" s="4" t="s">
        <v>549</v>
      </c>
      <c r="D188" s="4" t="s">
        <v>550</v>
      </c>
      <c r="E188" s="4" t="s">
        <v>623</v>
      </c>
      <c r="F188" s="4" t="s">
        <v>623</v>
      </c>
      <c r="G188" s="14">
        <v>159.41999999999999</v>
      </c>
      <c r="H188" s="10">
        <v>15.261631</v>
      </c>
      <c r="I188" s="10">
        <v>24.667964000000001</v>
      </c>
      <c r="J188" s="10">
        <v>7.7399519999999997</v>
      </c>
      <c r="K188" s="15">
        <v>0</v>
      </c>
      <c r="L188" s="17">
        <v>460280.39941499999</v>
      </c>
      <c r="M188" s="4" t="s">
        <v>1021</v>
      </c>
      <c r="N188" s="19">
        <v>6.4626330000000003</v>
      </c>
      <c r="O188" s="19">
        <v>7.3093000000000004</v>
      </c>
      <c r="P188" s="19">
        <v>5.3903920000000003</v>
      </c>
      <c r="Q188" s="19">
        <v>6.3734999999999999</v>
      </c>
      <c r="R188" s="19">
        <v>3.492991</v>
      </c>
      <c r="S188" s="19">
        <v>4.9748999999999999</v>
      </c>
      <c r="T188" s="19">
        <v>3.492991</v>
      </c>
      <c r="U188" s="19">
        <v>2.6558999999999999</v>
      </c>
      <c r="V188" s="19">
        <v>1.1036029999999999</v>
      </c>
      <c r="W188" s="19">
        <v>1.8602000000000001</v>
      </c>
      <c r="X188" s="19">
        <v>1.1036029999999999</v>
      </c>
      <c r="Y188" s="19">
        <v>1.8602000000000001</v>
      </c>
      <c r="Z188" s="4"/>
      <c r="AA188" s="4"/>
      <c r="AB188" s="4" t="e">
        <f ca="1">_xll.ciqfunctions.udf.CIQ("^SPX", "IQ_PRICEDATE", "9/19/2014")</f>
        <v>#NAME?</v>
      </c>
      <c r="AC188" s="16">
        <v>2010.3967236043</v>
      </c>
    </row>
    <row r="189" spans="1:29" x14ac:dyDescent="0.35">
      <c r="A189" s="2" t="s">
        <v>199</v>
      </c>
      <c r="B189" s="4" t="s">
        <v>1022</v>
      </c>
      <c r="C189" s="4" t="s">
        <v>525</v>
      </c>
      <c r="D189" s="4" t="s">
        <v>526</v>
      </c>
      <c r="E189" s="4" t="s">
        <v>1023</v>
      </c>
      <c r="F189" s="4" t="s">
        <v>1023</v>
      </c>
      <c r="G189" s="14">
        <v>52.65</v>
      </c>
      <c r="H189" s="10">
        <v>13.934405999999999</v>
      </c>
      <c r="I189" s="10">
        <v>20.566711000000002</v>
      </c>
      <c r="J189" s="10">
        <v>6.5268309999999996</v>
      </c>
      <c r="K189" s="15">
        <v>3.0388999999999999E-2</v>
      </c>
      <c r="L189" s="17">
        <v>15113.530938</v>
      </c>
      <c r="M189" s="4" t="s">
        <v>1024</v>
      </c>
      <c r="N189" s="19">
        <v>2.5599620000000001</v>
      </c>
      <c r="O189" s="19">
        <v>2.7456999999999998</v>
      </c>
      <c r="P189" s="19">
        <v>2.0076329999999998</v>
      </c>
      <c r="Q189" s="19">
        <v>2.0848</v>
      </c>
      <c r="R189" s="19">
        <v>1.7286250000000001</v>
      </c>
      <c r="S189" s="19">
        <v>1.7639</v>
      </c>
      <c r="T189" s="19">
        <v>1.7286250000000001</v>
      </c>
      <c r="U189" s="19">
        <v>1.8460000000000001</v>
      </c>
      <c r="V189" s="19">
        <v>1.659999</v>
      </c>
      <c r="W189" s="19">
        <v>1.8540000000000001</v>
      </c>
      <c r="X189" s="19">
        <v>1.659999</v>
      </c>
      <c r="Y189" s="19">
        <v>1.8540000000000001</v>
      </c>
      <c r="Z189" s="4"/>
      <c r="AA189" s="4"/>
      <c r="AB189" s="4" t="e">
        <f ca="1">_xll.ciqfunctions.udf.CIQ("^SPX", "IQ_PRICEDATE", "9/22/2014")</f>
        <v>#NAME?</v>
      </c>
      <c r="AC189" s="16">
        <v>1994.2887580788999</v>
      </c>
    </row>
    <row r="190" spans="1:29" x14ac:dyDescent="0.35">
      <c r="A190" s="2" t="s">
        <v>200</v>
      </c>
      <c r="B190" s="4" t="s">
        <v>1025</v>
      </c>
      <c r="C190" s="4" t="s">
        <v>601</v>
      </c>
      <c r="D190" s="4" t="s">
        <v>601</v>
      </c>
      <c r="E190" s="4" t="s">
        <v>602</v>
      </c>
      <c r="F190" s="4" t="s">
        <v>1026</v>
      </c>
      <c r="G190" s="14">
        <v>122</v>
      </c>
      <c r="H190" s="10">
        <v>22.317208000000001</v>
      </c>
      <c r="I190" s="10">
        <v>32.213168000000003</v>
      </c>
      <c r="J190" s="10">
        <v>4.2561939999999998</v>
      </c>
      <c r="K190" s="15">
        <v>3.2786000000000003E-2</v>
      </c>
      <c r="L190" s="17">
        <v>8965.9389659999997</v>
      </c>
      <c r="M190" s="4" t="s">
        <v>1027</v>
      </c>
      <c r="N190" s="19">
        <v>3.7872710000000001</v>
      </c>
      <c r="O190" s="19">
        <v>3.3325</v>
      </c>
      <c r="P190" s="19">
        <v>3.97</v>
      </c>
      <c r="Q190" s="19">
        <v>3.1652999999999998</v>
      </c>
      <c r="R190" s="19">
        <v>3.5</v>
      </c>
      <c r="S190" s="19">
        <v>3.2105000000000001</v>
      </c>
      <c r="T190" s="19">
        <v>3.5</v>
      </c>
      <c r="U190" s="19">
        <v>3.1619999999999999</v>
      </c>
      <c r="V190" s="19">
        <v>2.41</v>
      </c>
      <c r="W190" s="19">
        <v>3.1360000000000001</v>
      </c>
      <c r="X190" s="19">
        <v>2.41</v>
      </c>
      <c r="Y190" s="19">
        <v>3.1360000000000001</v>
      </c>
      <c r="Z190" s="4"/>
      <c r="AA190" s="4"/>
      <c r="AB190" s="4" t="e">
        <f ca="1">_xll.ciqfunctions.udf.CIQ("^SPX", "IQ_PRICEDATE", "9/23/2014")</f>
        <v>#NAME?</v>
      </c>
      <c r="AC190" s="16">
        <v>1982.7654266515999</v>
      </c>
    </row>
    <row r="191" spans="1:29" x14ac:dyDescent="0.35">
      <c r="A191" s="2" t="s">
        <v>201</v>
      </c>
      <c r="B191" s="4" t="s">
        <v>1028</v>
      </c>
      <c r="C191" s="4" t="s">
        <v>525</v>
      </c>
      <c r="D191" s="4" t="s">
        <v>594</v>
      </c>
      <c r="E191" s="4" t="s">
        <v>779</v>
      </c>
      <c r="F191" s="4" t="s">
        <v>779</v>
      </c>
      <c r="G191" s="14">
        <v>223.46</v>
      </c>
      <c r="H191" s="10">
        <v>8.630198</v>
      </c>
      <c r="I191" s="10">
        <v>12.614414999999999</v>
      </c>
      <c r="J191" s="10">
        <v>4.7858619999999998</v>
      </c>
      <c r="K191" s="15">
        <v>1.1635E-2</v>
      </c>
      <c r="L191" s="17">
        <v>58885.253405000003</v>
      </c>
      <c r="M191" s="4" t="s">
        <v>1029</v>
      </c>
      <c r="N191" s="19">
        <v>17.714653999999999</v>
      </c>
      <c r="O191" s="19">
        <v>18.309899999999999</v>
      </c>
      <c r="P191" s="19">
        <v>10.857047</v>
      </c>
      <c r="Q191" s="19">
        <v>14.5974</v>
      </c>
      <c r="R191" s="19">
        <v>6.8045949999999999</v>
      </c>
      <c r="S191" s="19">
        <v>12.7448</v>
      </c>
      <c r="T191" s="19">
        <v>6.8045949999999999</v>
      </c>
      <c r="U191" s="19">
        <v>11.2727</v>
      </c>
      <c r="V191" s="19">
        <v>8.9849230000000002</v>
      </c>
      <c r="W191" s="19">
        <v>10.058999999999999</v>
      </c>
      <c r="X191" s="19">
        <v>8.9849230000000002</v>
      </c>
      <c r="Y191" s="19">
        <v>10.058999999999999</v>
      </c>
      <c r="Z191" s="4"/>
      <c r="AA191" s="4"/>
      <c r="AB191" s="4" t="e">
        <f ca="1">_xll.ciqfunctions.udf.CIQ("^SPX", "IQ_PRICEDATE", "9/24/2014")</f>
        <v>#NAME?</v>
      </c>
      <c r="AC191" s="16">
        <v>1998.3021538749999</v>
      </c>
    </row>
    <row r="192" spans="1:29" x14ac:dyDescent="0.35">
      <c r="A192" s="2" t="s">
        <v>202</v>
      </c>
      <c r="B192" s="4" t="s">
        <v>1030</v>
      </c>
      <c r="C192" s="4" t="s">
        <v>543</v>
      </c>
      <c r="D192" s="4" t="s">
        <v>544</v>
      </c>
      <c r="E192" s="4" t="s">
        <v>545</v>
      </c>
      <c r="F192" s="4" t="s">
        <v>616</v>
      </c>
      <c r="G192" s="14">
        <v>104.87</v>
      </c>
      <c r="H192" s="10">
        <v>16.803070999999999</v>
      </c>
      <c r="I192" s="10">
        <v>24.400873000000001</v>
      </c>
      <c r="J192" s="10" t="s">
        <v>534</v>
      </c>
      <c r="K192" s="15">
        <v>1.2204999999999999E-2</v>
      </c>
      <c r="L192" s="17">
        <v>34483.424081999998</v>
      </c>
      <c r="M192" s="4" t="s">
        <v>1031</v>
      </c>
      <c r="N192" s="19">
        <v>4.2977970000000001</v>
      </c>
      <c r="O192" s="19">
        <v>5.5087999999999999</v>
      </c>
      <c r="P192" s="19">
        <v>3.93</v>
      </c>
      <c r="Q192" s="19">
        <v>4.7202999999999999</v>
      </c>
      <c r="R192" s="19">
        <v>1.72</v>
      </c>
      <c r="S192" s="19">
        <v>4.1878000000000002</v>
      </c>
      <c r="T192" s="19">
        <v>1.72</v>
      </c>
      <c r="U192" s="19">
        <v>3.6000999999999999</v>
      </c>
      <c r="V192" s="19">
        <v>2.39</v>
      </c>
      <c r="W192" s="19">
        <v>3.3702999999999999</v>
      </c>
      <c r="X192" s="19">
        <v>2.39</v>
      </c>
      <c r="Y192" s="19">
        <v>3.3702999999999999</v>
      </c>
      <c r="Z192" s="4"/>
      <c r="AA192" s="4"/>
      <c r="AB192" s="4" t="e">
        <f ca="1">_xll.ciqfunctions.udf.CIQ("^SPX", "IQ_PRICEDATE", "9/25/2014")</f>
        <v>#NAME?</v>
      </c>
      <c r="AC192" s="16">
        <v>1965.9897033397999</v>
      </c>
    </row>
    <row r="193" spans="1:29" x14ac:dyDescent="0.35">
      <c r="A193" s="2" t="s">
        <v>203</v>
      </c>
      <c r="B193" s="4" t="s">
        <v>1032</v>
      </c>
      <c r="C193" s="4" t="s">
        <v>573</v>
      </c>
      <c r="D193" s="4" t="s">
        <v>737</v>
      </c>
      <c r="E193" s="4" t="s">
        <v>737</v>
      </c>
      <c r="F193" s="4" t="s">
        <v>743</v>
      </c>
      <c r="G193" s="14">
        <v>27.03</v>
      </c>
      <c r="H193" s="10">
        <v>0</v>
      </c>
      <c r="I193" s="10">
        <v>7.1141519999999998</v>
      </c>
      <c r="J193" s="10">
        <v>1.4772110000000001</v>
      </c>
      <c r="K193" s="15">
        <v>2.6637000000000001E-2</v>
      </c>
      <c r="L193" s="17">
        <v>18011.1702</v>
      </c>
      <c r="M193" s="4" t="s">
        <v>1033</v>
      </c>
      <c r="N193" s="19">
        <v>3.7994690000000002</v>
      </c>
      <c r="O193" s="19">
        <v>2.5295999999999998</v>
      </c>
      <c r="P193" s="19">
        <v>2.8311380000000002</v>
      </c>
      <c r="Q193" s="19">
        <v>1.9758</v>
      </c>
      <c r="R193" s="19">
        <v>1.929999</v>
      </c>
      <c r="S193" s="19">
        <v>1.7267999999999999</v>
      </c>
      <c r="T193" s="19">
        <v>1.929999</v>
      </c>
      <c r="U193" s="19">
        <v>1.6577999999999999</v>
      </c>
      <c r="V193" s="19">
        <v>1.66</v>
      </c>
      <c r="W193" s="19">
        <v>1.7027000000000001</v>
      </c>
      <c r="X193" s="19">
        <v>1.66</v>
      </c>
      <c r="Y193" s="19">
        <v>1.7027000000000001</v>
      </c>
      <c r="Z193" s="4"/>
      <c r="AA193" s="4"/>
      <c r="AB193" s="4" t="e">
        <f ca="1">_xll.ciqfunctions.udf.CIQ("^SPX", "IQ_PRICEDATE", "9/26/2014")</f>
        <v>#NAME?</v>
      </c>
      <c r="AC193" s="16">
        <v>1982.8459381288999</v>
      </c>
    </row>
    <row r="194" spans="1:29" x14ac:dyDescent="0.35">
      <c r="A194" s="2" t="s">
        <v>204</v>
      </c>
      <c r="B194" s="4" t="s">
        <v>1034</v>
      </c>
      <c r="C194" s="4" t="s">
        <v>619</v>
      </c>
      <c r="D194" s="4" t="s">
        <v>619</v>
      </c>
      <c r="E194" s="4" t="s">
        <v>620</v>
      </c>
      <c r="F194" s="4" t="s">
        <v>620</v>
      </c>
      <c r="G194" s="14">
        <v>37.92</v>
      </c>
      <c r="H194" s="10">
        <v>8.8599890000000006</v>
      </c>
      <c r="I194" s="10" t="s">
        <v>534</v>
      </c>
      <c r="J194" s="10">
        <v>9.4358120000000003</v>
      </c>
      <c r="K194" s="15">
        <v>3.7974000000000001E-2</v>
      </c>
      <c r="L194" s="17">
        <v>18429.935242</v>
      </c>
      <c r="M194" s="4" t="s">
        <v>1035</v>
      </c>
      <c r="N194" s="19">
        <v>-4.4685459999999999</v>
      </c>
      <c r="O194" s="19">
        <v>2.4723999999999999</v>
      </c>
      <c r="P194" s="19">
        <v>-3.8828819999999999</v>
      </c>
      <c r="Q194" s="19">
        <v>2.6896</v>
      </c>
      <c r="R194" s="19">
        <v>-14.5</v>
      </c>
      <c r="S194" s="19">
        <v>2.5583</v>
      </c>
      <c r="T194" s="19">
        <v>-14.5</v>
      </c>
      <c r="U194" s="19">
        <v>2.9411</v>
      </c>
      <c r="V194" s="19">
        <v>0.50714199999999998</v>
      </c>
      <c r="W194" s="19">
        <v>2.8877000000000002</v>
      </c>
      <c r="X194" s="19">
        <v>0.50714199999999998</v>
      </c>
      <c r="Y194" s="19">
        <v>2.8877000000000002</v>
      </c>
      <c r="Z194" s="4"/>
      <c r="AA194" s="4"/>
      <c r="AB194" s="4" t="e">
        <f ca="1">_xll.ciqfunctions.udf.CIQ("^SPX", "IQ_PRICEDATE", "9/29/2014")</f>
        <v>#NAME?</v>
      </c>
      <c r="AC194" s="16">
        <v>1977.8010672518999</v>
      </c>
    </row>
    <row r="195" spans="1:29" x14ac:dyDescent="0.35">
      <c r="A195" s="2" t="s">
        <v>205</v>
      </c>
      <c r="B195" s="4" t="s">
        <v>1036</v>
      </c>
      <c r="C195" s="4" t="s">
        <v>543</v>
      </c>
      <c r="D195" s="4" t="s">
        <v>544</v>
      </c>
      <c r="E195" s="4" t="s">
        <v>545</v>
      </c>
      <c r="F195" s="4" t="s">
        <v>616</v>
      </c>
      <c r="G195" s="14">
        <v>79.06</v>
      </c>
      <c r="H195" s="10">
        <v>19.587291</v>
      </c>
      <c r="I195" s="10">
        <v>23.296752000000001</v>
      </c>
      <c r="J195" s="10" t="s">
        <v>534</v>
      </c>
      <c r="K195" s="15">
        <v>0</v>
      </c>
      <c r="L195" s="17">
        <v>32013.536051999999</v>
      </c>
      <c r="M195" s="4" t="s">
        <v>1037</v>
      </c>
      <c r="N195" s="19">
        <v>3.3936060000000001</v>
      </c>
      <c r="O195" s="19">
        <v>3.3001999999999998</v>
      </c>
      <c r="P195" s="19">
        <v>2.855</v>
      </c>
      <c r="Q195" s="19">
        <v>2.7753000000000001</v>
      </c>
      <c r="R195" s="19">
        <v>2.0750000000000002</v>
      </c>
      <c r="S195" s="19">
        <v>2.4135</v>
      </c>
      <c r="T195" s="19">
        <v>2.0750000000000002</v>
      </c>
      <c r="U195" s="19">
        <v>2.0950000000000002</v>
      </c>
      <c r="V195" s="19">
        <v>1.4950000000000001</v>
      </c>
      <c r="W195" s="19">
        <v>1.8223</v>
      </c>
      <c r="X195" s="19">
        <v>1.4950000000000001</v>
      </c>
      <c r="Y195" s="19">
        <v>1.8223</v>
      </c>
      <c r="Z195" s="4"/>
      <c r="AA195" s="4"/>
      <c r="AB195" s="4" t="e">
        <f ca="1">_xll.ciqfunctions.udf.CIQ("^SPX", "IQ_PRICEDATE", "9/30/2014")</f>
        <v>#NAME?</v>
      </c>
      <c r="AC195" s="16">
        <v>1972.28514505</v>
      </c>
    </row>
    <row r="196" spans="1:29" x14ac:dyDescent="0.35">
      <c r="A196" s="2" t="s">
        <v>206</v>
      </c>
      <c r="B196" s="4" t="s">
        <v>1038</v>
      </c>
      <c r="C196" s="4" t="s">
        <v>543</v>
      </c>
      <c r="D196" s="4" t="s">
        <v>544</v>
      </c>
      <c r="E196" s="4" t="s">
        <v>545</v>
      </c>
      <c r="F196" s="4" t="s">
        <v>616</v>
      </c>
      <c r="G196" s="14">
        <v>212.89</v>
      </c>
      <c r="H196" s="10">
        <v>18.159928000000001</v>
      </c>
      <c r="I196" s="10">
        <v>23.627600000000001</v>
      </c>
      <c r="J196" s="10" t="s">
        <v>534</v>
      </c>
      <c r="K196" s="15">
        <v>0</v>
      </c>
      <c r="L196" s="17">
        <v>18817.037345000001</v>
      </c>
      <c r="M196" s="4" t="s">
        <v>1039</v>
      </c>
      <c r="N196" s="19">
        <v>9.0102250000000002</v>
      </c>
      <c r="O196" s="19">
        <v>11.138</v>
      </c>
      <c r="P196" s="19">
        <v>7.91</v>
      </c>
      <c r="Q196" s="19">
        <v>9.4730000000000008</v>
      </c>
      <c r="R196" s="19">
        <v>4.75</v>
      </c>
      <c r="S196" s="19">
        <v>7.8821000000000003</v>
      </c>
      <c r="T196" s="19">
        <v>4.75</v>
      </c>
      <c r="U196" s="19">
        <v>6.8907999999999996</v>
      </c>
      <c r="V196" s="19">
        <v>4.24</v>
      </c>
      <c r="W196" s="19">
        <v>6.0678999999999998</v>
      </c>
      <c r="X196" s="19">
        <v>4.24</v>
      </c>
      <c r="Y196" s="19">
        <v>6.0678999999999998</v>
      </c>
      <c r="Z196" s="4"/>
      <c r="AA196" s="4"/>
      <c r="AB196" s="4" t="e">
        <f ca="1">_xll.ciqfunctions.udf.CIQ("^SPX", "IQ_PRICEDATE", "10/1/2014")</f>
        <v>#NAME?</v>
      </c>
      <c r="AC196" s="16">
        <v>1946.1608292694</v>
      </c>
    </row>
    <row r="197" spans="1:29" x14ac:dyDescent="0.35">
      <c r="A197" s="2" t="s">
        <v>207</v>
      </c>
      <c r="B197" s="4" t="s">
        <v>1040</v>
      </c>
      <c r="C197" s="4" t="s">
        <v>543</v>
      </c>
      <c r="D197" s="4" t="s">
        <v>664</v>
      </c>
      <c r="E197" s="4" t="s">
        <v>665</v>
      </c>
      <c r="F197" s="4" t="s">
        <v>1041</v>
      </c>
      <c r="G197" s="14">
        <v>57.38</v>
      </c>
      <c r="H197" s="10">
        <v>19.104572000000001</v>
      </c>
      <c r="I197" s="10">
        <v>64.862982000000002</v>
      </c>
      <c r="J197" s="10">
        <v>10.855072</v>
      </c>
      <c r="K197" s="15">
        <v>1.1153E-2</v>
      </c>
      <c r="L197" s="17">
        <v>7919.563099</v>
      </c>
      <c r="M197" s="4" t="s">
        <v>1042</v>
      </c>
      <c r="N197" s="19">
        <v>0.88463400000000003</v>
      </c>
      <c r="O197" s="19">
        <v>2.3037999999999998</v>
      </c>
      <c r="P197" s="19">
        <v>0.77</v>
      </c>
      <c r="Q197" s="19">
        <v>2.0055999999999998</v>
      </c>
      <c r="R197" s="19">
        <v>1.2</v>
      </c>
      <c r="S197" s="19">
        <v>1.7371000000000001</v>
      </c>
      <c r="T197" s="19">
        <v>1.2</v>
      </c>
      <c r="U197" s="19">
        <v>1.6857</v>
      </c>
      <c r="V197" s="19">
        <v>1.39</v>
      </c>
      <c r="W197" s="19">
        <v>1.619</v>
      </c>
      <c r="X197" s="19">
        <v>1.39</v>
      </c>
      <c r="Y197" s="19">
        <v>1.619</v>
      </c>
      <c r="Z197" s="4"/>
      <c r="AA197" s="4"/>
      <c r="AB197" s="4" t="e">
        <f ca="1">_xll.ciqfunctions.udf.CIQ("^SPX", "IQ_PRICEDATE", "10/2/2014")</f>
        <v>#NAME?</v>
      </c>
      <c r="AC197" s="16">
        <v>1946.1668289931999</v>
      </c>
    </row>
    <row r="198" spans="1:29" x14ac:dyDescent="0.35">
      <c r="A198" s="2" t="s">
        <v>208</v>
      </c>
      <c r="B198" s="4" t="s">
        <v>1043</v>
      </c>
      <c r="C198" s="4" t="s">
        <v>525</v>
      </c>
      <c r="D198" s="4" t="s">
        <v>526</v>
      </c>
      <c r="E198" s="4" t="s">
        <v>803</v>
      </c>
      <c r="F198" s="4" t="s">
        <v>948</v>
      </c>
      <c r="G198" s="14">
        <v>51.52</v>
      </c>
      <c r="H198" s="10">
        <v>18.082388000000002</v>
      </c>
      <c r="I198" s="10" t="s">
        <v>534</v>
      </c>
      <c r="J198" s="10">
        <v>31.352444999999999</v>
      </c>
      <c r="K198" s="15">
        <v>1.4751E-2</v>
      </c>
      <c r="L198" s="17">
        <v>6741.525952</v>
      </c>
      <c r="M198" s="4" t="s">
        <v>1044</v>
      </c>
      <c r="N198" s="19">
        <v>-0.22873299999999999</v>
      </c>
      <c r="O198" s="19">
        <v>1.9103000000000001</v>
      </c>
      <c r="P198" s="19">
        <v>0.02</v>
      </c>
      <c r="Q198" s="19">
        <v>1.7213000000000001</v>
      </c>
      <c r="R198" s="19">
        <v>1.01</v>
      </c>
      <c r="S198" s="19">
        <v>2.1114000000000002</v>
      </c>
      <c r="T198" s="19">
        <v>1.01</v>
      </c>
      <c r="U198" s="19">
        <v>3.0177</v>
      </c>
      <c r="V198" s="19">
        <v>3.72</v>
      </c>
      <c r="W198" s="19">
        <v>3.9249999999999998</v>
      </c>
      <c r="X198" s="19">
        <v>3.72</v>
      </c>
      <c r="Y198" s="19">
        <v>3.9249999999999998</v>
      </c>
      <c r="Z198" s="4"/>
      <c r="AA198" s="4"/>
      <c r="AB198" s="4" t="e">
        <f ca="1">_xll.ciqfunctions.udf.CIQ("^SPX", "IQ_PRICEDATE", "10/3/2014")</f>
        <v>#NAME?</v>
      </c>
      <c r="AC198" s="16">
        <v>1967.9020787575</v>
      </c>
    </row>
    <row r="199" spans="1:29" x14ac:dyDescent="0.35">
      <c r="A199" s="2" t="s">
        <v>209</v>
      </c>
      <c r="B199" s="4" t="s">
        <v>1045</v>
      </c>
      <c r="C199" s="4" t="s">
        <v>525</v>
      </c>
      <c r="D199" s="4" t="s">
        <v>526</v>
      </c>
      <c r="E199" s="4" t="s">
        <v>1046</v>
      </c>
      <c r="F199" s="4" t="s">
        <v>1046</v>
      </c>
      <c r="G199" s="14">
        <v>46.74</v>
      </c>
      <c r="H199" s="10">
        <v>8.4956359999999993</v>
      </c>
      <c r="I199" s="10">
        <v>26.122253000000001</v>
      </c>
      <c r="J199" s="10">
        <v>2.6463519999999998</v>
      </c>
      <c r="K199" s="15">
        <v>1.7971000000000001E-2</v>
      </c>
      <c r="L199" s="17">
        <v>6572.5307050000001</v>
      </c>
      <c r="M199" s="4" t="s">
        <v>1047</v>
      </c>
      <c r="N199" s="19">
        <v>1.7892790000000001</v>
      </c>
      <c r="O199" s="19">
        <v>2.7768000000000002</v>
      </c>
      <c r="P199" s="19">
        <v>1.36</v>
      </c>
      <c r="Q199" s="19">
        <v>2.4192</v>
      </c>
      <c r="R199" s="19">
        <v>2</v>
      </c>
      <c r="S199" s="19">
        <v>3.0295999999999998</v>
      </c>
      <c r="T199" s="19">
        <v>2</v>
      </c>
      <c r="U199" s="19">
        <v>3.7012999999999998</v>
      </c>
      <c r="V199" s="19">
        <v>4.4800000000000004</v>
      </c>
      <c r="W199" s="19">
        <v>4.5789999999999997</v>
      </c>
      <c r="X199" s="19">
        <v>4.4800000000000004</v>
      </c>
      <c r="Y199" s="19">
        <v>4.5789999999999997</v>
      </c>
      <c r="Z199" s="4"/>
      <c r="AA199" s="4"/>
      <c r="AB199" s="4" t="e">
        <f ca="1">_xll.ciqfunctions.udf.CIQ("^SPX", "IQ_PRICEDATE", "10/6/2014")</f>
        <v>#NAME?</v>
      </c>
      <c r="AC199" s="16">
        <v>1964.8246437980999</v>
      </c>
    </row>
    <row r="200" spans="1:29" x14ac:dyDescent="0.35">
      <c r="A200" s="2" t="s">
        <v>210</v>
      </c>
      <c r="B200" s="4" t="s">
        <v>1048</v>
      </c>
      <c r="C200" s="4" t="s">
        <v>586</v>
      </c>
      <c r="D200" s="4" t="s">
        <v>586</v>
      </c>
      <c r="E200" s="4" t="s">
        <v>587</v>
      </c>
      <c r="F200" s="4" t="s">
        <v>830</v>
      </c>
      <c r="G200" s="14">
        <v>83.62</v>
      </c>
      <c r="H200" s="10">
        <v>12.268874</v>
      </c>
      <c r="I200" s="10">
        <v>51.965871999999997</v>
      </c>
      <c r="J200" s="10" t="s">
        <v>534</v>
      </c>
      <c r="K200" s="15">
        <v>7.8919999999999997E-3</v>
      </c>
      <c r="L200" s="17">
        <v>11257.731333</v>
      </c>
      <c r="M200" s="4" t="s">
        <v>1049</v>
      </c>
      <c r="N200" s="19">
        <v>1.6091329999999999</v>
      </c>
      <c r="O200" s="19">
        <v>6.4019000000000004</v>
      </c>
      <c r="P200" s="19">
        <v>-0.64</v>
      </c>
      <c r="Q200" s="19">
        <v>4.6971999999999996</v>
      </c>
      <c r="R200" s="19">
        <v>0.95376799999999995</v>
      </c>
      <c r="S200" s="19">
        <v>3.2039</v>
      </c>
      <c r="T200" s="19">
        <v>0.95376799999999995</v>
      </c>
      <c r="U200" s="19">
        <v>2.8307000000000002</v>
      </c>
      <c r="V200" s="19">
        <v>2.1820179999999998</v>
      </c>
      <c r="W200" s="19">
        <v>4.1289999999999996</v>
      </c>
      <c r="X200" s="19">
        <v>2.1820179999999998</v>
      </c>
      <c r="Y200" s="19">
        <v>4.1289999999999996</v>
      </c>
      <c r="Z200" s="4"/>
      <c r="AA200" s="4"/>
      <c r="AB200" s="4" t="e">
        <f ca="1">_xll.ciqfunctions.udf.CIQ("^SPX", "IQ_PRICEDATE", "10/7/2014")</f>
        <v>#NAME?</v>
      </c>
      <c r="AC200" s="16">
        <v>1935.0991107952</v>
      </c>
    </row>
    <row r="201" spans="1:29" x14ac:dyDescent="0.35">
      <c r="A201" s="2" t="s">
        <v>211</v>
      </c>
      <c r="B201" s="4" t="s">
        <v>1050</v>
      </c>
      <c r="C201" s="4" t="s">
        <v>559</v>
      </c>
      <c r="D201" s="4" t="s">
        <v>560</v>
      </c>
      <c r="E201" s="4" t="s">
        <v>561</v>
      </c>
      <c r="F201" s="4" t="s">
        <v>1051</v>
      </c>
      <c r="G201" s="14">
        <v>48.984999999999999</v>
      </c>
      <c r="H201" s="10">
        <v>5.2743140000000004</v>
      </c>
      <c r="I201" s="10">
        <v>19.444202000000001</v>
      </c>
      <c r="J201" s="10">
        <v>2.4875470000000002</v>
      </c>
      <c r="K201" s="15">
        <v>2.7974000000000002E-2</v>
      </c>
      <c r="L201" s="17">
        <v>5667.8208640000003</v>
      </c>
      <c r="M201" s="4" t="s">
        <v>1052</v>
      </c>
      <c r="N201" s="19">
        <v>2.5370029999999999</v>
      </c>
      <c r="O201" s="19">
        <v>4.6399999999999997</v>
      </c>
      <c r="P201" s="19">
        <v>3.9729559999999999</v>
      </c>
      <c r="Q201" s="19">
        <v>4.0750999999999999</v>
      </c>
      <c r="R201" s="19">
        <v>4.6323230000000004</v>
      </c>
      <c r="S201" s="19">
        <v>5.0991999999999997</v>
      </c>
      <c r="T201" s="19">
        <v>4.6323230000000004</v>
      </c>
      <c r="U201" s="19">
        <v>4.6013000000000002</v>
      </c>
      <c r="V201" s="19">
        <v>3.3614890000000002</v>
      </c>
      <c r="W201" s="19">
        <v>3.8348</v>
      </c>
      <c r="X201" s="19">
        <v>3.3614890000000002</v>
      </c>
      <c r="Y201" s="19">
        <v>3.8348</v>
      </c>
      <c r="Z201" s="4"/>
      <c r="AA201" s="4"/>
      <c r="AB201" s="4" t="e">
        <f ca="1">_xll.ciqfunctions.udf.CIQ("^SPX", "IQ_PRICEDATE", "10/8/2014")</f>
        <v>#NAME?</v>
      </c>
      <c r="AC201" s="16">
        <v>1968.8892822498999</v>
      </c>
    </row>
    <row r="202" spans="1:29" x14ac:dyDescent="0.35">
      <c r="A202" s="2" t="s">
        <v>212</v>
      </c>
      <c r="B202" s="4" t="s">
        <v>1053</v>
      </c>
      <c r="C202" s="4" t="s">
        <v>559</v>
      </c>
      <c r="D202" s="4" t="s">
        <v>694</v>
      </c>
      <c r="E202" s="4" t="s">
        <v>1054</v>
      </c>
      <c r="F202" s="4" t="s">
        <v>1055</v>
      </c>
      <c r="G202" s="14">
        <v>8.76</v>
      </c>
      <c r="H202" s="10">
        <v>11.090411</v>
      </c>
      <c r="I202" s="10">
        <v>5.1834309999999997</v>
      </c>
      <c r="J202" s="10">
        <v>0.95812299999999995</v>
      </c>
      <c r="K202" s="15">
        <v>6.8492999999999998E-2</v>
      </c>
      <c r="L202" s="17">
        <v>34914.964473</v>
      </c>
      <c r="M202" s="4" t="s">
        <v>1056</v>
      </c>
      <c r="N202" s="19">
        <v>1.69</v>
      </c>
      <c r="O202" s="19">
        <v>1.3078000000000001</v>
      </c>
      <c r="P202" s="19">
        <v>1.9</v>
      </c>
      <c r="Q202" s="19">
        <v>1.6795</v>
      </c>
      <c r="R202" s="19">
        <v>1.1499999999999999</v>
      </c>
      <c r="S202" s="19">
        <v>1.6519999999999999</v>
      </c>
      <c r="T202" s="19">
        <v>1.1499999999999999</v>
      </c>
      <c r="U202" s="19">
        <v>1.9735</v>
      </c>
      <c r="V202" s="19">
        <v>0.31</v>
      </c>
      <c r="W202" s="19">
        <v>1.5533999999999999</v>
      </c>
      <c r="X202" s="19">
        <v>0.31</v>
      </c>
      <c r="Y202" s="19">
        <v>1.5533999999999999</v>
      </c>
      <c r="Z202" s="4"/>
      <c r="AA202" s="4"/>
      <c r="AB202" s="4" t="e">
        <f ca="1">_xll.ciqfunctions.udf.CIQ("^SPX", "IQ_PRICEDATE", "10/9/2014")</f>
        <v>#NAME?</v>
      </c>
      <c r="AC202" s="16">
        <v>1928.2076767870001</v>
      </c>
    </row>
    <row r="203" spans="1:29" x14ac:dyDescent="0.35">
      <c r="A203" s="2" t="s">
        <v>213</v>
      </c>
      <c r="B203" s="4" t="s">
        <v>1057</v>
      </c>
      <c r="C203" s="4" t="s">
        <v>543</v>
      </c>
      <c r="D203" s="4" t="s">
        <v>544</v>
      </c>
      <c r="E203" s="4" t="s">
        <v>555</v>
      </c>
      <c r="F203" s="4" t="s">
        <v>782</v>
      </c>
      <c r="G203" s="14">
        <v>81.66</v>
      </c>
      <c r="H203" s="10">
        <v>57.406658999999998</v>
      </c>
      <c r="I203" s="10">
        <v>159.52053900000001</v>
      </c>
      <c r="J203" s="10">
        <v>18.809512999999999</v>
      </c>
      <c r="K203" s="15">
        <v>0</v>
      </c>
      <c r="L203" s="17">
        <v>13811.72399</v>
      </c>
      <c r="M203" s="4" t="s">
        <v>1058</v>
      </c>
      <c r="N203" s="19">
        <v>0.51190899999999995</v>
      </c>
      <c r="O203" s="19">
        <v>1.7788999999999999</v>
      </c>
      <c r="P203" s="19">
        <v>0.18</v>
      </c>
      <c r="Q203" s="19">
        <v>1.1189</v>
      </c>
      <c r="R203" s="19">
        <v>0.18</v>
      </c>
      <c r="S203" s="19">
        <v>0.74650000000000005</v>
      </c>
      <c r="T203" s="19">
        <v>0.18</v>
      </c>
      <c r="U203" s="19">
        <v>0.63109999999999999</v>
      </c>
      <c r="V203" s="19">
        <v>0.15</v>
      </c>
      <c r="W203" s="19">
        <v>0.54530000000000001</v>
      </c>
      <c r="X203" s="19">
        <v>0.15</v>
      </c>
      <c r="Y203" s="19">
        <v>0.54530000000000001</v>
      </c>
      <c r="Z203" s="4"/>
      <c r="AA203" s="4"/>
      <c r="AB203" s="4" t="e">
        <f ca="1">_xll.ciqfunctions.udf.CIQ("^SPX", "IQ_PRICEDATE", "10/10/2014")</f>
        <v>#NAME?</v>
      </c>
      <c r="AC203" s="16">
        <v>1906.1296827210001</v>
      </c>
    </row>
    <row r="204" spans="1:29" x14ac:dyDescent="0.35">
      <c r="A204" s="2" t="s">
        <v>214</v>
      </c>
      <c r="B204" s="4" t="s">
        <v>1059</v>
      </c>
      <c r="C204" s="4" t="s">
        <v>525</v>
      </c>
      <c r="D204" s="4" t="s">
        <v>526</v>
      </c>
      <c r="E204" s="4" t="s">
        <v>803</v>
      </c>
      <c r="F204" s="4" t="s">
        <v>948</v>
      </c>
      <c r="G204" s="14">
        <v>80.22</v>
      </c>
      <c r="H204" s="10">
        <v>16.869975</v>
      </c>
      <c r="I204" s="10">
        <v>24.466991</v>
      </c>
      <c r="J204" s="10" t="s">
        <v>534</v>
      </c>
      <c r="K204" s="15">
        <v>3.4899999999999996E-3</v>
      </c>
      <c r="L204" s="17">
        <v>26768.379402999999</v>
      </c>
      <c r="M204" s="4" t="s">
        <v>1060</v>
      </c>
      <c r="N204" s="19">
        <v>3.2787030000000001</v>
      </c>
      <c r="O204" s="19">
        <v>3.5583</v>
      </c>
      <c r="P204" s="19">
        <v>2.96</v>
      </c>
      <c r="Q204" s="19">
        <v>3.1240000000000001</v>
      </c>
      <c r="R204" s="19">
        <v>2.5099999999999998</v>
      </c>
      <c r="S204" s="19">
        <v>2.6353</v>
      </c>
      <c r="T204" s="19">
        <v>2.5099999999999998</v>
      </c>
      <c r="U204" s="19">
        <v>0</v>
      </c>
      <c r="V204" s="19">
        <v>2.5590959999999998</v>
      </c>
      <c r="W204" s="19">
        <v>0</v>
      </c>
      <c r="X204" s="19">
        <v>2.5590959999999998</v>
      </c>
      <c r="Y204" s="19">
        <v>0</v>
      </c>
      <c r="Z204" s="4"/>
      <c r="AA204" s="4"/>
      <c r="AB204" s="4" t="e">
        <f ca="1">_xll.ciqfunctions.udf.CIQ("^SPX", "IQ_PRICEDATE", "10/13/2014")</f>
        <v>#NAME?</v>
      </c>
      <c r="AC204" s="16">
        <v>1874.7355245566</v>
      </c>
    </row>
    <row r="205" spans="1:29" x14ac:dyDescent="0.35">
      <c r="A205" s="2" t="s">
        <v>215</v>
      </c>
      <c r="B205" s="4" t="s">
        <v>1061</v>
      </c>
      <c r="C205" s="4" t="s">
        <v>525</v>
      </c>
      <c r="D205" s="4" t="s">
        <v>526</v>
      </c>
      <c r="E205" s="4" t="s">
        <v>527</v>
      </c>
      <c r="F205" s="4" t="s">
        <v>527</v>
      </c>
      <c r="G205" s="14">
        <v>48.06</v>
      </c>
      <c r="H205" s="10">
        <v>10.173107</v>
      </c>
      <c r="I205" s="10">
        <v>15.826988999999999</v>
      </c>
      <c r="J205" s="10" t="s">
        <v>534</v>
      </c>
      <c r="K205" s="15">
        <v>1.6645E-2</v>
      </c>
      <c r="L205" s="17">
        <v>6844.689292</v>
      </c>
      <c r="M205" s="4" t="s">
        <v>1062</v>
      </c>
      <c r="N205" s="19">
        <v>3.0365850000000001</v>
      </c>
      <c r="O205" s="19">
        <v>3.9361999999999999</v>
      </c>
      <c r="P205" s="19">
        <v>3.05</v>
      </c>
      <c r="Q205" s="19">
        <v>3.3161999999999998</v>
      </c>
      <c r="R205" s="19">
        <v>2.61</v>
      </c>
      <c r="S205" s="19">
        <v>2.9676999999999998</v>
      </c>
      <c r="T205" s="19">
        <v>2.61</v>
      </c>
      <c r="U205" s="19">
        <v>2.4134000000000002</v>
      </c>
      <c r="V205" s="19">
        <v>1.64</v>
      </c>
      <c r="W205" s="19">
        <v>2.2147999999999999</v>
      </c>
      <c r="X205" s="19">
        <v>1.64</v>
      </c>
      <c r="Y205" s="19">
        <v>2.2147999999999999</v>
      </c>
      <c r="Z205" s="4"/>
      <c r="AA205" s="4"/>
      <c r="AB205" s="4" t="e">
        <f ca="1">_xll.ciqfunctions.udf.CIQ("^SPX", "IQ_PRICEDATE", "10/14/2014")</f>
        <v>#NAME?</v>
      </c>
      <c r="AC205" s="16">
        <v>1877.6980893514001</v>
      </c>
    </row>
    <row r="206" spans="1:29" x14ac:dyDescent="0.35">
      <c r="A206" s="2" t="s">
        <v>216</v>
      </c>
      <c r="B206" s="4" t="s">
        <v>1063</v>
      </c>
      <c r="C206" s="4" t="s">
        <v>573</v>
      </c>
      <c r="D206" s="4" t="s">
        <v>574</v>
      </c>
      <c r="E206" s="4" t="s">
        <v>575</v>
      </c>
      <c r="F206" s="4" t="s">
        <v>576</v>
      </c>
      <c r="G206" s="14">
        <v>29.89</v>
      </c>
      <c r="H206" s="10">
        <v>3.8271169999999999</v>
      </c>
      <c r="I206" s="10">
        <v>24.524041</v>
      </c>
      <c r="J206" s="10">
        <v>2.1056889999999999</v>
      </c>
      <c r="K206" s="15">
        <v>3.0779000000000001E-2</v>
      </c>
      <c r="L206" s="17">
        <v>15753.771182</v>
      </c>
      <c r="M206" s="4" t="s">
        <v>1064</v>
      </c>
      <c r="N206" s="19">
        <v>1.218804</v>
      </c>
      <c r="O206" s="19">
        <v>2.9811000000000001</v>
      </c>
      <c r="P206" s="19">
        <v>1.1938040000000001</v>
      </c>
      <c r="Q206" s="19">
        <v>2.9167000000000001</v>
      </c>
      <c r="R206" s="19">
        <v>2.9667780000000001</v>
      </c>
      <c r="S206" s="19">
        <v>2.68207</v>
      </c>
      <c r="T206" s="19">
        <v>2.9667780000000001</v>
      </c>
      <c r="U206" s="19">
        <v>3.0409700000000002</v>
      </c>
      <c r="V206" s="19">
        <v>3.7400679999999999</v>
      </c>
      <c r="W206" s="19">
        <v>3.8366699999999998</v>
      </c>
      <c r="X206" s="19">
        <v>3.7400679999999999</v>
      </c>
      <c r="Y206" s="19">
        <v>3.8366699999999998</v>
      </c>
      <c r="Z206" s="4"/>
      <c r="AA206" s="4"/>
      <c r="AB206" s="4" t="e">
        <f ca="1">_xll.ciqfunctions.udf.CIQ("^SPX", "IQ_PRICEDATE", "10/15/2014")</f>
        <v>#NAME?</v>
      </c>
      <c r="AC206" s="16">
        <v>1862.4911375250001</v>
      </c>
    </row>
    <row r="207" spans="1:29" x14ac:dyDescent="0.35">
      <c r="A207" s="2" t="s">
        <v>217</v>
      </c>
      <c r="B207" s="4" t="s">
        <v>1065</v>
      </c>
      <c r="C207" s="4" t="s">
        <v>586</v>
      </c>
      <c r="D207" s="4" t="s">
        <v>586</v>
      </c>
      <c r="E207" s="4" t="s">
        <v>1066</v>
      </c>
      <c r="F207" s="4" t="s">
        <v>1067</v>
      </c>
      <c r="G207" s="14">
        <v>12.4</v>
      </c>
      <c r="H207" s="10">
        <v>3.7355580000000002</v>
      </c>
      <c r="I207" s="10">
        <v>6.2633219999999996</v>
      </c>
      <c r="J207" s="10">
        <v>1.8965160000000001</v>
      </c>
      <c r="K207" s="15">
        <v>1.6129000000000001E-2</v>
      </c>
      <c r="L207" s="17">
        <v>17967.634905999999</v>
      </c>
      <c r="M207" s="4" t="s">
        <v>1068</v>
      </c>
      <c r="N207" s="19">
        <v>1.9797800000000001</v>
      </c>
      <c r="O207" s="19">
        <v>1.0989</v>
      </c>
      <c r="P207" s="19">
        <v>1.21</v>
      </c>
      <c r="Q207" s="19">
        <v>1.7296</v>
      </c>
      <c r="R207" s="19">
        <v>-2.96</v>
      </c>
      <c r="S207" s="19">
        <v>1.327</v>
      </c>
      <c r="T207" s="19">
        <v>-2.96</v>
      </c>
      <c r="U207" s="19">
        <v>0.66510000000000002</v>
      </c>
      <c r="V207" s="19">
        <v>-1.37</v>
      </c>
      <c r="W207" s="19">
        <v>1.8766</v>
      </c>
      <c r="X207" s="19">
        <v>-1.37</v>
      </c>
      <c r="Y207" s="19">
        <v>1.8766</v>
      </c>
      <c r="Z207" s="4"/>
      <c r="AA207" s="4"/>
      <c r="AB207" s="4" t="e">
        <f ca="1">_xll.ciqfunctions.udf.CIQ("^SPX", "IQ_PRICEDATE", "10/16/2014")</f>
        <v>#NAME?</v>
      </c>
      <c r="AC207" s="16">
        <v>1862.7640764024</v>
      </c>
    </row>
    <row r="208" spans="1:29" x14ac:dyDescent="0.35">
      <c r="A208" s="2" t="s">
        <v>218</v>
      </c>
      <c r="B208" s="4" t="s">
        <v>1069</v>
      </c>
      <c r="C208" s="4" t="s">
        <v>559</v>
      </c>
      <c r="D208" s="4" t="s">
        <v>912</v>
      </c>
      <c r="E208" s="4" t="s">
        <v>913</v>
      </c>
      <c r="F208" s="4" t="s">
        <v>1070</v>
      </c>
      <c r="G208" s="14">
        <v>63.05</v>
      </c>
      <c r="H208" s="10">
        <v>13.58897</v>
      </c>
      <c r="I208" s="10">
        <v>19.886509</v>
      </c>
      <c r="J208" s="10">
        <v>3.553941</v>
      </c>
      <c r="K208" s="15">
        <v>3.3624000000000001E-2</v>
      </c>
      <c r="L208" s="17">
        <v>11903.65085</v>
      </c>
      <c r="M208" s="4" t="s">
        <v>1071</v>
      </c>
      <c r="N208" s="19">
        <v>3.1704910000000002</v>
      </c>
      <c r="O208" s="19">
        <v>3.3020999999999998</v>
      </c>
      <c r="P208" s="19">
        <v>3.68</v>
      </c>
      <c r="Q208" s="19">
        <v>2.9405999999999999</v>
      </c>
      <c r="R208" s="19">
        <v>2.7</v>
      </c>
      <c r="S208" s="19">
        <v>2.5659999999999998</v>
      </c>
      <c r="T208" s="19">
        <v>2.7</v>
      </c>
      <c r="U208" s="19">
        <v>2.1513</v>
      </c>
      <c r="V208" s="19">
        <v>1.88</v>
      </c>
      <c r="W208" s="19">
        <v>3.1324999999999998</v>
      </c>
      <c r="X208" s="19">
        <v>1.88</v>
      </c>
      <c r="Y208" s="19">
        <v>3.1324999999999998</v>
      </c>
      <c r="Z208" s="4"/>
      <c r="AA208" s="4"/>
      <c r="AB208" s="4" t="e">
        <f ca="1">_xll.ciqfunctions.udf.CIQ("^SPX", "IQ_PRICEDATE", "10/17/2014")</f>
        <v>#NAME?</v>
      </c>
      <c r="AC208" s="16">
        <v>1886.7640399166</v>
      </c>
    </row>
    <row r="209" spans="1:29" x14ac:dyDescent="0.35">
      <c r="A209" s="2" t="s">
        <v>219</v>
      </c>
      <c r="B209" s="4" t="s">
        <v>1072</v>
      </c>
      <c r="C209" s="4" t="s">
        <v>543</v>
      </c>
      <c r="D209" s="4" t="s">
        <v>544</v>
      </c>
      <c r="E209" s="4" t="s">
        <v>545</v>
      </c>
      <c r="F209" s="4" t="s">
        <v>546</v>
      </c>
      <c r="G209" s="14">
        <v>149.31</v>
      </c>
      <c r="H209" s="10">
        <v>31.25545</v>
      </c>
      <c r="I209" s="10">
        <v>160.722589</v>
      </c>
      <c r="J209" s="10" t="s">
        <v>534</v>
      </c>
      <c r="K209" s="15">
        <v>0</v>
      </c>
      <c r="L209" s="17">
        <v>13560.043195</v>
      </c>
      <c r="M209" s="4" t="s">
        <v>1073</v>
      </c>
      <c r="N209" s="19">
        <v>0.92899200000000004</v>
      </c>
      <c r="O209" s="19">
        <v>3.9851000000000001</v>
      </c>
      <c r="P209" s="19">
        <v>3.7065000000000001E-2</v>
      </c>
      <c r="Q209" s="19">
        <v>3.8176000000000001</v>
      </c>
      <c r="R209" s="19">
        <v>2.31</v>
      </c>
      <c r="S209" s="19">
        <v>3.0979000000000001</v>
      </c>
      <c r="T209" s="19">
        <v>2.31</v>
      </c>
      <c r="U209" s="19">
        <v>2.6688000000000001</v>
      </c>
      <c r="V209" s="19">
        <v>2.0299999999999998</v>
      </c>
      <c r="W209" s="19">
        <v>2.6522000000000001</v>
      </c>
      <c r="X209" s="19">
        <v>2.0299999999999998</v>
      </c>
      <c r="Y209" s="19">
        <v>2.6522000000000001</v>
      </c>
      <c r="Z209" s="4"/>
      <c r="AA209" s="4"/>
      <c r="AB209" s="4" t="e">
        <f ca="1">_xll.ciqfunctions.udf.CIQ("^SPX", "IQ_PRICEDATE", "10/20/2014")</f>
        <v>#NAME?</v>
      </c>
      <c r="AC209" s="16">
        <v>1904.0114248211</v>
      </c>
    </row>
    <row r="210" spans="1:29" x14ac:dyDescent="0.35">
      <c r="A210" s="2" t="s">
        <v>220</v>
      </c>
      <c r="B210" s="4" t="s">
        <v>1074</v>
      </c>
      <c r="C210" s="4" t="s">
        <v>525</v>
      </c>
      <c r="D210" s="4" t="s">
        <v>526</v>
      </c>
      <c r="E210" s="4" t="s">
        <v>703</v>
      </c>
      <c r="F210" s="4" t="s">
        <v>703</v>
      </c>
      <c r="G210" s="14">
        <v>193.84</v>
      </c>
      <c r="H210" s="10">
        <v>14.835851999999999</v>
      </c>
      <c r="I210" s="10">
        <v>19.608174000000002</v>
      </c>
      <c r="J210" s="10" t="s">
        <v>534</v>
      </c>
      <c r="K210" s="15">
        <v>1.9191E-2</v>
      </c>
      <c r="L210" s="17">
        <v>57431.192778999997</v>
      </c>
      <c r="M210" s="4" t="s">
        <v>1075</v>
      </c>
      <c r="N210" s="19">
        <v>9.8856730000000006</v>
      </c>
      <c r="O210" s="19">
        <v>11.714399999999999</v>
      </c>
      <c r="P210" s="19">
        <v>9.56</v>
      </c>
      <c r="Q210" s="19">
        <v>10.0091</v>
      </c>
      <c r="R210" s="19">
        <v>8.64</v>
      </c>
      <c r="S210" s="19">
        <v>9.9268000000000001</v>
      </c>
      <c r="T210" s="19">
        <v>8.64</v>
      </c>
      <c r="U210" s="19">
        <v>9.2800999999999991</v>
      </c>
      <c r="V210" s="19">
        <v>7.83</v>
      </c>
      <c r="W210" s="19">
        <v>8.1577999999999999</v>
      </c>
      <c r="X210" s="19">
        <v>7.83</v>
      </c>
      <c r="Y210" s="19">
        <v>8.1577999999999999</v>
      </c>
      <c r="Z210" s="4"/>
      <c r="AA210" s="4"/>
      <c r="AB210" s="4" t="e">
        <f ca="1">_xll.ciqfunctions.udf.CIQ("^SPX", "IQ_PRICEDATE", "10/21/2014")</f>
        <v>#NAME?</v>
      </c>
      <c r="AC210" s="16">
        <v>1941.2824878514</v>
      </c>
    </row>
    <row r="211" spans="1:29" x14ac:dyDescent="0.35">
      <c r="A211" s="2" t="s">
        <v>221</v>
      </c>
      <c r="B211" s="4" t="s">
        <v>1076</v>
      </c>
      <c r="C211" s="4" t="s">
        <v>525</v>
      </c>
      <c r="D211" s="4" t="s">
        <v>526</v>
      </c>
      <c r="E211" s="4" t="s">
        <v>1077</v>
      </c>
      <c r="F211" s="4" t="s">
        <v>1077</v>
      </c>
      <c r="G211" s="14">
        <v>12.19</v>
      </c>
      <c r="H211" s="10">
        <v>40.009340999999999</v>
      </c>
      <c r="I211" s="10" t="s">
        <v>534</v>
      </c>
      <c r="J211" s="10" t="s">
        <v>534</v>
      </c>
      <c r="K211" s="15">
        <v>3.9376000000000001E-2</v>
      </c>
      <c r="L211" s="17">
        <v>105944.27739</v>
      </c>
      <c r="M211" s="4" t="s">
        <v>1078</v>
      </c>
      <c r="N211" s="19">
        <v>-0.68674400000000002</v>
      </c>
      <c r="O211" s="19">
        <v>0.95369999999999999</v>
      </c>
      <c r="P211" s="19">
        <v>-0.68270500000000001</v>
      </c>
      <c r="Q211" s="19">
        <v>1.0002</v>
      </c>
      <c r="R211" s="19">
        <v>0.99780899999999995</v>
      </c>
      <c r="S211" s="19">
        <v>1.5349999999999999</v>
      </c>
      <c r="T211" s="19">
        <v>0.99780899999999995</v>
      </c>
      <c r="U211" s="19">
        <v>1.4945999999999999</v>
      </c>
      <c r="V211" s="19">
        <v>0.93993800000000005</v>
      </c>
      <c r="W211" s="19">
        <v>1.7267999999999999</v>
      </c>
      <c r="X211" s="19">
        <v>0.93993800000000005</v>
      </c>
      <c r="Y211" s="19">
        <v>1.7267999999999999</v>
      </c>
      <c r="Z211" s="4"/>
      <c r="AA211" s="4"/>
      <c r="AB211" s="4" t="e">
        <f ca="1">_xll.ciqfunctions.udf.CIQ("^SPX", "IQ_PRICEDATE", "10/22/2014")</f>
        <v>#NAME?</v>
      </c>
      <c r="AC211" s="16">
        <v>1927.1103570503999</v>
      </c>
    </row>
    <row r="212" spans="1:29" x14ac:dyDescent="0.35">
      <c r="A212" s="2" t="s">
        <v>222</v>
      </c>
      <c r="B212" s="4" t="s">
        <v>1079</v>
      </c>
      <c r="C212" s="4" t="s">
        <v>626</v>
      </c>
      <c r="D212" s="4" t="s">
        <v>627</v>
      </c>
      <c r="E212" s="4" t="s">
        <v>699</v>
      </c>
      <c r="F212" s="4" t="s">
        <v>789</v>
      </c>
      <c r="G212" s="14">
        <v>44.06</v>
      </c>
      <c r="H212" s="10">
        <v>12.273471000000001</v>
      </c>
      <c r="I212" s="10">
        <v>12.262845</v>
      </c>
      <c r="J212" s="10" t="s">
        <v>534</v>
      </c>
      <c r="K212" s="15">
        <v>4.4484000000000003E-2</v>
      </c>
      <c r="L212" s="17">
        <v>26269.890803999999</v>
      </c>
      <c r="M212" s="4" t="s">
        <v>1080</v>
      </c>
      <c r="N212" s="19">
        <v>3.5929669999999998</v>
      </c>
      <c r="O212" s="19">
        <v>3.1387</v>
      </c>
      <c r="P212" s="19">
        <v>2.7266919999999999</v>
      </c>
      <c r="Q212" s="19">
        <v>3.2000999999999999</v>
      </c>
      <c r="R212" s="19">
        <v>2.6779410000000001</v>
      </c>
      <c r="S212" s="19">
        <v>3.2629999999999999</v>
      </c>
      <c r="T212" s="19">
        <v>2.6779410000000001</v>
      </c>
      <c r="U212" s="19">
        <v>2.9365000000000001</v>
      </c>
      <c r="V212" s="19">
        <v>2.3980549999999998</v>
      </c>
      <c r="W212" s="19">
        <v>3.0118999999999998</v>
      </c>
      <c r="X212" s="19">
        <v>2.3980549999999998</v>
      </c>
      <c r="Y212" s="19">
        <v>3.0118999999999998</v>
      </c>
      <c r="Z212" s="4"/>
      <c r="AA212" s="4"/>
      <c r="AB212" s="4" t="e">
        <f ca="1">_xll.ciqfunctions.udf.CIQ("^SPX", "IQ_PRICEDATE", "10/23/2014")</f>
        <v>#NAME?</v>
      </c>
      <c r="AC212" s="16">
        <v>1950.8220801912</v>
      </c>
    </row>
    <row r="213" spans="1:29" x14ac:dyDescent="0.35">
      <c r="A213" s="2" t="s">
        <v>223</v>
      </c>
      <c r="B213" s="4" t="s">
        <v>1081</v>
      </c>
      <c r="C213" s="4" t="s">
        <v>559</v>
      </c>
      <c r="D213" s="4" t="s">
        <v>694</v>
      </c>
      <c r="E213" s="4" t="s">
        <v>1054</v>
      </c>
      <c r="F213" s="4" t="s">
        <v>1055</v>
      </c>
      <c r="G213" s="14">
        <v>31.93</v>
      </c>
      <c r="H213" s="10">
        <v>5.803058</v>
      </c>
      <c r="I213" s="10" t="s">
        <v>534</v>
      </c>
      <c r="J213" s="10">
        <v>1.4675149999999999</v>
      </c>
      <c r="K213" s="15">
        <v>4.7604E-2</v>
      </c>
      <c r="L213" s="17">
        <v>45049.663930000002</v>
      </c>
      <c r="M213" s="4" t="s">
        <v>1082</v>
      </c>
      <c r="N213" s="19">
        <v>-0.92009099999999999</v>
      </c>
      <c r="O213" s="19">
        <v>5.6577999999999999</v>
      </c>
      <c r="P213" s="19">
        <v>0.22</v>
      </c>
      <c r="Q213" s="19">
        <v>5.9486999999999997</v>
      </c>
      <c r="R213" s="19">
        <v>6</v>
      </c>
      <c r="S213" s="19">
        <v>5.6923000000000004</v>
      </c>
      <c r="T213" s="19">
        <v>6</v>
      </c>
      <c r="U213" s="19">
        <v>5.3997000000000002</v>
      </c>
      <c r="V213" s="19">
        <v>1.6514519999999999</v>
      </c>
      <c r="W213" s="19">
        <v>4.0961999999999996</v>
      </c>
      <c r="X213" s="19">
        <v>1.6514519999999999</v>
      </c>
      <c r="Y213" s="19">
        <v>4.0961999999999996</v>
      </c>
      <c r="Z213" s="4"/>
      <c r="AA213" s="4"/>
      <c r="AB213" s="4" t="e">
        <f ca="1">_xll.ciqfunctions.udf.CIQ("^SPX", "IQ_PRICEDATE", "10/24/2014")</f>
        <v>#NAME?</v>
      </c>
      <c r="AC213" s="16">
        <v>1964.5802966315</v>
      </c>
    </row>
    <row r="214" spans="1:29" x14ac:dyDescent="0.35">
      <c r="A214" s="2" t="s">
        <v>224</v>
      </c>
      <c r="B214" s="4" t="s">
        <v>1083</v>
      </c>
      <c r="C214" s="4" t="s">
        <v>559</v>
      </c>
      <c r="D214" s="4" t="s">
        <v>560</v>
      </c>
      <c r="E214" s="4" t="s">
        <v>1084</v>
      </c>
      <c r="F214" s="4" t="s">
        <v>1084</v>
      </c>
      <c r="G214" s="14">
        <v>95.14</v>
      </c>
      <c r="H214" s="10">
        <v>12.949332</v>
      </c>
      <c r="I214" s="10">
        <v>20.871238999999999</v>
      </c>
      <c r="J214" s="10" t="s">
        <v>534</v>
      </c>
      <c r="K214" s="15">
        <v>3.0270999999999999E-2</v>
      </c>
      <c r="L214" s="17">
        <v>13962.054921999999</v>
      </c>
      <c r="M214" s="4" t="s">
        <v>1085</v>
      </c>
      <c r="N214" s="19">
        <v>4.5584259999999999</v>
      </c>
      <c r="O214" s="19">
        <v>5.7378999999999998</v>
      </c>
      <c r="P214" s="19">
        <v>4.18</v>
      </c>
      <c r="Q214" s="19">
        <v>5.1786000000000003</v>
      </c>
      <c r="R214" s="19">
        <v>4.59</v>
      </c>
      <c r="S214" s="19">
        <v>4.7808999999999999</v>
      </c>
      <c r="T214" s="19">
        <v>4.59</v>
      </c>
      <c r="U214" s="19">
        <v>4.7839</v>
      </c>
      <c r="V214" s="19">
        <v>4.6100000000000003</v>
      </c>
      <c r="W214" s="19">
        <v>4.9005999999999998</v>
      </c>
      <c r="X214" s="19">
        <v>4.6100000000000003</v>
      </c>
      <c r="Y214" s="19">
        <v>4.9005999999999998</v>
      </c>
      <c r="Z214" s="4"/>
      <c r="AA214" s="4"/>
      <c r="AB214" s="4" t="e">
        <f ca="1">_xll.ciqfunctions.udf.CIQ("^SPX", "IQ_PRICEDATE", "10/27/2014")</f>
        <v>#NAME?</v>
      </c>
      <c r="AC214" s="16">
        <v>1961.6305392728</v>
      </c>
    </row>
    <row r="215" spans="1:29" x14ac:dyDescent="0.35">
      <c r="A215" s="2" t="s">
        <v>225</v>
      </c>
      <c r="B215" s="4" t="s">
        <v>1086</v>
      </c>
      <c r="C215" s="4" t="s">
        <v>530</v>
      </c>
      <c r="D215" s="4" t="s">
        <v>537</v>
      </c>
      <c r="E215" s="4" t="s">
        <v>538</v>
      </c>
      <c r="F215" s="4" t="s">
        <v>538</v>
      </c>
      <c r="G215" s="14">
        <v>75.62</v>
      </c>
      <c r="H215" s="10">
        <v>8.1812310000000004</v>
      </c>
      <c r="I215" s="10">
        <v>45.186599000000001</v>
      </c>
      <c r="J215" s="10">
        <v>93.159284</v>
      </c>
      <c r="K215" s="15">
        <v>3.015E-2</v>
      </c>
      <c r="L215" s="17">
        <v>98029.275643000001</v>
      </c>
      <c r="M215" s="4" t="s">
        <v>1087</v>
      </c>
      <c r="N215" s="19">
        <v>1.673505</v>
      </c>
      <c r="O215" s="19">
        <v>6.55</v>
      </c>
      <c r="P215" s="19">
        <v>3.51</v>
      </c>
      <c r="Q215" s="19">
        <v>6.9237000000000002</v>
      </c>
      <c r="R215" s="19">
        <v>9.94</v>
      </c>
      <c r="S215" s="19">
        <v>10.435600000000001</v>
      </c>
      <c r="T215" s="19">
        <v>9.94</v>
      </c>
      <c r="U215" s="19">
        <v>11.6534</v>
      </c>
      <c r="V215" s="19">
        <v>7.35</v>
      </c>
      <c r="W215" s="19">
        <v>9.9133999999999993</v>
      </c>
      <c r="X215" s="19">
        <v>7.35</v>
      </c>
      <c r="Y215" s="19">
        <v>9.9133999999999993</v>
      </c>
      <c r="Z215" s="4"/>
      <c r="AA215" s="4"/>
      <c r="AB215" s="4" t="e">
        <f ca="1">_xll.ciqfunctions.udf.CIQ("^SPX", "IQ_PRICEDATE", "10/28/2014")</f>
        <v>#NAME?</v>
      </c>
      <c r="AC215" s="16">
        <v>1985.0456261344</v>
      </c>
    </row>
    <row r="216" spans="1:29" x14ac:dyDescent="0.35">
      <c r="A216" s="2" t="s">
        <v>226</v>
      </c>
      <c r="B216" s="4" t="s">
        <v>1088</v>
      </c>
      <c r="C216" s="4" t="s">
        <v>543</v>
      </c>
      <c r="D216" s="4" t="s">
        <v>544</v>
      </c>
      <c r="E216" s="4" t="s">
        <v>545</v>
      </c>
      <c r="F216" s="4" t="s">
        <v>616</v>
      </c>
      <c r="G216" s="14">
        <v>119.89</v>
      </c>
      <c r="H216" s="10">
        <v>18.757956</v>
      </c>
      <c r="I216" s="10">
        <v>34.423037000000001</v>
      </c>
      <c r="J216" s="10" t="s">
        <v>534</v>
      </c>
      <c r="K216" s="15">
        <v>3.3300000000000002E-4</v>
      </c>
      <c r="L216" s="17">
        <v>18964.856838</v>
      </c>
      <c r="M216" s="4" t="s">
        <v>1089</v>
      </c>
      <c r="N216" s="19">
        <v>3.4828420000000002</v>
      </c>
      <c r="O216" s="19">
        <v>5.5202</v>
      </c>
      <c r="P216" s="19">
        <v>3.01</v>
      </c>
      <c r="Q216" s="19">
        <v>4.5354999999999999</v>
      </c>
      <c r="R216" s="19">
        <v>1.388571</v>
      </c>
      <c r="S216" s="19">
        <v>0</v>
      </c>
      <c r="T216" s="19">
        <v>1.388571</v>
      </c>
      <c r="U216" s="19">
        <v>3.1545999999999998</v>
      </c>
      <c r="V216" s="19">
        <v>1.8333660000000001</v>
      </c>
      <c r="W216" s="19">
        <v>2.4312999999999998</v>
      </c>
      <c r="X216" s="19">
        <v>1.8333660000000001</v>
      </c>
      <c r="Y216" s="19">
        <v>2.4312999999999998</v>
      </c>
      <c r="Z216" s="4"/>
      <c r="AA216" s="4"/>
      <c r="AB216" s="4" t="e">
        <f ca="1">_xll.ciqfunctions.udf.CIQ("^SPX", "IQ_PRICEDATE", "10/29/2014")</f>
        <v>#NAME?</v>
      </c>
      <c r="AC216" s="16">
        <v>1982.3030206704</v>
      </c>
    </row>
    <row r="217" spans="1:29" x14ac:dyDescent="0.35">
      <c r="A217" s="2" t="s">
        <v>227</v>
      </c>
      <c r="B217" s="4" t="s">
        <v>1090</v>
      </c>
      <c r="C217" s="4" t="s">
        <v>559</v>
      </c>
      <c r="D217" s="4" t="s">
        <v>798</v>
      </c>
      <c r="E217" s="4" t="s">
        <v>1091</v>
      </c>
      <c r="F217" s="4" t="s">
        <v>1092</v>
      </c>
      <c r="G217" s="14">
        <v>26.52</v>
      </c>
      <c r="H217" s="10">
        <v>6.3305619999999996</v>
      </c>
      <c r="I217" s="10">
        <v>9.1991370000000003</v>
      </c>
      <c r="J217" s="10" t="s">
        <v>534</v>
      </c>
      <c r="K217" s="15">
        <v>3.7707000000000004E-2</v>
      </c>
      <c r="L217" s="17">
        <v>5450.4121459999997</v>
      </c>
      <c r="M217" s="4" t="s">
        <v>1093</v>
      </c>
      <c r="N217" s="19">
        <v>2.882879</v>
      </c>
      <c r="O217" s="19">
        <v>1.8934</v>
      </c>
      <c r="P217" s="19">
        <v>1.939716</v>
      </c>
      <c r="Q217" s="19">
        <v>1.9441999999999999</v>
      </c>
      <c r="R217" s="19">
        <v>1.5980000000000001</v>
      </c>
      <c r="S217" s="19">
        <v>1.5812999999999999</v>
      </c>
      <c r="T217" s="19">
        <v>1.5980000000000001</v>
      </c>
      <c r="U217" s="19">
        <v>1.9351</v>
      </c>
      <c r="V217" s="19">
        <v>1.7818830000000001</v>
      </c>
      <c r="W217" s="19">
        <v>1.841</v>
      </c>
      <c r="X217" s="19">
        <v>1.7818830000000001</v>
      </c>
      <c r="Y217" s="19">
        <v>1.841</v>
      </c>
      <c r="Z217" s="4"/>
      <c r="AA217" s="4"/>
      <c r="AB217" s="4" t="e">
        <f ca="1">_xll.ciqfunctions.udf.CIQ("^SPX", "IQ_PRICEDATE", "10/30/2014")</f>
        <v>#NAME?</v>
      </c>
      <c r="AC217" s="16">
        <v>1994.6546509021</v>
      </c>
    </row>
    <row r="218" spans="1:29" x14ac:dyDescent="0.35">
      <c r="A218" s="2" t="s">
        <v>228</v>
      </c>
      <c r="B218" s="4" t="s">
        <v>1094</v>
      </c>
      <c r="C218" s="4" t="s">
        <v>669</v>
      </c>
      <c r="D218" s="4" t="s">
        <v>669</v>
      </c>
      <c r="E218" s="4" t="s">
        <v>730</v>
      </c>
      <c r="F218" s="4" t="s">
        <v>731</v>
      </c>
      <c r="G218" s="14">
        <v>39.56</v>
      </c>
      <c r="H218" s="10">
        <v>9.8760949999999994</v>
      </c>
      <c r="I218" s="10" t="s">
        <v>534</v>
      </c>
      <c r="J218" s="10">
        <v>5.7965059999999999</v>
      </c>
      <c r="K218" s="15">
        <v>1.8200000000000001E-2</v>
      </c>
      <c r="L218" s="17">
        <v>34808.670371</v>
      </c>
      <c r="M218" s="4" t="s">
        <v>1095</v>
      </c>
      <c r="N218" s="19">
        <v>0.13029099999999999</v>
      </c>
      <c r="O218" s="19">
        <v>2.0017</v>
      </c>
      <c r="P218" s="19">
        <v>-0.51034400000000002</v>
      </c>
      <c r="Q218" s="19">
        <v>1.9798</v>
      </c>
      <c r="R218" s="19">
        <v>-6.6910559999999997</v>
      </c>
      <c r="S218" s="19">
        <v>0.62350000000000005</v>
      </c>
      <c r="T218" s="19">
        <v>-6.6910559999999997</v>
      </c>
      <c r="U218" s="19">
        <v>0.95789999999999997</v>
      </c>
      <c r="V218" s="19">
        <v>4.03</v>
      </c>
      <c r="W218" s="19">
        <v>3.7292000000000001</v>
      </c>
      <c r="X218" s="19">
        <v>4.03</v>
      </c>
      <c r="Y218" s="19">
        <v>3.7292000000000001</v>
      </c>
      <c r="Z218" s="4"/>
      <c r="AA218" s="4"/>
      <c r="AB218" s="4" t="e">
        <f ca="1">_xll.ciqfunctions.udf.CIQ("^SPX", "IQ_PRICEDATE", "10/31/2014")</f>
        <v>#NAME?</v>
      </c>
      <c r="AC218" s="16">
        <v>2018.0545032964001</v>
      </c>
    </row>
    <row r="219" spans="1:29" x14ac:dyDescent="0.35">
      <c r="A219" s="2" t="s">
        <v>229</v>
      </c>
      <c r="B219" s="4" t="s">
        <v>1096</v>
      </c>
      <c r="C219" s="4" t="s">
        <v>559</v>
      </c>
      <c r="D219" s="4" t="s">
        <v>912</v>
      </c>
      <c r="E219" s="4" t="s">
        <v>1097</v>
      </c>
      <c r="F219" s="4" t="s">
        <v>1098</v>
      </c>
      <c r="G219" s="14">
        <v>16.88</v>
      </c>
      <c r="H219" s="10">
        <v>9.803369</v>
      </c>
      <c r="I219" s="10">
        <v>158.92742799999999</v>
      </c>
      <c r="J219" s="10" t="s">
        <v>534</v>
      </c>
      <c r="K219" s="15">
        <v>3.5545E-2</v>
      </c>
      <c r="L219" s="17">
        <v>6085.3629030000002</v>
      </c>
      <c r="M219" s="4" t="s">
        <v>1099</v>
      </c>
      <c r="N219" s="19">
        <v>0.106212</v>
      </c>
      <c r="O219" s="19">
        <v>1.7996000000000001</v>
      </c>
      <c r="P219" s="19">
        <v>0.17</v>
      </c>
      <c r="Q219" s="19">
        <v>2.0118</v>
      </c>
      <c r="R219" s="19">
        <v>1.4</v>
      </c>
      <c r="S219" s="19">
        <v>2.0983999999999998</v>
      </c>
      <c r="T219" s="19">
        <v>1.4</v>
      </c>
      <c r="U219" s="19">
        <v>1.8455999999999999</v>
      </c>
      <c r="V219" s="19">
        <v>0.85015499999999999</v>
      </c>
      <c r="W219" s="19">
        <v>1.5659000000000001</v>
      </c>
      <c r="X219" s="19">
        <v>0.85015499999999999</v>
      </c>
      <c r="Y219" s="19">
        <v>1.5659000000000001</v>
      </c>
      <c r="Z219" s="4"/>
      <c r="AA219" s="4"/>
      <c r="AB219" s="4" t="e">
        <f ca="1">_xll.ciqfunctions.udf.CIQ("^SPX", "IQ_PRICEDATE", "11/3/2014")</f>
        <v>#NAME?</v>
      </c>
      <c r="AC219" s="16">
        <v>2017.8115211314</v>
      </c>
    </row>
    <row r="220" spans="1:29" x14ac:dyDescent="0.35">
      <c r="A220" s="2" t="s">
        <v>230</v>
      </c>
      <c r="B220" s="4" t="s">
        <v>1100</v>
      </c>
      <c r="C220" s="4" t="s">
        <v>559</v>
      </c>
      <c r="D220" s="4" t="s">
        <v>694</v>
      </c>
      <c r="E220" s="4" t="s">
        <v>1054</v>
      </c>
      <c r="F220" s="4" t="s">
        <v>1101</v>
      </c>
      <c r="G220" s="14">
        <v>41.67</v>
      </c>
      <c r="H220" s="10">
        <v>12.691546000000001</v>
      </c>
      <c r="I220" s="10">
        <v>14.260604000000001</v>
      </c>
      <c r="J220" s="10">
        <v>3.2960660000000002</v>
      </c>
      <c r="K220" s="15">
        <v>3.5517E-2</v>
      </c>
      <c r="L220" s="17">
        <v>6873.4248299999999</v>
      </c>
      <c r="M220" s="4" t="s">
        <v>1102</v>
      </c>
      <c r="N220" s="19">
        <v>2.9220359999999999</v>
      </c>
      <c r="O220" s="19">
        <v>3.7042999999999999</v>
      </c>
      <c r="P220" s="19">
        <v>3.02</v>
      </c>
      <c r="Q220" s="19">
        <v>3.7370999999999999</v>
      </c>
      <c r="R220" s="19">
        <v>3.83</v>
      </c>
      <c r="S220" s="19">
        <v>4.1135000000000002</v>
      </c>
      <c r="T220" s="19">
        <v>3.83</v>
      </c>
      <c r="U220" s="19">
        <v>3.9474999999999998</v>
      </c>
      <c r="V220" s="19">
        <v>3.88</v>
      </c>
      <c r="W220" s="19">
        <v>4.2760999999999996</v>
      </c>
      <c r="X220" s="19">
        <v>3.88</v>
      </c>
      <c r="Y220" s="19">
        <v>4.2760999999999996</v>
      </c>
      <c r="Z220" s="4"/>
      <c r="AA220" s="4"/>
      <c r="AB220" s="4" t="e">
        <f ca="1">_xll.ciqfunctions.udf.CIQ("^SPX", "IQ_PRICEDATE", "11/4/2014")</f>
        <v>#NAME?</v>
      </c>
      <c r="AC220" s="16">
        <v>2012.0952743803</v>
      </c>
    </row>
    <row r="221" spans="1:29" x14ac:dyDescent="0.35">
      <c r="A221" s="2" t="s">
        <v>231</v>
      </c>
      <c r="B221" s="4" t="s">
        <v>1103</v>
      </c>
      <c r="C221" s="4" t="s">
        <v>525</v>
      </c>
      <c r="D221" s="4" t="s">
        <v>526</v>
      </c>
      <c r="E221" s="4" t="s">
        <v>703</v>
      </c>
      <c r="F221" s="4" t="s">
        <v>703</v>
      </c>
      <c r="G221" s="14">
        <v>171.57</v>
      </c>
      <c r="H221" s="10">
        <v>16.211596</v>
      </c>
      <c r="I221" s="10">
        <v>26.978943000000001</v>
      </c>
      <c r="J221" s="10" t="s">
        <v>534</v>
      </c>
      <c r="K221" s="15">
        <v>1.5969999999999998E-2</v>
      </c>
      <c r="L221" s="17">
        <v>20183.143081999999</v>
      </c>
      <c r="M221" s="4" t="s">
        <v>1104</v>
      </c>
      <c r="N221" s="19">
        <v>6.3594039999999996</v>
      </c>
      <c r="O221" s="19">
        <v>8.1302000000000003</v>
      </c>
      <c r="P221" s="19">
        <v>5.183764</v>
      </c>
      <c r="Q221" s="19">
        <v>6.2394999999999996</v>
      </c>
      <c r="R221" s="19">
        <v>4.8403340000000004</v>
      </c>
      <c r="S221" s="19">
        <v>5.8921000000000001</v>
      </c>
      <c r="T221" s="19">
        <v>4.8403340000000004</v>
      </c>
      <c r="U221" s="19">
        <v>5.8395999999999999</v>
      </c>
      <c r="V221" s="19">
        <v>5.0009810000000003</v>
      </c>
      <c r="W221" s="19">
        <v>4.8646000000000003</v>
      </c>
      <c r="X221" s="19">
        <v>5.0009810000000003</v>
      </c>
      <c r="Y221" s="19">
        <v>4.8646000000000003</v>
      </c>
      <c r="Z221" s="4"/>
      <c r="AA221" s="4"/>
      <c r="AB221" s="4" t="e">
        <f ca="1">_xll.ciqfunctions.udf.CIQ("^SPX", "IQ_PRICEDATE", "11/5/2014")</f>
        <v>#NAME?</v>
      </c>
      <c r="AC221" s="16">
        <v>2023.57465265</v>
      </c>
    </row>
    <row r="222" spans="1:29" x14ac:dyDescent="0.35">
      <c r="A222" s="2" t="s">
        <v>232</v>
      </c>
      <c r="B222" s="4" t="s">
        <v>1105</v>
      </c>
      <c r="C222" s="4" t="s">
        <v>559</v>
      </c>
      <c r="D222" s="4" t="s">
        <v>912</v>
      </c>
      <c r="E222" s="4" t="s">
        <v>1106</v>
      </c>
      <c r="F222" s="4" t="s">
        <v>1106</v>
      </c>
      <c r="G222" s="14">
        <v>100.89</v>
      </c>
      <c r="H222" s="10">
        <v>15.814116</v>
      </c>
      <c r="I222" s="10">
        <v>61.311999999999998</v>
      </c>
      <c r="J222" s="10">
        <v>28.345485</v>
      </c>
      <c r="K222" s="15">
        <v>2.4976999999999999E-2</v>
      </c>
      <c r="L222" s="17">
        <v>12806.873087</v>
      </c>
      <c r="M222" s="4" t="s">
        <v>1107</v>
      </c>
      <c r="N222" s="19">
        <v>1.645518</v>
      </c>
      <c r="O222" s="19">
        <v>4.8720999999999997</v>
      </c>
      <c r="P222" s="19">
        <v>3.12</v>
      </c>
      <c r="Q222" s="19">
        <v>5.2020999999999997</v>
      </c>
      <c r="R222" s="19">
        <v>4.34</v>
      </c>
      <c r="S222" s="19">
        <v>4.2457000000000003</v>
      </c>
      <c r="T222" s="19">
        <v>4.34</v>
      </c>
      <c r="U222" s="19">
        <v>3.6880999999999999</v>
      </c>
      <c r="V222" s="19">
        <v>3.2</v>
      </c>
      <c r="W222" s="19">
        <v>3.3580999999999999</v>
      </c>
      <c r="X222" s="19">
        <v>3.2</v>
      </c>
      <c r="Y222" s="19">
        <v>3.3580999999999999</v>
      </c>
      <c r="Z222" s="4"/>
      <c r="AA222" s="4"/>
      <c r="AB222" s="4" t="e">
        <f ca="1">_xll.ciqfunctions.udf.CIQ("^SPX", "IQ_PRICEDATE", "11/6/2014")</f>
        <v>#NAME?</v>
      </c>
      <c r="AC222" s="16">
        <v>2031.2121546376</v>
      </c>
    </row>
    <row r="223" spans="1:29" x14ac:dyDescent="0.35">
      <c r="A223" s="2" t="s">
        <v>233</v>
      </c>
      <c r="B223" s="4" t="s">
        <v>1108</v>
      </c>
      <c r="C223" s="4" t="s">
        <v>530</v>
      </c>
      <c r="D223" s="4" t="s">
        <v>531</v>
      </c>
      <c r="E223" s="4" t="s">
        <v>569</v>
      </c>
      <c r="F223" s="4" t="s">
        <v>1109</v>
      </c>
      <c r="G223" s="14">
        <v>136.47</v>
      </c>
      <c r="H223" s="10">
        <v>9.5941390000000002</v>
      </c>
      <c r="I223" s="10">
        <v>17.240845</v>
      </c>
      <c r="J223" s="10" t="s">
        <v>534</v>
      </c>
      <c r="K223" s="15">
        <v>1.0258E-2</v>
      </c>
      <c r="L223" s="17">
        <v>47224.897620000003</v>
      </c>
      <c r="M223" s="4" t="s">
        <v>1110</v>
      </c>
      <c r="N223" s="19">
        <v>7.9155049999999996</v>
      </c>
      <c r="O223" s="19">
        <v>9.5292999999999992</v>
      </c>
      <c r="P223" s="19">
        <v>5.95</v>
      </c>
      <c r="Q223" s="19">
        <v>7.1266999999999996</v>
      </c>
      <c r="R223" s="19">
        <v>7.3</v>
      </c>
      <c r="S223" s="19">
        <v>6.8952</v>
      </c>
      <c r="T223" s="19">
        <v>7.3</v>
      </c>
      <c r="U223" s="19">
        <v>5.5753000000000004</v>
      </c>
      <c r="V223" s="19">
        <v>4.16</v>
      </c>
      <c r="W223" s="19">
        <v>4.8982999999999999</v>
      </c>
      <c r="X223" s="19">
        <v>4.16</v>
      </c>
      <c r="Y223" s="19">
        <v>4.8982999999999999</v>
      </c>
      <c r="Z223" s="4"/>
      <c r="AA223" s="4"/>
      <c r="AB223" s="4" t="e">
        <f ca="1">_xll.ciqfunctions.udf.CIQ("^SPX", "IQ_PRICEDATE", "11/7/2014")</f>
        <v>#NAME?</v>
      </c>
      <c r="AC223" s="16">
        <v>2031.9215168768999</v>
      </c>
    </row>
    <row r="224" spans="1:29" x14ac:dyDescent="0.35">
      <c r="A224" s="2" t="s">
        <v>234</v>
      </c>
      <c r="B224" s="4" t="s">
        <v>1111</v>
      </c>
      <c r="C224" s="4" t="s">
        <v>601</v>
      </c>
      <c r="D224" s="4" t="s">
        <v>601</v>
      </c>
      <c r="E224" s="4" t="s">
        <v>602</v>
      </c>
      <c r="F224" s="4" t="s">
        <v>1112</v>
      </c>
      <c r="G224" s="14">
        <v>25.78</v>
      </c>
      <c r="H224" s="10">
        <v>20.386706</v>
      </c>
      <c r="I224" s="10">
        <v>199.348906</v>
      </c>
      <c r="J224" s="10">
        <v>2.497652</v>
      </c>
      <c r="K224" s="15">
        <v>5.7408000000000001E-2</v>
      </c>
      <c r="L224" s="17">
        <v>12112.283629</v>
      </c>
      <c r="M224" s="4" t="s">
        <v>1113</v>
      </c>
      <c r="N224" s="19">
        <v>0.12932099999999999</v>
      </c>
      <c r="O224" s="19">
        <v>0.65949999999999998</v>
      </c>
      <c r="P224" s="19">
        <v>0.88</v>
      </c>
      <c r="Q224" s="19">
        <v>0.82440000000000002</v>
      </c>
      <c r="R224" s="19">
        <v>0.77</v>
      </c>
      <c r="S224" s="19">
        <v>0.84499999999999997</v>
      </c>
      <c r="T224" s="19">
        <v>0.77</v>
      </c>
      <c r="U224" s="19">
        <v>1.9067000000000001</v>
      </c>
      <c r="V224" s="19">
        <v>0.55520499999999995</v>
      </c>
      <c r="W224" s="19">
        <v>1.9539</v>
      </c>
      <c r="X224" s="19">
        <v>0.55520499999999995</v>
      </c>
      <c r="Y224" s="19">
        <v>1.9539</v>
      </c>
      <c r="Z224" s="4"/>
      <c r="AA224" s="4"/>
      <c r="AB224" s="4" t="e">
        <f ca="1">_xll.ciqfunctions.udf.CIQ("^SPX", "IQ_PRICEDATE", "11/10/2014")</f>
        <v>#NAME?</v>
      </c>
      <c r="AC224" s="16">
        <v>2038.2626780918999</v>
      </c>
    </row>
    <row r="225" spans="1:29" x14ac:dyDescent="0.35">
      <c r="A225" s="2" t="s">
        <v>235</v>
      </c>
      <c r="B225" s="4" t="s">
        <v>1114</v>
      </c>
      <c r="C225" s="4" t="s">
        <v>669</v>
      </c>
      <c r="D225" s="4" t="s">
        <v>669</v>
      </c>
      <c r="E225" s="4" t="s">
        <v>730</v>
      </c>
      <c r="F225" s="4" t="s">
        <v>1115</v>
      </c>
      <c r="G225" s="14">
        <v>68.05</v>
      </c>
      <c r="H225" s="10">
        <v>13.788542</v>
      </c>
      <c r="I225" s="10">
        <v>16.015302999999999</v>
      </c>
      <c r="J225" s="10">
        <v>1.725125</v>
      </c>
      <c r="K225" s="15">
        <v>4.1734E-2</v>
      </c>
      <c r="L225" s="17">
        <v>7413.6224599999996</v>
      </c>
      <c r="M225" s="4" t="s">
        <v>1116</v>
      </c>
      <c r="N225" s="19">
        <v>4.2490610000000002</v>
      </c>
      <c r="O225" s="19">
        <v>1.1255999999999999</v>
      </c>
      <c r="P225" s="19">
        <v>3.7040329999999999</v>
      </c>
      <c r="Q225" s="19">
        <v>-0.39090000000000003</v>
      </c>
      <c r="R225" s="19">
        <v>-0.98046599999999995</v>
      </c>
      <c r="S225" s="19">
        <v>-1.2138</v>
      </c>
      <c r="T225" s="19">
        <v>-0.98046599999999995</v>
      </c>
      <c r="U225" s="19">
        <v>-0.36384</v>
      </c>
      <c r="V225" s="19">
        <v>6.7287039999999996</v>
      </c>
      <c r="W225" s="19">
        <v>5.7775999999999996</v>
      </c>
      <c r="X225" s="19">
        <v>6.7287039999999996</v>
      </c>
      <c r="Y225" s="19">
        <v>5.7775999999999996</v>
      </c>
      <c r="Z225" s="4"/>
      <c r="AA225" s="4"/>
      <c r="AB225" s="4" t="e">
        <f ca="1">_xll.ciqfunctions.udf.CIQ("^SPX", "IQ_PRICEDATE", "11/11/2014")</f>
        <v>#NAME?</v>
      </c>
      <c r="AC225" s="16">
        <v>2039.6834548377999</v>
      </c>
    </row>
    <row r="226" spans="1:29" x14ac:dyDescent="0.35">
      <c r="A226" s="2" t="s">
        <v>236</v>
      </c>
      <c r="B226" s="4" t="s">
        <v>1117</v>
      </c>
      <c r="C226" s="4" t="s">
        <v>530</v>
      </c>
      <c r="D226" s="4" t="s">
        <v>531</v>
      </c>
      <c r="E226" s="4" t="s">
        <v>569</v>
      </c>
      <c r="F226" s="4" t="s">
        <v>655</v>
      </c>
      <c r="G226" s="14">
        <v>86.47</v>
      </c>
      <c r="H226" s="10">
        <v>13.928452999999999</v>
      </c>
      <c r="I226" s="10">
        <v>32.701329000000001</v>
      </c>
      <c r="J226" s="10">
        <v>296.09566000000001</v>
      </c>
      <c r="K226" s="15">
        <v>0</v>
      </c>
      <c r="L226" s="17">
        <v>13239.548897000001</v>
      </c>
      <c r="M226" s="4" t="s">
        <v>1118</v>
      </c>
      <c r="N226" s="19">
        <v>2.6442350000000001</v>
      </c>
      <c r="O226" s="19">
        <v>4.2365000000000004</v>
      </c>
      <c r="P226" s="19">
        <v>2.57</v>
      </c>
      <c r="Q226" s="19">
        <v>3.8041</v>
      </c>
      <c r="R226" s="19">
        <v>3.1</v>
      </c>
      <c r="S226" s="19">
        <v>3.5424000000000002</v>
      </c>
      <c r="T226" s="19">
        <v>3.1</v>
      </c>
      <c r="U226" s="19">
        <v>3.2080000000000002</v>
      </c>
      <c r="V226" s="19">
        <v>2.72</v>
      </c>
      <c r="W226" s="19">
        <v>2.9073000000000002</v>
      </c>
      <c r="X226" s="19">
        <v>2.72</v>
      </c>
      <c r="Y226" s="19">
        <v>2.9073000000000002</v>
      </c>
      <c r="Z226" s="4"/>
      <c r="AA226" s="4"/>
      <c r="AB226" s="4" t="e">
        <f ca="1">_xll.ciqfunctions.udf.CIQ("^SPX", "IQ_PRICEDATE", "11/12/2014")</f>
        <v>#NAME?</v>
      </c>
      <c r="AC226" s="16">
        <v>2038.252228283</v>
      </c>
    </row>
    <row r="227" spans="1:29" x14ac:dyDescent="0.35">
      <c r="A227" s="2" t="s">
        <v>237</v>
      </c>
      <c r="B227" s="4" t="s">
        <v>1119</v>
      </c>
      <c r="C227" s="4" t="s">
        <v>669</v>
      </c>
      <c r="D227" s="4" t="s">
        <v>669</v>
      </c>
      <c r="E227" s="4" t="s">
        <v>670</v>
      </c>
      <c r="F227" s="4" t="s">
        <v>671</v>
      </c>
      <c r="G227" s="14">
        <v>64.78</v>
      </c>
      <c r="H227" s="10">
        <v>11.022081</v>
      </c>
      <c r="I227" s="10" t="s">
        <v>534</v>
      </c>
      <c r="J227" s="10">
        <v>2.005207</v>
      </c>
      <c r="K227" s="15">
        <v>1.5436E-2</v>
      </c>
      <c r="L227" s="17">
        <v>19413.710773999999</v>
      </c>
      <c r="M227" s="4" t="s">
        <v>1120</v>
      </c>
      <c r="N227" s="19">
        <v>-11.608229</v>
      </c>
      <c r="O227" s="19">
        <v>0.9839</v>
      </c>
      <c r="P227" s="19">
        <v>-13.12</v>
      </c>
      <c r="Q227" s="19">
        <v>-3.3988999999999998</v>
      </c>
      <c r="R227" s="19">
        <v>-19.920000000000002</v>
      </c>
      <c r="S227" s="19">
        <v>-3.6402000000000001</v>
      </c>
      <c r="T227" s="19">
        <v>-19.920000000000002</v>
      </c>
      <c r="U227" s="19">
        <v>-4.3436000000000003</v>
      </c>
      <c r="V227" s="19">
        <v>5.313555</v>
      </c>
      <c r="W227" s="19">
        <v>1.3163</v>
      </c>
      <c r="X227" s="19">
        <v>5.313555</v>
      </c>
      <c r="Y227" s="19">
        <v>1.3163</v>
      </c>
      <c r="Z227" s="4"/>
      <c r="AA227" s="4"/>
      <c r="AB227" s="4" t="e">
        <f ca="1">_xll.ciqfunctions.udf.CIQ("^SPX", "IQ_PRICEDATE", "11/13/2014")</f>
        <v>#NAME?</v>
      </c>
      <c r="AC227" s="16">
        <v>2039.3258251799</v>
      </c>
    </row>
    <row r="228" spans="1:29" x14ac:dyDescent="0.35">
      <c r="A228" s="2" t="s">
        <v>238</v>
      </c>
      <c r="B228" s="4" t="s">
        <v>1121</v>
      </c>
      <c r="C228" s="4" t="s">
        <v>543</v>
      </c>
      <c r="D228" s="4" t="s">
        <v>664</v>
      </c>
      <c r="E228" s="4" t="s">
        <v>688</v>
      </c>
      <c r="F228" s="4" t="s">
        <v>688</v>
      </c>
      <c r="G228" s="14">
        <v>15.52</v>
      </c>
      <c r="H228" s="10">
        <v>9.8948680000000007</v>
      </c>
      <c r="I228" s="10">
        <v>7.8298690000000004</v>
      </c>
      <c r="J228" s="10">
        <v>4.6559999999999997</v>
      </c>
      <c r="K228" s="15">
        <v>2.8993999999999999E-2</v>
      </c>
      <c r="L228" s="17">
        <v>22839.981351999999</v>
      </c>
      <c r="M228" s="4" t="s">
        <v>1122</v>
      </c>
      <c r="N228" s="19">
        <v>1.9821530000000001</v>
      </c>
      <c r="O228" s="19">
        <v>1.5551999999999999</v>
      </c>
      <c r="P228" s="19">
        <v>0.26</v>
      </c>
      <c r="Q228" s="19">
        <v>1.1793499999999999</v>
      </c>
      <c r="R228" s="19">
        <v>1.86</v>
      </c>
      <c r="S228" s="19">
        <v>1.96451</v>
      </c>
      <c r="T228" s="19">
        <v>1.86</v>
      </c>
      <c r="U228" s="19">
        <v>1.87812</v>
      </c>
      <c r="V228" s="19">
        <v>0.9</v>
      </c>
      <c r="W228" s="19">
        <v>0</v>
      </c>
      <c r="X228" s="19">
        <v>0.9</v>
      </c>
      <c r="Y228" s="19">
        <v>0</v>
      </c>
      <c r="Z228" s="4"/>
      <c r="AA228" s="4"/>
      <c r="AB228" s="4" t="e">
        <f ca="1">_xll.ciqfunctions.udf.CIQ("^SPX", "IQ_PRICEDATE", "11/14/2014")</f>
        <v>#NAME?</v>
      </c>
      <c r="AC228" s="16">
        <v>2039.8168721008999</v>
      </c>
    </row>
    <row r="229" spans="1:29" x14ac:dyDescent="0.35">
      <c r="A229" s="2" t="s">
        <v>239</v>
      </c>
      <c r="B229" s="4" t="s">
        <v>1123</v>
      </c>
      <c r="C229" s="4" t="s">
        <v>559</v>
      </c>
      <c r="D229" s="4" t="s">
        <v>798</v>
      </c>
      <c r="E229" s="4" t="s">
        <v>799</v>
      </c>
      <c r="F229" s="4" t="s">
        <v>800</v>
      </c>
      <c r="G229" s="14">
        <v>74.52</v>
      </c>
      <c r="H229" s="10">
        <v>16.663544000000002</v>
      </c>
      <c r="I229" s="10">
        <v>16.461948</v>
      </c>
      <c r="J229" s="10" t="s">
        <v>534</v>
      </c>
      <c r="K229" s="15">
        <v>8.0510000000000009E-3</v>
      </c>
      <c r="L229" s="17">
        <v>22220.82847</v>
      </c>
      <c r="M229" s="4" t="s">
        <v>1124</v>
      </c>
      <c r="N229" s="19">
        <v>4.5268030000000001</v>
      </c>
      <c r="O229" s="19">
        <v>2.9209999999999998</v>
      </c>
      <c r="P229" s="19">
        <v>3.85</v>
      </c>
      <c r="Q229" s="19">
        <v>2.2208000000000001</v>
      </c>
      <c r="R229" s="19">
        <v>-7.2947999999999999E-2</v>
      </c>
      <c r="S229" s="19">
        <v>2.6854</v>
      </c>
      <c r="T229" s="19">
        <v>-7.2947999999999999E-2</v>
      </c>
      <c r="U229" s="19">
        <v>2.8351000000000002</v>
      </c>
      <c r="V229" s="19">
        <v>0.51829199999999997</v>
      </c>
      <c r="W229" s="19">
        <v>2.4211999999999998</v>
      </c>
      <c r="X229" s="19">
        <v>0.51829199999999997</v>
      </c>
      <c r="Y229" s="19">
        <v>2.4211999999999998</v>
      </c>
      <c r="Z229" s="4"/>
      <c r="AA229" s="4"/>
      <c r="AB229" s="4" t="e">
        <f ca="1">_xll.ciqfunctions.udf.CIQ("^SPX", "IQ_PRICEDATE", "11/17/2014")</f>
        <v>#NAME?</v>
      </c>
      <c r="AC229" s="16">
        <v>2041.3181411687001</v>
      </c>
    </row>
    <row r="230" spans="1:29" x14ac:dyDescent="0.35">
      <c r="A230" s="2" t="s">
        <v>240</v>
      </c>
      <c r="B230" s="4" t="s">
        <v>1125</v>
      </c>
      <c r="C230" s="4" t="s">
        <v>669</v>
      </c>
      <c r="D230" s="4" t="s">
        <v>669</v>
      </c>
      <c r="E230" s="4" t="s">
        <v>670</v>
      </c>
      <c r="F230" s="4" t="s">
        <v>1126</v>
      </c>
      <c r="G230" s="14">
        <v>66.78</v>
      </c>
      <c r="H230" s="10">
        <v>6.460629</v>
      </c>
      <c r="I230" s="10">
        <v>8.4823199999999996</v>
      </c>
      <c r="J230" s="10">
        <v>3.6724160000000001</v>
      </c>
      <c r="K230" s="15">
        <v>1.9765999999999999E-2</v>
      </c>
      <c r="L230" s="17">
        <v>11665.805412</v>
      </c>
      <c r="M230" s="4" t="s">
        <v>1127</v>
      </c>
      <c r="N230" s="19">
        <v>7.872846</v>
      </c>
      <c r="O230" s="19">
        <v>6.6196000000000002</v>
      </c>
      <c r="P230" s="19">
        <v>4.5199999999999996</v>
      </c>
      <c r="Q230" s="19">
        <v>3.1905000000000001</v>
      </c>
      <c r="R230" s="19">
        <v>-1.484693</v>
      </c>
      <c r="S230" s="19">
        <v>1.8978999999999999</v>
      </c>
      <c r="T230" s="19">
        <v>-1.484693</v>
      </c>
      <c r="U230" s="19">
        <v>4.3582999999999998</v>
      </c>
      <c r="V230" s="19">
        <v>1.42</v>
      </c>
      <c r="W230" s="19">
        <v>2.9977</v>
      </c>
      <c r="X230" s="19">
        <v>1.42</v>
      </c>
      <c r="Y230" s="19">
        <v>2.9977</v>
      </c>
      <c r="Z230" s="4"/>
      <c r="AA230" s="4"/>
      <c r="AB230" s="4" t="e">
        <f ca="1">_xll.ciqfunctions.udf.CIQ("^SPX", "IQ_PRICEDATE", "11/18/2014")</f>
        <v>#NAME?</v>
      </c>
      <c r="AC230" s="16">
        <v>2051.7957989265001</v>
      </c>
    </row>
    <row r="231" spans="1:29" x14ac:dyDescent="0.35">
      <c r="A231" s="2" t="s">
        <v>241</v>
      </c>
      <c r="B231" s="4" t="s">
        <v>1128</v>
      </c>
      <c r="C231" s="4" t="s">
        <v>530</v>
      </c>
      <c r="D231" s="4" t="s">
        <v>531</v>
      </c>
      <c r="E231" s="4" t="s">
        <v>532</v>
      </c>
      <c r="F231" s="4" t="s">
        <v>533</v>
      </c>
      <c r="G231" s="14">
        <v>41.59</v>
      </c>
      <c r="H231" s="10">
        <v>13.499745000000001</v>
      </c>
      <c r="I231" s="10" t="s">
        <v>534</v>
      </c>
      <c r="J231" s="10" t="s">
        <v>534</v>
      </c>
      <c r="K231" s="15">
        <v>0</v>
      </c>
      <c r="L231" s="17">
        <v>11317.585921</v>
      </c>
      <c r="M231" s="4" t="s">
        <v>1129</v>
      </c>
      <c r="N231" s="19">
        <v>-0.29137600000000002</v>
      </c>
      <c r="O231" s="19">
        <v>2.37</v>
      </c>
      <c r="P231" s="19">
        <v>3.7781910000000001</v>
      </c>
      <c r="Q231" s="19">
        <v>2.1189800000000001</v>
      </c>
      <c r="R231" s="19">
        <v>1.17</v>
      </c>
      <c r="S231" s="19">
        <v>2.0952799999999998</v>
      </c>
      <c r="T231" s="19">
        <v>1.17</v>
      </c>
      <c r="U231" s="19">
        <v>1.82551</v>
      </c>
      <c r="V231" s="19">
        <v>0.17963499999999999</v>
      </c>
      <c r="W231" s="19">
        <v>1.5294700000000001</v>
      </c>
      <c r="X231" s="19">
        <v>0.17963499999999999</v>
      </c>
      <c r="Y231" s="19">
        <v>1.5294700000000001</v>
      </c>
      <c r="Z231" s="4"/>
      <c r="AA231" s="4"/>
      <c r="AB231" s="4" t="e">
        <f ca="1">_xll.ciqfunctions.udf.CIQ("^SPX", "IQ_PRICEDATE", "11/19/2014")</f>
        <v>#NAME?</v>
      </c>
      <c r="AC231" s="16">
        <v>2048.7209640499</v>
      </c>
    </row>
    <row r="232" spans="1:29" x14ac:dyDescent="0.35">
      <c r="A232" s="2" t="s">
        <v>242</v>
      </c>
      <c r="B232" s="4" t="s">
        <v>1130</v>
      </c>
      <c r="C232" s="4" t="s">
        <v>525</v>
      </c>
      <c r="D232" s="4" t="s">
        <v>526</v>
      </c>
      <c r="E232" s="4" t="s">
        <v>1077</v>
      </c>
      <c r="F232" s="4" t="s">
        <v>1077</v>
      </c>
      <c r="G232" s="14">
        <v>158.05000000000001</v>
      </c>
      <c r="H232" s="10">
        <v>14.336119999999999</v>
      </c>
      <c r="I232" s="10">
        <v>73.565415999999999</v>
      </c>
      <c r="J232" s="10" t="s">
        <v>534</v>
      </c>
      <c r="K232" s="15">
        <v>2.0752000000000003E-2</v>
      </c>
      <c r="L232" s="17">
        <v>117369.593792</v>
      </c>
      <c r="M232" s="4" t="s">
        <v>1131</v>
      </c>
      <c r="N232" s="19">
        <v>2.148428</v>
      </c>
      <c r="O232" s="19">
        <v>8.3530999999999995</v>
      </c>
      <c r="P232" s="19">
        <v>2.14</v>
      </c>
      <c r="Q232" s="19">
        <v>7.5151000000000003</v>
      </c>
      <c r="R232" s="19">
        <v>6.2</v>
      </c>
      <c r="S232" s="19">
        <v>6.8556999999999997</v>
      </c>
      <c r="T232" s="19">
        <v>6.2</v>
      </c>
      <c r="U232" s="19">
        <v>6.4187000000000003</v>
      </c>
      <c r="V232" s="19">
        <v>5.33</v>
      </c>
      <c r="W232" s="19">
        <v>5.9169999999999998</v>
      </c>
      <c r="X232" s="19">
        <v>5.33</v>
      </c>
      <c r="Y232" s="19">
        <v>5.9169999999999998</v>
      </c>
      <c r="Z232" s="4"/>
      <c r="AA232" s="4"/>
      <c r="AB232" s="4" t="e">
        <f ca="1">_xll.ciqfunctions.udf.CIQ("^SPX", "IQ_PRICEDATE", "11/20/2014")</f>
        <v>#NAME?</v>
      </c>
      <c r="AC232" s="16">
        <v>2052.7522479220002</v>
      </c>
    </row>
    <row r="233" spans="1:29" x14ac:dyDescent="0.35">
      <c r="A233" s="2" t="s">
        <v>243</v>
      </c>
      <c r="B233" s="4" t="s">
        <v>1132</v>
      </c>
      <c r="C233" s="4" t="s">
        <v>626</v>
      </c>
      <c r="D233" s="4" t="s">
        <v>627</v>
      </c>
      <c r="E233" s="4" t="s">
        <v>699</v>
      </c>
      <c r="F233" s="4" t="s">
        <v>789</v>
      </c>
      <c r="G233" s="14">
        <v>40.9</v>
      </c>
      <c r="H233" s="10">
        <v>16.366792</v>
      </c>
      <c r="I233" s="10">
        <v>22.971475000000002</v>
      </c>
      <c r="J233" s="10">
        <v>15.295895</v>
      </c>
      <c r="K233" s="15">
        <v>1.8337000000000003E-2</v>
      </c>
      <c r="L233" s="17">
        <v>21804.522273999999</v>
      </c>
      <c r="M233" s="4" t="s">
        <v>1133</v>
      </c>
      <c r="N233" s="19">
        <v>1.7804690000000001</v>
      </c>
      <c r="O233" s="19">
        <v>1.7768999999999999</v>
      </c>
      <c r="P233" s="19">
        <v>1.57</v>
      </c>
      <c r="Q233" s="19">
        <v>1.67</v>
      </c>
      <c r="R233" s="19">
        <v>1.64</v>
      </c>
      <c r="S233" s="19">
        <v>1.7055100000000001</v>
      </c>
      <c r="T233" s="19">
        <v>1.64</v>
      </c>
      <c r="U233" s="19">
        <v>1.45903</v>
      </c>
      <c r="V233" s="19">
        <v>1.1200000000000001</v>
      </c>
      <c r="W233" s="19">
        <v>1.27227</v>
      </c>
      <c r="X233" s="19">
        <v>1.1200000000000001</v>
      </c>
      <c r="Y233" s="19">
        <v>1.27227</v>
      </c>
      <c r="Z233" s="4"/>
      <c r="AA233" s="4"/>
      <c r="AB233" s="4" t="e">
        <f ca="1">_xll.ciqfunctions.udf.CIQ("^SPX", "IQ_PRICEDATE", "11/21/2014")</f>
        <v>#NAME?</v>
      </c>
      <c r="AC233" s="16">
        <v>2063.5024452877001</v>
      </c>
    </row>
    <row r="234" spans="1:29" x14ac:dyDescent="0.35">
      <c r="A234" s="2" t="s">
        <v>244</v>
      </c>
      <c r="B234" s="4" t="s">
        <v>1134</v>
      </c>
      <c r="C234" s="4" t="s">
        <v>601</v>
      </c>
      <c r="D234" s="4" t="s">
        <v>601</v>
      </c>
      <c r="E234" s="4" t="s">
        <v>602</v>
      </c>
      <c r="F234" s="4" t="s">
        <v>1135</v>
      </c>
      <c r="G234" s="14">
        <v>19.329999999999998</v>
      </c>
      <c r="H234" s="10">
        <v>12.242989</v>
      </c>
      <c r="I234" s="10">
        <v>21.959845000000001</v>
      </c>
      <c r="J234" s="10">
        <v>2.003409</v>
      </c>
      <c r="K234" s="15">
        <v>4.3973000000000005E-2</v>
      </c>
      <c r="L234" s="17">
        <v>14336.624992999999</v>
      </c>
      <c r="M234" s="4" t="s">
        <v>1136</v>
      </c>
      <c r="N234" s="19">
        <v>0.880243</v>
      </c>
      <c r="O234" s="19">
        <v>0.76629999999999998</v>
      </c>
      <c r="P234" s="19">
        <v>0.76</v>
      </c>
      <c r="Q234" s="19">
        <v>0.66769999999999996</v>
      </c>
      <c r="R234" s="19">
        <v>1.02</v>
      </c>
      <c r="S234" s="19">
        <v>0.64</v>
      </c>
      <c r="T234" s="19">
        <v>1.02</v>
      </c>
      <c r="U234" s="19">
        <v>0.73870000000000002</v>
      </c>
      <c r="V234" s="19">
        <v>0.96466700000000005</v>
      </c>
      <c r="W234" s="19">
        <v>0.75</v>
      </c>
      <c r="X234" s="19">
        <v>0.96466700000000005</v>
      </c>
      <c r="Y234" s="19">
        <v>0.75</v>
      </c>
      <c r="Z234" s="4"/>
      <c r="AA234" s="4"/>
      <c r="AB234" s="4" t="e">
        <f ca="1">_xll.ciqfunctions.udf.CIQ("^SPX", "IQ_PRICEDATE", "11/24/2014")</f>
        <v>#NAME?</v>
      </c>
      <c r="AC234" s="16">
        <v>2069.4102024734998</v>
      </c>
    </row>
    <row r="235" spans="1:29" x14ac:dyDescent="0.35">
      <c r="A235" s="2" t="s">
        <v>245</v>
      </c>
      <c r="B235" s="4" t="s">
        <v>1137</v>
      </c>
      <c r="C235" s="4" t="s">
        <v>543</v>
      </c>
      <c r="D235" s="4" t="s">
        <v>664</v>
      </c>
      <c r="E235" s="4" t="s">
        <v>688</v>
      </c>
      <c r="F235" s="4" t="s">
        <v>688</v>
      </c>
      <c r="G235" s="14">
        <v>23.87</v>
      </c>
      <c r="H235" s="10">
        <v>7.9920049999999998</v>
      </c>
      <c r="I235" s="10">
        <v>8.7068290000000008</v>
      </c>
      <c r="J235" s="10" t="s">
        <v>534</v>
      </c>
      <c r="K235" s="15">
        <v>2.6844999999999997E-2</v>
      </c>
      <c r="L235" s="17">
        <v>37772.091086</v>
      </c>
      <c r="M235" s="4" t="s">
        <v>1138</v>
      </c>
      <c r="N235" s="19">
        <v>2.7415259999999999</v>
      </c>
      <c r="O235" s="19">
        <v>2.1341999999999999</v>
      </c>
      <c r="P235" s="19">
        <v>1.48</v>
      </c>
      <c r="Q235" s="19">
        <v>1.8087599999999999</v>
      </c>
      <c r="R235" s="19">
        <v>1.53</v>
      </c>
      <c r="S235" s="19">
        <v>1.58786</v>
      </c>
      <c r="T235" s="19">
        <v>1.53</v>
      </c>
      <c r="U235" s="19">
        <v>1.6143700000000001</v>
      </c>
      <c r="V235" s="19">
        <v>1.53</v>
      </c>
      <c r="W235" s="19">
        <v>3.9609700000000001</v>
      </c>
      <c r="X235" s="19">
        <v>1.53</v>
      </c>
      <c r="Y235" s="19">
        <v>3.9609700000000001</v>
      </c>
      <c r="Z235" s="4"/>
      <c r="AA235" s="4"/>
      <c r="AB235" s="4" t="e">
        <f ca="1">_xll.ciqfunctions.udf.CIQ("^SPX", "IQ_PRICEDATE", "11/25/2014")</f>
        <v>#NAME?</v>
      </c>
      <c r="AC235" s="16">
        <v>2067.0345340898002</v>
      </c>
    </row>
    <row r="236" spans="1:29" x14ac:dyDescent="0.35">
      <c r="A236" s="2" t="s">
        <v>246</v>
      </c>
      <c r="B236" s="4" t="s">
        <v>1139</v>
      </c>
      <c r="C236" s="4" t="s">
        <v>530</v>
      </c>
      <c r="D236" s="4" t="s">
        <v>531</v>
      </c>
      <c r="E236" s="4" t="s">
        <v>569</v>
      </c>
      <c r="F236" s="4" t="s">
        <v>570</v>
      </c>
      <c r="G236" s="14">
        <v>328.08</v>
      </c>
      <c r="H236" s="10">
        <v>12.340733</v>
      </c>
      <c r="I236" s="10">
        <v>33.914434</v>
      </c>
      <c r="J236" s="10">
        <v>7.4929399999999999</v>
      </c>
      <c r="K236" s="15">
        <v>6.0960000000000007E-3</v>
      </c>
      <c r="L236" s="17">
        <v>45197.418569000001</v>
      </c>
      <c r="M236" s="4" t="s">
        <v>1140</v>
      </c>
      <c r="N236" s="19">
        <v>9.6737570000000002</v>
      </c>
      <c r="O236" s="19">
        <v>15.735300000000001</v>
      </c>
      <c r="P236" s="19">
        <v>16.809999999999999</v>
      </c>
      <c r="Q236" s="19">
        <v>11.841200000000001</v>
      </c>
      <c r="R236" s="19">
        <v>4.07</v>
      </c>
      <c r="S236" s="19">
        <v>10.41</v>
      </c>
      <c r="T236" s="19">
        <v>4.07</v>
      </c>
      <c r="U236" s="19">
        <v>8.5888000000000009</v>
      </c>
      <c r="V236" s="19">
        <v>7.36</v>
      </c>
      <c r="W236" s="19">
        <v>8.5393000000000008</v>
      </c>
      <c r="X236" s="19">
        <v>7.36</v>
      </c>
      <c r="Y236" s="19">
        <v>8.5393000000000008</v>
      </c>
      <c r="Z236" s="4"/>
      <c r="AA236" s="4"/>
      <c r="AB236" s="4" t="e">
        <f ca="1">_xll.ciqfunctions.udf.CIQ("^SPX", "IQ_PRICEDATE", "11/26/2014")</f>
        <v>#NAME?</v>
      </c>
      <c r="AC236" s="16">
        <v>2072.8294926639001</v>
      </c>
    </row>
    <row r="237" spans="1:29" x14ac:dyDescent="0.35">
      <c r="A237" s="2" t="s">
        <v>247</v>
      </c>
      <c r="B237" s="4" t="s">
        <v>1141</v>
      </c>
      <c r="C237" s="4" t="s">
        <v>573</v>
      </c>
      <c r="D237" s="4" t="s">
        <v>737</v>
      </c>
      <c r="E237" s="4" t="s">
        <v>737</v>
      </c>
      <c r="F237" s="4" t="s">
        <v>743</v>
      </c>
      <c r="G237" s="14">
        <v>14.39</v>
      </c>
      <c r="H237" s="10">
        <v>0</v>
      </c>
      <c r="I237" s="10">
        <v>12.197695</v>
      </c>
      <c r="J237" s="10">
        <v>1.996961</v>
      </c>
      <c r="K237" s="15">
        <v>3.8915000000000005E-2</v>
      </c>
      <c r="L237" s="17">
        <v>15889.820817</v>
      </c>
      <c r="M237" s="4" t="s">
        <v>1142</v>
      </c>
      <c r="N237" s="19">
        <v>1.1797310000000001</v>
      </c>
      <c r="O237" s="19">
        <v>1.3174999999999999</v>
      </c>
      <c r="P237" s="19">
        <v>1.0042359999999999</v>
      </c>
      <c r="Q237" s="19">
        <v>1.0569999999999999</v>
      </c>
      <c r="R237" s="19">
        <v>0.7</v>
      </c>
      <c r="S237" s="19">
        <v>0.93700000000000006</v>
      </c>
      <c r="T237" s="19">
        <v>0.7</v>
      </c>
      <c r="U237" s="19">
        <v>0.87780000000000002</v>
      </c>
      <c r="V237" s="19">
        <v>0.72</v>
      </c>
      <c r="W237" s="19">
        <v>0.78029999999999999</v>
      </c>
      <c r="X237" s="19">
        <v>0.72</v>
      </c>
      <c r="Y237" s="19">
        <v>0.78029999999999999</v>
      </c>
      <c r="Z237" s="4"/>
      <c r="AA237" s="4"/>
      <c r="AB237" s="4" t="e">
        <f ca="1">_xll.ciqfunctions.udf.CIQ("^SPX", "IQ_PRICEDATE", "11/28/2014")</f>
        <v>#NAME?</v>
      </c>
      <c r="AC237" s="16">
        <v>2067.5620445270001</v>
      </c>
    </row>
    <row r="238" spans="1:29" x14ac:dyDescent="0.35">
      <c r="A238" s="2" t="s">
        <v>248</v>
      </c>
      <c r="B238" s="4" t="s">
        <v>1143</v>
      </c>
      <c r="C238" s="4" t="s">
        <v>525</v>
      </c>
      <c r="D238" s="4" t="s">
        <v>526</v>
      </c>
      <c r="E238" s="4" t="s">
        <v>703</v>
      </c>
      <c r="F238" s="4" t="s">
        <v>703</v>
      </c>
      <c r="G238" s="14">
        <v>233.12</v>
      </c>
      <c r="H238" s="10">
        <v>9.6159199999999991</v>
      </c>
      <c r="I238" s="10">
        <v>17.266672</v>
      </c>
      <c r="J238" s="10" t="s">
        <v>534</v>
      </c>
      <c r="K238" s="15">
        <v>1.2354E-2</v>
      </c>
      <c r="L238" s="17">
        <v>10098.381212</v>
      </c>
      <c r="M238" s="4" t="s">
        <v>1144</v>
      </c>
      <c r="N238" s="19">
        <v>13.501154</v>
      </c>
      <c r="O238" s="19">
        <v>16.617599999999999</v>
      </c>
      <c r="P238" s="19">
        <v>10.46</v>
      </c>
      <c r="Q238" s="19">
        <v>12.1607</v>
      </c>
      <c r="R238" s="19">
        <v>12.14</v>
      </c>
      <c r="S238" s="19">
        <v>10.048999999999999</v>
      </c>
      <c r="T238" s="19">
        <v>12.14</v>
      </c>
      <c r="U238" s="19">
        <v>9.1852999999999998</v>
      </c>
      <c r="V238" s="19">
        <v>6.86</v>
      </c>
      <c r="W238" s="19">
        <v>8.0312999999999999</v>
      </c>
      <c r="X238" s="19">
        <v>6.86</v>
      </c>
      <c r="Y238" s="19">
        <v>8.0312999999999999</v>
      </c>
      <c r="Z238" s="4"/>
      <c r="AA238" s="4"/>
      <c r="AB238" s="4" t="e">
        <f ca="1">_xll.ciqfunctions.udf.CIQ("^SPX", "IQ_PRICEDATE", "12/1/2014")</f>
        <v>#NAME?</v>
      </c>
      <c r="AC238" s="16">
        <v>2053.4400601961001</v>
      </c>
    </row>
    <row r="239" spans="1:29" x14ac:dyDescent="0.35">
      <c r="A239" s="2" t="s">
        <v>249</v>
      </c>
      <c r="B239" s="4" t="s">
        <v>1145</v>
      </c>
      <c r="C239" s="4" t="s">
        <v>530</v>
      </c>
      <c r="D239" s="4" t="s">
        <v>531</v>
      </c>
      <c r="E239" s="4" t="s">
        <v>532</v>
      </c>
      <c r="F239" s="4" t="s">
        <v>533</v>
      </c>
      <c r="G239" s="14">
        <v>228.49</v>
      </c>
      <c r="H239" s="10">
        <v>38.185912999999999</v>
      </c>
      <c r="I239" s="10">
        <v>66.313771000000003</v>
      </c>
      <c r="J239" s="10" t="s">
        <v>534</v>
      </c>
      <c r="K239" s="15">
        <v>0</v>
      </c>
      <c r="L239" s="17">
        <v>19785.169364000001</v>
      </c>
      <c r="M239" s="4" t="s">
        <v>1146</v>
      </c>
      <c r="N239" s="19">
        <v>3.445589</v>
      </c>
      <c r="O239" s="19">
        <v>4.4249999999999998</v>
      </c>
      <c r="P239" s="19">
        <v>2.94</v>
      </c>
      <c r="Q239" s="19">
        <v>3.4529000000000001</v>
      </c>
      <c r="R239" s="19">
        <v>2.44</v>
      </c>
      <c r="S239" s="19">
        <v>2.7244999999999999</v>
      </c>
      <c r="T239" s="19">
        <v>2.44</v>
      </c>
      <c r="U239" s="19">
        <v>2.1274999999999999</v>
      </c>
      <c r="V239" s="19">
        <v>1.79</v>
      </c>
      <c r="W239" s="19">
        <v>2.0825</v>
      </c>
      <c r="X239" s="19">
        <v>1.79</v>
      </c>
      <c r="Y239" s="19">
        <v>2.0825</v>
      </c>
      <c r="Z239" s="4"/>
      <c r="AA239" s="4"/>
      <c r="AB239" s="4" t="e">
        <f ca="1">_xll.ciqfunctions.udf.CIQ("^SPX", "IQ_PRICEDATE", "12/2/2014")</f>
        <v>#NAME?</v>
      </c>
      <c r="AC239" s="16">
        <v>2066.5486235941999</v>
      </c>
    </row>
    <row r="240" spans="1:29" x14ac:dyDescent="0.35">
      <c r="A240" s="2" t="s">
        <v>250</v>
      </c>
      <c r="B240" s="4" t="s">
        <v>1147</v>
      </c>
      <c r="C240" s="4" t="s">
        <v>525</v>
      </c>
      <c r="D240" s="4" t="s">
        <v>855</v>
      </c>
      <c r="E240" s="4" t="s">
        <v>990</v>
      </c>
      <c r="F240" s="4" t="s">
        <v>991</v>
      </c>
      <c r="G240" s="14">
        <v>52.57</v>
      </c>
      <c r="H240" s="10">
        <v>20.822817000000001</v>
      </c>
      <c r="I240" s="10">
        <v>38.133440999999998</v>
      </c>
      <c r="J240" s="10" t="s">
        <v>534</v>
      </c>
      <c r="K240" s="15">
        <v>0</v>
      </c>
      <c r="L240" s="17">
        <v>20721.266089000001</v>
      </c>
      <c r="M240" s="4" t="s">
        <v>1148</v>
      </c>
      <c r="N240" s="19">
        <v>1.3785799999999999</v>
      </c>
      <c r="O240" s="19">
        <v>2.4763999999999999</v>
      </c>
      <c r="P240" s="19">
        <v>1</v>
      </c>
      <c r="Q240" s="19">
        <v>2.1244999999999998</v>
      </c>
      <c r="R240" s="19">
        <v>0.45</v>
      </c>
      <c r="S240" s="19">
        <v>1.9504999999999999</v>
      </c>
      <c r="T240" s="19">
        <v>0.45</v>
      </c>
      <c r="U240" s="19">
        <v>0</v>
      </c>
      <c r="V240" s="19">
        <v>0.72</v>
      </c>
      <c r="W240" s="19">
        <v>0</v>
      </c>
      <c r="X240" s="19">
        <v>0.72</v>
      </c>
      <c r="Y240" s="19">
        <v>0</v>
      </c>
      <c r="Z240" s="4"/>
      <c r="AA240" s="4"/>
      <c r="AB240" s="4" t="e">
        <f ca="1">_xll.ciqfunctions.udf.CIQ("^SPX", "IQ_PRICEDATE", "12/3/2014")</f>
        <v>#NAME?</v>
      </c>
      <c r="AC240" s="16">
        <v>2074.3346391546002</v>
      </c>
    </row>
    <row r="241" spans="1:29" x14ac:dyDescent="0.35">
      <c r="A241" s="2" t="s">
        <v>251</v>
      </c>
      <c r="B241" s="4" t="s">
        <v>1149</v>
      </c>
      <c r="C241" s="4" t="s">
        <v>525</v>
      </c>
      <c r="D241" s="4" t="s">
        <v>526</v>
      </c>
      <c r="E241" s="4" t="s">
        <v>803</v>
      </c>
      <c r="F241" s="4" t="s">
        <v>948</v>
      </c>
      <c r="G241" s="14">
        <v>132.01</v>
      </c>
      <c r="H241" s="10">
        <v>12.407420999999999</v>
      </c>
      <c r="I241" s="10">
        <v>24.096838000000002</v>
      </c>
      <c r="J241" s="10" t="s">
        <v>534</v>
      </c>
      <c r="K241" s="15">
        <v>3.0299999999999997E-2</v>
      </c>
      <c r="L241" s="17">
        <v>44269.946494000003</v>
      </c>
      <c r="M241" s="4" t="s">
        <v>1150</v>
      </c>
      <c r="N241" s="19">
        <v>5.4783119999999998</v>
      </c>
      <c r="O241" s="19">
        <v>7.8270999999999997</v>
      </c>
      <c r="P241" s="19">
        <v>4.8600000000000003</v>
      </c>
      <c r="Q241" s="19">
        <v>7.0208000000000004</v>
      </c>
      <c r="R241" s="19">
        <v>5.7</v>
      </c>
      <c r="S241" s="19">
        <v>6.0159000000000002</v>
      </c>
      <c r="T241" s="19">
        <v>5.7</v>
      </c>
      <c r="U241" s="19">
        <v>5.3254000000000001</v>
      </c>
      <c r="V241" s="19">
        <v>4.67</v>
      </c>
      <c r="W241" s="19">
        <v>5.1177999999999999</v>
      </c>
      <c r="X241" s="19">
        <v>4.67</v>
      </c>
      <c r="Y241" s="19">
        <v>5.1177999999999999</v>
      </c>
      <c r="Z241" s="4"/>
      <c r="AA241" s="4"/>
      <c r="AB241" s="4" t="e">
        <f ca="1">_xll.ciqfunctions.udf.CIQ("^SPX", "IQ_PRICEDATE", "12/4/2014")</f>
        <v>#NAME?</v>
      </c>
      <c r="AC241" s="16">
        <v>2071.9155710278001</v>
      </c>
    </row>
    <row r="242" spans="1:29" x14ac:dyDescent="0.35">
      <c r="A242" s="2" t="s">
        <v>252</v>
      </c>
      <c r="B242" s="4" t="s">
        <v>1151</v>
      </c>
      <c r="C242" s="4" t="s">
        <v>530</v>
      </c>
      <c r="D242" s="4" t="s">
        <v>537</v>
      </c>
      <c r="E242" s="4" t="s">
        <v>583</v>
      </c>
      <c r="F242" s="4" t="s">
        <v>583</v>
      </c>
      <c r="G242" s="14">
        <v>328.96</v>
      </c>
      <c r="H242" s="10">
        <v>46.618369999999999</v>
      </c>
      <c r="I242" s="10">
        <v>74.801428000000001</v>
      </c>
      <c r="J242" s="10">
        <v>21.772679</v>
      </c>
      <c r="K242" s="15">
        <v>0</v>
      </c>
      <c r="L242" s="17">
        <v>48357.120000000003</v>
      </c>
      <c r="M242" s="4" t="s">
        <v>1152</v>
      </c>
      <c r="N242" s="19">
        <v>4.3977769999999996</v>
      </c>
      <c r="O242" s="19">
        <v>5.5975000000000001</v>
      </c>
      <c r="P242" s="19">
        <v>4.92</v>
      </c>
      <c r="Q242" s="19">
        <v>4.4610000000000003</v>
      </c>
      <c r="R242" s="19">
        <v>2.9797060000000002</v>
      </c>
      <c r="S242" s="19">
        <v>3.5125000000000002</v>
      </c>
      <c r="T242" s="19">
        <v>2.9797060000000002</v>
      </c>
      <c r="U242" s="19">
        <v>3.5518000000000001</v>
      </c>
      <c r="V242" s="19">
        <v>2.37</v>
      </c>
      <c r="W242" s="19">
        <v>3.0598000000000001</v>
      </c>
      <c r="X242" s="19">
        <v>2.37</v>
      </c>
      <c r="Y242" s="19">
        <v>3.0598000000000001</v>
      </c>
      <c r="Z242" s="4"/>
      <c r="AA242" s="4"/>
      <c r="AB242" s="4" t="e">
        <f ca="1">_xll.ciqfunctions.udf.CIQ("^SPX", "IQ_PRICEDATE", "12/5/2014")</f>
        <v>#NAME?</v>
      </c>
      <c r="AC242" s="16">
        <v>2075.3681926275999</v>
      </c>
    </row>
    <row r="243" spans="1:29" x14ac:dyDescent="0.35">
      <c r="A243" s="2" t="s">
        <v>253</v>
      </c>
      <c r="B243" s="4" t="s">
        <v>1153</v>
      </c>
      <c r="C243" s="4" t="s">
        <v>530</v>
      </c>
      <c r="D243" s="4" t="s">
        <v>537</v>
      </c>
      <c r="E243" s="4" t="s">
        <v>538</v>
      </c>
      <c r="F243" s="4" t="s">
        <v>538</v>
      </c>
      <c r="G243" s="14">
        <v>65.040000000000006</v>
      </c>
      <c r="H243" s="10" t="s">
        <v>534</v>
      </c>
      <c r="I243" s="10" t="s">
        <v>534</v>
      </c>
      <c r="J243" s="10">
        <v>10.224328</v>
      </c>
      <c r="K243" s="15">
        <v>0</v>
      </c>
      <c r="L243" s="17">
        <v>13826.037283</v>
      </c>
      <c r="M243" s="4" t="s">
        <v>1154</v>
      </c>
      <c r="N243" s="19">
        <v>-0.48619499999999999</v>
      </c>
      <c r="O243" s="19">
        <v>1.7767999999999999</v>
      </c>
      <c r="P243" s="19">
        <v>-1.5306569999999999</v>
      </c>
      <c r="Q243" s="19">
        <v>0.2218</v>
      </c>
      <c r="R243" s="19">
        <v>0.54</v>
      </c>
      <c r="S243" s="19">
        <v>1.2790999999999999</v>
      </c>
      <c r="T243" s="19">
        <v>0.54</v>
      </c>
      <c r="U243" s="19">
        <v>0.2427</v>
      </c>
      <c r="V243" s="19">
        <v>-0.28999999999999998</v>
      </c>
      <c r="W243" s="19">
        <v>-0.30499999999999999</v>
      </c>
      <c r="X243" s="19">
        <v>-0.28999999999999998</v>
      </c>
      <c r="Y243" s="19">
        <v>-0.30499999999999999</v>
      </c>
      <c r="Z243" s="4"/>
      <c r="AA243" s="4"/>
      <c r="AB243" s="4" t="e">
        <f ca="1">_xll.ciqfunctions.udf.CIQ("^SPX", "IQ_PRICEDATE", "12/8/2014")</f>
        <v>#NAME?</v>
      </c>
      <c r="AC243" s="16">
        <v>2060.3101311963001</v>
      </c>
    </row>
    <row r="244" spans="1:29" x14ac:dyDescent="0.35">
      <c r="A244" s="2" t="s">
        <v>254</v>
      </c>
      <c r="B244" s="4" t="s">
        <v>1155</v>
      </c>
      <c r="C244" s="4" t="s">
        <v>525</v>
      </c>
      <c r="D244" s="4" t="s">
        <v>526</v>
      </c>
      <c r="E244" s="4" t="s">
        <v>803</v>
      </c>
      <c r="F244" s="4" t="s">
        <v>948</v>
      </c>
      <c r="G244" s="14">
        <v>97.52</v>
      </c>
      <c r="H244" s="10">
        <v>12.479763999999999</v>
      </c>
      <c r="I244" s="10">
        <v>17.215479999999999</v>
      </c>
      <c r="J244" s="10" t="s">
        <v>534</v>
      </c>
      <c r="K244" s="15">
        <v>2.1739000000000001E-2</v>
      </c>
      <c r="L244" s="17">
        <v>23922.588876000002</v>
      </c>
      <c r="M244" s="4" t="s">
        <v>1156</v>
      </c>
      <c r="N244" s="19">
        <v>5.664669</v>
      </c>
      <c r="O244" s="19">
        <v>5.9066999999999998</v>
      </c>
      <c r="P244" s="19">
        <v>5.14</v>
      </c>
      <c r="Q244" s="19">
        <v>4.9977999999999998</v>
      </c>
      <c r="R244" s="19">
        <v>5.52</v>
      </c>
      <c r="S244" s="19">
        <v>4.3587999999999996</v>
      </c>
      <c r="T244" s="19">
        <v>5.52</v>
      </c>
      <c r="U244" s="19">
        <v>3.9148000000000001</v>
      </c>
      <c r="V244" s="19">
        <v>3.27</v>
      </c>
      <c r="W244" s="19">
        <v>3.6715</v>
      </c>
      <c r="X244" s="19">
        <v>3.27</v>
      </c>
      <c r="Y244" s="19">
        <v>3.6715</v>
      </c>
      <c r="Z244" s="4"/>
      <c r="AA244" s="4"/>
      <c r="AB244" s="4" t="e">
        <f ca="1">_xll.ciqfunctions.udf.CIQ("^SPX", "IQ_PRICEDATE", "12/9/2014")</f>
        <v>#NAME?</v>
      </c>
      <c r="AC244" s="16">
        <v>2059.8161266401999</v>
      </c>
    </row>
    <row r="245" spans="1:29" x14ac:dyDescent="0.35">
      <c r="A245" s="2" t="s">
        <v>255</v>
      </c>
      <c r="B245" s="4" t="s">
        <v>1157</v>
      </c>
      <c r="C245" s="4" t="s">
        <v>543</v>
      </c>
      <c r="D245" s="4" t="s">
        <v>565</v>
      </c>
      <c r="E245" s="4" t="s">
        <v>565</v>
      </c>
      <c r="F245" s="4" t="s">
        <v>566</v>
      </c>
      <c r="G245" s="14">
        <v>45.89</v>
      </c>
      <c r="H245" s="10">
        <v>7.8529540000000004</v>
      </c>
      <c r="I245" s="10">
        <v>16.549143999999998</v>
      </c>
      <c r="J245" s="10">
        <v>6.2979580000000004</v>
      </c>
      <c r="K245" s="15">
        <v>2.6148999999999999E-2</v>
      </c>
      <c r="L245" s="17">
        <v>211598.79</v>
      </c>
      <c r="M245" s="4" t="s">
        <v>1158</v>
      </c>
      <c r="N245" s="19">
        <v>2.7729529999999998</v>
      </c>
      <c r="O245" s="19">
        <v>4.1656000000000004</v>
      </c>
      <c r="P245" s="19">
        <v>1.99</v>
      </c>
      <c r="Q245" s="19">
        <v>3.2406999999999999</v>
      </c>
      <c r="R245" s="19">
        <v>2.12</v>
      </c>
      <c r="S245" s="19">
        <v>2.7601</v>
      </c>
      <c r="T245" s="19">
        <v>2.12</v>
      </c>
      <c r="U245" s="19">
        <v>2.3210999999999999</v>
      </c>
      <c r="V245" s="19">
        <v>2.31</v>
      </c>
      <c r="W245" s="19">
        <v>2.3691</v>
      </c>
      <c r="X245" s="19">
        <v>2.31</v>
      </c>
      <c r="Y245" s="19">
        <v>2.3691</v>
      </c>
      <c r="Z245" s="4"/>
      <c r="AA245" s="4"/>
      <c r="AB245" s="4" t="e">
        <f ca="1">_xll.ciqfunctions.udf.CIQ("^SPX", "IQ_PRICEDATE", "12/10/2014")</f>
        <v>#NAME?</v>
      </c>
      <c r="AC245" s="16">
        <v>2026.1434555635999</v>
      </c>
    </row>
    <row r="246" spans="1:29" x14ac:dyDescent="0.35">
      <c r="A246" s="2" t="s">
        <v>256</v>
      </c>
      <c r="B246" s="4" t="s">
        <v>1159</v>
      </c>
      <c r="C246" s="4" t="s">
        <v>573</v>
      </c>
      <c r="D246" s="4" t="s">
        <v>574</v>
      </c>
      <c r="E246" s="4" t="s">
        <v>575</v>
      </c>
      <c r="F246" s="4" t="s">
        <v>807</v>
      </c>
      <c r="G246" s="14">
        <v>73.569999999999993</v>
      </c>
      <c r="H246" s="10">
        <v>16.175283</v>
      </c>
      <c r="I246" s="10">
        <v>17.216322999999999</v>
      </c>
      <c r="J246" s="10" t="s">
        <v>534</v>
      </c>
      <c r="K246" s="15">
        <v>1.3047999999999999E-2</v>
      </c>
      <c r="L246" s="17">
        <v>42187.726394999998</v>
      </c>
      <c r="M246" s="4" t="s">
        <v>1160</v>
      </c>
      <c r="N246" s="19">
        <v>4.2732700000000001</v>
      </c>
      <c r="O246" s="19">
        <v>3.5750999999999999</v>
      </c>
      <c r="P246" s="19">
        <v>4.2300000000000004</v>
      </c>
      <c r="Q246" s="19">
        <v>3.2305000000000001</v>
      </c>
      <c r="R246" s="19">
        <v>2.37</v>
      </c>
      <c r="S246" s="19">
        <v>2.9710999999999999</v>
      </c>
      <c r="T246" s="19">
        <v>2.37</v>
      </c>
      <c r="U246" s="19">
        <v>2.6977000000000002</v>
      </c>
      <c r="V246" s="19">
        <v>1.69</v>
      </c>
      <c r="W246" s="19">
        <v>2.2726000000000002</v>
      </c>
      <c r="X246" s="19">
        <v>1.69</v>
      </c>
      <c r="Y246" s="19">
        <v>2.2726000000000002</v>
      </c>
      <c r="Z246" s="4"/>
      <c r="AA246" s="4"/>
      <c r="AB246" s="4" t="e">
        <f ca="1">_xll.ciqfunctions.udf.CIQ("^SPX", "IQ_PRICEDATE", "12/11/2014")</f>
        <v>#NAME?</v>
      </c>
      <c r="AC246" s="16">
        <v>2035.3266285533</v>
      </c>
    </row>
    <row r="247" spans="1:29" x14ac:dyDescent="0.35">
      <c r="A247" s="2" t="s">
        <v>257</v>
      </c>
      <c r="B247" s="4" t="s">
        <v>1161</v>
      </c>
      <c r="C247" s="4" t="s">
        <v>543</v>
      </c>
      <c r="D247" s="4" t="s">
        <v>544</v>
      </c>
      <c r="E247" s="4" t="s">
        <v>545</v>
      </c>
      <c r="F247" s="4" t="s">
        <v>546</v>
      </c>
      <c r="G247" s="14">
        <v>134.05000000000001</v>
      </c>
      <c r="H247" s="10">
        <v>9.2836680000000005</v>
      </c>
      <c r="I247" s="10">
        <v>21.612307999999999</v>
      </c>
      <c r="J247" s="10" t="s">
        <v>534</v>
      </c>
      <c r="K247" s="15">
        <v>4.6848000000000001E-2</v>
      </c>
      <c r="L247" s="17">
        <v>122356.57573500001</v>
      </c>
      <c r="M247" s="4" t="s">
        <v>1162</v>
      </c>
      <c r="N247" s="19">
        <v>6.2024840000000001</v>
      </c>
      <c r="O247" s="19">
        <v>13.776300000000001</v>
      </c>
      <c r="P247" s="19">
        <v>6.1404820000000004</v>
      </c>
      <c r="Q247" s="19">
        <v>14.017099999999999</v>
      </c>
      <c r="R247" s="19">
        <v>12.39</v>
      </c>
      <c r="S247" s="19">
        <v>14.0162</v>
      </c>
      <c r="T247" s="19">
        <v>12.39</v>
      </c>
      <c r="U247" s="19">
        <v>14.968299999999999</v>
      </c>
      <c r="V247" s="19">
        <v>15.593061000000001</v>
      </c>
      <c r="W247" s="19">
        <v>16.736899999999999</v>
      </c>
      <c r="X247" s="19">
        <v>15.593061000000001</v>
      </c>
      <c r="Y247" s="19">
        <v>16.736899999999999</v>
      </c>
      <c r="Z247" s="4"/>
      <c r="AA247" s="4"/>
      <c r="AB247" s="4" t="e">
        <f ca="1">_xll.ciqfunctions.udf.CIQ("^SPX", "IQ_PRICEDATE", "12/12/2014")</f>
        <v>#NAME?</v>
      </c>
      <c r="AC247" s="16">
        <v>2002.3342396802</v>
      </c>
    </row>
    <row r="248" spans="1:29" x14ac:dyDescent="0.35">
      <c r="A248" s="2" t="s">
        <v>258</v>
      </c>
      <c r="B248" s="4" t="s">
        <v>1163</v>
      </c>
      <c r="C248" s="4" t="s">
        <v>586</v>
      </c>
      <c r="D248" s="4" t="s">
        <v>586</v>
      </c>
      <c r="E248" s="4" t="s">
        <v>587</v>
      </c>
      <c r="F248" s="4" t="s">
        <v>598</v>
      </c>
      <c r="G248" s="14">
        <v>138.22999999999999</v>
      </c>
      <c r="H248" s="10">
        <v>20.308163</v>
      </c>
      <c r="I248" s="10">
        <v>36.862974000000001</v>
      </c>
      <c r="J248" s="10">
        <v>52.070168000000002</v>
      </c>
      <c r="K248" s="15">
        <v>2.1124E-2</v>
      </c>
      <c r="L248" s="17">
        <v>14742.229499999999</v>
      </c>
      <c r="M248" s="4" t="s">
        <v>1164</v>
      </c>
      <c r="N248" s="19">
        <v>3.7498330000000002</v>
      </c>
      <c r="O248" s="19">
        <v>6.1638000000000002</v>
      </c>
      <c r="P248" s="19">
        <v>3.72</v>
      </c>
      <c r="Q248" s="19">
        <v>6.1523000000000003</v>
      </c>
      <c r="R248" s="19">
        <v>5.05</v>
      </c>
      <c r="S248" s="19">
        <v>5.76</v>
      </c>
      <c r="T248" s="19">
        <v>5.05</v>
      </c>
      <c r="U248" s="19">
        <v>5.4825999999999997</v>
      </c>
      <c r="V248" s="19">
        <v>5.0599999999999996</v>
      </c>
      <c r="W248" s="19">
        <v>5.3129999999999997</v>
      </c>
      <c r="X248" s="19">
        <v>5.0599999999999996</v>
      </c>
      <c r="Y248" s="19">
        <v>5.3129999999999997</v>
      </c>
      <c r="Z248" s="4"/>
      <c r="AA248" s="4"/>
      <c r="AB248" s="4" t="e">
        <f ca="1">_xll.ciqfunctions.udf.CIQ("^SPX", "IQ_PRICEDATE", "12/15/2014")</f>
        <v>#NAME?</v>
      </c>
      <c r="AC248" s="16">
        <v>1989.6307630511999</v>
      </c>
    </row>
    <row r="249" spans="1:29" x14ac:dyDescent="0.35">
      <c r="A249" s="2" t="s">
        <v>259</v>
      </c>
      <c r="B249" s="4" t="s">
        <v>1165</v>
      </c>
      <c r="C249" s="4" t="s">
        <v>586</v>
      </c>
      <c r="D249" s="4" t="s">
        <v>586</v>
      </c>
      <c r="E249" s="4" t="s">
        <v>726</v>
      </c>
      <c r="F249" s="4" t="s">
        <v>727</v>
      </c>
      <c r="G249" s="14">
        <v>43.2</v>
      </c>
      <c r="H249" s="10">
        <v>7.1976259999999996</v>
      </c>
      <c r="I249" s="10">
        <v>6.9000849999999998</v>
      </c>
      <c r="J249" s="10">
        <v>5.0965030000000002</v>
      </c>
      <c r="K249" s="15">
        <v>4.6295999999999997E-2</v>
      </c>
      <c r="L249" s="17">
        <v>17663.532407999999</v>
      </c>
      <c r="M249" s="4" t="s">
        <v>1166</v>
      </c>
      <c r="N249" s="19">
        <v>6.2607920000000004</v>
      </c>
      <c r="O249" s="19">
        <v>5.5339</v>
      </c>
      <c r="P249" s="19">
        <v>5.05</v>
      </c>
      <c r="Q249" s="19">
        <v>4.3665000000000003</v>
      </c>
      <c r="R249" s="19">
        <v>1.93</v>
      </c>
      <c r="S249" s="19">
        <v>3.7856999999999998</v>
      </c>
      <c r="T249" s="19">
        <v>1.93</v>
      </c>
      <c r="U249" s="19">
        <v>3.8092000000000001</v>
      </c>
      <c r="V249" s="19">
        <v>1.31</v>
      </c>
      <c r="W249" s="19">
        <v>3.6678000000000002</v>
      </c>
      <c r="X249" s="19">
        <v>1.31</v>
      </c>
      <c r="Y249" s="19">
        <v>3.6678000000000002</v>
      </c>
      <c r="Z249" s="4"/>
      <c r="AA249" s="4"/>
      <c r="AB249" s="4" t="e">
        <f ca="1">_xll.ciqfunctions.udf.CIQ("^SPX", "IQ_PRICEDATE", "12/16/2014")</f>
        <v>#NAME?</v>
      </c>
      <c r="AC249" s="16">
        <v>1972.7364597573001</v>
      </c>
    </row>
    <row r="250" spans="1:29" x14ac:dyDescent="0.35">
      <c r="A250" s="2" t="s">
        <v>260</v>
      </c>
      <c r="B250" s="4" t="s">
        <v>1167</v>
      </c>
      <c r="C250" s="4" t="s">
        <v>543</v>
      </c>
      <c r="D250" s="4" t="s">
        <v>544</v>
      </c>
      <c r="E250" s="4" t="s">
        <v>555</v>
      </c>
      <c r="F250" s="4" t="s">
        <v>556</v>
      </c>
      <c r="G250" s="14">
        <v>218.83</v>
      </c>
      <c r="H250" s="10">
        <v>31.888824</v>
      </c>
      <c r="I250" s="10">
        <v>47.161636999999999</v>
      </c>
      <c r="J250" s="10">
        <v>82.980863999999997</v>
      </c>
      <c r="K250" s="15">
        <v>8.5909999999999997E-3</v>
      </c>
      <c r="L250" s="17">
        <v>56605.110605000002</v>
      </c>
      <c r="M250" s="4" t="s">
        <v>1168</v>
      </c>
      <c r="N250" s="19">
        <v>4.6399999999999997</v>
      </c>
      <c r="O250" s="19">
        <v>6.4806299999999997</v>
      </c>
      <c r="P250" s="19">
        <v>3.7771970000000001</v>
      </c>
      <c r="Q250" s="19">
        <v>4.9840999999999998</v>
      </c>
      <c r="R250" s="19">
        <v>3.076711</v>
      </c>
      <c r="S250" s="19">
        <v>4.4196</v>
      </c>
      <c r="T250" s="19">
        <v>3.076711</v>
      </c>
      <c r="U250" s="19">
        <v>3.5710999999999999</v>
      </c>
      <c r="V250" s="19">
        <v>2.8676759999999999</v>
      </c>
      <c r="W250" s="19">
        <v>2.5811999999999999</v>
      </c>
      <c r="X250" s="19">
        <v>2.8676759999999999</v>
      </c>
      <c r="Y250" s="19">
        <v>2.5811999999999999</v>
      </c>
      <c r="Z250" s="4"/>
      <c r="AA250" s="4"/>
      <c r="AB250" s="4" t="e">
        <f ca="1">_xll.ciqfunctions.udf.CIQ("^SPX", "IQ_PRICEDATE", "12/17/2014")</f>
        <v>#NAME?</v>
      </c>
      <c r="AC250" s="16">
        <v>2012.8859796547999</v>
      </c>
    </row>
    <row r="251" spans="1:29" x14ac:dyDescent="0.35">
      <c r="A251" s="2" t="s">
        <v>261</v>
      </c>
      <c r="B251" s="4" t="s">
        <v>1169</v>
      </c>
      <c r="C251" s="4" t="s">
        <v>530</v>
      </c>
      <c r="D251" s="4" t="s">
        <v>531</v>
      </c>
      <c r="E251" s="4" t="s">
        <v>532</v>
      </c>
      <c r="F251" s="4" t="s">
        <v>533</v>
      </c>
      <c r="G251" s="14">
        <v>542.91</v>
      </c>
      <c r="H251" s="10">
        <v>44.728051000000001</v>
      </c>
      <c r="I251" s="10">
        <v>80.058972999999995</v>
      </c>
      <c r="J251" s="10">
        <v>11.144607000000001</v>
      </c>
      <c r="K251" s="15">
        <v>0</v>
      </c>
      <c r="L251" s="17">
        <v>61754.706258999999</v>
      </c>
      <c r="M251" s="4" t="s">
        <v>1170</v>
      </c>
      <c r="N251" s="19">
        <v>6.7813759999999998</v>
      </c>
      <c r="O251" s="19">
        <v>11.362399999999999</v>
      </c>
      <c r="P251" s="19">
        <v>5.67</v>
      </c>
      <c r="Q251" s="19">
        <v>8.8413000000000004</v>
      </c>
      <c r="R251" s="19">
        <v>6.24</v>
      </c>
      <c r="S251" s="19">
        <v>7.8052000000000001</v>
      </c>
      <c r="T251" s="19">
        <v>6.24</v>
      </c>
      <c r="U251" s="19">
        <v>6.3647</v>
      </c>
      <c r="V251" s="19">
        <v>3.7033</v>
      </c>
      <c r="W251" s="19">
        <v>5.6635999999999997</v>
      </c>
      <c r="X251" s="19">
        <v>3.7033</v>
      </c>
      <c r="Y251" s="19">
        <v>5.6635999999999997</v>
      </c>
      <c r="Z251" s="4"/>
      <c r="AA251" s="4"/>
      <c r="AB251" s="4" t="e">
        <f ca="1">_xll.ciqfunctions.udf.CIQ("^SPX", "IQ_PRICEDATE", "12/18/2014")</f>
        <v>#NAME?</v>
      </c>
      <c r="AC251" s="16">
        <v>2061.2301186246</v>
      </c>
    </row>
    <row r="252" spans="1:29" x14ac:dyDescent="0.35">
      <c r="A252" s="2" t="s">
        <v>262</v>
      </c>
      <c r="B252" s="4" t="s">
        <v>1171</v>
      </c>
      <c r="C252" s="4" t="s">
        <v>573</v>
      </c>
      <c r="D252" s="4" t="s">
        <v>574</v>
      </c>
      <c r="E252" s="4" t="s">
        <v>575</v>
      </c>
      <c r="F252" s="4" t="s">
        <v>576</v>
      </c>
      <c r="G252" s="14">
        <v>20.94</v>
      </c>
      <c r="H252" s="10">
        <v>9.7137360000000008</v>
      </c>
      <c r="I252" s="10">
        <v>7.3317629999999996</v>
      </c>
      <c r="J252" s="10" t="s">
        <v>534</v>
      </c>
      <c r="K252" s="15">
        <v>5.7305999999999996E-2</v>
      </c>
      <c r="L252" s="17">
        <v>8603.1766779999998</v>
      </c>
      <c r="M252" s="4" t="s">
        <v>1172</v>
      </c>
      <c r="N252" s="19">
        <v>2.8560660000000002</v>
      </c>
      <c r="O252" s="19">
        <v>2.6720000000000002</v>
      </c>
      <c r="P252" s="19">
        <v>2.75</v>
      </c>
      <c r="Q252" s="19">
        <v>2.8094000000000001</v>
      </c>
      <c r="R252" s="19">
        <v>2.0598019999999999</v>
      </c>
      <c r="S252" s="19">
        <v>2.5004</v>
      </c>
      <c r="T252" s="19">
        <v>2.0598019999999999</v>
      </c>
      <c r="U252" s="19">
        <v>2.5954999999999999</v>
      </c>
      <c r="V252" s="19">
        <v>2.2794599999999998</v>
      </c>
      <c r="W252" s="19">
        <v>2.6703999999999999</v>
      </c>
      <c r="X252" s="19">
        <v>2.2794599999999998</v>
      </c>
      <c r="Y252" s="19">
        <v>2.6703999999999999</v>
      </c>
      <c r="Z252" s="4"/>
      <c r="AA252" s="4"/>
      <c r="AB252" s="4" t="e">
        <f ca="1">_xll.ciqfunctions.udf.CIQ("^SPX", "IQ_PRICEDATE", "12/19/2014")</f>
        <v>#NAME?</v>
      </c>
      <c r="AC252" s="16">
        <v>2070.6469553891998</v>
      </c>
    </row>
    <row r="253" spans="1:29" x14ac:dyDescent="0.35">
      <c r="A253" s="2" t="s">
        <v>263</v>
      </c>
      <c r="B253" s="4" t="s">
        <v>1173</v>
      </c>
      <c r="C253" s="4" t="s">
        <v>543</v>
      </c>
      <c r="D253" s="4" t="s">
        <v>664</v>
      </c>
      <c r="E253" s="4" t="s">
        <v>665</v>
      </c>
      <c r="F253" s="4" t="s">
        <v>1174</v>
      </c>
      <c r="G253" s="14">
        <v>139.94</v>
      </c>
      <c r="H253" s="10">
        <v>9.4032289999999996</v>
      </c>
      <c r="I253" s="10">
        <v>19.402211000000001</v>
      </c>
      <c r="J253" s="10">
        <v>3.6402589999999999</v>
      </c>
      <c r="K253" s="15">
        <v>0</v>
      </c>
      <c r="L253" s="17">
        <v>7523.2652209999997</v>
      </c>
      <c r="M253" s="4" t="s">
        <v>1175</v>
      </c>
      <c r="N253" s="19">
        <v>7.21258</v>
      </c>
      <c r="O253" s="19">
        <v>7.3319999999999999</v>
      </c>
      <c r="P253" s="19">
        <v>6.36</v>
      </c>
      <c r="Q253" s="19">
        <v>7.5782999999999996</v>
      </c>
      <c r="R253" s="19">
        <v>4.8499999999999996</v>
      </c>
      <c r="S253" s="19">
        <v>5.2008000000000001</v>
      </c>
      <c r="T253" s="19">
        <v>4.8499999999999996</v>
      </c>
      <c r="U253" s="19">
        <v>4.9156000000000004</v>
      </c>
      <c r="V253" s="19">
        <v>3.79</v>
      </c>
      <c r="W253" s="19">
        <v>4.0875000000000004</v>
      </c>
      <c r="X253" s="19">
        <v>3.79</v>
      </c>
      <c r="Y253" s="19">
        <v>4.0875000000000004</v>
      </c>
      <c r="Z253" s="4"/>
      <c r="AA253" s="4"/>
      <c r="AB253" s="4" t="e">
        <f ca="1">_xll.ciqfunctions.udf.CIQ("^SPX", "IQ_PRICEDATE", "12/22/2014")</f>
        <v>#NAME?</v>
      </c>
      <c r="AC253" s="16">
        <v>2078.5361717518999</v>
      </c>
    </row>
    <row r="254" spans="1:29" x14ac:dyDescent="0.35">
      <c r="A254" s="2" t="s">
        <v>264</v>
      </c>
      <c r="B254" s="4" t="s">
        <v>1176</v>
      </c>
      <c r="C254" s="4" t="s">
        <v>530</v>
      </c>
      <c r="D254" s="4" t="s">
        <v>537</v>
      </c>
      <c r="E254" s="4" t="s">
        <v>583</v>
      </c>
      <c r="F254" s="4" t="s">
        <v>583</v>
      </c>
      <c r="G254" s="14">
        <v>129.38</v>
      </c>
      <c r="H254" s="10">
        <v>20.103487999999999</v>
      </c>
      <c r="I254" s="10">
        <v>21.650442999999999</v>
      </c>
      <c r="J254" s="10" t="s">
        <v>534</v>
      </c>
      <c r="K254" s="15">
        <v>0</v>
      </c>
      <c r="L254" s="17">
        <v>26210.692475</v>
      </c>
      <c r="M254" s="4" t="s">
        <v>1177</v>
      </c>
      <c r="N254" s="19">
        <v>5.9758589999999998</v>
      </c>
      <c r="O254" s="19">
        <v>5.8357000000000001</v>
      </c>
      <c r="P254" s="19">
        <v>5.88</v>
      </c>
      <c r="Q254" s="19">
        <v>5.1369999999999996</v>
      </c>
      <c r="R254" s="19">
        <v>0.76</v>
      </c>
      <c r="S254" s="19">
        <v>4.3288000000000002</v>
      </c>
      <c r="T254" s="19">
        <v>0.76</v>
      </c>
      <c r="U254" s="19">
        <v>3.5811000000000002</v>
      </c>
      <c r="V254" s="19">
        <v>2.72</v>
      </c>
      <c r="W254" s="19">
        <v>2.8815</v>
      </c>
      <c r="X254" s="19">
        <v>2.72</v>
      </c>
      <c r="Y254" s="19">
        <v>2.8815</v>
      </c>
      <c r="Z254" s="4"/>
      <c r="AA254" s="4"/>
      <c r="AB254" s="4" t="e">
        <f ca="1">_xll.ciqfunctions.udf.CIQ("^SPX", "IQ_PRICEDATE", "12/23/2014")</f>
        <v>#NAME?</v>
      </c>
      <c r="AC254" s="16">
        <v>2082.1676604115</v>
      </c>
    </row>
    <row r="255" spans="1:29" x14ac:dyDescent="0.35">
      <c r="A255" s="2" t="s">
        <v>265</v>
      </c>
      <c r="B255" s="4" t="s">
        <v>1178</v>
      </c>
      <c r="C255" s="4" t="s">
        <v>601</v>
      </c>
      <c r="D255" s="4" t="s">
        <v>601</v>
      </c>
      <c r="E255" s="4" t="s">
        <v>602</v>
      </c>
      <c r="F255" s="4" t="s">
        <v>647</v>
      </c>
      <c r="G255" s="14">
        <v>31.74</v>
      </c>
      <c r="H255" s="10">
        <v>12.41197</v>
      </c>
      <c r="I255" s="10">
        <v>46.523148999999997</v>
      </c>
      <c r="J255" s="10" t="s">
        <v>534</v>
      </c>
      <c r="K255" s="15">
        <v>7.4039000000000008E-2</v>
      </c>
      <c r="L255" s="17">
        <v>9082.2671520000004</v>
      </c>
      <c r="M255" s="4" t="s">
        <v>1179</v>
      </c>
      <c r="N255" s="19">
        <v>0.68224099999999999</v>
      </c>
      <c r="O255" s="19">
        <v>1.1133999999999999</v>
      </c>
      <c r="P255" s="19">
        <v>0.71</v>
      </c>
      <c r="Q255" s="19">
        <v>1.2918000000000001</v>
      </c>
      <c r="R255" s="19">
        <v>0.409999</v>
      </c>
      <c r="S255" s="19">
        <v>1.1473</v>
      </c>
      <c r="T255" s="19">
        <v>0.409999</v>
      </c>
      <c r="U255" s="19">
        <v>1.3130999999999999</v>
      </c>
      <c r="V255" s="19">
        <v>1.661062</v>
      </c>
      <c r="W255" s="19">
        <v>1.2966</v>
      </c>
      <c r="X255" s="19">
        <v>1.661062</v>
      </c>
      <c r="Y255" s="19">
        <v>1.2966</v>
      </c>
      <c r="Z255" s="4"/>
      <c r="AA255" s="4"/>
      <c r="AB255" s="4" t="e">
        <f ca="1">_xll.ciqfunctions.udf.CIQ("^SPX", "IQ_PRICEDATE", "12/24/2014")</f>
        <v>#NAME?</v>
      </c>
      <c r="AC255" s="16">
        <v>2081.8815308929002</v>
      </c>
    </row>
    <row r="256" spans="1:29" x14ac:dyDescent="0.35">
      <c r="A256" s="2" t="s">
        <v>266</v>
      </c>
      <c r="B256" s="4" t="s">
        <v>1180</v>
      </c>
      <c r="C256" s="4" t="s">
        <v>525</v>
      </c>
      <c r="D256" s="4" t="s">
        <v>594</v>
      </c>
      <c r="E256" s="4" t="s">
        <v>903</v>
      </c>
      <c r="F256" s="4" t="s">
        <v>1181</v>
      </c>
      <c r="G256" s="14">
        <v>112.2</v>
      </c>
      <c r="H256" s="10">
        <v>11.778181</v>
      </c>
      <c r="I256" s="10">
        <v>15.781701999999999</v>
      </c>
      <c r="J256" s="10">
        <v>5.8875690000000001</v>
      </c>
      <c r="K256" s="15">
        <v>8.5560000000000011E-3</v>
      </c>
      <c r="L256" s="17">
        <v>12268.400165999999</v>
      </c>
      <c r="M256" s="4" t="s">
        <v>1182</v>
      </c>
      <c r="N256" s="19">
        <v>7.1094989999999996</v>
      </c>
      <c r="O256" s="19">
        <v>6.1639999999999997</v>
      </c>
      <c r="P256" s="19">
        <v>6.18</v>
      </c>
      <c r="Q256" s="19">
        <v>4.1931000000000003</v>
      </c>
      <c r="R256" s="19">
        <v>3.81</v>
      </c>
      <c r="S256" s="19">
        <v>4.0339999999999998</v>
      </c>
      <c r="T256" s="19">
        <v>3.81</v>
      </c>
      <c r="U256" s="19">
        <v>3.9384000000000001</v>
      </c>
      <c r="V256" s="19">
        <v>3.16</v>
      </c>
      <c r="W256" s="19">
        <v>3.4761000000000002</v>
      </c>
      <c r="X256" s="19">
        <v>3.16</v>
      </c>
      <c r="Y256" s="19">
        <v>3.4761000000000002</v>
      </c>
      <c r="Z256" s="4"/>
      <c r="AA256" s="4"/>
      <c r="AB256" s="4" t="e">
        <f ca="1">_xll.ciqfunctions.udf.CIQ("^SPX", "IQ_PRICEDATE", "12/26/2014")</f>
        <v>#NAME?</v>
      </c>
      <c r="AC256" s="16">
        <v>2088.7660628378999</v>
      </c>
    </row>
    <row r="257" spans="1:29" x14ac:dyDescent="0.35">
      <c r="A257" s="2" t="s">
        <v>267</v>
      </c>
      <c r="B257" s="4" t="s">
        <v>1183</v>
      </c>
      <c r="C257" s="4" t="s">
        <v>525</v>
      </c>
      <c r="D257" s="4" t="s">
        <v>526</v>
      </c>
      <c r="E257" s="4" t="s">
        <v>1046</v>
      </c>
      <c r="F257" s="4" t="s">
        <v>1046</v>
      </c>
      <c r="G257" s="14">
        <v>73.849999999999994</v>
      </c>
      <c r="H257" s="10">
        <v>12.781662000000001</v>
      </c>
      <c r="I257" s="10">
        <v>33.384928000000002</v>
      </c>
      <c r="J257" s="10" t="s">
        <v>534</v>
      </c>
      <c r="K257" s="15">
        <v>8.1239999999999993E-3</v>
      </c>
      <c r="L257" s="17">
        <v>10479.617711000001</v>
      </c>
      <c r="M257" s="4" t="s">
        <v>1184</v>
      </c>
      <c r="N257" s="19">
        <v>2.2120760000000002</v>
      </c>
      <c r="O257" s="19">
        <v>5.1555</v>
      </c>
      <c r="P257" s="19">
        <v>1.9205760000000001</v>
      </c>
      <c r="Q257" s="19">
        <v>3.4943499999999998</v>
      </c>
      <c r="R257" s="19">
        <v>1.850436</v>
      </c>
      <c r="S257" s="19">
        <v>3.1346599999999998</v>
      </c>
      <c r="T257" s="19">
        <v>1.850436</v>
      </c>
      <c r="U257" s="19">
        <v>3.0944799999999999</v>
      </c>
      <c r="V257" s="19">
        <v>2.537652</v>
      </c>
      <c r="W257" s="19">
        <v>3.5872199999999999</v>
      </c>
      <c r="X257" s="19">
        <v>2.537652</v>
      </c>
      <c r="Y257" s="19">
        <v>3.5872199999999999</v>
      </c>
      <c r="Z257" s="4"/>
      <c r="AA257" s="4"/>
      <c r="AB257" s="4" t="e">
        <f ca="1">_xll.ciqfunctions.udf.CIQ("^SPX", "IQ_PRICEDATE", "12/29/2014")</f>
        <v>#NAME?</v>
      </c>
      <c r="AC257" s="16">
        <v>2090.5738632215998</v>
      </c>
    </row>
    <row r="258" spans="1:29" x14ac:dyDescent="0.35">
      <c r="A258" s="2" t="s">
        <v>268</v>
      </c>
      <c r="B258" s="4" t="s">
        <v>1185</v>
      </c>
      <c r="C258" s="4" t="s">
        <v>573</v>
      </c>
      <c r="D258" s="4" t="s">
        <v>574</v>
      </c>
      <c r="E258" s="4" t="s">
        <v>748</v>
      </c>
      <c r="F258" s="4" t="s">
        <v>749</v>
      </c>
      <c r="G258" s="14">
        <v>21.7</v>
      </c>
      <c r="H258" s="10">
        <v>10.817069999999999</v>
      </c>
      <c r="I258" s="10" t="s">
        <v>534</v>
      </c>
      <c r="J258" s="10">
        <v>0.83744099999999999</v>
      </c>
      <c r="K258" s="15">
        <v>2.3040999999999999E-2</v>
      </c>
      <c r="L258" s="17">
        <v>7233.3064400000003</v>
      </c>
      <c r="M258" s="4" t="s">
        <v>1186</v>
      </c>
      <c r="N258" s="19">
        <v>-8.6269999999999993E-3</v>
      </c>
      <c r="O258" s="19">
        <v>1.87</v>
      </c>
      <c r="P258" s="19">
        <v>0.44976100000000002</v>
      </c>
      <c r="Q258" s="19">
        <v>1.65</v>
      </c>
      <c r="R258" s="19">
        <v>0.33738600000000002</v>
      </c>
      <c r="S258" s="19">
        <v>1.085</v>
      </c>
      <c r="T258" s="19">
        <v>0.33738600000000002</v>
      </c>
      <c r="U258" s="19">
        <v>0.78</v>
      </c>
      <c r="V258" s="19">
        <v>0.57973699999999995</v>
      </c>
      <c r="W258" s="19">
        <v>-0.6</v>
      </c>
      <c r="X258" s="19">
        <v>0.57973699999999995</v>
      </c>
      <c r="Y258" s="19">
        <v>-0.6</v>
      </c>
      <c r="Z258" s="4"/>
      <c r="AA258" s="4"/>
      <c r="AB258" s="4" t="e">
        <f ca="1">_xll.ciqfunctions.udf.CIQ("^SPX", "IQ_PRICEDATE", "12/30/2014")</f>
        <v>#NAME?</v>
      </c>
      <c r="AC258" s="16">
        <v>2080.3458639493001</v>
      </c>
    </row>
    <row r="259" spans="1:29" x14ac:dyDescent="0.35">
      <c r="A259" s="2" t="s">
        <v>269</v>
      </c>
      <c r="B259" s="4" t="s">
        <v>1187</v>
      </c>
      <c r="C259" s="4" t="s">
        <v>530</v>
      </c>
      <c r="D259" s="4" t="s">
        <v>537</v>
      </c>
      <c r="E259" s="4" t="s">
        <v>613</v>
      </c>
      <c r="F259" s="4" t="s">
        <v>613</v>
      </c>
      <c r="G259" s="14">
        <v>139.46</v>
      </c>
      <c r="H259" s="10">
        <v>13.82794</v>
      </c>
      <c r="I259" s="10">
        <v>245.060483</v>
      </c>
      <c r="J259" s="10" t="s">
        <v>534</v>
      </c>
      <c r="K259" s="15">
        <v>2.5813000000000003E-2</v>
      </c>
      <c r="L259" s="17">
        <v>374137.16026700003</v>
      </c>
      <c r="M259" s="4" t="s">
        <v>1188</v>
      </c>
      <c r="N259" s="19">
        <v>0.56908400000000003</v>
      </c>
      <c r="O259" s="19">
        <v>8.3667999999999996</v>
      </c>
      <c r="P259" s="19">
        <v>0.47389999999999999</v>
      </c>
      <c r="Q259" s="19">
        <v>7.7030000000000003</v>
      </c>
      <c r="R259" s="19">
        <v>5.6973520000000004</v>
      </c>
      <c r="S259" s="19">
        <v>6.9474999999999998</v>
      </c>
      <c r="T259" s="19">
        <v>5.6973520000000004</v>
      </c>
      <c r="U259" s="19">
        <v>6.2648000000000001</v>
      </c>
      <c r="V259" s="19">
        <v>5.7006180000000004</v>
      </c>
      <c r="W259" s="19">
        <v>5.9557000000000002</v>
      </c>
      <c r="X259" s="19">
        <v>5.7006180000000004</v>
      </c>
      <c r="Y259" s="19">
        <v>5.9557000000000002</v>
      </c>
      <c r="Z259" s="4"/>
      <c r="AA259" s="4"/>
      <c r="AB259" s="4" t="e">
        <f ca="1">_xll.ciqfunctions.udf.CIQ("^SPX", "IQ_PRICEDATE", "12/31/2014")</f>
        <v>#NAME?</v>
      </c>
      <c r="AC259" s="16">
        <v>2058.9023788569002</v>
      </c>
    </row>
    <row r="260" spans="1:29" x14ac:dyDescent="0.35">
      <c r="A260" s="2" t="s">
        <v>270</v>
      </c>
      <c r="B260" s="4" t="s">
        <v>1189</v>
      </c>
      <c r="C260" s="4" t="s">
        <v>525</v>
      </c>
      <c r="D260" s="4" t="s">
        <v>526</v>
      </c>
      <c r="E260" s="4" t="s">
        <v>527</v>
      </c>
      <c r="F260" s="4" t="s">
        <v>527</v>
      </c>
      <c r="G260" s="14">
        <v>33.86</v>
      </c>
      <c r="H260" s="10">
        <v>8.6155080000000002</v>
      </c>
      <c r="I260" s="10">
        <v>13.953128</v>
      </c>
      <c r="J260" s="10" t="s">
        <v>534</v>
      </c>
      <c r="K260" s="15">
        <v>3.0714000000000002E-2</v>
      </c>
      <c r="L260" s="17">
        <v>31317.865049</v>
      </c>
      <c r="M260" s="4" t="s">
        <v>1190</v>
      </c>
      <c r="N260" s="19">
        <v>2.4266960000000002</v>
      </c>
      <c r="O260" s="19">
        <v>2.9670000000000001</v>
      </c>
      <c r="P260" s="19">
        <v>1.6118680000000001</v>
      </c>
      <c r="Q260" s="19">
        <v>2.8096299999999998</v>
      </c>
      <c r="R260" s="19">
        <v>1.111035</v>
      </c>
      <c r="S260" s="19">
        <v>2.6903999999999999</v>
      </c>
      <c r="T260" s="19">
        <v>1.111035</v>
      </c>
      <c r="U260" s="19">
        <v>3.9556200000000001</v>
      </c>
      <c r="V260" s="19">
        <v>2.1573060000000002</v>
      </c>
      <c r="W260" s="19">
        <v>3.7068099999999999</v>
      </c>
      <c r="X260" s="19">
        <v>2.1573060000000002</v>
      </c>
      <c r="Y260" s="19">
        <v>3.7068099999999999</v>
      </c>
      <c r="Z260" s="4"/>
      <c r="AA260" s="4"/>
      <c r="AB260" s="4" t="e">
        <f ca="1">_xll.ciqfunctions.udf.CIQ("^SPX", "IQ_PRICEDATE", "1/2/2015")</f>
        <v>#NAME?</v>
      </c>
      <c r="AC260" s="16">
        <v>2058.2047787243</v>
      </c>
    </row>
    <row r="261" spans="1:29" x14ac:dyDescent="0.35">
      <c r="A261" s="2" t="s">
        <v>271</v>
      </c>
      <c r="B261" s="4" t="s">
        <v>1191</v>
      </c>
      <c r="C261" s="4" t="s">
        <v>573</v>
      </c>
      <c r="D261" s="4" t="s">
        <v>737</v>
      </c>
      <c r="E261" s="4" t="s">
        <v>737</v>
      </c>
      <c r="F261" s="4" t="s">
        <v>738</v>
      </c>
      <c r="G261" s="14">
        <v>109.83</v>
      </c>
      <c r="H261" s="10">
        <v>0</v>
      </c>
      <c r="I261" s="10">
        <v>13.631594</v>
      </c>
      <c r="J261" s="10">
        <v>2.0270100000000002</v>
      </c>
      <c r="K261" s="15">
        <v>2.9135000000000001E-2</v>
      </c>
      <c r="L261" s="17">
        <v>369073.95704399998</v>
      </c>
      <c r="M261" s="4" t="s">
        <v>1192</v>
      </c>
      <c r="N261" s="19">
        <v>8.0570179999999993</v>
      </c>
      <c r="O261" s="19">
        <v>9.8957999999999995</v>
      </c>
      <c r="P261" s="19">
        <v>6.31</v>
      </c>
      <c r="Q261" s="19">
        <v>7.5556999999999999</v>
      </c>
      <c r="R261" s="19">
        <v>6.19</v>
      </c>
      <c r="S261" s="19">
        <v>6.2808000000000002</v>
      </c>
      <c r="T261" s="19">
        <v>6.19</v>
      </c>
      <c r="U261" s="19">
        <v>5.9207000000000001</v>
      </c>
      <c r="V261" s="19">
        <v>5.29</v>
      </c>
      <c r="W261" s="19">
        <v>5.8353999999999999</v>
      </c>
      <c r="X261" s="19">
        <v>5.29</v>
      </c>
      <c r="Y261" s="19">
        <v>5.8353999999999999</v>
      </c>
      <c r="Z261" s="4"/>
      <c r="AA261" s="4"/>
      <c r="AB261" s="4" t="e">
        <f ca="1">_xll.ciqfunctions.udf.CIQ("^SPX", "IQ_PRICEDATE", "1/5/2015")</f>
        <v>#NAME?</v>
      </c>
      <c r="AC261" s="16">
        <v>2020.5778843052001</v>
      </c>
    </row>
    <row r="262" spans="1:29" x14ac:dyDescent="0.35">
      <c r="A262" s="2" t="s">
        <v>272</v>
      </c>
      <c r="B262" s="4" t="s">
        <v>1193</v>
      </c>
      <c r="C262" s="4" t="s">
        <v>543</v>
      </c>
      <c r="D262" s="4" t="s">
        <v>664</v>
      </c>
      <c r="E262" s="4" t="s">
        <v>706</v>
      </c>
      <c r="F262" s="4" t="s">
        <v>706</v>
      </c>
      <c r="G262" s="14">
        <v>28.87</v>
      </c>
      <c r="H262" s="10">
        <v>9.7576499999999999</v>
      </c>
      <c r="I262" s="10">
        <v>62.486877999999997</v>
      </c>
      <c r="J262" s="10">
        <v>8.3905999999999992</v>
      </c>
      <c r="K262" s="15">
        <v>2.4938999999999999E-2</v>
      </c>
      <c r="L262" s="17">
        <v>9954.2319389999993</v>
      </c>
      <c r="M262" s="4" t="s">
        <v>1194</v>
      </c>
      <c r="N262" s="19">
        <v>0.46201700000000001</v>
      </c>
      <c r="O262" s="19">
        <v>1.8831</v>
      </c>
      <c r="P262" s="19">
        <v>0.8</v>
      </c>
      <c r="Q262" s="19">
        <v>2.0438999999999998</v>
      </c>
      <c r="R262" s="19">
        <v>1.53</v>
      </c>
      <c r="S262" s="19">
        <v>2.2212999999999998</v>
      </c>
      <c r="T262" s="19">
        <v>1.53</v>
      </c>
      <c r="U262" s="19">
        <v>2.1717</v>
      </c>
      <c r="V262" s="19">
        <v>-0.73087000000000002</v>
      </c>
      <c r="W262" s="19">
        <v>1.4215</v>
      </c>
      <c r="X262" s="19">
        <v>-0.73087000000000002</v>
      </c>
      <c r="Y262" s="19">
        <v>1.4215</v>
      </c>
      <c r="Z262" s="4"/>
      <c r="AA262" s="4"/>
      <c r="AB262" s="4" t="e">
        <f ca="1">_xll.ciqfunctions.udf.CIQ("^SPX", "IQ_PRICEDATE", "1/6/2015")</f>
        <v>#NAME?</v>
      </c>
      <c r="AC262" s="16">
        <v>2002.6135878652999</v>
      </c>
    </row>
    <row r="263" spans="1:29" x14ac:dyDescent="0.35">
      <c r="A263" s="2" t="s">
        <v>273</v>
      </c>
      <c r="B263" s="4" t="s">
        <v>1195</v>
      </c>
      <c r="C263" s="4" t="s">
        <v>525</v>
      </c>
      <c r="D263" s="4" t="s">
        <v>594</v>
      </c>
      <c r="E263" s="4" t="s">
        <v>903</v>
      </c>
      <c r="F263" s="4" t="s">
        <v>904</v>
      </c>
      <c r="G263" s="14">
        <v>104.01</v>
      </c>
      <c r="H263" s="10">
        <v>10.648586999999999</v>
      </c>
      <c r="I263" s="10">
        <v>11.040803</v>
      </c>
      <c r="J263" s="10">
        <v>2.2738339999999999</v>
      </c>
      <c r="K263" s="15">
        <v>1.3844E-2</v>
      </c>
      <c r="L263" s="17">
        <v>10625.573504</v>
      </c>
      <c r="M263" s="4" t="s">
        <v>1196</v>
      </c>
      <c r="N263" s="19">
        <v>9.4205100000000002</v>
      </c>
      <c r="O263" s="19">
        <v>6.4467999999999996</v>
      </c>
      <c r="P263" s="19">
        <v>9.16</v>
      </c>
      <c r="Q263" s="19">
        <v>5.7092000000000001</v>
      </c>
      <c r="R263" s="19">
        <v>4.43</v>
      </c>
      <c r="S263" s="19">
        <v>5.0011999999999999</v>
      </c>
      <c r="T263" s="19">
        <v>4.43</v>
      </c>
      <c r="U263" s="19">
        <v>4.6532</v>
      </c>
      <c r="V263" s="19">
        <v>4.55</v>
      </c>
      <c r="W263" s="19">
        <v>5.3170000000000002</v>
      </c>
      <c r="X263" s="19">
        <v>4.55</v>
      </c>
      <c r="Y263" s="19">
        <v>5.3170000000000002</v>
      </c>
      <c r="Z263" s="4"/>
      <c r="AA263" s="4"/>
      <c r="AB263" s="4" t="e">
        <f ca="1">_xll.ciqfunctions.udf.CIQ("^SPX", "IQ_PRICEDATE", "1/7/2015")</f>
        <v>#NAME?</v>
      </c>
      <c r="AC263" s="16">
        <v>2025.9010505617</v>
      </c>
    </row>
    <row r="264" spans="1:29" x14ac:dyDescent="0.35">
      <c r="A264" s="2" t="s">
        <v>274</v>
      </c>
      <c r="B264" s="4" t="s">
        <v>1197</v>
      </c>
      <c r="C264" s="4" t="s">
        <v>626</v>
      </c>
      <c r="D264" s="4" t="s">
        <v>627</v>
      </c>
      <c r="E264" s="4" t="s">
        <v>699</v>
      </c>
      <c r="F264" s="4" t="s">
        <v>789</v>
      </c>
      <c r="G264" s="14">
        <v>69.650000000000006</v>
      </c>
      <c r="H264" s="10">
        <v>10.42374</v>
      </c>
      <c r="I264" s="10">
        <v>13.776654000000001</v>
      </c>
      <c r="J264" s="10" t="s">
        <v>534</v>
      </c>
      <c r="K264" s="15">
        <v>3.2160000000000001E-2</v>
      </c>
      <c r="L264" s="17">
        <v>24145.750281000001</v>
      </c>
      <c r="M264" s="4" t="s">
        <v>1198</v>
      </c>
      <c r="N264" s="19">
        <v>5.0556539999999996</v>
      </c>
      <c r="O264" s="19">
        <v>4.4913999999999996</v>
      </c>
      <c r="P264" s="19">
        <v>3.62</v>
      </c>
      <c r="Q264" s="19">
        <v>4.1802999999999999</v>
      </c>
      <c r="R264" s="19">
        <v>1.96</v>
      </c>
      <c r="S264" s="19">
        <v>3.8578000000000001</v>
      </c>
      <c r="T264" s="19">
        <v>1.96</v>
      </c>
      <c r="U264" s="19">
        <v>3.6122999999999998</v>
      </c>
      <c r="V264" s="19">
        <v>4.814006</v>
      </c>
      <c r="W264" s="19">
        <v>4.0225</v>
      </c>
      <c r="X264" s="19">
        <v>4.814006</v>
      </c>
      <c r="Y264" s="19">
        <v>4.0225</v>
      </c>
      <c r="Z264" s="4"/>
      <c r="AA264" s="4"/>
      <c r="AB264" s="4" t="e">
        <f ca="1">_xll.ciqfunctions.udf.CIQ("^SPX", "IQ_PRICEDATE", "1/8/2015")</f>
        <v>#NAME?</v>
      </c>
      <c r="AC264" s="16">
        <v>2062.1435548651002</v>
      </c>
    </row>
    <row r="265" spans="1:29" x14ac:dyDescent="0.35">
      <c r="A265" s="2" t="s">
        <v>275</v>
      </c>
      <c r="B265" s="4" t="s">
        <v>1199</v>
      </c>
      <c r="C265" s="4" t="s">
        <v>573</v>
      </c>
      <c r="D265" s="4" t="s">
        <v>737</v>
      </c>
      <c r="E265" s="4" t="s">
        <v>737</v>
      </c>
      <c r="F265" s="4" t="s">
        <v>743</v>
      </c>
      <c r="G265" s="14">
        <v>18.739999999999998</v>
      </c>
      <c r="H265" s="10">
        <v>0</v>
      </c>
      <c r="I265" s="10">
        <v>14.445731</v>
      </c>
      <c r="J265" s="10">
        <v>1.7721560000000001</v>
      </c>
      <c r="K265" s="15">
        <v>3.6285999999999999E-2</v>
      </c>
      <c r="L265" s="17">
        <v>19715.156327000001</v>
      </c>
      <c r="M265" s="4" t="s">
        <v>1200</v>
      </c>
      <c r="N265" s="19">
        <v>1.297269</v>
      </c>
      <c r="O265" s="19">
        <v>1.8280000000000001</v>
      </c>
      <c r="P265" s="19">
        <v>1.1200000000000001</v>
      </c>
      <c r="Q265" s="19">
        <v>1.4718</v>
      </c>
      <c r="R265" s="19">
        <v>0.8</v>
      </c>
      <c r="S265" s="19">
        <v>1.2474000000000001</v>
      </c>
      <c r="T265" s="19">
        <v>0.8</v>
      </c>
      <c r="U265" s="19">
        <v>1.1483000000000001</v>
      </c>
      <c r="V265" s="19">
        <v>1.04</v>
      </c>
      <c r="W265" s="19">
        <v>1.0779000000000001</v>
      </c>
      <c r="X265" s="19">
        <v>1.04</v>
      </c>
      <c r="Y265" s="19">
        <v>1.0779000000000001</v>
      </c>
      <c r="Z265" s="4"/>
      <c r="AA265" s="4"/>
      <c r="AB265" s="4" t="e">
        <f ca="1">_xll.ciqfunctions.udf.CIQ("^SPX", "IQ_PRICEDATE", "1/9/2015")</f>
        <v>#NAME?</v>
      </c>
      <c r="AC265" s="16">
        <v>2044.8099000578</v>
      </c>
    </row>
    <row r="266" spans="1:29" x14ac:dyDescent="0.35">
      <c r="A266" s="2" t="s">
        <v>276</v>
      </c>
      <c r="B266" s="4" t="s">
        <v>1201</v>
      </c>
      <c r="C266" s="4" t="s">
        <v>626</v>
      </c>
      <c r="D266" s="4" t="s">
        <v>845</v>
      </c>
      <c r="E266" s="4" t="s">
        <v>846</v>
      </c>
      <c r="F266" s="4" t="s">
        <v>846</v>
      </c>
      <c r="G266" s="14">
        <v>108.82</v>
      </c>
      <c r="H266" s="10">
        <v>10.97031</v>
      </c>
      <c r="I266" s="10">
        <v>22.168955</v>
      </c>
      <c r="J266" s="10" t="s">
        <v>534</v>
      </c>
      <c r="K266" s="15">
        <v>3.6756999999999998E-2</v>
      </c>
      <c r="L266" s="17">
        <v>37832.855351999999</v>
      </c>
      <c r="M266" s="4" t="s">
        <v>1202</v>
      </c>
      <c r="N266" s="19">
        <v>4.9086660000000002</v>
      </c>
      <c r="O266" s="19">
        <v>6.6669</v>
      </c>
      <c r="P266" s="19">
        <v>6.4</v>
      </c>
      <c r="Q266" s="19">
        <v>6.4035000000000002</v>
      </c>
      <c r="R266" s="19">
        <v>5.99</v>
      </c>
      <c r="S266" s="19">
        <v>6.1612999999999998</v>
      </c>
      <c r="T266" s="19">
        <v>5.99</v>
      </c>
      <c r="U266" s="19">
        <v>6.0574000000000003</v>
      </c>
      <c r="V266" s="19">
        <v>3.91</v>
      </c>
      <c r="W266" s="19">
        <v>5.8613</v>
      </c>
      <c r="X266" s="19">
        <v>3.91</v>
      </c>
      <c r="Y266" s="19">
        <v>5.8613</v>
      </c>
      <c r="Z266" s="4"/>
      <c r="AA266" s="4"/>
      <c r="AB266" s="4" t="e">
        <f ca="1">_xll.ciqfunctions.udf.CIQ("^SPX", "IQ_PRICEDATE", "1/12/2015")</f>
        <v>#NAME?</v>
      </c>
      <c r="AC266" s="16">
        <v>2028.2638224775001</v>
      </c>
    </row>
    <row r="267" spans="1:29" x14ac:dyDescent="0.35">
      <c r="A267" s="2" t="s">
        <v>277</v>
      </c>
      <c r="B267" s="4" t="s">
        <v>1203</v>
      </c>
      <c r="C267" s="4" t="s">
        <v>601</v>
      </c>
      <c r="D267" s="4" t="s">
        <v>601</v>
      </c>
      <c r="E267" s="4" t="s">
        <v>602</v>
      </c>
      <c r="F267" s="4" t="s">
        <v>1026</v>
      </c>
      <c r="G267" s="14">
        <v>15.21</v>
      </c>
      <c r="H267" s="10">
        <v>12.975284</v>
      </c>
      <c r="I267" s="10">
        <v>14.244694000000001</v>
      </c>
      <c r="J267" s="10">
        <v>1.184458</v>
      </c>
      <c r="K267" s="15">
        <v>7.3635000000000006E-2</v>
      </c>
      <c r="L267" s="17">
        <v>6409.221939</v>
      </c>
      <c r="M267" s="4" t="s">
        <v>1204</v>
      </c>
      <c r="N267" s="19">
        <v>1.067766</v>
      </c>
      <c r="O267" s="19">
        <v>0.4889</v>
      </c>
      <c r="P267" s="19">
        <v>0.87</v>
      </c>
      <c r="Q267" s="19">
        <v>0.62929999999999997</v>
      </c>
      <c r="R267" s="19">
        <v>0.79</v>
      </c>
      <c r="S267" s="19">
        <v>0.63900000000000001</v>
      </c>
      <c r="T267" s="19">
        <v>0.79</v>
      </c>
      <c r="U267" s="19">
        <v>0.54549999999999998</v>
      </c>
      <c r="V267" s="19">
        <v>0.76270800000000005</v>
      </c>
      <c r="W267" s="19">
        <v>0.53769999999999996</v>
      </c>
      <c r="X267" s="19">
        <v>0.76270800000000005</v>
      </c>
      <c r="Y267" s="19">
        <v>0.53769999999999996</v>
      </c>
      <c r="Z267" s="4"/>
      <c r="AA267" s="4"/>
      <c r="AB267" s="4" t="e">
        <f ca="1">_xll.ciqfunctions.udf.CIQ("^SPX", "IQ_PRICEDATE", "1/13/2015")</f>
        <v>#NAME?</v>
      </c>
      <c r="AC267" s="16">
        <v>2023.0292191098999</v>
      </c>
    </row>
    <row r="268" spans="1:29" x14ac:dyDescent="0.35">
      <c r="A268" s="2" t="s">
        <v>278</v>
      </c>
      <c r="B268" s="4" t="s">
        <v>1205</v>
      </c>
      <c r="C268" s="4" t="s">
        <v>669</v>
      </c>
      <c r="D268" s="4" t="s">
        <v>669</v>
      </c>
      <c r="E268" s="4" t="s">
        <v>670</v>
      </c>
      <c r="F268" s="4" t="s">
        <v>1206</v>
      </c>
      <c r="G268" s="14">
        <v>17.95</v>
      </c>
      <c r="H268" s="10">
        <v>11.323112</v>
      </c>
      <c r="I268" s="10" t="s">
        <v>534</v>
      </c>
      <c r="J268" s="10">
        <v>3.435146</v>
      </c>
      <c r="K268" s="15">
        <v>4.4568000000000003E-2</v>
      </c>
      <c r="L268" s="17">
        <v>39612.580011999999</v>
      </c>
      <c r="M268" s="4" t="s">
        <v>1207</v>
      </c>
      <c r="N268" s="19">
        <v>-2.5257000000000002E-2</v>
      </c>
      <c r="O268" s="19">
        <v>0.92900000000000005</v>
      </c>
      <c r="P268" s="19">
        <v>9.8650000000000005E-3</v>
      </c>
      <c r="Q268" s="19">
        <v>0.67010000000000003</v>
      </c>
      <c r="R268" s="19">
        <v>0.24573900000000001</v>
      </c>
      <c r="S268" s="19">
        <v>0.70679999999999998</v>
      </c>
      <c r="T268" s="19">
        <v>0.24573900000000001</v>
      </c>
      <c r="U268" s="19">
        <v>0.70279999999999998</v>
      </c>
      <c r="V268" s="19">
        <v>0.89</v>
      </c>
      <c r="W268" s="19">
        <v>1.107</v>
      </c>
      <c r="X268" s="19">
        <v>0.89</v>
      </c>
      <c r="Y268" s="19">
        <v>1.107</v>
      </c>
      <c r="Z268" s="4"/>
      <c r="AA268" s="4"/>
      <c r="AB268" s="4" t="e">
        <f ca="1">_xll.ciqfunctions.udf.CIQ("^SPX", "IQ_PRICEDATE", "1/14/2015")</f>
        <v>#NAME?</v>
      </c>
      <c r="AC268" s="16">
        <v>2011.2728977286999</v>
      </c>
    </row>
    <row r="269" spans="1:29" x14ac:dyDescent="0.35">
      <c r="A269" s="2" t="s">
        <v>279</v>
      </c>
      <c r="B269" s="4" t="s">
        <v>1208</v>
      </c>
      <c r="C269" s="4" t="s">
        <v>543</v>
      </c>
      <c r="D269" s="4" t="s">
        <v>565</v>
      </c>
      <c r="E269" s="4" t="s">
        <v>565</v>
      </c>
      <c r="F269" s="4" t="s">
        <v>691</v>
      </c>
      <c r="G269" s="14">
        <v>93.82</v>
      </c>
      <c r="H269" s="10">
        <v>8.6779770000000003</v>
      </c>
      <c r="I269" s="10">
        <v>18.396077999999999</v>
      </c>
      <c r="J269" s="10">
        <v>11.745414</v>
      </c>
      <c r="K269" s="15">
        <v>3.1975999999999997E-2</v>
      </c>
      <c r="L269" s="17">
        <v>14526.620919999999</v>
      </c>
      <c r="M269" s="4" t="s">
        <v>1209</v>
      </c>
      <c r="N269" s="19">
        <v>5.0999999999999996</v>
      </c>
      <c r="O269" s="19">
        <v>8.80443</v>
      </c>
      <c r="P269" s="19">
        <v>4.1599719999999998</v>
      </c>
      <c r="Q269" s="19">
        <v>7.1634000000000002</v>
      </c>
      <c r="R269" s="19">
        <v>5.5011720000000004</v>
      </c>
      <c r="S269" s="19">
        <v>5.5274000000000001</v>
      </c>
      <c r="T269" s="19">
        <v>5.5011720000000004</v>
      </c>
      <c r="U269" s="19">
        <v>3.6928999999999998</v>
      </c>
      <c r="V269" s="19">
        <v>2.5487500000000001</v>
      </c>
      <c r="W269" s="19">
        <v>3.6116999999999999</v>
      </c>
      <c r="X269" s="19">
        <v>2.5487500000000001</v>
      </c>
      <c r="Y269" s="19">
        <v>3.6116999999999999</v>
      </c>
      <c r="Z269" s="4"/>
      <c r="AA269" s="4"/>
      <c r="AB269" s="4" t="e">
        <f ca="1">_xll.ciqfunctions.udf.CIQ("^SPX", "IQ_PRICEDATE", "1/15/2015")</f>
        <v>#NAME?</v>
      </c>
      <c r="AC269" s="16">
        <v>1992.6702757841001</v>
      </c>
    </row>
    <row r="270" spans="1:29" x14ac:dyDescent="0.35">
      <c r="A270" s="2" t="s">
        <v>280</v>
      </c>
      <c r="B270" s="4" t="s">
        <v>1210</v>
      </c>
      <c r="C270" s="4" t="s">
        <v>559</v>
      </c>
      <c r="D270" s="4" t="s">
        <v>560</v>
      </c>
      <c r="E270" s="4" t="s">
        <v>940</v>
      </c>
      <c r="F270" s="4" t="s">
        <v>1211</v>
      </c>
      <c r="G270" s="14">
        <v>70.84</v>
      </c>
      <c r="H270" s="10">
        <v>5.9201030000000001</v>
      </c>
      <c r="I270" s="10">
        <v>12.375621000000001</v>
      </c>
      <c r="J270" s="10">
        <v>2.156056</v>
      </c>
      <c r="K270" s="15">
        <v>3.4443000000000001E-2</v>
      </c>
      <c r="L270" s="17">
        <v>11809.937798000001</v>
      </c>
      <c r="M270" s="4" t="s">
        <v>1212</v>
      </c>
      <c r="N270" s="19">
        <v>5.7241569999999999</v>
      </c>
      <c r="O270" s="19">
        <v>5.6593999999999998</v>
      </c>
      <c r="P270" s="19">
        <v>3.789606</v>
      </c>
      <c r="Q270" s="19">
        <v>3.7555999999999998</v>
      </c>
      <c r="R270" s="19">
        <v>3.2859250000000002</v>
      </c>
      <c r="S270" s="19">
        <v>4.0464000000000002</v>
      </c>
      <c r="T270" s="19">
        <v>3.2859250000000002</v>
      </c>
      <c r="U270" s="19">
        <v>4.5217000000000001</v>
      </c>
      <c r="V270" s="19">
        <v>4.01173</v>
      </c>
      <c r="W270" s="19">
        <v>4.2188999999999997</v>
      </c>
      <c r="X270" s="19">
        <v>4.01173</v>
      </c>
      <c r="Y270" s="19">
        <v>4.2188999999999997</v>
      </c>
      <c r="Z270" s="4"/>
      <c r="AA270" s="4"/>
      <c r="AB270" s="4" t="e">
        <f ca="1">_xll.ciqfunctions.udf.CIQ("^SPX", "IQ_PRICEDATE", "1/16/2015")</f>
        <v>#NAME?</v>
      </c>
      <c r="AC270" s="16">
        <v>2019.4186537802</v>
      </c>
    </row>
    <row r="271" spans="1:29" x14ac:dyDescent="0.35">
      <c r="A271" s="2" t="s">
        <v>281</v>
      </c>
      <c r="B271" s="4" t="s">
        <v>1213</v>
      </c>
      <c r="C271" s="4" t="s">
        <v>559</v>
      </c>
      <c r="D271" s="4" t="s">
        <v>560</v>
      </c>
      <c r="E271" s="4" t="s">
        <v>561</v>
      </c>
      <c r="F271" s="4" t="s">
        <v>1051</v>
      </c>
      <c r="G271" s="14">
        <v>31.28</v>
      </c>
      <c r="H271" s="10">
        <v>6.1939539999999997</v>
      </c>
      <c r="I271" s="10">
        <v>9.894857</v>
      </c>
      <c r="J271" s="10" t="s">
        <v>534</v>
      </c>
      <c r="K271" s="15">
        <v>7.6726000000000003E-2</v>
      </c>
      <c r="L271" s="17">
        <v>8603.9841840000008</v>
      </c>
      <c r="M271" s="4" t="s">
        <v>1214</v>
      </c>
      <c r="N271" s="19">
        <v>3.161238</v>
      </c>
      <c r="O271" s="19">
        <v>2.5167000000000002</v>
      </c>
      <c r="P271" s="19">
        <v>3.294025</v>
      </c>
      <c r="Q271" s="19">
        <v>3.2151000000000001</v>
      </c>
      <c r="R271" s="19">
        <v>3.9736410000000002</v>
      </c>
      <c r="S271" s="19">
        <v>3.6696</v>
      </c>
      <c r="T271" s="19">
        <v>3.9736410000000002</v>
      </c>
      <c r="U271" s="19">
        <v>4.0000999999999998</v>
      </c>
      <c r="V271" s="19">
        <v>3.2443689999999998</v>
      </c>
      <c r="W271" s="19">
        <v>3.6316000000000002</v>
      </c>
      <c r="X271" s="19">
        <v>3.2443689999999998</v>
      </c>
      <c r="Y271" s="19">
        <v>3.6316000000000002</v>
      </c>
      <c r="Z271" s="4"/>
      <c r="AA271" s="4"/>
      <c r="AB271" s="4" t="e">
        <f ca="1">_xll.ciqfunctions.udf.CIQ("^SPX", "IQ_PRICEDATE", "1/20/2015")</f>
        <v>#NAME?</v>
      </c>
      <c r="AC271" s="16">
        <v>2022.5468815523</v>
      </c>
    </row>
    <row r="272" spans="1:29" x14ac:dyDescent="0.35">
      <c r="A272" s="2" t="s">
        <v>282</v>
      </c>
      <c r="B272" s="4" t="s">
        <v>1215</v>
      </c>
      <c r="C272" s="4" t="s">
        <v>525</v>
      </c>
      <c r="D272" s="4" t="s">
        <v>526</v>
      </c>
      <c r="E272" s="4" t="s">
        <v>703</v>
      </c>
      <c r="F272" s="4" t="s">
        <v>703</v>
      </c>
      <c r="G272" s="14">
        <v>220.16</v>
      </c>
      <c r="H272" s="10">
        <v>14.906272</v>
      </c>
      <c r="I272" s="10">
        <v>22.445765999999999</v>
      </c>
      <c r="J272" s="10" t="s">
        <v>534</v>
      </c>
      <c r="K272" s="15">
        <v>1.4534E-2</v>
      </c>
      <c r="L272" s="17">
        <v>17308.686387000002</v>
      </c>
      <c r="M272" s="4" t="s">
        <v>1216</v>
      </c>
      <c r="N272" s="19">
        <v>9.8085310000000003</v>
      </c>
      <c r="O272" s="19">
        <v>11.1175</v>
      </c>
      <c r="P272" s="19">
        <v>9.4600000000000009</v>
      </c>
      <c r="Q272" s="19">
        <v>8.6592000000000002</v>
      </c>
      <c r="R272" s="19">
        <v>7.86</v>
      </c>
      <c r="S272" s="19">
        <v>8.3239999999999998</v>
      </c>
      <c r="T272" s="19">
        <v>7.86</v>
      </c>
      <c r="U272" s="19">
        <v>0</v>
      </c>
      <c r="V272" s="19">
        <v>7.2</v>
      </c>
      <c r="W272" s="19">
        <v>0</v>
      </c>
      <c r="X272" s="19">
        <v>7.2</v>
      </c>
      <c r="Y272" s="19">
        <v>0</v>
      </c>
      <c r="Z272" s="4"/>
      <c r="AA272" s="4"/>
      <c r="AB272" s="4" t="e">
        <f ca="1">_xll.ciqfunctions.udf.CIQ("^SPX", "IQ_PRICEDATE", "1/21/2015")</f>
        <v>#NAME?</v>
      </c>
      <c r="AC272" s="16">
        <v>2032.1202886573999</v>
      </c>
    </row>
    <row r="273" spans="1:29" x14ac:dyDescent="0.35">
      <c r="A273" s="2" t="s">
        <v>283</v>
      </c>
      <c r="B273" s="4" t="s">
        <v>1217</v>
      </c>
      <c r="C273" s="4" t="s">
        <v>530</v>
      </c>
      <c r="D273" s="4" t="s">
        <v>531</v>
      </c>
      <c r="E273" s="4" t="s">
        <v>569</v>
      </c>
      <c r="F273" s="4" t="s">
        <v>909</v>
      </c>
      <c r="G273" s="14">
        <v>174.09</v>
      </c>
      <c r="H273" s="10">
        <v>11.488761</v>
      </c>
      <c r="I273" s="10">
        <v>13.787807000000001</v>
      </c>
      <c r="J273" s="10" t="s">
        <v>534</v>
      </c>
      <c r="K273" s="15">
        <v>0</v>
      </c>
      <c r="L273" s="17">
        <v>17739.771000000001</v>
      </c>
      <c r="M273" s="4" t="s">
        <v>1218</v>
      </c>
      <c r="N273" s="19">
        <v>12.626372999999999</v>
      </c>
      <c r="O273" s="19">
        <v>11.591799999999999</v>
      </c>
      <c r="P273" s="19">
        <v>12.21</v>
      </c>
      <c r="Q273" s="19">
        <v>10.067600000000001</v>
      </c>
      <c r="R273" s="19">
        <v>7.02</v>
      </c>
      <c r="S273" s="19">
        <v>9.4003999999999994</v>
      </c>
      <c r="T273" s="19">
        <v>7.02</v>
      </c>
      <c r="U273" s="19">
        <v>8.5863999999999994</v>
      </c>
      <c r="V273" s="19">
        <v>5.91</v>
      </c>
      <c r="W273" s="19">
        <v>7.1456</v>
      </c>
      <c r="X273" s="19">
        <v>5.91</v>
      </c>
      <c r="Y273" s="19">
        <v>7.1456</v>
      </c>
      <c r="Z273" s="4"/>
      <c r="AA273" s="4"/>
      <c r="AB273" s="4" t="e">
        <f ca="1">_xll.ciqfunctions.udf.CIQ("^SPX", "IQ_PRICEDATE", "1/22/2015")</f>
        <v>#NAME?</v>
      </c>
      <c r="AC273" s="16">
        <v>2063.1455908886001</v>
      </c>
    </row>
    <row r="274" spans="1:29" x14ac:dyDescent="0.35">
      <c r="A274" s="2" t="s">
        <v>284</v>
      </c>
      <c r="B274" s="4" t="s">
        <v>1219</v>
      </c>
      <c r="C274" s="4" t="s">
        <v>543</v>
      </c>
      <c r="D274" s="4" t="s">
        <v>565</v>
      </c>
      <c r="E274" s="4" t="s">
        <v>565</v>
      </c>
      <c r="F274" s="4" t="s">
        <v>691</v>
      </c>
      <c r="G274" s="14">
        <v>147.18</v>
      </c>
      <c r="H274" s="10">
        <v>6.185867</v>
      </c>
      <c r="I274" s="10">
        <v>11.152145000000001</v>
      </c>
      <c r="J274" s="10">
        <v>6.3497570000000003</v>
      </c>
      <c r="K274" s="15">
        <v>2.9895000000000001E-2</v>
      </c>
      <c r="L274" s="17">
        <v>22575.057120000001</v>
      </c>
      <c r="M274" s="4" t="s">
        <v>1220</v>
      </c>
      <c r="N274" s="19">
        <v>13.197461000000001</v>
      </c>
      <c r="O274" s="19">
        <v>14.30048</v>
      </c>
      <c r="P274" s="19">
        <v>9.1047969999999996</v>
      </c>
      <c r="Q274" s="19">
        <v>14.9114</v>
      </c>
      <c r="R274" s="19">
        <v>5.5792659999999996</v>
      </c>
      <c r="S274" s="19">
        <v>8.3873999999999995</v>
      </c>
      <c r="T274" s="19">
        <v>5.5792659999999996</v>
      </c>
      <c r="U274" s="19">
        <v>5.8806000000000003</v>
      </c>
      <c r="V274" s="19">
        <v>4.0359680000000004</v>
      </c>
      <c r="W274" s="19">
        <v>5.0499000000000001</v>
      </c>
      <c r="X274" s="19">
        <v>4.0359680000000004</v>
      </c>
      <c r="Y274" s="19">
        <v>5.0499000000000001</v>
      </c>
      <c r="Z274" s="4"/>
      <c r="AA274" s="4"/>
      <c r="AB274" s="4" t="e">
        <f ca="1">_xll.ciqfunctions.udf.CIQ("^SPX", "IQ_PRICEDATE", "1/23/2015")</f>
        <v>#NAME?</v>
      </c>
      <c r="AC274" s="16">
        <v>2051.8218117762999</v>
      </c>
    </row>
    <row r="275" spans="1:29" x14ac:dyDescent="0.35">
      <c r="A275" s="2" t="s">
        <v>285</v>
      </c>
      <c r="B275" s="4" t="s">
        <v>1221</v>
      </c>
      <c r="C275" s="4" t="s">
        <v>559</v>
      </c>
      <c r="D275" s="4" t="s">
        <v>912</v>
      </c>
      <c r="E275" s="4" t="s">
        <v>913</v>
      </c>
      <c r="F275" s="4" t="s">
        <v>1222</v>
      </c>
      <c r="G275" s="14">
        <v>39.229999999999997</v>
      </c>
      <c r="H275" s="10">
        <v>11.058248000000001</v>
      </c>
      <c r="I275" s="10">
        <v>18.884972999999999</v>
      </c>
      <c r="J275" s="10">
        <v>47.833413</v>
      </c>
      <c r="K275" s="15">
        <v>3.8745000000000002E-2</v>
      </c>
      <c r="L275" s="17">
        <v>5106.1939830000001</v>
      </c>
      <c r="M275" s="4" t="s">
        <v>1223</v>
      </c>
      <c r="N275" s="19">
        <v>2.0773130000000002</v>
      </c>
      <c r="O275" s="19">
        <v>2.7982999999999998</v>
      </c>
      <c r="P275" s="19">
        <v>2.14</v>
      </c>
      <c r="Q275" s="19">
        <v>2.6697000000000002</v>
      </c>
      <c r="R275" s="19">
        <v>2.62</v>
      </c>
      <c r="S275" s="19">
        <v>2.6225000000000001</v>
      </c>
      <c r="T275" s="19">
        <v>2.62</v>
      </c>
      <c r="U275" s="19">
        <v>2.2907000000000002</v>
      </c>
      <c r="V275" s="19">
        <v>1.55</v>
      </c>
      <c r="W275" s="19">
        <v>2.0756999999999999</v>
      </c>
      <c r="X275" s="19">
        <v>1.55</v>
      </c>
      <c r="Y275" s="19">
        <v>2.0756999999999999</v>
      </c>
      <c r="Z275" s="4"/>
      <c r="AA275" s="4"/>
      <c r="AB275" s="4" t="e">
        <f ca="1">_xll.ciqfunctions.udf.CIQ("^SPX", "IQ_PRICEDATE", "1/26/2015")</f>
        <v>#NAME?</v>
      </c>
      <c r="AC275" s="16">
        <v>2057.0944058770001</v>
      </c>
    </row>
    <row r="276" spans="1:29" x14ac:dyDescent="0.35">
      <c r="A276" s="2" t="s">
        <v>286</v>
      </c>
      <c r="B276" s="4" t="s">
        <v>1224</v>
      </c>
      <c r="C276" s="4" t="s">
        <v>559</v>
      </c>
      <c r="D276" s="4" t="s">
        <v>912</v>
      </c>
      <c r="E276" s="4" t="s">
        <v>913</v>
      </c>
      <c r="F276" s="4" t="s">
        <v>914</v>
      </c>
      <c r="G276" s="14">
        <v>43.04</v>
      </c>
      <c r="H276" s="10">
        <v>13.108779</v>
      </c>
      <c r="I276" s="10">
        <v>10.307684</v>
      </c>
      <c r="J276" s="10">
        <v>1.375713</v>
      </c>
      <c r="K276" s="15">
        <v>3.7140000000000003E-3</v>
      </c>
      <c r="L276" s="17">
        <v>13959.947106</v>
      </c>
      <c r="M276" s="4" t="s">
        <v>1225</v>
      </c>
      <c r="N276" s="19">
        <v>4.1794060000000002</v>
      </c>
      <c r="O276" s="19">
        <v>6.4625000000000004</v>
      </c>
      <c r="P276" s="19">
        <v>3.3802509999999999</v>
      </c>
      <c r="Q276" s="19">
        <v>4.6959999999999997</v>
      </c>
      <c r="R276" s="19">
        <v>3.8559239999999999</v>
      </c>
      <c r="S276" s="19">
        <v>4.0663400000000003</v>
      </c>
      <c r="T276" s="19">
        <v>3.8559239999999999</v>
      </c>
      <c r="U276" s="19">
        <v>3.64412</v>
      </c>
      <c r="V276" s="19">
        <v>2.7482160000000002</v>
      </c>
      <c r="W276" s="19">
        <v>2.9942000000000002</v>
      </c>
      <c r="X276" s="19">
        <v>2.7482160000000002</v>
      </c>
      <c r="Y276" s="19">
        <v>2.9942000000000002</v>
      </c>
      <c r="Z276" s="4"/>
      <c r="AA276" s="4"/>
      <c r="AB276" s="4" t="e">
        <f ca="1">_xll.ciqfunctions.udf.CIQ("^SPX", "IQ_PRICEDATE", "1/27/2015")</f>
        <v>#NAME?</v>
      </c>
      <c r="AC276" s="16">
        <v>2029.5544684716999</v>
      </c>
    </row>
    <row r="277" spans="1:29" x14ac:dyDescent="0.35">
      <c r="A277" s="2" t="s">
        <v>287</v>
      </c>
      <c r="B277" s="4" t="s">
        <v>1226</v>
      </c>
      <c r="C277" s="4" t="s">
        <v>573</v>
      </c>
      <c r="D277" s="4" t="s">
        <v>579</v>
      </c>
      <c r="E277" s="4" t="s">
        <v>579</v>
      </c>
      <c r="F277" s="4" t="s">
        <v>580</v>
      </c>
      <c r="G277" s="14">
        <v>65.64</v>
      </c>
      <c r="H277" s="10">
        <v>8.0877119999999998</v>
      </c>
      <c r="I277" s="10">
        <v>7.3838210000000002</v>
      </c>
      <c r="J277" s="10">
        <v>1.062276</v>
      </c>
      <c r="K277" s="15">
        <v>2.0108999999999998E-2</v>
      </c>
      <c r="L277" s="17">
        <v>14222.914978000001</v>
      </c>
      <c r="M277" s="4" t="s">
        <v>1227</v>
      </c>
      <c r="N277" s="19">
        <v>8.8897060000000003</v>
      </c>
      <c r="O277" s="19">
        <v>8.8598999999999997</v>
      </c>
      <c r="P277" s="19">
        <v>9.2210719999999995</v>
      </c>
      <c r="Q277" s="19">
        <v>7.7031000000000001</v>
      </c>
      <c r="R277" s="19">
        <v>5.03</v>
      </c>
      <c r="S277" s="19">
        <v>6.8211000000000004</v>
      </c>
      <c r="T277" s="19">
        <v>5.03</v>
      </c>
      <c r="U277" s="19">
        <v>6.3890000000000002</v>
      </c>
      <c r="V277" s="19">
        <v>5.6649399999999996</v>
      </c>
      <c r="W277" s="19">
        <v>6.09</v>
      </c>
      <c r="X277" s="19">
        <v>5.6649399999999996</v>
      </c>
      <c r="Y277" s="19">
        <v>6.09</v>
      </c>
      <c r="Z277" s="4"/>
      <c r="AA277" s="4"/>
      <c r="AB277" s="4" t="e">
        <f ca="1">_xll.ciqfunctions.udf.CIQ("^SPX", "IQ_PRICEDATE", "1/28/2015")</f>
        <v>#NAME?</v>
      </c>
      <c r="AC277" s="16">
        <v>2002.1564474966999</v>
      </c>
    </row>
    <row r="278" spans="1:29" x14ac:dyDescent="0.35">
      <c r="A278" s="2" t="s">
        <v>288</v>
      </c>
      <c r="B278" s="4" t="s">
        <v>1228</v>
      </c>
      <c r="C278" s="4" t="s">
        <v>559</v>
      </c>
      <c r="D278" s="4" t="s">
        <v>560</v>
      </c>
      <c r="E278" s="4" t="s">
        <v>1084</v>
      </c>
      <c r="F278" s="4" t="s">
        <v>1084</v>
      </c>
      <c r="G278" s="14">
        <v>28.61</v>
      </c>
      <c r="H278" s="10">
        <v>11.58916</v>
      </c>
      <c r="I278" s="10">
        <v>15.977313000000001</v>
      </c>
      <c r="J278" s="10" t="s">
        <v>534</v>
      </c>
      <c r="K278" s="15">
        <v>0</v>
      </c>
      <c r="L278" s="17">
        <v>9100.3140320000002</v>
      </c>
      <c r="M278" s="4" t="s">
        <v>1229</v>
      </c>
      <c r="N278" s="19">
        <v>1.790664</v>
      </c>
      <c r="O278" s="19">
        <v>2.4980000000000002</v>
      </c>
      <c r="P278" s="19">
        <v>1.74</v>
      </c>
      <c r="Q278" s="19">
        <v>2.0796999999999999</v>
      </c>
      <c r="R278" s="19">
        <v>1.47</v>
      </c>
      <c r="S278" s="19">
        <v>1.9739</v>
      </c>
      <c r="T278" s="19">
        <v>1.47</v>
      </c>
      <c r="U278" s="19">
        <v>1.5546</v>
      </c>
      <c r="V278" s="19">
        <v>1.25</v>
      </c>
      <c r="W278" s="19">
        <v>1.5710999999999999</v>
      </c>
      <c r="X278" s="19">
        <v>1.25</v>
      </c>
      <c r="Y278" s="19">
        <v>1.5710999999999999</v>
      </c>
      <c r="Z278" s="4"/>
      <c r="AA278" s="4"/>
      <c r="AB278" s="4" t="e">
        <f ca="1">_xll.ciqfunctions.udf.CIQ("^SPX", "IQ_PRICEDATE", "1/29/2015")</f>
        <v>#NAME?</v>
      </c>
      <c r="AC278" s="16">
        <v>2021.2516383586999</v>
      </c>
    </row>
    <row r="279" spans="1:29" x14ac:dyDescent="0.35">
      <c r="A279" s="2" t="s">
        <v>289</v>
      </c>
      <c r="B279" s="4" t="s">
        <v>1230</v>
      </c>
      <c r="C279" s="4" t="s">
        <v>525</v>
      </c>
      <c r="D279" s="4" t="s">
        <v>526</v>
      </c>
      <c r="E279" s="4" t="s">
        <v>703</v>
      </c>
      <c r="F279" s="4" t="s">
        <v>703</v>
      </c>
      <c r="G279" s="14">
        <v>333.4</v>
      </c>
      <c r="H279" s="10">
        <v>14.847073999999999</v>
      </c>
      <c r="I279" s="10">
        <v>38.355111000000001</v>
      </c>
      <c r="J279" s="10" t="s">
        <v>534</v>
      </c>
      <c r="K279" s="15">
        <v>2.6394000000000001E-2</v>
      </c>
      <c r="L279" s="17">
        <v>94946.007404000004</v>
      </c>
      <c r="M279" s="4" t="s">
        <v>1231</v>
      </c>
      <c r="N279" s="19">
        <v>8.6924530000000004</v>
      </c>
      <c r="O279" s="19">
        <v>18.1432</v>
      </c>
      <c r="P279" s="19">
        <v>6.64</v>
      </c>
      <c r="Q279" s="19">
        <v>13.624599999999999</v>
      </c>
      <c r="R279" s="19">
        <v>12.38</v>
      </c>
      <c r="S279" s="19">
        <v>12.129200000000001</v>
      </c>
      <c r="T279" s="19">
        <v>12.38</v>
      </c>
      <c r="U279" s="19">
        <v>11.674099999999999</v>
      </c>
      <c r="V279" s="19">
        <v>10.09</v>
      </c>
      <c r="W279" s="19">
        <v>11.2652</v>
      </c>
      <c r="X279" s="19">
        <v>10.09</v>
      </c>
      <c r="Y279" s="19">
        <v>11.2652</v>
      </c>
      <c r="Z279" s="4"/>
      <c r="AA279" s="4"/>
      <c r="AB279" s="4" t="e">
        <f ca="1">_xll.ciqfunctions.udf.CIQ("^SPX", "IQ_PRICEDATE", "1/30/2015")</f>
        <v>#NAME?</v>
      </c>
      <c r="AC279" s="16">
        <v>1994.9904120547001</v>
      </c>
    </row>
    <row r="280" spans="1:29" x14ac:dyDescent="0.35">
      <c r="A280" s="2" t="s">
        <v>290</v>
      </c>
      <c r="B280" s="4" t="s">
        <v>1232</v>
      </c>
      <c r="C280" s="4" t="s">
        <v>573</v>
      </c>
      <c r="D280" s="4" t="s">
        <v>579</v>
      </c>
      <c r="E280" s="4" t="s">
        <v>579</v>
      </c>
      <c r="F280" s="4" t="s">
        <v>644</v>
      </c>
      <c r="G280" s="14">
        <v>47.32</v>
      </c>
      <c r="H280" s="10">
        <v>9.4377519999999997</v>
      </c>
      <c r="I280" s="10">
        <v>13.497897999999999</v>
      </c>
      <c r="J280" s="10">
        <v>0.82094400000000001</v>
      </c>
      <c r="K280" s="15">
        <v>5.2829999999999995E-3</v>
      </c>
      <c r="L280" s="17">
        <v>14952.273067</v>
      </c>
      <c r="M280" s="4" t="s">
        <v>1233</v>
      </c>
      <c r="N280" s="19">
        <v>3.5057309999999999</v>
      </c>
      <c r="O280" s="19">
        <v>3.7761999999999998</v>
      </c>
      <c r="P280" s="19">
        <v>3.45</v>
      </c>
      <c r="Q280" s="19">
        <v>3.11</v>
      </c>
      <c r="R280" s="19">
        <v>1.93</v>
      </c>
      <c r="S280" s="19">
        <v>3.1341000000000001</v>
      </c>
      <c r="T280" s="19">
        <v>1.93</v>
      </c>
      <c r="U280" s="19">
        <v>2.8605</v>
      </c>
      <c r="V280" s="19">
        <v>2.5712190000000001</v>
      </c>
      <c r="W280" s="19">
        <v>2.9527000000000001</v>
      </c>
      <c r="X280" s="19">
        <v>2.5712190000000001</v>
      </c>
      <c r="Y280" s="19">
        <v>2.9527000000000001</v>
      </c>
      <c r="Z280" s="4"/>
      <c r="AA280" s="4"/>
      <c r="AB280" s="4" t="e">
        <f ca="1">_xll.ciqfunctions.udf.CIQ("^SPX", "IQ_PRICEDATE", "2/2/2015")</f>
        <v>#NAME?</v>
      </c>
      <c r="AC280" s="16">
        <v>2020.8491870268999</v>
      </c>
    </row>
    <row r="281" spans="1:29" x14ac:dyDescent="0.35">
      <c r="A281" s="2" t="s">
        <v>291</v>
      </c>
      <c r="B281" s="4" t="s">
        <v>1234</v>
      </c>
      <c r="C281" s="4" t="s">
        <v>559</v>
      </c>
      <c r="D281" s="4" t="s">
        <v>560</v>
      </c>
      <c r="E281" s="4" t="s">
        <v>561</v>
      </c>
      <c r="F281" s="4" t="s">
        <v>1235</v>
      </c>
      <c r="G281" s="14">
        <v>102.44</v>
      </c>
      <c r="H281" s="10">
        <v>12.012658</v>
      </c>
      <c r="I281" s="10">
        <v>21.547898</v>
      </c>
      <c r="J281" s="10">
        <v>19.543367</v>
      </c>
      <c r="K281" s="15">
        <v>1.8742000000000002E-2</v>
      </c>
      <c r="L281" s="17">
        <v>83078.84</v>
      </c>
      <c r="M281" s="4" t="s">
        <v>1236</v>
      </c>
      <c r="N281" s="19">
        <v>4.75406</v>
      </c>
      <c r="O281" s="19">
        <v>5.4198000000000004</v>
      </c>
      <c r="P281" s="19">
        <v>4.1492279999999999</v>
      </c>
      <c r="Q281" s="19">
        <v>5.0171000000000001</v>
      </c>
      <c r="R281" s="19">
        <v>2.7239559999999998</v>
      </c>
      <c r="S281" s="19">
        <v>4.4570999999999996</v>
      </c>
      <c r="T281" s="19">
        <v>2.7239559999999998</v>
      </c>
      <c r="U281" s="19">
        <v>3.8195000000000001</v>
      </c>
      <c r="V281" s="19">
        <v>2.5195729999999998</v>
      </c>
      <c r="W281" s="19">
        <v>3.1554000000000002</v>
      </c>
      <c r="X281" s="19">
        <v>2.5195729999999998</v>
      </c>
      <c r="Y281" s="19">
        <v>3.1554000000000002</v>
      </c>
      <c r="Z281" s="4"/>
      <c r="AA281" s="4"/>
      <c r="AB281" s="4" t="e">
        <f ca="1">_xll.ciqfunctions.udf.CIQ("^SPX", "IQ_PRICEDATE", "2/3/2015")</f>
        <v>#NAME?</v>
      </c>
      <c r="AC281" s="16">
        <v>2050.0328023764</v>
      </c>
    </row>
    <row r="282" spans="1:29" x14ac:dyDescent="0.35">
      <c r="A282" s="2" t="s">
        <v>292</v>
      </c>
      <c r="B282" s="4" t="s">
        <v>1237</v>
      </c>
      <c r="C282" s="4" t="s">
        <v>586</v>
      </c>
      <c r="D282" s="4" t="s">
        <v>586</v>
      </c>
      <c r="E282" s="4" t="s">
        <v>587</v>
      </c>
      <c r="F282" s="4" t="s">
        <v>1238</v>
      </c>
      <c r="G282" s="14">
        <v>96.22</v>
      </c>
      <c r="H282" s="10">
        <v>5.8906320000000001</v>
      </c>
      <c r="I282" s="10">
        <v>6.4894470000000002</v>
      </c>
      <c r="J282" s="10">
        <v>3.9485730000000001</v>
      </c>
      <c r="K282" s="15">
        <v>4.1570999999999997E-2</v>
      </c>
      <c r="L282" s="17">
        <v>37460.754894999998</v>
      </c>
      <c r="M282" s="4" t="s">
        <v>1239</v>
      </c>
      <c r="N282" s="19">
        <v>14.827147999999999</v>
      </c>
      <c r="O282" s="19">
        <v>10.6684</v>
      </c>
      <c r="P282" s="19">
        <v>12.28</v>
      </c>
      <c r="Q282" s="19">
        <v>10.118</v>
      </c>
      <c r="R282" s="19">
        <v>9.15</v>
      </c>
      <c r="S282" s="19">
        <v>9.5814000000000004</v>
      </c>
      <c r="T282" s="19">
        <v>9.15</v>
      </c>
      <c r="U282" s="19">
        <v>10.048500000000001</v>
      </c>
      <c r="V282" s="19">
        <v>8</v>
      </c>
      <c r="W282" s="19">
        <v>8.5454000000000008</v>
      </c>
      <c r="X282" s="19">
        <v>8</v>
      </c>
      <c r="Y282" s="19">
        <v>8.5454000000000008</v>
      </c>
      <c r="Z282" s="4"/>
      <c r="AA282" s="4"/>
      <c r="AB282" s="4" t="e">
        <f ca="1">_xll.ciqfunctions.udf.CIQ("^SPX", "IQ_PRICEDATE", "2/4/2015")</f>
        <v>#NAME?</v>
      </c>
      <c r="AC282" s="16">
        <v>2041.5093509660001</v>
      </c>
    </row>
    <row r="283" spans="1:29" x14ac:dyDescent="0.35">
      <c r="A283" s="2" t="s">
        <v>293</v>
      </c>
      <c r="B283" s="4" t="s">
        <v>1240</v>
      </c>
      <c r="C283" s="4" t="s">
        <v>573</v>
      </c>
      <c r="D283" s="4" t="s">
        <v>737</v>
      </c>
      <c r="E283" s="4" t="s">
        <v>737</v>
      </c>
      <c r="F283" s="4" t="s">
        <v>743</v>
      </c>
      <c r="G283" s="14">
        <v>161.9</v>
      </c>
      <c r="H283" s="10">
        <v>0</v>
      </c>
      <c r="I283" s="10">
        <v>14.738292</v>
      </c>
      <c r="J283" s="10">
        <v>2.3962059999999998</v>
      </c>
      <c r="K283" s="15">
        <v>2.4706000000000002E-2</v>
      </c>
      <c r="L283" s="17">
        <v>23279.740558000001</v>
      </c>
      <c r="M283" s="4" t="s">
        <v>1241</v>
      </c>
      <c r="N283" s="19">
        <v>10.98499</v>
      </c>
      <c r="O283" s="19">
        <v>13.4016</v>
      </c>
      <c r="P283" s="19">
        <v>8.7021189999999997</v>
      </c>
      <c r="Q283" s="19">
        <v>9.7939000000000007</v>
      </c>
      <c r="R283" s="19">
        <v>7.7778119999999999</v>
      </c>
      <c r="S283" s="19">
        <v>8.3176000000000005</v>
      </c>
      <c r="T283" s="19">
        <v>7.7778119999999999</v>
      </c>
      <c r="U283" s="19">
        <v>8.3454999999999995</v>
      </c>
      <c r="V283" s="19">
        <v>7.4222640000000002</v>
      </c>
      <c r="W283" s="19">
        <v>8.1942000000000004</v>
      </c>
      <c r="X283" s="19">
        <v>7.4222640000000002</v>
      </c>
      <c r="Y283" s="19">
        <v>8.1942000000000004</v>
      </c>
      <c r="Z283" s="4"/>
      <c r="AA283" s="4"/>
      <c r="AB283" s="4" t="e">
        <f ca="1">_xll.ciqfunctions.udf.CIQ("^SPX", "IQ_PRICEDATE", "2/5/2015")</f>
        <v>#NAME?</v>
      </c>
      <c r="AC283" s="16">
        <v>2062.5215572874999</v>
      </c>
    </row>
    <row r="284" spans="1:29" x14ac:dyDescent="0.35">
      <c r="A284" s="2" t="s">
        <v>294</v>
      </c>
      <c r="B284" s="4" t="s">
        <v>1242</v>
      </c>
      <c r="C284" s="4" t="s">
        <v>601</v>
      </c>
      <c r="D284" s="4" t="s">
        <v>601</v>
      </c>
      <c r="E284" s="4" t="s">
        <v>602</v>
      </c>
      <c r="F284" s="4" t="s">
        <v>1026</v>
      </c>
      <c r="G284" s="14">
        <v>51.49</v>
      </c>
      <c r="H284" s="10">
        <v>19.994215000000001</v>
      </c>
      <c r="I284" s="10" t="s">
        <v>534</v>
      </c>
      <c r="J284" s="10">
        <v>2.4890050000000001</v>
      </c>
      <c r="K284" s="15">
        <v>5.7485999999999995E-2</v>
      </c>
      <c r="L284" s="17">
        <v>7262.7109440000004</v>
      </c>
      <c r="M284" s="4" t="s">
        <v>1243</v>
      </c>
      <c r="N284" s="19">
        <v>0.158355</v>
      </c>
      <c r="O284" s="19">
        <v>0.83819999999999995</v>
      </c>
      <c r="P284" s="19">
        <v>1.02</v>
      </c>
      <c r="Q284" s="19">
        <v>0.80669999999999997</v>
      </c>
      <c r="R284" s="19">
        <v>3.52</v>
      </c>
      <c r="S284" s="19">
        <v>1.0861000000000001</v>
      </c>
      <c r="T284" s="19">
        <v>3.52</v>
      </c>
      <c r="U284" s="19">
        <v>0.80020000000000002</v>
      </c>
      <c r="V284" s="19">
        <v>10.45</v>
      </c>
      <c r="W284" s="19">
        <v>1.3734</v>
      </c>
      <c r="X284" s="19">
        <v>10.45</v>
      </c>
      <c r="Y284" s="19">
        <v>1.3734</v>
      </c>
      <c r="Z284" s="4"/>
      <c r="AA284" s="4"/>
      <c r="AB284" s="4" t="e">
        <f ca="1">_xll.ciqfunctions.udf.CIQ("^SPX", "IQ_PRICEDATE", "2/6/2015")</f>
        <v>#NAME?</v>
      </c>
      <c r="AC284" s="16">
        <v>2055.4722418257002</v>
      </c>
    </row>
    <row r="285" spans="1:29" x14ac:dyDescent="0.35">
      <c r="A285" s="2" t="s">
        <v>295</v>
      </c>
      <c r="B285" s="4" t="s">
        <v>1244</v>
      </c>
      <c r="C285" s="4" t="s">
        <v>559</v>
      </c>
      <c r="D285" s="4" t="s">
        <v>560</v>
      </c>
      <c r="E285" s="4" t="s">
        <v>940</v>
      </c>
      <c r="F285" s="4" t="s">
        <v>1211</v>
      </c>
      <c r="G285" s="14">
        <v>31.84</v>
      </c>
      <c r="H285" s="10">
        <v>5.4130219999999998</v>
      </c>
      <c r="I285" s="10">
        <v>5.9208530000000001</v>
      </c>
      <c r="J285" s="10">
        <v>6.4091880000000003</v>
      </c>
      <c r="K285" s="15">
        <v>4.7424000000000001E-2</v>
      </c>
      <c r="L285" s="17">
        <v>9774.0111500000003</v>
      </c>
      <c r="M285" s="4" t="s">
        <v>1245</v>
      </c>
      <c r="N285" s="19">
        <v>5.3776029999999997</v>
      </c>
      <c r="O285" s="19">
        <v>3.9506000000000001</v>
      </c>
      <c r="P285" s="19">
        <v>2.2871980000000001</v>
      </c>
      <c r="Q285" s="19">
        <v>3.3380999999999998</v>
      </c>
      <c r="R285" s="19">
        <v>2.1972100000000001</v>
      </c>
      <c r="S285" s="19">
        <v>3.4695999999999998</v>
      </c>
      <c r="T285" s="19">
        <v>2.1972100000000001</v>
      </c>
      <c r="U285" s="19">
        <v>4.0442</v>
      </c>
      <c r="V285" s="19">
        <v>4.1997819999999999</v>
      </c>
      <c r="W285" s="19">
        <v>4.6668000000000003</v>
      </c>
      <c r="X285" s="19">
        <v>4.1997819999999999</v>
      </c>
      <c r="Y285" s="19">
        <v>4.6668000000000003</v>
      </c>
      <c r="Z285" s="4"/>
      <c r="AA285" s="4"/>
      <c r="AB285" s="4" t="e">
        <f ca="1">_xll.ciqfunctions.udf.CIQ("^SPX", "IQ_PRICEDATE", "2/9/2015")</f>
        <v>#NAME?</v>
      </c>
      <c r="AC285" s="16">
        <v>2046.7436014545999</v>
      </c>
    </row>
    <row r="286" spans="1:29" x14ac:dyDescent="0.35">
      <c r="A286" s="2" t="s">
        <v>296</v>
      </c>
      <c r="B286" s="4" t="s">
        <v>1246</v>
      </c>
      <c r="C286" s="4" t="s">
        <v>669</v>
      </c>
      <c r="D286" s="4" t="s">
        <v>669</v>
      </c>
      <c r="E286" s="4" t="s">
        <v>670</v>
      </c>
      <c r="F286" s="4" t="s">
        <v>671</v>
      </c>
      <c r="G286" s="14">
        <v>20.89</v>
      </c>
      <c r="H286" s="10">
        <v>6.7266110000000001</v>
      </c>
      <c r="I286" s="10" t="s">
        <v>534</v>
      </c>
      <c r="J286" s="10">
        <v>1.4824710000000001</v>
      </c>
      <c r="K286" s="15">
        <v>9.5729999999999999E-3</v>
      </c>
      <c r="L286" s="17">
        <v>17843.141232999998</v>
      </c>
      <c r="M286" s="4" t="s">
        <v>1247</v>
      </c>
      <c r="N286" s="19">
        <v>-0.20551900000000001</v>
      </c>
      <c r="O286" s="19">
        <v>1.0368999999999999</v>
      </c>
      <c r="P286" s="19">
        <v>-0.97646999999999995</v>
      </c>
      <c r="Q286" s="19">
        <v>-3.7100000000000001E-2</v>
      </c>
      <c r="R286" s="19">
        <v>-2.5499999999999998</v>
      </c>
      <c r="S286" s="19">
        <v>-0.30819999999999997</v>
      </c>
      <c r="T286" s="19">
        <v>-2.5499999999999998</v>
      </c>
      <c r="U286" s="19">
        <v>-1.3289</v>
      </c>
      <c r="V286" s="19">
        <v>1.42</v>
      </c>
      <c r="W286" s="19">
        <v>0.56810000000000005</v>
      </c>
      <c r="X286" s="19">
        <v>1.42</v>
      </c>
      <c r="Y286" s="19">
        <v>0.56810000000000005</v>
      </c>
      <c r="Z286" s="4"/>
      <c r="AA286" s="4"/>
      <c r="AB286" s="4" t="e">
        <f ca="1">_xll.ciqfunctions.udf.CIQ("^SPX", "IQ_PRICEDATE", "2/10/2015")</f>
        <v>#NAME?</v>
      </c>
      <c r="AC286" s="16">
        <v>2068.5927921291</v>
      </c>
    </row>
    <row r="287" spans="1:29" x14ac:dyDescent="0.35">
      <c r="A287" s="2" t="s">
        <v>297</v>
      </c>
      <c r="B287" s="4" t="s">
        <v>1248</v>
      </c>
      <c r="C287" s="4" t="s">
        <v>669</v>
      </c>
      <c r="D287" s="4" t="s">
        <v>669</v>
      </c>
      <c r="E287" s="4" t="s">
        <v>670</v>
      </c>
      <c r="F287" s="4" t="s">
        <v>1126</v>
      </c>
      <c r="G287" s="14">
        <v>79.150000000000006</v>
      </c>
      <c r="H287" s="10">
        <v>10.389061999999999</v>
      </c>
      <c r="I287" s="10">
        <v>9.606973</v>
      </c>
      <c r="J287" s="10">
        <v>3.1737950000000001</v>
      </c>
      <c r="K287" s="15">
        <v>2.3246000000000003E-2</v>
      </c>
      <c r="L287" s="17">
        <v>54678.201008999997</v>
      </c>
      <c r="M287" s="4" t="s">
        <v>1249</v>
      </c>
      <c r="N287" s="19">
        <v>8.2388069999999995</v>
      </c>
      <c r="O287" s="19">
        <v>6.4508000000000001</v>
      </c>
      <c r="P287" s="19">
        <v>6.7</v>
      </c>
      <c r="Q287" s="19">
        <v>4.8760000000000003</v>
      </c>
      <c r="R287" s="19">
        <v>2.21</v>
      </c>
      <c r="S287" s="19">
        <v>3.3616000000000001</v>
      </c>
      <c r="T287" s="19">
        <v>2.21</v>
      </c>
      <c r="U287" s="19">
        <v>5.3543000000000003</v>
      </c>
      <c r="V287" s="19">
        <v>4.3899999999999997</v>
      </c>
      <c r="W287" s="19">
        <v>4.2502000000000004</v>
      </c>
      <c r="X287" s="19">
        <v>4.3899999999999997</v>
      </c>
      <c r="Y287" s="19">
        <v>4.2502000000000004</v>
      </c>
      <c r="Z287" s="4"/>
      <c r="AA287" s="4"/>
      <c r="AB287" s="4" t="e">
        <f ca="1">_xll.ciqfunctions.udf.CIQ("^SPX", "IQ_PRICEDATE", "2/11/2015")</f>
        <v>#NAME?</v>
      </c>
      <c r="AC287" s="16">
        <v>2068.5319770619999</v>
      </c>
    </row>
    <row r="288" spans="1:29" x14ac:dyDescent="0.35">
      <c r="A288" s="2" t="s">
        <v>298</v>
      </c>
      <c r="B288" s="4" t="s">
        <v>1250</v>
      </c>
      <c r="C288" s="4" t="s">
        <v>559</v>
      </c>
      <c r="D288" s="4" t="s">
        <v>798</v>
      </c>
      <c r="E288" s="4" t="s">
        <v>799</v>
      </c>
      <c r="F288" s="4" t="s">
        <v>800</v>
      </c>
      <c r="G288" s="14">
        <v>117.96</v>
      </c>
      <c r="H288" s="10">
        <v>17.070519999999998</v>
      </c>
      <c r="I288" s="10">
        <v>28.495912000000001</v>
      </c>
      <c r="J288" s="10" t="s">
        <v>534</v>
      </c>
      <c r="K288" s="15">
        <v>1.3903E-2</v>
      </c>
      <c r="L288" s="17">
        <v>40930.720641</v>
      </c>
      <c r="M288" s="4" t="s">
        <v>1251</v>
      </c>
      <c r="N288" s="19">
        <v>4.1395410000000004</v>
      </c>
      <c r="O288" s="19">
        <v>5.9173</v>
      </c>
      <c r="P288" s="19">
        <v>3.61</v>
      </c>
      <c r="Q288" s="19">
        <v>4.6467000000000001</v>
      </c>
      <c r="R288" s="19">
        <v>2.64</v>
      </c>
      <c r="S288" s="19">
        <v>3.8769</v>
      </c>
      <c r="T288" s="19">
        <v>2.64</v>
      </c>
      <c r="U288" s="19">
        <v>3.6078000000000001</v>
      </c>
      <c r="V288" s="19">
        <v>2.54</v>
      </c>
      <c r="W288" s="19">
        <v>2.9331</v>
      </c>
      <c r="X288" s="19">
        <v>2.54</v>
      </c>
      <c r="Y288" s="19">
        <v>2.9331</v>
      </c>
      <c r="Z288" s="4"/>
      <c r="AA288" s="4"/>
      <c r="AB288" s="4" t="e">
        <f ca="1">_xll.ciqfunctions.udf.CIQ("^SPX", "IQ_PRICEDATE", "2/12/2015")</f>
        <v>#NAME?</v>
      </c>
      <c r="AC288" s="16">
        <v>2088.4847683353</v>
      </c>
    </row>
    <row r="289" spans="1:29" x14ac:dyDescent="0.35">
      <c r="A289" s="2" t="s">
        <v>299</v>
      </c>
      <c r="B289" s="4" t="s">
        <v>1252</v>
      </c>
      <c r="C289" s="4" t="s">
        <v>573</v>
      </c>
      <c r="D289" s="4" t="s">
        <v>579</v>
      </c>
      <c r="E289" s="4" t="s">
        <v>579</v>
      </c>
      <c r="F289" s="4" t="s">
        <v>680</v>
      </c>
      <c r="G289" s="14">
        <v>80.91</v>
      </c>
      <c r="H289" s="10">
        <v>13.168301</v>
      </c>
      <c r="I289" s="10">
        <v>25.370277000000002</v>
      </c>
      <c r="J289" s="10" t="s">
        <v>534</v>
      </c>
      <c r="K289" s="15">
        <v>2.0516E-2</v>
      </c>
      <c r="L289" s="17">
        <v>40857.895066999998</v>
      </c>
      <c r="M289" s="4" t="s">
        <v>1253</v>
      </c>
      <c r="N289" s="19">
        <v>3.189165</v>
      </c>
      <c r="O289" s="19">
        <v>4.4569000000000001</v>
      </c>
      <c r="P289" s="19">
        <v>2.87</v>
      </c>
      <c r="Q289" s="19">
        <v>4.0698999999999996</v>
      </c>
      <c r="R289" s="19">
        <v>3.38</v>
      </c>
      <c r="S289" s="19">
        <v>3.6168</v>
      </c>
      <c r="T289" s="19">
        <v>3.38</v>
      </c>
      <c r="U289" s="19">
        <v>3.2086999999999999</v>
      </c>
      <c r="V289" s="19">
        <v>2.61</v>
      </c>
      <c r="W289" s="19">
        <v>3.0276999999999998</v>
      </c>
      <c r="X289" s="19">
        <v>2.61</v>
      </c>
      <c r="Y289" s="19">
        <v>3.0276999999999998</v>
      </c>
      <c r="Z289" s="4"/>
      <c r="AA289" s="4"/>
      <c r="AB289" s="4" t="e">
        <f ca="1">_xll.ciqfunctions.udf.CIQ("^SPX", "IQ_PRICEDATE", "2/13/2015")</f>
        <v>#NAME?</v>
      </c>
      <c r="AC289" s="16">
        <v>2096.9879019150999</v>
      </c>
    </row>
    <row r="290" spans="1:29" x14ac:dyDescent="0.35">
      <c r="A290" s="2" t="s">
        <v>300</v>
      </c>
      <c r="B290" s="4" t="s">
        <v>1254</v>
      </c>
      <c r="C290" s="4" t="s">
        <v>586</v>
      </c>
      <c r="D290" s="4" t="s">
        <v>586</v>
      </c>
      <c r="E290" s="4" t="s">
        <v>1255</v>
      </c>
      <c r="F290" s="4" t="s">
        <v>1255</v>
      </c>
      <c r="G290" s="14">
        <v>166.11</v>
      </c>
      <c r="H290" s="10">
        <v>13.140537999999999</v>
      </c>
      <c r="I290" s="10">
        <v>14.545806000000001</v>
      </c>
      <c r="J290" s="10">
        <v>5.4309950000000002</v>
      </c>
      <c r="K290" s="15">
        <v>1.1557999999999999E-2</v>
      </c>
      <c r="L290" s="17">
        <v>10466.918669000001</v>
      </c>
      <c r="M290" s="4" t="s">
        <v>1256</v>
      </c>
      <c r="N290" s="19">
        <v>11.419786</v>
      </c>
      <c r="O290" s="19">
        <v>9.4571000000000005</v>
      </c>
      <c r="P290" s="19">
        <v>11.25</v>
      </c>
      <c r="Q290" s="19">
        <v>7.9074999999999998</v>
      </c>
      <c r="R290" s="19">
        <v>6.63</v>
      </c>
      <c r="S290" s="19">
        <v>8.3643999999999998</v>
      </c>
      <c r="T290" s="19">
        <v>6.63</v>
      </c>
      <c r="U290" s="19">
        <v>6.5189000000000004</v>
      </c>
      <c r="V290" s="19">
        <v>2.71</v>
      </c>
      <c r="W290" s="19">
        <v>4.7074999999999996</v>
      </c>
      <c r="X290" s="19">
        <v>2.71</v>
      </c>
      <c r="Y290" s="19">
        <v>4.7074999999999996</v>
      </c>
      <c r="Z290" s="4"/>
      <c r="AA290" s="4"/>
      <c r="AB290" s="4" t="e">
        <f ca="1">_xll.ciqfunctions.udf.CIQ("^SPX", "IQ_PRICEDATE", "2/17/2015")</f>
        <v>#NAME?</v>
      </c>
      <c r="AC290" s="16">
        <v>2100.3432492548</v>
      </c>
    </row>
    <row r="291" spans="1:29" x14ac:dyDescent="0.35">
      <c r="A291" s="2" t="s">
        <v>301</v>
      </c>
      <c r="B291" s="4" t="s">
        <v>1257</v>
      </c>
      <c r="C291" s="4" t="s">
        <v>525</v>
      </c>
      <c r="D291" s="4" t="s">
        <v>526</v>
      </c>
      <c r="E291" s="4" t="s">
        <v>527</v>
      </c>
      <c r="F291" s="4" t="s">
        <v>527</v>
      </c>
      <c r="G291" s="14">
        <v>31.96</v>
      </c>
      <c r="H291" s="10">
        <v>9.8165139999999997</v>
      </c>
      <c r="I291" s="10">
        <v>17.041934000000001</v>
      </c>
      <c r="J291" s="10" t="s">
        <v>534</v>
      </c>
      <c r="K291" s="15">
        <v>1.5018E-2</v>
      </c>
      <c r="L291" s="17">
        <v>9826.9552359999998</v>
      </c>
      <c r="M291" s="4" t="s">
        <v>1258</v>
      </c>
      <c r="N291" s="19">
        <v>1.8753740000000001</v>
      </c>
      <c r="O291" s="19">
        <v>2.7391000000000001</v>
      </c>
      <c r="P291" s="19">
        <v>1.66</v>
      </c>
      <c r="Q291" s="19">
        <v>2.1812</v>
      </c>
      <c r="R291" s="19">
        <v>1.47</v>
      </c>
      <c r="S291" s="19">
        <v>1.8372999999999999</v>
      </c>
      <c r="T291" s="19">
        <v>1.47</v>
      </c>
      <c r="U291" s="19">
        <v>1.41</v>
      </c>
      <c r="V291" s="19">
        <v>2.2799999999999998</v>
      </c>
      <c r="W291" s="19">
        <v>1.151</v>
      </c>
      <c r="X291" s="19">
        <v>2.2799999999999998</v>
      </c>
      <c r="Y291" s="19">
        <v>1.151</v>
      </c>
      <c r="Z291" s="4"/>
      <c r="AA291" s="4"/>
      <c r="AB291" s="4" t="e">
        <f ca="1">_xll.ciqfunctions.udf.CIQ("^SPX", "IQ_PRICEDATE", "2/18/2015")</f>
        <v>#NAME?</v>
      </c>
      <c r="AC291" s="16">
        <v>2099.6753437890002</v>
      </c>
    </row>
    <row r="292" spans="1:29" x14ac:dyDescent="0.35">
      <c r="A292" s="2" t="s">
        <v>302</v>
      </c>
      <c r="B292" s="4" t="s">
        <v>1259</v>
      </c>
      <c r="C292" s="4" t="s">
        <v>543</v>
      </c>
      <c r="D292" s="4" t="s">
        <v>544</v>
      </c>
      <c r="E292" s="4" t="s">
        <v>545</v>
      </c>
      <c r="F292" s="4" t="s">
        <v>616</v>
      </c>
      <c r="G292" s="14">
        <v>207.38</v>
      </c>
      <c r="H292" s="10">
        <v>26.015381999999999</v>
      </c>
      <c r="I292" s="10">
        <v>46.511147999999999</v>
      </c>
      <c r="J292" s="10">
        <v>173.88154599999999</v>
      </c>
      <c r="K292" s="15">
        <v>4.8219999999999999E-3</v>
      </c>
      <c r="L292" s="17">
        <v>215354.27094700001</v>
      </c>
      <c r="M292" s="4" t="s">
        <v>1260</v>
      </c>
      <c r="N292" s="19">
        <v>4.4587159999999999</v>
      </c>
      <c r="O292" s="19">
        <v>6.8643000000000001</v>
      </c>
      <c r="P292" s="19">
        <v>3.65</v>
      </c>
      <c r="Q292" s="19">
        <v>5.1303999999999998</v>
      </c>
      <c r="R292" s="19">
        <v>3.69</v>
      </c>
      <c r="S292" s="19">
        <v>4.1387</v>
      </c>
      <c r="T292" s="19">
        <v>3.69</v>
      </c>
      <c r="U292" s="19">
        <v>3.6930000000000001</v>
      </c>
      <c r="V292" s="19">
        <v>3.1</v>
      </c>
      <c r="W292" s="19">
        <v>3.4184999999999999</v>
      </c>
      <c r="X292" s="19">
        <v>3.1</v>
      </c>
      <c r="Y292" s="19">
        <v>3.4184999999999999</v>
      </c>
      <c r="Z292" s="4"/>
      <c r="AA292" s="4"/>
      <c r="AB292" s="4" t="e">
        <f ca="1">_xll.ciqfunctions.udf.CIQ("^SPX", "IQ_PRICEDATE", "2/19/2015")</f>
        <v>#NAME?</v>
      </c>
      <c r="AC292" s="16">
        <v>2097.4493476088001</v>
      </c>
    </row>
    <row r="293" spans="1:29" x14ac:dyDescent="0.35">
      <c r="A293" s="2" t="s">
        <v>303</v>
      </c>
      <c r="B293" s="4" t="s">
        <v>1261</v>
      </c>
      <c r="C293" s="4" t="s">
        <v>559</v>
      </c>
      <c r="D293" s="4" t="s">
        <v>912</v>
      </c>
      <c r="E293" s="4" t="s">
        <v>1106</v>
      </c>
      <c r="F293" s="4" t="s">
        <v>1106</v>
      </c>
      <c r="G293" s="14">
        <v>14.77</v>
      </c>
      <c r="H293" s="10" t="s">
        <v>534</v>
      </c>
      <c r="I293" s="10" t="s">
        <v>534</v>
      </c>
      <c r="J293" s="10" t="s">
        <v>534</v>
      </c>
      <c r="K293" s="15">
        <v>0</v>
      </c>
      <c r="L293" s="17">
        <v>5083.1402680000001</v>
      </c>
      <c r="M293" s="4" t="s">
        <v>1262</v>
      </c>
      <c r="N293" s="19">
        <v>-4.1761299999999997</v>
      </c>
      <c r="O293" s="19">
        <v>-0.16669999999999999</v>
      </c>
      <c r="P293" s="19">
        <v>-3.07</v>
      </c>
      <c r="Q293" s="19">
        <v>0.2369</v>
      </c>
      <c r="R293" s="19">
        <v>0.92</v>
      </c>
      <c r="S293" s="19">
        <v>1.5628</v>
      </c>
      <c r="T293" s="19">
        <v>0.92</v>
      </c>
      <c r="U293" s="19">
        <v>1.343</v>
      </c>
      <c r="V293" s="19">
        <v>1.45</v>
      </c>
      <c r="W293" s="19">
        <v>2.1236000000000002</v>
      </c>
      <c r="X293" s="19">
        <v>1.45</v>
      </c>
      <c r="Y293" s="19">
        <v>2.1236000000000002</v>
      </c>
      <c r="Z293" s="4"/>
      <c r="AA293" s="4"/>
      <c r="AB293" s="4" t="e">
        <f ca="1">_xll.ciqfunctions.udf.CIQ("^SPX", "IQ_PRICEDATE", "2/20/2015")</f>
        <v>#NAME?</v>
      </c>
      <c r="AC293" s="16">
        <v>2110.3008991643001</v>
      </c>
    </row>
    <row r="294" spans="1:29" x14ac:dyDescent="0.35">
      <c r="A294" s="2" t="s">
        <v>304</v>
      </c>
      <c r="B294" s="4" t="s">
        <v>1263</v>
      </c>
      <c r="C294" s="4" t="s">
        <v>626</v>
      </c>
      <c r="D294" s="4" t="s">
        <v>627</v>
      </c>
      <c r="E294" s="4" t="s">
        <v>699</v>
      </c>
      <c r="F294" s="4" t="s">
        <v>789</v>
      </c>
      <c r="G294" s="14">
        <v>137.69</v>
      </c>
      <c r="H294" s="10">
        <v>20.631674</v>
      </c>
      <c r="I294" s="10">
        <v>20.406457</v>
      </c>
      <c r="J294" s="10" t="s">
        <v>534</v>
      </c>
      <c r="K294" s="15">
        <v>1.5106E-2</v>
      </c>
      <c r="L294" s="17">
        <v>18127.496093000002</v>
      </c>
      <c r="M294" s="4" t="s">
        <v>1264</v>
      </c>
      <c r="N294" s="19">
        <v>6.7473739999999998</v>
      </c>
      <c r="O294" s="19">
        <v>5.2282000000000002</v>
      </c>
      <c r="P294" s="19">
        <v>3.72</v>
      </c>
      <c r="Q294" s="19">
        <v>4.5216000000000003</v>
      </c>
      <c r="R294" s="19">
        <v>3.69</v>
      </c>
      <c r="S294" s="19">
        <v>3.9647999999999999</v>
      </c>
      <c r="T294" s="19">
        <v>3.69</v>
      </c>
      <c r="U294" s="19">
        <v>3.6116999999999999</v>
      </c>
      <c r="V294" s="19">
        <v>3.34</v>
      </c>
      <c r="W294" s="19">
        <v>3.4861</v>
      </c>
      <c r="X294" s="19">
        <v>3.34</v>
      </c>
      <c r="Y294" s="19">
        <v>3.4861</v>
      </c>
      <c r="Z294" s="4"/>
      <c r="AA294" s="4"/>
      <c r="AB294" s="4" t="e">
        <f ca="1">_xll.ciqfunctions.udf.CIQ("^SPX", "IQ_PRICEDATE", "2/23/2015")</f>
        <v>#NAME?</v>
      </c>
      <c r="AC294" s="16">
        <v>2109.6566290026999</v>
      </c>
    </row>
    <row r="295" spans="1:29" x14ac:dyDescent="0.35">
      <c r="A295" s="2" t="s">
        <v>305</v>
      </c>
      <c r="B295" s="4" t="s">
        <v>1265</v>
      </c>
      <c r="C295" s="4" t="s">
        <v>559</v>
      </c>
      <c r="D295" s="4" t="s">
        <v>798</v>
      </c>
      <c r="E295" s="4" t="s">
        <v>799</v>
      </c>
      <c r="F295" s="4" t="s">
        <v>839</v>
      </c>
      <c r="G295" s="14">
        <v>166.77</v>
      </c>
      <c r="H295" s="10">
        <v>15.762727</v>
      </c>
      <c r="I295" s="10">
        <v>24.466937000000001</v>
      </c>
      <c r="J295" s="10" t="s">
        <v>534</v>
      </c>
      <c r="K295" s="15">
        <v>2.7822E-2</v>
      </c>
      <c r="L295" s="17">
        <v>129380.234209</v>
      </c>
      <c r="M295" s="4" t="s">
        <v>1266</v>
      </c>
      <c r="N295" s="19">
        <v>6.8161370000000003</v>
      </c>
      <c r="O295" s="19">
        <v>7.7857000000000003</v>
      </c>
      <c r="P295" s="19">
        <v>6.37</v>
      </c>
      <c r="Q295" s="19">
        <v>6.835</v>
      </c>
      <c r="R295" s="19">
        <v>5.44</v>
      </c>
      <c r="S295" s="19">
        <v>6.0103</v>
      </c>
      <c r="T295" s="19">
        <v>5.44</v>
      </c>
      <c r="U295" s="19">
        <v>5.2130000000000001</v>
      </c>
      <c r="V295" s="19">
        <v>4.82</v>
      </c>
      <c r="W295" s="19">
        <v>5.2888999999999999</v>
      </c>
      <c r="X295" s="19">
        <v>4.82</v>
      </c>
      <c r="Y295" s="19">
        <v>5.2888999999999999</v>
      </c>
      <c r="Z295" s="4"/>
      <c r="AA295" s="4"/>
      <c r="AB295" s="4" t="e">
        <f ca="1">_xll.ciqfunctions.udf.CIQ("^SPX", "IQ_PRICEDATE", "2/24/2015")</f>
        <v>#NAME?</v>
      </c>
      <c r="AC295" s="16">
        <v>2115.4838159563001</v>
      </c>
    </row>
    <row r="296" spans="1:29" x14ac:dyDescent="0.35">
      <c r="A296" s="2" t="s">
        <v>306</v>
      </c>
      <c r="B296" s="4" t="s">
        <v>1267</v>
      </c>
      <c r="C296" s="4" t="s">
        <v>530</v>
      </c>
      <c r="D296" s="4" t="s">
        <v>531</v>
      </c>
      <c r="E296" s="4" t="s">
        <v>569</v>
      </c>
      <c r="F296" s="4" t="s">
        <v>655</v>
      </c>
      <c r="G296" s="14">
        <v>135.04</v>
      </c>
      <c r="H296" s="10">
        <v>9.6127769999999995</v>
      </c>
      <c r="I296" s="10" t="s">
        <v>534</v>
      </c>
      <c r="J296" s="10" t="s">
        <v>534</v>
      </c>
      <c r="K296" s="15">
        <v>1.1552E-2</v>
      </c>
      <c r="L296" s="17">
        <v>26977.071924</v>
      </c>
      <c r="M296" s="4" t="s">
        <v>1268</v>
      </c>
      <c r="N296" s="19">
        <v>-1.8663419999999999</v>
      </c>
      <c r="O296" s="19">
        <v>13.4869</v>
      </c>
      <c r="P296" s="19">
        <v>22.754123</v>
      </c>
      <c r="Q296" s="19">
        <v>12.5558</v>
      </c>
      <c r="R296" s="19">
        <v>9.0365629999999992</v>
      </c>
      <c r="S296" s="19">
        <v>12.116899999999999</v>
      </c>
      <c r="T296" s="19">
        <v>9.0365629999999992</v>
      </c>
      <c r="U296" s="19">
        <v>13.3017</v>
      </c>
      <c r="V296" s="19">
        <v>7.5714709999999998</v>
      </c>
      <c r="W296" s="19">
        <v>11.6843</v>
      </c>
      <c r="X296" s="19">
        <v>7.5714709999999998</v>
      </c>
      <c r="Y296" s="19">
        <v>11.6843</v>
      </c>
      <c r="Z296" s="4"/>
      <c r="AA296" s="4"/>
      <c r="AB296" s="4" t="e">
        <f ca="1">_xll.ciqfunctions.udf.CIQ("^SPX", "IQ_PRICEDATE", "2/25/2015")</f>
        <v>#NAME?</v>
      </c>
      <c r="AC296" s="16">
        <v>2113.8635148128001</v>
      </c>
    </row>
    <row r="297" spans="1:29" x14ac:dyDescent="0.35">
      <c r="A297" s="2" t="s">
        <v>307</v>
      </c>
      <c r="B297" s="4" t="s">
        <v>1269</v>
      </c>
      <c r="C297" s="4" t="s">
        <v>530</v>
      </c>
      <c r="D297" s="4" t="s">
        <v>531</v>
      </c>
      <c r="E297" s="4" t="s">
        <v>532</v>
      </c>
      <c r="F297" s="4" t="s">
        <v>533</v>
      </c>
      <c r="G297" s="14">
        <v>97.29</v>
      </c>
      <c r="H297" s="10">
        <v>15.317556</v>
      </c>
      <c r="I297" s="10">
        <v>41.958820000000003</v>
      </c>
      <c r="J297" s="10" t="s">
        <v>534</v>
      </c>
      <c r="K297" s="15">
        <v>2.0556999999999999E-2</v>
      </c>
      <c r="L297" s="17">
        <v>131391.23396700001</v>
      </c>
      <c r="M297" s="4" t="s">
        <v>1270</v>
      </c>
      <c r="N297" s="19">
        <v>2.318702</v>
      </c>
      <c r="O297" s="19">
        <v>5.2145999999999999</v>
      </c>
      <c r="P297" s="19">
        <v>3.6437590000000002</v>
      </c>
      <c r="Q297" s="19">
        <v>4.9591000000000003</v>
      </c>
      <c r="R297" s="19">
        <v>3.0034299999999998</v>
      </c>
      <c r="S297" s="19">
        <v>4.8093000000000004</v>
      </c>
      <c r="T297" s="19">
        <v>3.0034299999999998</v>
      </c>
      <c r="U297" s="19">
        <v>4.6657000000000002</v>
      </c>
      <c r="V297" s="19">
        <v>2.8895770000000001</v>
      </c>
      <c r="W297" s="19">
        <v>4.2085999999999997</v>
      </c>
      <c r="X297" s="19">
        <v>2.8895770000000001</v>
      </c>
      <c r="Y297" s="19">
        <v>4.2085999999999997</v>
      </c>
      <c r="Z297" s="4"/>
      <c r="AA297" s="4"/>
      <c r="AB297" s="4" t="e">
        <f ca="1">_xll.ciqfunctions.udf.CIQ("^SPX", "IQ_PRICEDATE", "2/26/2015")</f>
        <v>#NAME?</v>
      </c>
      <c r="AC297" s="16">
        <v>2110.7418309157001</v>
      </c>
    </row>
    <row r="298" spans="1:29" x14ac:dyDescent="0.35">
      <c r="A298" s="2" t="s">
        <v>308</v>
      </c>
      <c r="B298" s="4" t="s">
        <v>1271</v>
      </c>
      <c r="C298" s="4" t="s">
        <v>530</v>
      </c>
      <c r="D298" s="4" t="s">
        <v>537</v>
      </c>
      <c r="E298" s="4" t="s">
        <v>613</v>
      </c>
      <c r="F298" s="4" t="s">
        <v>613</v>
      </c>
      <c r="G298" s="14">
        <v>71.819999999999993</v>
      </c>
      <c r="H298" s="10">
        <v>17.355464000000001</v>
      </c>
      <c r="I298" s="10">
        <v>148.119427</v>
      </c>
      <c r="J298" s="10">
        <v>141.313693</v>
      </c>
      <c r="K298" s="15">
        <v>2.6732999999999996E-2</v>
      </c>
      <c r="L298" s="17">
        <v>191007.10783600001</v>
      </c>
      <c r="M298" s="4" t="s">
        <v>1272</v>
      </c>
      <c r="N298" s="19">
        <v>0.484879</v>
      </c>
      <c r="O298" s="19">
        <v>4.4579000000000004</v>
      </c>
      <c r="P298" s="19">
        <v>0.87</v>
      </c>
      <c r="Q298" s="19">
        <v>3.9620000000000002</v>
      </c>
      <c r="R298" s="19">
        <v>1.41</v>
      </c>
      <c r="S298" s="19">
        <v>3.7530999999999999</v>
      </c>
      <c r="T298" s="19">
        <v>1.41</v>
      </c>
      <c r="U298" s="19">
        <v>3.6737000000000002</v>
      </c>
      <c r="V298" s="19">
        <v>4.07</v>
      </c>
      <c r="W298" s="19">
        <v>3.4413</v>
      </c>
      <c r="X298" s="19">
        <v>4.07</v>
      </c>
      <c r="Y298" s="19">
        <v>3.4413</v>
      </c>
      <c r="Z298" s="4"/>
      <c r="AA298" s="4"/>
      <c r="AB298" s="4" t="e">
        <f ca="1">_xll.ciqfunctions.udf.CIQ("^SPX", "IQ_PRICEDATE", "2/27/2015")</f>
        <v>#NAME?</v>
      </c>
      <c r="AC298" s="16">
        <v>2104.5032493243002</v>
      </c>
    </row>
    <row r="299" spans="1:29" x14ac:dyDescent="0.35">
      <c r="A299" s="2" t="s">
        <v>309</v>
      </c>
      <c r="B299" s="4" t="s">
        <v>1273</v>
      </c>
      <c r="C299" s="4" t="s">
        <v>573</v>
      </c>
      <c r="D299" s="4" t="s">
        <v>579</v>
      </c>
      <c r="E299" s="4" t="s">
        <v>579</v>
      </c>
      <c r="F299" s="4" t="s">
        <v>580</v>
      </c>
      <c r="G299" s="14">
        <v>44.66</v>
      </c>
      <c r="H299" s="10">
        <v>21.555149</v>
      </c>
      <c r="I299" s="10">
        <v>8.9880689999999994</v>
      </c>
      <c r="J299" s="10">
        <v>1.0120739999999999</v>
      </c>
      <c r="K299" s="15">
        <v>3.7616999999999998E-2</v>
      </c>
      <c r="L299" s="17">
        <v>44429.462444999997</v>
      </c>
      <c r="M299" s="4" t="s">
        <v>1274</v>
      </c>
      <c r="N299" s="19">
        <v>4.9688090000000003</v>
      </c>
      <c r="O299" s="19">
        <v>5.2276999999999996</v>
      </c>
      <c r="P299" s="19">
        <v>4.53</v>
      </c>
      <c r="Q299" s="19">
        <v>4.5159000000000002</v>
      </c>
      <c r="R299" s="19">
        <v>3.13</v>
      </c>
      <c r="S299" s="19">
        <v>5.3220000000000001</v>
      </c>
      <c r="T299" s="19">
        <v>3.13</v>
      </c>
      <c r="U299" s="19">
        <v>5.7436999999999996</v>
      </c>
      <c r="V299" s="19">
        <v>5.42</v>
      </c>
      <c r="W299" s="19">
        <v>5.76</v>
      </c>
      <c r="X299" s="19">
        <v>5.42</v>
      </c>
      <c r="Y299" s="19">
        <v>5.76</v>
      </c>
      <c r="Z299" s="4"/>
      <c r="AA299" s="4"/>
      <c r="AB299" s="4" t="e">
        <f ca="1">_xll.ciqfunctions.udf.CIQ("^SPX", "IQ_PRICEDATE", "3/2/2015")</f>
        <v>#NAME?</v>
      </c>
      <c r="AC299" s="16">
        <v>2117.3933347360999</v>
      </c>
    </row>
    <row r="300" spans="1:29" x14ac:dyDescent="0.35">
      <c r="A300" s="2" t="s">
        <v>310</v>
      </c>
      <c r="B300" s="4" t="s">
        <v>1275</v>
      </c>
      <c r="C300" s="4" t="s">
        <v>530</v>
      </c>
      <c r="D300" s="4" t="s">
        <v>537</v>
      </c>
      <c r="E300" s="4" t="s">
        <v>583</v>
      </c>
      <c r="F300" s="4" t="s">
        <v>583</v>
      </c>
      <c r="G300" s="14">
        <v>578.69000000000005</v>
      </c>
      <c r="H300" s="10">
        <v>22.263456999999999</v>
      </c>
      <c r="I300" s="10">
        <v>39.119819999999997</v>
      </c>
      <c r="J300" s="10" t="s">
        <v>534</v>
      </c>
      <c r="K300" s="15">
        <v>0</v>
      </c>
      <c r="L300" s="17">
        <v>14590.990125</v>
      </c>
      <c r="M300" s="4" t="s">
        <v>1276</v>
      </c>
      <c r="N300" s="19">
        <v>14.792757</v>
      </c>
      <c r="O300" s="19">
        <v>21.353000000000002</v>
      </c>
      <c r="P300" s="19">
        <v>14.24</v>
      </c>
      <c r="Q300" s="19">
        <v>19.140499999999999</v>
      </c>
      <c r="R300" s="19">
        <v>14.219999</v>
      </c>
      <c r="S300" s="19">
        <v>15.7037</v>
      </c>
      <c r="T300" s="19">
        <v>14.219999</v>
      </c>
      <c r="U300" s="19">
        <v>13.7766</v>
      </c>
      <c r="V300" s="19">
        <v>11.44</v>
      </c>
      <c r="W300" s="19">
        <v>12.564299999999999</v>
      </c>
      <c r="X300" s="19">
        <v>11.44</v>
      </c>
      <c r="Y300" s="19">
        <v>12.564299999999999</v>
      </c>
      <c r="Z300" s="4"/>
      <c r="AA300" s="4"/>
      <c r="AB300" s="4" t="e">
        <f ca="1">_xll.ciqfunctions.udf.CIQ("^SPX", "IQ_PRICEDATE", "3/3/2015")</f>
        <v>#NAME?</v>
      </c>
      <c r="AC300" s="16">
        <v>2107.7784174444</v>
      </c>
    </row>
    <row r="301" spans="1:29" x14ac:dyDescent="0.35">
      <c r="A301" s="2" t="s">
        <v>311</v>
      </c>
      <c r="B301" s="4" t="s">
        <v>1277</v>
      </c>
      <c r="C301" s="4" t="s">
        <v>559</v>
      </c>
      <c r="D301" s="4" t="s">
        <v>798</v>
      </c>
      <c r="E301" s="4" t="s">
        <v>799</v>
      </c>
      <c r="F301" s="4" t="s">
        <v>1278</v>
      </c>
      <c r="G301" s="14">
        <v>27.92</v>
      </c>
      <c r="H301" s="10">
        <v>12.402637</v>
      </c>
      <c r="I301" s="10">
        <v>8.5436420000000002</v>
      </c>
      <c r="J301" s="10">
        <v>11.830769</v>
      </c>
      <c r="K301" s="15">
        <v>1.7191000000000001E-2</v>
      </c>
      <c r="L301" s="17">
        <v>15018.227079</v>
      </c>
      <c r="M301" s="4" t="s">
        <v>1279</v>
      </c>
      <c r="N301" s="19">
        <v>3.2679269999999998</v>
      </c>
      <c r="O301" s="19">
        <v>1.1268</v>
      </c>
      <c r="P301" s="19">
        <v>3.3546499999999999</v>
      </c>
      <c r="Q301" s="19">
        <v>1.236</v>
      </c>
      <c r="R301" s="19">
        <v>1.921033</v>
      </c>
      <c r="S301" s="19">
        <v>1.2794000000000001</v>
      </c>
      <c r="T301" s="19">
        <v>1.921033</v>
      </c>
      <c r="U301" s="19">
        <v>0.57110000000000005</v>
      </c>
      <c r="V301" s="19">
        <v>-0.30601</v>
      </c>
      <c r="W301" s="19">
        <v>0.53300000000000003</v>
      </c>
      <c r="X301" s="19">
        <v>-0.30601</v>
      </c>
      <c r="Y301" s="19">
        <v>0.53300000000000003</v>
      </c>
      <c r="Z301" s="4"/>
      <c r="AA301" s="4"/>
      <c r="AB301" s="4" t="e">
        <f ca="1">_xll.ciqfunctions.udf.CIQ("^SPX", "IQ_PRICEDATE", "3/4/2015")</f>
        <v>#NAME?</v>
      </c>
      <c r="AC301" s="16">
        <v>2098.5330535804001</v>
      </c>
    </row>
    <row r="302" spans="1:29" x14ac:dyDescent="0.35">
      <c r="A302" s="2" t="s">
        <v>312</v>
      </c>
      <c r="B302" s="4" t="s">
        <v>1280</v>
      </c>
      <c r="C302" s="4" t="s">
        <v>559</v>
      </c>
      <c r="D302" s="4" t="s">
        <v>912</v>
      </c>
      <c r="E302" s="4" t="s">
        <v>1097</v>
      </c>
      <c r="F302" s="4" t="s">
        <v>1098</v>
      </c>
      <c r="G302" s="14">
        <v>62.38</v>
      </c>
      <c r="H302" s="10">
        <v>8.4249170000000007</v>
      </c>
      <c r="I302" s="10">
        <v>14.711650000000001</v>
      </c>
      <c r="J302" s="10">
        <v>173.590723</v>
      </c>
      <c r="K302" s="15">
        <v>0</v>
      </c>
      <c r="L302" s="17">
        <v>9305.1369560000003</v>
      </c>
      <c r="M302" s="4" t="s">
        <v>1281</v>
      </c>
      <c r="N302" s="19">
        <v>4.2401770000000001</v>
      </c>
      <c r="O302" s="19">
        <v>5.0564999999999998</v>
      </c>
      <c r="P302" s="19">
        <v>3.3294570000000001</v>
      </c>
      <c r="Q302" s="19">
        <v>3.9893999999999998</v>
      </c>
      <c r="R302" s="19">
        <v>4.3754530000000003</v>
      </c>
      <c r="S302" s="19">
        <v>4.4847999999999999</v>
      </c>
      <c r="T302" s="19">
        <v>4.3754530000000003</v>
      </c>
      <c r="U302" s="19">
        <v>4.3769999999999998</v>
      </c>
      <c r="V302" s="19">
        <v>4.1599360000000001</v>
      </c>
      <c r="W302" s="19">
        <v>4.4702999999999999</v>
      </c>
      <c r="X302" s="19">
        <v>4.1599360000000001</v>
      </c>
      <c r="Y302" s="19">
        <v>4.4702999999999999</v>
      </c>
      <c r="Z302" s="4"/>
      <c r="AA302" s="4"/>
      <c r="AB302" s="4" t="e">
        <f ca="1">_xll.ciqfunctions.udf.CIQ("^SPX", "IQ_PRICEDATE", "3/5/2015")</f>
        <v>#NAME?</v>
      </c>
      <c r="AC302" s="16">
        <v>2101.0420529524999</v>
      </c>
    </row>
    <row r="303" spans="1:29" x14ac:dyDescent="0.35">
      <c r="A303" s="2" t="s">
        <v>313</v>
      </c>
      <c r="B303" s="4" t="s">
        <v>1282</v>
      </c>
      <c r="C303" s="4" t="s">
        <v>543</v>
      </c>
      <c r="D303" s="4" t="s">
        <v>565</v>
      </c>
      <c r="E303" s="4" t="s">
        <v>565</v>
      </c>
      <c r="F303" s="4" t="s">
        <v>566</v>
      </c>
      <c r="G303" s="14">
        <v>69.05</v>
      </c>
      <c r="H303" s="10">
        <v>17.165426</v>
      </c>
      <c r="I303" s="10">
        <v>142.604299</v>
      </c>
      <c r="J303" s="10" t="s">
        <v>534</v>
      </c>
      <c r="K303" s="15">
        <v>2.1086000000000001E-2</v>
      </c>
      <c r="L303" s="17">
        <v>16265.268023000001</v>
      </c>
      <c r="M303" s="4" t="s">
        <v>1283</v>
      </c>
      <c r="N303" s="19">
        <v>0.484207</v>
      </c>
      <c r="O303" s="19">
        <v>6.9287000000000001</v>
      </c>
      <c r="P303" s="19">
        <v>1.0271079999999999</v>
      </c>
      <c r="Q303" s="19">
        <v>5.6483999999999996</v>
      </c>
      <c r="R303" s="19">
        <v>0.43665500000000002</v>
      </c>
      <c r="S303" s="19">
        <v>3.8492999999999999</v>
      </c>
      <c r="T303" s="19">
        <v>0.43665500000000002</v>
      </c>
      <c r="U303" s="19">
        <v>2.7298</v>
      </c>
      <c r="V303" s="19">
        <v>1.7077009999999999</v>
      </c>
      <c r="W303" s="19">
        <v>2.6915</v>
      </c>
      <c r="X303" s="19">
        <v>1.7077009999999999</v>
      </c>
      <c r="Y303" s="19">
        <v>2.6915</v>
      </c>
      <c r="Z303" s="4"/>
      <c r="AA303" s="4"/>
      <c r="AB303" s="4" t="e">
        <f ca="1">_xll.ciqfunctions.udf.CIQ("^SPX", "IQ_PRICEDATE", "3/6/2015")</f>
        <v>#NAME?</v>
      </c>
      <c r="AC303" s="16">
        <v>2071.2621063056999</v>
      </c>
    </row>
    <row r="304" spans="1:29" x14ac:dyDescent="0.35">
      <c r="A304" s="2" t="s">
        <v>314</v>
      </c>
      <c r="B304" s="4" t="s">
        <v>1284</v>
      </c>
      <c r="C304" s="4" t="s">
        <v>543</v>
      </c>
      <c r="D304" s="4" t="s">
        <v>565</v>
      </c>
      <c r="E304" s="4" t="s">
        <v>565</v>
      </c>
      <c r="F304" s="4" t="s">
        <v>566</v>
      </c>
      <c r="G304" s="14">
        <v>42.35</v>
      </c>
      <c r="H304" s="10">
        <v>2.3795829999999998</v>
      </c>
      <c r="I304" s="10">
        <v>3.6794090000000002</v>
      </c>
      <c r="J304" s="10">
        <v>1.5997509999999999</v>
      </c>
      <c r="K304" s="15">
        <v>0</v>
      </c>
      <c r="L304" s="17">
        <v>48035.715130999997</v>
      </c>
      <c r="M304" s="4" t="s">
        <v>1285</v>
      </c>
      <c r="N304" s="19">
        <v>11.51</v>
      </c>
      <c r="O304" s="19">
        <v>10.607049999999999</v>
      </c>
      <c r="P304" s="19">
        <v>6.3977510000000004</v>
      </c>
      <c r="Q304" s="19">
        <v>9.7083999999999993</v>
      </c>
      <c r="R304" s="19">
        <v>-0.30013000000000001</v>
      </c>
      <c r="S304" s="19">
        <v>2.7976000000000001</v>
      </c>
      <c r="T304" s="19">
        <v>-0.30013000000000001</v>
      </c>
      <c r="U304" s="19">
        <v>0.56930000000000003</v>
      </c>
      <c r="V304" s="19">
        <v>3.0776029999999999</v>
      </c>
      <c r="W304" s="19">
        <v>3.7490700000000001</v>
      </c>
      <c r="X304" s="19">
        <v>3.0776029999999999</v>
      </c>
      <c r="Y304" s="19">
        <v>3.7490700000000001</v>
      </c>
      <c r="Z304" s="4"/>
      <c r="AA304" s="4"/>
      <c r="AB304" s="4" t="e">
        <f ca="1">_xll.ciqfunctions.udf.CIQ("^SPX", "IQ_PRICEDATE", "3/9/2015")</f>
        <v>#NAME?</v>
      </c>
      <c r="AC304" s="16">
        <v>2079.4254666122001</v>
      </c>
    </row>
    <row r="305" spans="1:29" x14ac:dyDescent="0.35">
      <c r="A305" s="2" t="s">
        <v>315</v>
      </c>
      <c r="B305" s="4" t="s">
        <v>1286</v>
      </c>
      <c r="C305" s="4" t="s">
        <v>543</v>
      </c>
      <c r="D305" s="4" t="s">
        <v>544</v>
      </c>
      <c r="E305" s="4" t="s">
        <v>555</v>
      </c>
      <c r="F305" s="4" t="s">
        <v>782</v>
      </c>
      <c r="G305" s="14">
        <v>110.71</v>
      </c>
      <c r="H305" s="10">
        <v>17.879272</v>
      </c>
      <c r="I305" s="10">
        <v>51.976525000000002</v>
      </c>
      <c r="J305" s="10">
        <v>21.802903000000001</v>
      </c>
      <c r="K305" s="15">
        <v>1.6618999999999998E-2</v>
      </c>
      <c r="L305" s="17">
        <v>849977.32351799996</v>
      </c>
      <c r="M305" s="4" t="s">
        <v>1287</v>
      </c>
      <c r="N305" s="19">
        <v>2.13</v>
      </c>
      <c r="O305" s="19">
        <v>4.2925899999999997</v>
      </c>
      <c r="P305" s="19">
        <v>1.2299960000000001</v>
      </c>
      <c r="Q305" s="19">
        <v>3.4314</v>
      </c>
      <c r="R305" s="19">
        <v>2.383178</v>
      </c>
      <c r="S305" s="19">
        <v>2.9746999999999999</v>
      </c>
      <c r="T305" s="19">
        <v>2.383178</v>
      </c>
      <c r="U305" s="19">
        <v>2.7997000000000001</v>
      </c>
      <c r="V305" s="19">
        <v>2.4794459999999998</v>
      </c>
      <c r="W305" s="19">
        <v>2.8952</v>
      </c>
      <c r="X305" s="19">
        <v>2.4794459999999998</v>
      </c>
      <c r="Y305" s="19">
        <v>2.8952</v>
      </c>
      <c r="Z305" s="4"/>
      <c r="AA305" s="4"/>
      <c r="AB305" s="4" t="e">
        <f ca="1">_xll.ciqfunctions.udf.CIQ("^SPX", "IQ_PRICEDATE", "3/10/2015")</f>
        <v>#NAME?</v>
      </c>
      <c r="AC305" s="16">
        <v>2044.1626309388</v>
      </c>
    </row>
    <row r="306" spans="1:29" x14ac:dyDescent="0.35">
      <c r="A306" s="2" t="s">
        <v>316</v>
      </c>
      <c r="B306" s="4" t="s">
        <v>1288</v>
      </c>
      <c r="C306" s="4" t="s">
        <v>601</v>
      </c>
      <c r="D306" s="4" t="s">
        <v>601</v>
      </c>
      <c r="E306" s="4" t="s">
        <v>602</v>
      </c>
      <c r="F306" s="4" t="s">
        <v>685</v>
      </c>
      <c r="G306" s="14">
        <v>98.11</v>
      </c>
      <c r="H306" s="10">
        <v>18.067543000000001</v>
      </c>
      <c r="I306" s="10">
        <v>32.507334999999998</v>
      </c>
      <c r="J306" s="10">
        <v>1.7858449999999999</v>
      </c>
      <c r="K306" s="15">
        <v>3.7610000000000005E-2</v>
      </c>
      <c r="L306" s="17">
        <v>11165.894587000001</v>
      </c>
      <c r="M306" s="4" t="s">
        <v>1289</v>
      </c>
      <c r="N306" s="19">
        <v>3.0180880000000001</v>
      </c>
      <c r="O306" s="19">
        <v>1.9883</v>
      </c>
      <c r="P306" s="19">
        <v>2.8560080000000001</v>
      </c>
      <c r="Q306" s="19">
        <v>2.0318999999999998</v>
      </c>
      <c r="R306" s="19">
        <v>2.689276</v>
      </c>
      <c r="S306" s="19">
        <v>1.895</v>
      </c>
      <c r="T306" s="19">
        <v>2.689276</v>
      </c>
      <c r="U306" s="19">
        <v>2.1225000000000001</v>
      </c>
      <c r="V306" s="19">
        <v>1.8986019999999999</v>
      </c>
      <c r="W306" s="19">
        <v>1.885</v>
      </c>
      <c r="X306" s="19">
        <v>1.8986019999999999</v>
      </c>
      <c r="Y306" s="19">
        <v>1.885</v>
      </c>
      <c r="Z306" s="4"/>
      <c r="AA306" s="4"/>
      <c r="AB306" s="4" t="e">
        <f ca="1">_xll.ciqfunctions.udf.CIQ("^SPX", "IQ_PRICEDATE", "3/11/2015")</f>
        <v>#NAME?</v>
      </c>
      <c r="AC306" s="16">
        <v>2040.2351976913999</v>
      </c>
    </row>
    <row r="307" spans="1:29" x14ac:dyDescent="0.35">
      <c r="A307" s="2" t="s">
        <v>317</v>
      </c>
      <c r="B307" s="4" t="s">
        <v>1290</v>
      </c>
      <c r="C307" s="4" t="s">
        <v>559</v>
      </c>
      <c r="D307" s="4" t="s">
        <v>912</v>
      </c>
      <c r="E307" s="4" t="s">
        <v>913</v>
      </c>
      <c r="F307" s="4" t="s">
        <v>1222</v>
      </c>
      <c r="G307" s="14">
        <v>155.94999999999999</v>
      </c>
      <c r="H307" s="10">
        <v>7.5434130000000001</v>
      </c>
      <c r="I307" s="10">
        <v>12.762679</v>
      </c>
      <c r="J307" s="10">
        <v>2.8655789999999999</v>
      </c>
      <c r="K307" s="15">
        <v>0</v>
      </c>
      <c r="L307" s="17">
        <v>11634.320851</v>
      </c>
      <c r="M307" s="4" t="s">
        <v>1291</v>
      </c>
      <c r="N307" s="19">
        <v>12.219220999999999</v>
      </c>
      <c r="O307" s="19">
        <v>14.0388</v>
      </c>
      <c r="P307" s="19">
        <v>12.98</v>
      </c>
      <c r="Q307" s="19">
        <v>14.451700000000001</v>
      </c>
      <c r="R307" s="19">
        <v>12.48</v>
      </c>
      <c r="S307" s="19">
        <v>13.2964</v>
      </c>
      <c r="T307" s="19">
        <v>12.48</v>
      </c>
      <c r="U307" s="19">
        <v>11.652699999999999</v>
      </c>
      <c r="V307" s="19">
        <v>7.25</v>
      </c>
      <c r="W307" s="19">
        <v>9.0420999999999996</v>
      </c>
      <c r="X307" s="19">
        <v>7.25</v>
      </c>
      <c r="Y307" s="19">
        <v>9.0420999999999996</v>
      </c>
      <c r="Z307" s="4"/>
      <c r="AA307" s="4"/>
      <c r="AB307" s="4" t="e">
        <f ca="1">_xll.ciqfunctions.udf.CIQ("^SPX", "IQ_PRICEDATE", "3/12/2015")</f>
        <v>#NAME?</v>
      </c>
      <c r="AC307" s="16">
        <v>2065.9542896005</v>
      </c>
    </row>
    <row r="308" spans="1:29" x14ac:dyDescent="0.35">
      <c r="A308" s="2" t="s">
        <v>318</v>
      </c>
      <c r="B308" s="4" t="s">
        <v>1292</v>
      </c>
      <c r="C308" s="4" t="s">
        <v>626</v>
      </c>
      <c r="D308" s="4" t="s">
        <v>627</v>
      </c>
      <c r="E308" s="4" t="s">
        <v>775</v>
      </c>
      <c r="F308" s="4" t="s">
        <v>1293</v>
      </c>
      <c r="G308" s="14">
        <v>59.57</v>
      </c>
      <c r="H308" s="10">
        <v>9.5026679999999999</v>
      </c>
      <c r="I308" s="10">
        <v>8.1947489999999998</v>
      </c>
      <c r="J308" s="10" t="s">
        <v>534</v>
      </c>
      <c r="K308" s="15">
        <v>2.7530000000000002E-2</v>
      </c>
      <c r="L308" s="17">
        <v>12872.404688000001</v>
      </c>
      <c r="M308" s="4" t="s">
        <v>1294</v>
      </c>
      <c r="N308" s="19">
        <v>7.2692889999999997</v>
      </c>
      <c r="O308" s="19">
        <v>4.9176000000000002</v>
      </c>
      <c r="P308" s="19">
        <v>6.52</v>
      </c>
      <c r="Q308" s="19">
        <v>4.7706999999999997</v>
      </c>
      <c r="R308" s="19">
        <v>9.35</v>
      </c>
      <c r="S308" s="19">
        <v>5.3032000000000004</v>
      </c>
      <c r="T308" s="19">
        <v>9.35</v>
      </c>
      <c r="U308" s="19">
        <v>3.8633000000000002</v>
      </c>
      <c r="V308" s="19">
        <v>2.76</v>
      </c>
      <c r="W308" s="19">
        <v>4.2073999999999998</v>
      </c>
      <c r="X308" s="19">
        <v>2.76</v>
      </c>
      <c r="Y308" s="19">
        <v>4.2073999999999998</v>
      </c>
      <c r="Z308" s="4"/>
      <c r="AA308" s="4"/>
      <c r="AB308" s="4" t="e">
        <f ca="1">_xll.ciqfunctions.udf.CIQ("^SPX", "IQ_PRICEDATE", "3/13/2015")</f>
        <v>#NAME?</v>
      </c>
      <c r="AC308" s="16">
        <v>2053.3982557016998</v>
      </c>
    </row>
    <row r="309" spans="1:29" x14ac:dyDescent="0.35">
      <c r="A309" s="2" t="s">
        <v>319</v>
      </c>
      <c r="B309" s="4" t="s">
        <v>1295</v>
      </c>
      <c r="C309" s="4" t="s">
        <v>626</v>
      </c>
      <c r="D309" s="4" t="s">
        <v>627</v>
      </c>
      <c r="E309" s="4" t="s">
        <v>699</v>
      </c>
      <c r="F309" s="4" t="s">
        <v>789</v>
      </c>
      <c r="G309" s="14">
        <v>41.16</v>
      </c>
      <c r="H309" s="10">
        <v>14.952602000000001</v>
      </c>
      <c r="I309" s="10">
        <v>20.312253999999999</v>
      </c>
      <c r="J309" s="10" t="s">
        <v>534</v>
      </c>
      <c r="K309" s="15">
        <v>2.5266999999999998E-2</v>
      </c>
      <c r="L309" s="17">
        <v>60363.650718999997</v>
      </c>
      <c r="M309" s="4" t="s">
        <v>1296</v>
      </c>
      <c r="N309" s="19">
        <v>2.0263629999999999</v>
      </c>
      <c r="O309" s="19">
        <v>2.4335</v>
      </c>
      <c r="P309" s="19">
        <v>1.91</v>
      </c>
      <c r="Q309" s="19">
        <v>2.3098000000000001</v>
      </c>
      <c r="R309" s="19">
        <v>1.05</v>
      </c>
      <c r="S309" s="19">
        <v>2.0310999999999999</v>
      </c>
      <c r="T309" s="19">
        <v>1.05</v>
      </c>
      <c r="U309" s="19">
        <v>1.927</v>
      </c>
      <c r="V309" s="19">
        <v>1.28</v>
      </c>
      <c r="W309" s="19">
        <v>1.7676000000000001</v>
      </c>
      <c r="X309" s="19">
        <v>1.28</v>
      </c>
      <c r="Y309" s="19">
        <v>1.7676000000000001</v>
      </c>
      <c r="Z309" s="4"/>
      <c r="AA309" s="4"/>
      <c r="AB309" s="4" t="e">
        <f ca="1">_xll.ciqfunctions.udf.CIQ("^SPX", "IQ_PRICEDATE", "3/16/2015")</f>
        <v>#NAME?</v>
      </c>
      <c r="AC309" s="16">
        <v>2081.1927519049</v>
      </c>
    </row>
    <row r="310" spans="1:29" x14ac:dyDescent="0.35">
      <c r="A310" s="2" t="s">
        <v>320</v>
      </c>
      <c r="B310" s="4" t="s">
        <v>1297</v>
      </c>
      <c r="C310" s="4" t="s">
        <v>626</v>
      </c>
      <c r="D310" s="4" t="s">
        <v>627</v>
      </c>
      <c r="E310" s="4" t="s">
        <v>775</v>
      </c>
      <c r="F310" s="4" t="s">
        <v>1298</v>
      </c>
      <c r="G310" s="14">
        <v>52.63</v>
      </c>
      <c r="H310" s="10">
        <v>21.630203999999999</v>
      </c>
      <c r="I310" s="10">
        <v>33.323265999999997</v>
      </c>
      <c r="J310" s="10">
        <v>23.560040999999998</v>
      </c>
      <c r="K310" s="15">
        <v>0</v>
      </c>
      <c r="L310" s="17">
        <v>29079.292332000001</v>
      </c>
      <c r="M310" s="4" t="s">
        <v>1299</v>
      </c>
      <c r="N310" s="19">
        <v>1.579377</v>
      </c>
      <c r="O310" s="19">
        <v>1.8596999999999999</v>
      </c>
      <c r="P310" s="19">
        <v>1.42</v>
      </c>
      <c r="Q310" s="19">
        <v>1.6449</v>
      </c>
      <c r="R310" s="19">
        <v>1.19</v>
      </c>
      <c r="S310" s="19">
        <v>1.4362999999999999</v>
      </c>
      <c r="T310" s="19">
        <v>1.19</v>
      </c>
      <c r="U310" s="19">
        <v>1.2426999999999999</v>
      </c>
      <c r="V310" s="19">
        <v>0.92</v>
      </c>
      <c r="W310" s="19">
        <v>1.0047999999999999</v>
      </c>
      <c r="X310" s="19">
        <v>0.92</v>
      </c>
      <c r="Y310" s="19">
        <v>1.0047999999999999</v>
      </c>
      <c r="Z310" s="4"/>
      <c r="AA310" s="4"/>
      <c r="AB310" s="4" t="e">
        <f ca="1">_xll.ciqfunctions.udf.CIQ("^SPX", "IQ_PRICEDATE", "3/17/2015")</f>
        <v>#NAME?</v>
      </c>
      <c r="AC310" s="16">
        <v>2074.2764352814002</v>
      </c>
    </row>
    <row r="311" spans="1:29" x14ac:dyDescent="0.35">
      <c r="A311" s="2" t="s">
        <v>321</v>
      </c>
      <c r="B311" s="4" t="s">
        <v>1300</v>
      </c>
      <c r="C311" s="4" t="s">
        <v>573</v>
      </c>
      <c r="D311" s="4" t="s">
        <v>574</v>
      </c>
      <c r="E311" s="4" t="s">
        <v>575</v>
      </c>
      <c r="F311" s="4" t="s">
        <v>807</v>
      </c>
      <c r="G311" s="14">
        <v>161.83000000000001</v>
      </c>
      <c r="H311" s="10">
        <v>16.366043000000001</v>
      </c>
      <c r="I311" s="10">
        <v>28.836867999999999</v>
      </c>
      <c r="J311" s="10" t="s">
        <v>534</v>
      </c>
      <c r="K311" s="15">
        <v>1.0874999999999999E-2</v>
      </c>
      <c r="L311" s="17">
        <v>31055.177</v>
      </c>
      <c r="M311" s="4" t="s">
        <v>1301</v>
      </c>
      <c r="N311" s="19">
        <v>5.6119130000000004</v>
      </c>
      <c r="O311" s="19">
        <v>7.9436</v>
      </c>
      <c r="P311" s="19">
        <v>5.15</v>
      </c>
      <c r="Q311" s="19">
        <v>6.2826000000000004</v>
      </c>
      <c r="R311" s="19">
        <v>1.36</v>
      </c>
      <c r="S311" s="19">
        <v>4.9725999999999999</v>
      </c>
      <c r="T311" s="19">
        <v>1.36</v>
      </c>
      <c r="U311" s="19">
        <v>4.9287000000000001</v>
      </c>
      <c r="V311" s="19">
        <v>4.6100000000000003</v>
      </c>
      <c r="W311" s="19">
        <v>4.4413999999999998</v>
      </c>
      <c r="X311" s="19">
        <v>4.6100000000000003</v>
      </c>
      <c r="Y311" s="19">
        <v>4.4413999999999998</v>
      </c>
      <c r="Z311" s="4"/>
      <c r="AA311" s="4"/>
      <c r="AB311" s="4" t="e">
        <f ca="1">_xll.ciqfunctions.udf.CIQ("^SPX", "IQ_PRICEDATE", "3/18/2015")</f>
        <v>#NAME?</v>
      </c>
      <c r="AC311" s="16">
        <v>2099.5007136298</v>
      </c>
    </row>
    <row r="312" spans="1:29" x14ac:dyDescent="0.35">
      <c r="A312" s="2" t="s">
        <v>322</v>
      </c>
      <c r="B312" s="4" t="s">
        <v>1302</v>
      </c>
      <c r="C312" s="4" t="s">
        <v>573</v>
      </c>
      <c r="D312" s="4" t="s">
        <v>574</v>
      </c>
      <c r="E312" s="4" t="s">
        <v>575</v>
      </c>
      <c r="F312" s="4" t="s">
        <v>963</v>
      </c>
      <c r="G312" s="14">
        <v>47.19</v>
      </c>
      <c r="H312" s="10">
        <v>0</v>
      </c>
      <c r="I312" s="10">
        <v>11.312206</v>
      </c>
      <c r="J312" s="10">
        <v>1.341121</v>
      </c>
      <c r="K312" s="15">
        <v>2.5429E-2</v>
      </c>
      <c r="L312" s="17">
        <v>80223</v>
      </c>
      <c r="M312" s="4" t="s">
        <v>1303</v>
      </c>
      <c r="N312" s="19">
        <v>4.1715999999999998</v>
      </c>
      <c r="O312" s="19">
        <v>4.7832999999999997</v>
      </c>
      <c r="P312" s="19">
        <v>3.08</v>
      </c>
      <c r="Q312" s="19">
        <v>3.9678</v>
      </c>
      <c r="R312" s="19">
        <v>2.92</v>
      </c>
      <c r="S312" s="19">
        <v>3.2086999999999999</v>
      </c>
      <c r="T312" s="19">
        <v>2.92</v>
      </c>
      <c r="U312" s="19">
        <v>2.9138999999999999</v>
      </c>
      <c r="V312" s="19">
        <v>1.61</v>
      </c>
      <c r="W312" s="19">
        <v>2.8113999999999999</v>
      </c>
      <c r="X312" s="19">
        <v>1.61</v>
      </c>
      <c r="Y312" s="19">
        <v>2.8113999999999999</v>
      </c>
      <c r="Z312" s="4"/>
      <c r="AA312" s="4"/>
      <c r="AB312" s="4" t="e">
        <f ca="1">_xll.ciqfunctions.udf.CIQ("^SPX", "IQ_PRICEDATE", "3/19/2015")</f>
        <v>#NAME?</v>
      </c>
      <c r="AC312" s="16">
        <v>2089.274370696</v>
      </c>
    </row>
    <row r="313" spans="1:29" x14ac:dyDescent="0.35">
      <c r="A313" s="2" t="s">
        <v>323</v>
      </c>
      <c r="B313" s="4" t="s">
        <v>1304</v>
      </c>
      <c r="C313" s="4" t="s">
        <v>543</v>
      </c>
      <c r="D313" s="4" t="s">
        <v>664</v>
      </c>
      <c r="E313" s="4" t="s">
        <v>706</v>
      </c>
      <c r="F313" s="4" t="s">
        <v>706</v>
      </c>
      <c r="G313" s="14">
        <v>123.56</v>
      </c>
      <c r="H313" s="10">
        <v>14.005463000000001</v>
      </c>
      <c r="I313" s="10" t="s">
        <v>534</v>
      </c>
      <c r="J313" s="10" t="s">
        <v>534</v>
      </c>
      <c r="K313" s="15">
        <v>1.6833000000000001E-2</v>
      </c>
      <c r="L313" s="17">
        <v>20049.685932</v>
      </c>
      <c r="M313" s="4" t="s">
        <v>1305</v>
      </c>
      <c r="N313" s="19">
        <v>-0.41529899999999997</v>
      </c>
      <c r="O313" s="19">
        <v>7.0298999999999996</v>
      </c>
      <c r="P313" s="19">
        <v>-0.95150299999999999</v>
      </c>
      <c r="Q313" s="19">
        <v>5.5968999999999998</v>
      </c>
      <c r="R313" s="19">
        <v>3.24</v>
      </c>
      <c r="S313" s="19">
        <v>4.9733000000000001</v>
      </c>
      <c r="T313" s="19">
        <v>3.24</v>
      </c>
      <c r="U313" s="19">
        <v>3.8220999999999998</v>
      </c>
      <c r="V313" s="19">
        <v>-2.84</v>
      </c>
      <c r="W313" s="19">
        <v>3.1013999999999999</v>
      </c>
      <c r="X313" s="19">
        <v>-2.84</v>
      </c>
      <c r="Y313" s="19">
        <v>3.1013999999999999</v>
      </c>
      <c r="Z313" s="4"/>
      <c r="AA313" s="4"/>
      <c r="AB313" s="4" t="e">
        <f ca="1">_xll.ciqfunctions.udf.CIQ("^SPX", "IQ_PRICEDATE", "3/20/2015")</f>
        <v>#NAME?</v>
      </c>
      <c r="AC313" s="16">
        <v>2108.0973212684999</v>
      </c>
    </row>
    <row r="314" spans="1:29" x14ac:dyDescent="0.35">
      <c r="A314" s="2" t="s">
        <v>324</v>
      </c>
      <c r="B314" s="4" t="s">
        <v>1306</v>
      </c>
      <c r="C314" s="4" t="s">
        <v>573</v>
      </c>
      <c r="D314" s="4" t="s">
        <v>574</v>
      </c>
      <c r="E314" s="4" t="s">
        <v>575</v>
      </c>
      <c r="F314" s="4" t="s">
        <v>807</v>
      </c>
      <c r="G314" s="14">
        <v>157.28</v>
      </c>
      <c r="H314" s="10">
        <v>20.900062999999999</v>
      </c>
      <c r="I314" s="10">
        <v>37.901049999999998</v>
      </c>
      <c r="J314" s="10" t="s">
        <v>534</v>
      </c>
      <c r="K314" s="15">
        <v>1.4750000000000001E-2</v>
      </c>
      <c r="L314" s="17">
        <v>13971.638354999999</v>
      </c>
      <c r="M314" s="4" t="s">
        <v>1307</v>
      </c>
      <c r="N314" s="19">
        <v>4.1497529999999996</v>
      </c>
      <c r="O314" s="19">
        <v>5.5590999999999999</v>
      </c>
      <c r="P314" s="19">
        <v>3.31</v>
      </c>
      <c r="Q314" s="19">
        <v>4.3346</v>
      </c>
      <c r="R314" s="19">
        <v>2.7</v>
      </c>
      <c r="S314" s="19">
        <v>3.2816999999999998</v>
      </c>
      <c r="T314" s="19">
        <v>2.7</v>
      </c>
      <c r="U314" s="19">
        <v>2.6101000000000001</v>
      </c>
      <c r="V314" s="19">
        <v>1.7</v>
      </c>
      <c r="W314" s="19">
        <v>2.0375000000000001</v>
      </c>
      <c r="X314" s="19">
        <v>1.7</v>
      </c>
      <c r="Y314" s="19">
        <v>2.0375000000000001</v>
      </c>
      <c r="Z314" s="4"/>
      <c r="AA314" s="4"/>
      <c r="AB314" s="4" t="e">
        <f ca="1">_xll.ciqfunctions.udf.CIQ("^SPX", "IQ_PRICEDATE", "3/23/2015")</f>
        <v>#NAME?</v>
      </c>
      <c r="AC314" s="16">
        <v>2104.4201169500998</v>
      </c>
    </row>
    <row r="315" spans="1:29" x14ac:dyDescent="0.35">
      <c r="A315" s="2" t="s">
        <v>325</v>
      </c>
      <c r="B315" s="4" t="s">
        <v>1308</v>
      </c>
      <c r="C315" s="4" t="s">
        <v>530</v>
      </c>
      <c r="D315" s="4" t="s">
        <v>537</v>
      </c>
      <c r="E315" s="4" t="s">
        <v>613</v>
      </c>
      <c r="F315" s="4" t="s">
        <v>613</v>
      </c>
      <c r="G315" s="14">
        <v>33.020000000000003</v>
      </c>
      <c r="H315" s="10">
        <v>9.0554609999999993</v>
      </c>
      <c r="I315" s="10">
        <v>38.080475999999997</v>
      </c>
      <c r="J315" s="10" t="s">
        <v>534</v>
      </c>
      <c r="K315" s="15">
        <v>0</v>
      </c>
      <c r="L315" s="17">
        <v>17024.030727000001</v>
      </c>
      <c r="M315" s="4" t="s">
        <v>1309</v>
      </c>
      <c r="N315" s="19">
        <v>0.86711099999999997</v>
      </c>
      <c r="O315" s="19">
        <v>4.9622000000000002</v>
      </c>
      <c r="P315" s="19">
        <v>1.3</v>
      </c>
      <c r="Q315" s="19">
        <v>5.2491000000000003</v>
      </c>
      <c r="R315" s="19">
        <v>0.92</v>
      </c>
      <c r="S315" s="19">
        <v>5.3051000000000004</v>
      </c>
      <c r="T315" s="19">
        <v>0.92</v>
      </c>
      <c r="U315" s="19">
        <v>4.8670999999999998</v>
      </c>
      <c r="V315" s="19">
        <v>2.34</v>
      </c>
      <c r="W315" s="19">
        <v>4.0833000000000004</v>
      </c>
      <c r="X315" s="19">
        <v>2.34</v>
      </c>
      <c r="Y315" s="19">
        <v>4.0833000000000004</v>
      </c>
      <c r="Z315" s="4"/>
      <c r="AA315" s="4"/>
      <c r="AB315" s="4" t="e">
        <f ca="1">_xll.ciqfunctions.udf.CIQ("^SPX", "IQ_PRICEDATE", "3/24/2015")</f>
        <v>#NAME?</v>
      </c>
      <c r="AC315" s="16">
        <v>2091.5017884394001</v>
      </c>
    </row>
    <row r="316" spans="1:29" x14ac:dyDescent="0.35">
      <c r="A316" s="2" t="s">
        <v>326</v>
      </c>
      <c r="B316" s="4" t="s">
        <v>1310</v>
      </c>
      <c r="C316" s="4" t="s">
        <v>573</v>
      </c>
      <c r="D316" s="4" t="s">
        <v>574</v>
      </c>
      <c r="E316" s="4" t="s">
        <v>575</v>
      </c>
      <c r="F316" s="4" t="s">
        <v>807</v>
      </c>
      <c r="G316" s="14">
        <v>80.63</v>
      </c>
      <c r="H316" s="10">
        <v>12.503247999999999</v>
      </c>
      <c r="I316" s="10">
        <v>17.912168999999999</v>
      </c>
      <c r="J316" s="10" t="s">
        <v>534</v>
      </c>
      <c r="K316" s="15">
        <v>2.1828E-2</v>
      </c>
      <c r="L316" s="17">
        <v>13264.320919</v>
      </c>
      <c r="M316" s="4" t="s">
        <v>1311</v>
      </c>
      <c r="N316" s="19">
        <v>4.5014089999999998</v>
      </c>
      <c r="O316" s="19">
        <v>4.9147999999999996</v>
      </c>
      <c r="P316" s="19">
        <v>4.3299989999999999</v>
      </c>
      <c r="Q316" s="19">
        <v>4.2944000000000004</v>
      </c>
      <c r="R316" s="19">
        <v>0.63999899999999998</v>
      </c>
      <c r="S316" s="19">
        <v>4.0232999999999999</v>
      </c>
      <c r="T316" s="19">
        <v>0.63999899999999998</v>
      </c>
      <c r="U316" s="19">
        <v>3.657</v>
      </c>
      <c r="V316" s="19">
        <v>2.389999</v>
      </c>
      <c r="W316" s="19">
        <v>3.1396000000000002</v>
      </c>
      <c r="X316" s="19">
        <v>2.389999</v>
      </c>
      <c r="Y316" s="19">
        <v>3.1396000000000002</v>
      </c>
      <c r="Z316" s="4"/>
      <c r="AA316" s="4"/>
      <c r="AB316" s="4" t="e">
        <f ca="1">_xll.ciqfunctions.udf.CIQ("^SPX", "IQ_PRICEDATE", "3/25/2015")</f>
        <v>#NAME?</v>
      </c>
      <c r="AC316" s="16">
        <v>2061.0474809228999</v>
      </c>
    </row>
    <row r="317" spans="1:29" x14ac:dyDescent="0.35">
      <c r="A317" s="2" t="s">
        <v>327</v>
      </c>
      <c r="B317" s="4" t="s">
        <v>1312</v>
      </c>
      <c r="C317" s="4" t="s">
        <v>669</v>
      </c>
      <c r="D317" s="4" t="s">
        <v>669</v>
      </c>
      <c r="E317" s="4" t="s">
        <v>730</v>
      </c>
      <c r="F317" s="4" t="s">
        <v>731</v>
      </c>
      <c r="G317" s="14">
        <v>41.87</v>
      </c>
      <c r="H317" s="10">
        <v>28.175878999999998</v>
      </c>
      <c r="I317" s="10" t="s">
        <v>534</v>
      </c>
      <c r="J317" s="10">
        <v>3.5943700000000001</v>
      </c>
      <c r="K317" s="15">
        <v>4.7759999999999999E-3</v>
      </c>
      <c r="L317" s="17">
        <v>16020.276706000001</v>
      </c>
      <c r="M317" s="4" t="s">
        <v>1313</v>
      </c>
      <c r="N317" s="19">
        <v>-0.23</v>
      </c>
      <c r="O317" s="19">
        <v>0.66539999999999999</v>
      </c>
      <c r="P317" s="19">
        <v>-0.63</v>
      </c>
      <c r="Q317" s="19">
        <v>9.01E-2</v>
      </c>
      <c r="R317" s="19">
        <v>-6.4148930000000002</v>
      </c>
      <c r="S317" s="19">
        <v>-0.7802</v>
      </c>
      <c r="T317" s="19">
        <v>-6.4148930000000002</v>
      </c>
      <c r="U317" s="19">
        <v>1.5317000000000001</v>
      </c>
      <c r="V317" s="19">
        <v>5.7</v>
      </c>
      <c r="W317" s="19">
        <v>5.9945000000000004</v>
      </c>
      <c r="X317" s="19">
        <v>5.7</v>
      </c>
      <c r="Y317" s="19">
        <v>5.9945000000000004</v>
      </c>
      <c r="Z317" s="4"/>
      <c r="AA317" s="4"/>
      <c r="AB317" s="4" t="e">
        <f ca="1">_xll.ciqfunctions.udf.CIQ("^SPX", "IQ_PRICEDATE", "3/26/2015")</f>
        <v>#NAME?</v>
      </c>
      <c r="AC317" s="16">
        <v>2056.1488082319001</v>
      </c>
    </row>
    <row r="318" spans="1:29" x14ac:dyDescent="0.35">
      <c r="A318" s="2" t="s">
        <v>328</v>
      </c>
      <c r="B318" s="4" t="s">
        <v>1314</v>
      </c>
      <c r="C318" s="4" t="s">
        <v>530</v>
      </c>
      <c r="D318" s="4" t="s">
        <v>537</v>
      </c>
      <c r="E318" s="4" t="s">
        <v>613</v>
      </c>
      <c r="F318" s="4" t="s">
        <v>613</v>
      </c>
      <c r="G318" s="14">
        <v>50.59</v>
      </c>
      <c r="H318" s="10">
        <v>7.4100630000000001</v>
      </c>
      <c r="I318" s="10">
        <v>9.4104489999999998</v>
      </c>
      <c r="J318" s="10">
        <v>4.8895179999999998</v>
      </c>
      <c r="K318" s="15">
        <v>0</v>
      </c>
      <c r="L318" s="17">
        <v>8725.1952259999998</v>
      </c>
      <c r="M318" s="4" t="s">
        <v>1315</v>
      </c>
      <c r="N318" s="19">
        <v>5.3759389999999998</v>
      </c>
      <c r="O318" s="19">
        <v>-2.4963000000000002</v>
      </c>
      <c r="P318" s="19">
        <v>-0.62000699999999997</v>
      </c>
      <c r="Q318" s="19">
        <v>-1.3118000000000001</v>
      </c>
      <c r="R318" s="19">
        <v>-1.0997729999999999</v>
      </c>
      <c r="S318" s="19">
        <v>-0.9375</v>
      </c>
      <c r="T318" s="19">
        <v>-1.0997729999999999</v>
      </c>
      <c r="U318" s="19">
        <v>-1.4531000000000001</v>
      </c>
      <c r="V318" s="19">
        <v>-0.42496</v>
      </c>
      <c r="W318" s="19">
        <v>-0.39600000000000002</v>
      </c>
      <c r="X318" s="19">
        <v>-0.42496</v>
      </c>
      <c r="Y318" s="19">
        <v>-0.39600000000000002</v>
      </c>
      <c r="Z318" s="4"/>
      <c r="AA318" s="4"/>
      <c r="AB318" s="4" t="e">
        <f ca="1">_xll.ciqfunctions.udf.CIQ("^SPX", "IQ_PRICEDATE", "3/27/2015")</f>
        <v>#NAME?</v>
      </c>
      <c r="AC318" s="16">
        <v>2061.0219968101001</v>
      </c>
    </row>
    <row r="319" spans="1:29" x14ac:dyDescent="0.35">
      <c r="A319" s="2" t="s">
        <v>329</v>
      </c>
      <c r="B319" s="4" t="s">
        <v>1316</v>
      </c>
      <c r="C319" s="4" t="s">
        <v>543</v>
      </c>
      <c r="D319" s="4" t="s">
        <v>664</v>
      </c>
      <c r="E319" s="4" t="s">
        <v>688</v>
      </c>
      <c r="F319" s="4" t="s">
        <v>688</v>
      </c>
      <c r="G319" s="14">
        <v>79.069999999999993</v>
      </c>
      <c r="H319" s="10">
        <v>14.533227999999999</v>
      </c>
      <c r="I319" s="10">
        <v>94.492610999999997</v>
      </c>
      <c r="J319" s="10">
        <v>201.55133599999999</v>
      </c>
      <c r="K319" s="15">
        <v>2.0235E-2</v>
      </c>
      <c r="L319" s="17">
        <v>20500.340686</v>
      </c>
      <c r="M319" s="4" t="s">
        <v>1317</v>
      </c>
      <c r="N319" s="19">
        <v>0.836785</v>
      </c>
      <c r="O319" s="19">
        <v>4.4036999999999997</v>
      </c>
      <c r="P319" s="19">
        <v>2.3137349999999999</v>
      </c>
      <c r="Q319" s="19">
        <v>3.5114000000000001</v>
      </c>
      <c r="R319" s="19">
        <v>1.1017729999999999</v>
      </c>
      <c r="S319" s="19">
        <v>2.8216000000000001</v>
      </c>
      <c r="T319" s="19">
        <v>1.1017729999999999</v>
      </c>
      <c r="U319" s="19">
        <v>2.5897000000000001</v>
      </c>
      <c r="V319" s="19">
        <v>1.906989</v>
      </c>
      <c r="W319" s="19">
        <v>3.0823</v>
      </c>
      <c r="X319" s="19">
        <v>1.906989</v>
      </c>
      <c r="Y319" s="19">
        <v>3.0823</v>
      </c>
      <c r="Z319" s="4"/>
      <c r="AA319" s="4"/>
      <c r="AB319" s="4" t="e">
        <f ca="1">_xll.ciqfunctions.udf.CIQ("^SPX", "IQ_PRICEDATE", "3/30/2015")</f>
        <v>#NAME?</v>
      </c>
      <c r="AC319" s="16">
        <v>2086.2373115864998</v>
      </c>
    </row>
    <row r="320" spans="1:29" x14ac:dyDescent="0.35">
      <c r="A320" s="2" t="s">
        <v>330</v>
      </c>
      <c r="B320" s="4" t="s">
        <v>1318</v>
      </c>
      <c r="C320" s="4" t="s">
        <v>549</v>
      </c>
      <c r="D320" s="4" t="s">
        <v>550</v>
      </c>
      <c r="E320" s="4" t="s">
        <v>551</v>
      </c>
      <c r="F320" s="4" t="s">
        <v>1319</v>
      </c>
      <c r="G320" s="14">
        <v>364.7</v>
      </c>
      <c r="H320" s="10">
        <v>95.742203000000003</v>
      </c>
      <c r="I320" s="10">
        <v>130.17440500000001</v>
      </c>
      <c r="J320" s="10" t="s">
        <v>534</v>
      </c>
      <c r="K320" s="15">
        <v>0</v>
      </c>
      <c r="L320" s="17">
        <v>158811.35207399999</v>
      </c>
      <c r="M320" s="4" t="s">
        <v>1320</v>
      </c>
      <c r="N320" s="19">
        <v>2.8016260000000002</v>
      </c>
      <c r="O320" s="19">
        <v>3.3824000000000001</v>
      </c>
      <c r="P320" s="19">
        <v>1.25</v>
      </c>
      <c r="Q320" s="19">
        <v>2.15</v>
      </c>
      <c r="R320" s="19">
        <v>0.43</v>
      </c>
      <c r="S320" s="19">
        <v>0.76919999999999999</v>
      </c>
      <c r="T320" s="19">
        <v>0.43</v>
      </c>
      <c r="U320" s="19">
        <v>0.15329999999999999</v>
      </c>
      <c r="V320" s="19">
        <v>0.62</v>
      </c>
      <c r="W320" s="19">
        <v>0.50800000000000001</v>
      </c>
      <c r="X320" s="19">
        <v>0.62</v>
      </c>
      <c r="Y320" s="19">
        <v>0.50800000000000001</v>
      </c>
      <c r="Z320" s="4"/>
      <c r="AA320" s="4"/>
      <c r="AB320" s="4" t="e">
        <f ca="1">_xll.ciqfunctions.udf.CIQ("^SPX", "IQ_PRICEDATE", "3/31/2015")</f>
        <v>#NAME?</v>
      </c>
      <c r="AC320" s="16">
        <v>2067.8872407585</v>
      </c>
    </row>
    <row r="321" spans="1:29" x14ac:dyDescent="0.35">
      <c r="A321" s="2" t="s">
        <v>331</v>
      </c>
      <c r="B321" s="4" t="s">
        <v>1321</v>
      </c>
      <c r="C321" s="4" t="s">
        <v>559</v>
      </c>
      <c r="D321" s="4" t="s">
        <v>912</v>
      </c>
      <c r="E321" s="4" t="s">
        <v>913</v>
      </c>
      <c r="F321" s="4" t="s">
        <v>1322</v>
      </c>
      <c r="G321" s="14">
        <v>17.75</v>
      </c>
      <c r="H321" s="10">
        <v>8.4282540000000008</v>
      </c>
      <c r="I321" s="10">
        <v>4.2112100000000003</v>
      </c>
      <c r="J321" s="10" t="s">
        <v>534</v>
      </c>
      <c r="K321" s="15">
        <v>5.1830000000000001E-2</v>
      </c>
      <c r="L321" s="17">
        <v>8386.875</v>
      </c>
      <c r="M321" s="4" t="s">
        <v>1323</v>
      </c>
      <c r="N321" s="19">
        <v>4.2149400000000004</v>
      </c>
      <c r="O321" s="19">
        <v>2.1389</v>
      </c>
      <c r="P321" s="19">
        <v>5.63</v>
      </c>
      <c r="Q321" s="19">
        <v>2.8382000000000001</v>
      </c>
      <c r="R321" s="19">
        <v>1.25</v>
      </c>
      <c r="S321" s="19">
        <v>2.7991999999999999</v>
      </c>
      <c r="T321" s="19">
        <v>1.25</v>
      </c>
      <c r="U321" s="19">
        <v>2.3395999999999999</v>
      </c>
      <c r="V321" s="19">
        <v>1.34</v>
      </c>
      <c r="W321" s="19">
        <v>2.1078000000000001</v>
      </c>
      <c r="X321" s="19">
        <v>1.34</v>
      </c>
      <c r="Y321" s="19">
        <v>2.1078000000000001</v>
      </c>
      <c r="Z321" s="4"/>
      <c r="AA321" s="4"/>
      <c r="AB321" s="4" t="e">
        <f ca="1">_xll.ciqfunctions.udf.CIQ("^SPX", "IQ_PRICEDATE", "4/1/2015")</f>
        <v>#NAME?</v>
      </c>
      <c r="AC321" s="16">
        <v>2059.6908719502999</v>
      </c>
    </row>
    <row r="322" spans="1:29" x14ac:dyDescent="0.35">
      <c r="A322" s="2" t="s">
        <v>332</v>
      </c>
      <c r="B322" s="4" t="s">
        <v>1324</v>
      </c>
      <c r="C322" s="4" t="s">
        <v>669</v>
      </c>
      <c r="D322" s="4" t="s">
        <v>669</v>
      </c>
      <c r="E322" s="4" t="s">
        <v>670</v>
      </c>
      <c r="F322" s="4" t="s">
        <v>671</v>
      </c>
      <c r="G322" s="14">
        <v>24.54</v>
      </c>
      <c r="H322" s="10">
        <v>7.1722869999999999</v>
      </c>
      <c r="I322" s="10">
        <v>12.715025000000001</v>
      </c>
      <c r="J322" s="10">
        <v>2.9578380000000002</v>
      </c>
      <c r="K322" s="15">
        <v>0</v>
      </c>
      <c r="L322" s="17">
        <v>4850.9799359999997</v>
      </c>
      <c r="M322" s="4" t="s">
        <v>1325</v>
      </c>
      <c r="N322" s="19">
        <v>1.93</v>
      </c>
      <c r="O322" s="19">
        <v>3.7919</v>
      </c>
      <c r="P322" s="19">
        <v>2.13</v>
      </c>
      <c r="Q322" s="19">
        <v>2.2008000000000001</v>
      </c>
      <c r="R322" s="19">
        <v>-6.3730560000000001</v>
      </c>
      <c r="S322" s="19">
        <v>1.5844</v>
      </c>
      <c r="T322" s="19">
        <v>-6.3730560000000001</v>
      </c>
      <c r="U322" s="19">
        <v>0.38550000000000001</v>
      </c>
      <c r="V322" s="19">
        <v>4.71</v>
      </c>
      <c r="W322" s="19">
        <v>1.8422000000000001</v>
      </c>
      <c r="X322" s="19">
        <v>4.71</v>
      </c>
      <c r="Y322" s="19">
        <v>1.8422000000000001</v>
      </c>
      <c r="Z322" s="4"/>
      <c r="AA322" s="4"/>
      <c r="AB322" s="4" t="e">
        <f ca="1">_xll.ciqfunctions.udf.CIQ("^SPX", "IQ_PRICEDATE", "4/2/2015")</f>
        <v>#NAME?</v>
      </c>
      <c r="AC322" s="16">
        <v>2066.9648541660999</v>
      </c>
    </row>
    <row r="323" spans="1:29" x14ac:dyDescent="0.35">
      <c r="A323" s="2" t="s">
        <v>333</v>
      </c>
      <c r="B323" s="4" t="s">
        <v>1326</v>
      </c>
      <c r="C323" s="4" t="s">
        <v>586</v>
      </c>
      <c r="D323" s="4" t="s">
        <v>586</v>
      </c>
      <c r="E323" s="4" t="s">
        <v>1066</v>
      </c>
      <c r="F323" s="4" t="s">
        <v>1327</v>
      </c>
      <c r="G323" s="14">
        <v>32.11</v>
      </c>
      <c r="H323" s="10">
        <v>6.8900480000000002</v>
      </c>
      <c r="I323" s="10">
        <v>139.18508800000001</v>
      </c>
      <c r="J323" s="10">
        <v>1.5827819999999999</v>
      </c>
      <c r="K323" s="15">
        <v>1.7440000000000001E-2</v>
      </c>
      <c r="L323" s="17">
        <v>17127.433316999999</v>
      </c>
      <c r="M323" s="4" t="s">
        <v>1328</v>
      </c>
      <c r="N323" s="19">
        <v>0.23069999999999999</v>
      </c>
      <c r="O323" s="19">
        <v>1.2717000000000001</v>
      </c>
      <c r="P323" s="19">
        <v>-0.11257</v>
      </c>
      <c r="Q323" s="19">
        <v>1.3714</v>
      </c>
      <c r="R323" s="19">
        <v>-0.41509400000000002</v>
      </c>
      <c r="S323" s="19">
        <v>1.5692999999999999</v>
      </c>
      <c r="T323" s="19">
        <v>-0.41509400000000002</v>
      </c>
      <c r="U323" s="19">
        <v>0.78839999999999999</v>
      </c>
      <c r="V323" s="19">
        <v>1.3</v>
      </c>
      <c r="W323" s="19">
        <v>0.83399999999999996</v>
      </c>
      <c r="X323" s="19">
        <v>1.3</v>
      </c>
      <c r="Y323" s="19">
        <v>0.83399999999999996</v>
      </c>
      <c r="Z323" s="4"/>
      <c r="AA323" s="4"/>
      <c r="AB323" s="4" t="e">
        <f ca="1">_xll.ciqfunctions.udf.CIQ("^SPX", "IQ_PRICEDATE", "4/6/2015")</f>
        <v>#NAME?</v>
      </c>
      <c r="AC323" s="16">
        <v>2080.6177622591999</v>
      </c>
    </row>
    <row r="324" spans="1:29" x14ac:dyDescent="0.35">
      <c r="A324" s="2" t="s">
        <v>334</v>
      </c>
      <c r="B324" s="4" t="s">
        <v>1329</v>
      </c>
      <c r="C324" s="4" t="s">
        <v>549</v>
      </c>
      <c r="D324" s="4" t="s">
        <v>550</v>
      </c>
      <c r="E324" s="4" t="s">
        <v>814</v>
      </c>
      <c r="F324" s="4" t="s">
        <v>1330</v>
      </c>
      <c r="G324" s="14">
        <v>13.51</v>
      </c>
      <c r="H324" s="10" t="s">
        <v>534</v>
      </c>
      <c r="I324" s="10">
        <v>0</v>
      </c>
      <c r="J324" s="10">
        <v>0</v>
      </c>
      <c r="K324" s="15">
        <v>0</v>
      </c>
      <c r="L324" s="17">
        <v>7785.5289599999996</v>
      </c>
      <c r="M324" s="4" t="s">
        <v>1331</v>
      </c>
      <c r="N324" s="19">
        <v>-2.6016810000000001</v>
      </c>
      <c r="O324" s="19">
        <v>0.36312</v>
      </c>
      <c r="P324" s="19">
        <v>-0.77938600000000002</v>
      </c>
      <c r="Q324" s="19">
        <v>0.50560000000000005</v>
      </c>
      <c r="R324" s="19">
        <v>-0.61660300000000001</v>
      </c>
      <c r="S324" s="19">
        <v>0.37619999999999998</v>
      </c>
      <c r="T324" s="19">
        <v>-0.61660300000000001</v>
      </c>
      <c r="U324" s="19">
        <v>0.53839999999999999</v>
      </c>
      <c r="V324" s="19">
        <v>0.52976699999999999</v>
      </c>
      <c r="W324" s="19">
        <v>0.45250000000000001</v>
      </c>
      <c r="X324" s="19">
        <v>0.52976699999999999</v>
      </c>
      <c r="Y324" s="19">
        <v>0.45250000000000001</v>
      </c>
      <c r="Z324" s="4"/>
      <c r="AA324" s="4"/>
      <c r="AB324" s="4" t="e">
        <f ca="1">_xll.ciqfunctions.udf.CIQ("^SPX", "IQ_PRICEDATE", "4/7/2015")</f>
        <v>#NAME?</v>
      </c>
      <c r="AC324" s="16">
        <v>2076.3337338901001</v>
      </c>
    </row>
    <row r="325" spans="1:29" x14ac:dyDescent="0.35">
      <c r="A325" s="2" t="s">
        <v>335</v>
      </c>
      <c r="B325" s="4" t="s">
        <v>1329</v>
      </c>
      <c r="C325" s="4" t="s">
        <v>549</v>
      </c>
      <c r="D325" s="4" t="s">
        <v>550</v>
      </c>
      <c r="E325" s="4" t="s">
        <v>814</v>
      </c>
      <c r="F325" s="4" t="s">
        <v>1330</v>
      </c>
      <c r="G325" s="14">
        <v>13.21</v>
      </c>
      <c r="H325" s="10" t="s">
        <v>534</v>
      </c>
      <c r="I325" s="10" t="s">
        <v>534</v>
      </c>
      <c r="J325" s="10">
        <v>8.1272950000000002</v>
      </c>
      <c r="K325" s="15">
        <v>1.5140000000000001E-2</v>
      </c>
      <c r="L325" s="17">
        <v>7785.5289599999996</v>
      </c>
      <c r="M325" s="4" t="s">
        <v>1331</v>
      </c>
      <c r="N325" s="19">
        <v>-2.6016810000000001</v>
      </c>
      <c r="O325" s="19">
        <v>0.36312</v>
      </c>
      <c r="P325" s="19">
        <v>-0.77938600000000002</v>
      </c>
      <c r="Q325" s="19">
        <v>0.50560000000000005</v>
      </c>
      <c r="R325" s="19">
        <v>-0.61660300000000001</v>
      </c>
      <c r="S325" s="19">
        <v>0.37619999999999998</v>
      </c>
      <c r="T325" s="19">
        <v>-0.61660300000000001</v>
      </c>
      <c r="U325" s="19">
        <v>0.53839999999999999</v>
      </c>
      <c r="V325" s="19">
        <v>0.52976699999999999</v>
      </c>
      <c r="W325" s="19">
        <v>0.51949999999999996</v>
      </c>
      <c r="X325" s="19">
        <v>0.52976699999999999</v>
      </c>
      <c r="Y325" s="19">
        <v>0.51949999999999996</v>
      </c>
      <c r="Z325" s="4"/>
      <c r="AA325" s="4"/>
      <c r="AB325" s="4" t="e">
        <f ca="1">_xll.ciqfunctions.udf.CIQ("^SPX", "IQ_PRICEDATE", "4/8/2015")</f>
        <v>#NAME?</v>
      </c>
      <c r="AC325" s="16">
        <v>2081.9039764783001</v>
      </c>
    </row>
    <row r="326" spans="1:29" x14ac:dyDescent="0.35">
      <c r="A326" s="2" t="s">
        <v>336</v>
      </c>
      <c r="B326" s="4" t="s">
        <v>1332</v>
      </c>
      <c r="C326" s="4" t="s">
        <v>619</v>
      </c>
      <c r="D326" s="4" t="s">
        <v>619</v>
      </c>
      <c r="E326" s="4" t="s">
        <v>620</v>
      </c>
      <c r="F326" s="4" t="s">
        <v>620</v>
      </c>
      <c r="G326" s="14">
        <v>170.82</v>
      </c>
      <c r="H326" s="10">
        <v>13.342378999999999</v>
      </c>
      <c r="I326" s="10">
        <v>9.8845340000000004</v>
      </c>
      <c r="J326" s="10">
        <v>2.4396439999999999</v>
      </c>
      <c r="K326" s="15">
        <v>2.5992000000000001E-2</v>
      </c>
      <c r="L326" s="17">
        <v>80559.512121000007</v>
      </c>
      <c r="M326" s="4" t="s">
        <v>1333</v>
      </c>
      <c r="N326" s="19">
        <v>17.281542999999999</v>
      </c>
      <c r="O326" s="19">
        <v>7.7286000000000001</v>
      </c>
      <c r="P326" s="19">
        <v>11.38</v>
      </c>
      <c r="Q326" s="19">
        <v>6.8398000000000003</v>
      </c>
      <c r="R326" s="19">
        <v>6.25</v>
      </c>
      <c r="S326" s="19">
        <v>6.2187999999999999</v>
      </c>
      <c r="T326" s="19">
        <v>6.25</v>
      </c>
      <c r="U326" s="19">
        <v>5.8682999999999996</v>
      </c>
      <c r="V326" s="19">
        <v>5.6</v>
      </c>
      <c r="W326" s="19">
        <v>5.5164</v>
      </c>
      <c r="X326" s="19">
        <v>5.6</v>
      </c>
      <c r="Y326" s="19">
        <v>5.5164</v>
      </c>
      <c r="Z326" s="4"/>
      <c r="AA326" s="4"/>
      <c r="AB326" s="4" t="e">
        <f ca="1">_xll.ciqfunctions.udf.CIQ("^SPX", "IQ_PRICEDATE", "4/9/2015")</f>
        <v>#NAME?</v>
      </c>
      <c r="AC326" s="16">
        <v>2091.1811724098002</v>
      </c>
    </row>
    <row r="327" spans="1:29" x14ac:dyDescent="0.35">
      <c r="A327" s="2" t="s">
        <v>337</v>
      </c>
      <c r="B327" s="4" t="s">
        <v>1334</v>
      </c>
      <c r="C327" s="4" t="s">
        <v>525</v>
      </c>
      <c r="D327" s="4" t="s">
        <v>855</v>
      </c>
      <c r="E327" s="4" t="s">
        <v>990</v>
      </c>
      <c r="F327" s="4" t="s">
        <v>991</v>
      </c>
      <c r="G327" s="14">
        <v>27.05</v>
      </c>
      <c r="H327" s="10">
        <v>10.911452000000001</v>
      </c>
      <c r="I327" s="10">
        <v>26.00074</v>
      </c>
      <c r="J327" s="10" t="s">
        <v>534</v>
      </c>
      <c r="K327" s="15">
        <v>5.1756000000000003E-2</v>
      </c>
      <c r="L327" s="17">
        <v>9608.3658230000001</v>
      </c>
      <c r="M327" s="4" t="s">
        <v>1335</v>
      </c>
      <c r="N327" s="19">
        <v>1.0403549999999999</v>
      </c>
      <c r="O327" s="19">
        <v>2.1158999999999999</v>
      </c>
      <c r="P327" s="19">
        <v>1.2</v>
      </c>
      <c r="Q327" s="19">
        <v>2.5840999999999998</v>
      </c>
      <c r="R327" s="19">
        <v>1.389999</v>
      </c>
      <c r="S327" s="19">
        <v>2.6619999999999999</v>
      </c>
      <c r="T327" s="19">
        <v>1.389999</v>
      </c>
      <c r="U327" s="19">
        <v>2.774</v>
      </c>
      <c r="V327" s="19">
        <v>0.99903299999999995</v>
      </c>
      <c r="W327" s="19">
        <v>2.7361</v>
      </c>
      <c r="X327" s="19">
        <v>0.99903299999999995</v>
      </c>
      <c r="Y327" s="19">
        <v>2.7361</v>
      </c>
      <c r="Z327" s="4"/>
      <c r="AA327" s="4"/>
      <c r="AB327" s="4" t="e">
        <f ca="1">_xll.ciqfunctions.udf.CIQ("^SPX", "IQ_PRICEDATE", "4/10/2015")</f>
        <v>#NAME?</v>
      </c>
      <c r="AC327" s="16">
        <v>2102.0553488088999</v>
      </c>
    </row>
    <row r="328" spans="1:29" x14ac:dyDescent="0.35">
      <c r="A328" s="2" t="s">
        <v>338</v>
      </c>
      <c r="B328" s="4" t="s">
        <v>1336</v>
      </c>
      <c r="C328" s="4" t="s">
        <v>559</v>
      </c>
      <c r="D328" s="4" t="s">
        <v>912</v>
      </c>
      <c r="E328" s="4" t="s">
        <v>1097</v>
      </c>
      <c r="F328" s="4" t="s">
        <v>1337</v>
      </c>
      <c r="G328" s="14">
        <v>76.48</v>
      </c>
      <c r="H328" s="10">
        <v>22.170774000000002</v>
      </c>
      <c r="I328" s="10">
        <v>60.602649999999997</v>
      </c>
      <c r="J328" s="10">
        <v>14.207007000000001</v>
      </c>
      <c r="K328" s="15">
        <v>1.0460000000000001E-2</v>
      </c>
      <c r="L328" s="17">
        <v>121458.526761</v>
      </c>
      <c r="M328" s="4" t="s">
        <v>1338</v>
      </c>
      <c r="N328" s="19">
        <v>1.2619910000000001</v>
      </c>
      <c r="O328" s="19">
        <v>2.7951999999999999</v>
      </c>
      <c r="P328" s="19">
        <v>2.3112910000000002</v>
      </c>
      <c r="Q328" s="19">
        <v>2.4445000000000001</v>
      </c>
      <c r="R328" s="19">
        <v>2.267814</v>
      </c>
      <c r="S328" s="19">
        <v>2.4293</v>
      </c>
      <c r="T328" s="19">
        <v>2.267814</v>
      </c>
      <c r="U328" s="19">
        <v>2.2677</v>
      </c>
      <c r="V328" s="19">
        <v>1.674021</v>
      </c>
      <c r="W328" s="19">
        <v>1.9109</v>
      </c>
      <c r="X328" s="19">
        <v>1.674021</v>
      </c>
      <c r="Y328" s="19">
        <v>1.9109</v>
      </c>
      <c r="Z328" s="4"/>
      <c r="AA328" s="4"/>
      <c r="AB328" s="4" t="e">
        <f ca="1">_xll.ciqfunctions.udf.CIQ("^SPX", "IQ_PRICEDATE", "4/13/2015")</f>
        <v>#NAME?</v>
      </c>
      <c r="AC328" s="16">
        <v>2092.4295913532001</v>
      </c>
    </row>
    <row r="329" spans="1:29" x14ac:dyDescent="0.35">
      <c r="A329" s="2" t="s">
        <v>339</v>
      </c>
      <c r="B329" s="4" t="s">
        <v>1339</v>
      </c>
      <c r="C329" s="4" t="s">
        <v>619</v>
      </c>
      <c r="D329" s="4" t="s">
        <v>619</v>
      </c>
      <c r="E329" s="4" t="s">
        <v>634</v>
      </c>
      <c r="F329" s="4" t="s">
        <v>634</v>
      </c>
      <c r="G329" s="14">
        <v>25.03</v>
      </c>
      <c r="H329" s="10">
        <v>12.416881999999999</v>
      </c>
      <c r="I329" s="10">
        <v>32.696984999999998</v>
      </c>
      <c r="J329" s="10">
        <v>2.8821789999999998</v>
      </c>
      <c r="K329" s="15">
        <v>3.1162000000000002E-2</v>
      </c>
      <c r="L329" s="17">
        <v>9086.8082259999992</v>
      </c>
      <c r="M329" s="4" t="s">
        <v>1340</v>
      </c>
      <c r="N329" s="19">
        <v>0.76551400000000003</v>
      </c>
      <c r="O329" s="19">
        <v>1.3664000000000001</v>
      </c>
      <c r="P329" s="19">
        <v>0.39</v>
      </c>
      <c r="Q329" s="19">
        <v>1.2854000000000001</v>
      </c>
      <c r="R329" s="19">
        <v>1.01</v>
      </c>
      <c r="S329" s="19">
        <v>1.1627000000000001</v>
      </c>
      <c r="T329" s="19">
        <v>1.01</v>
      </c>
      <c r="U329" s="19">
        <v>1.0684</v>
      </c>
      <c r="V329" s="19">
        <v>0.81</v>
      </c>
      <c r="W329" s="19">
        <v>1.7846</v>
      </c>
      <c r="X329" s="19">
        <v>0.81</v>
      </c>
      <c r="Y329" s="19">
        <v>1.7846</v>
      </c>
      <c r="Z329" s="4"/>
      <c r="AA329" s="4"/>
      <c r="AB329" s="4" t="e">
        <f ca="1">_xll.ciqfunctions.udf.CIQ("^SPX", "IQ_PRICEDATE", "4/14/2015")</f>
        <v>#NAME?</v>
      </c>
      <c r="AC329" s="16">
        <v>2095.8353553612001</v>
      </c>
    </row>
    <row r="330" spans="1:29" x14ac:dyDescent="0.35">
      <c r="A330" s="2" t="s">
        <v>340</v>
      </c>
      <c r="B330" s="4" t="s">
        <v>1341</v>
      </c>
      <c r="C330" s="4" t="s">
        <v>669</v>
      </c>
      <c r="D330" s="4" t="s">
        <v>669</v>
      </c>
      <c r="E330" s="4" t="s">
        <v>670</v>
      </c>
      <c r="F330" s="4" t="s">
        <v>671</v>
      </c>
      <c r="G330" s="14">
        <v>31.4</v>
      </c>
      <c r="H330" s="10">
        <v>8.5730280000000008</v>
      </c>
      <c r="I330" s="10">
        <v>17.148152</v>
      </c>
      <c r="J330" s="10">
        <v>1.782918</v>
      </c>
      <c r="K330" s="15">
        <v>1.4012E-2</v>
      </c>
      <c r="L330" s="17">
        <v>15074.121321000001</v>
      </c>
      <c r="M330" s="4" t="s">
        <v>1342</v>
      </c>
      <c r="N330" s="19">
        <v>1.8311010000000001</v>
      </c>
      <c r="O330" s="19">
        <v>0.98440000000000005</v>
      </c>
      <c r="P330" s="19">
        <v>-2.3837950000000001</v>
      </c>
      <c r="Q330" s="19">
        <v>0.1216</v>
      </c>
      <c r="R330" s="19">
        <v>-2.3209300000000002</v>
      </c>
      <c r="S330" s="19">
        <v>-0.49909999999999999</v>
      </c>
      <c r="T330" s="19">
        <v>-2.3209300000000002</v>
      </c>
      <c r="U330" s="19">
        <v>-0.2122</v>
      </c>
      <c r="V330" s="19">
        <v>3.2615799999999999</v>
      </c>
      <c r="W330" s="19">
        <v>1.6998</v>
      </c>
      <c r="X330" s="19">
        <v>3.2615799999999999</v>
      </c>
      <c r="Y330" s="19">
        <v>1.6998</v>
      </c>
      <c r="Z330" s="4"/>
      <c r="AA330" s="4"/>
      <c r="AB330" s="4" t="e">
        <f ca="1">_xll.ciqfunctions.udf.CIQ("^SPX", "IQ_PRICEDATE", "4/15/2015")</f>
        <v>#NAME?</v>
      </c>
      <c r="AC330" s="16">
        <v>2106.6262636495999</v>
      </c>
    </row>
    <row r="331" spans="1:29" x14ac:dyDescent="0.35">
      <c r="A331" s="2" t="s">
        <v>341</v>
      </c>
      <c r="B331" s="4" t="s">
        <v>1343</v>
      </c>
      <c r="C331" s="4" t="s">
        <v>559</v>
      </c>
      <c r="D331" s="4" t="s">
        <v>560</v>
      </c>
      <c r="E331" s="4" t="s">
        <v>940</v>
      </c>
      <c r="F331" s="4" t="s">
        <v>1211</v>
      </c>
      <c r="G331" s="14">
        <v>60.41</v>
      </c>
      <c r="H331" s="10">
        <v>7.0530400000000002</v>
      </c>
      <c r="I331" s="10">
        <v>19.942202999999999</v>
      </c>
      <c r="J331" s="10">
        <v>11.356539</v>
      </c>
      <c r="K331" s="15">
        <v>2.4499E-2</v>
      </c>
      <c r="L331" s="17">
        <v>10183.039377999999</v>
      </c>
      <c r="M331" s="4" t="s">
        <v>1344</v>
      </c>
      <c r="N331" s="19">
        <v>3.0292539999999999</v>
      </c>
      <c r="O331" s="19">
        <v>3.6128999999999998</v>
      </c>
      <c r="P331" s="19">
        <v>2.8575499999999998</v>
      </c>
      <c r="Q331" s="19">
        <v>2.968</v>
      </c>
      <c r="R331" s="19">
        <v>1.8787050000000001</v>
      </c>
      <c r="S331" s="19">
        <v>3.0581999999999998</v>
      </c>
      <c r="T331" s="19">
        <v>1.8787050000000001</v>
      </c>
      <c r="U331" s="19">
        <v>3.3942999999999999</v>
      </c>
      <c r="V331" s="19">
        <v>3.7707609999999998</v>
      </c>
      <c r="W331" s="19">
        <v>3.9209000000000001</v>
      </c>
      <c r="X331" s="19">
        <v>3.7707609999999998</v>
      </c>
      <c r="Y331" s="19">
        <v>3.9209000000000001</v>
      </c>
      <c r="Z331" s="4"/>
      <c r="AA331" s="4"/>
      <c r="AB331" s="4" t="e">
        <f ca="1">_xll.ciqfunctions.udf.CIQ("^SPX", "IQ_PRICEDATE", "4/16/2015")</f>
        <v>#NAME?</v>
      </c>
      <c r="AC331" s="16">
        <v>2104.9857874947002</v>
      </c>
    </row>
    <row r="332" spans="1:29" x14ac:dyDescent="0.35">
      <c r="A332" s="2" t="s">
        <v>342</v>
      </c>
      <c r="B332" s="4" t="s">
        <v>1345</v>
      </c>
      <c r="C332" s="4" t="s">
        <v>525</v>
      </c>
      <c r="D332" s="4" t="s">
        <v>594</v>
      </c>
      <c r="E332" s="4" t="s">
        <v>903</v>
      </c>
      <c r="F332" s="4" t="s">
        <v>904</v>
      </c>
      <c r="G332" s="14">
        <v>169</v>
      </c>
      <c r="H332" s="10">
        <v>11.600863</v>
      </c>
      <c r="I332" s="10">
        <v>8.4499999999999993</v>
      </c>
      <c r="J332" s="10">
        <v>2.8579639999999999</v>
      </c>
      <c r="K332" s="15">
        <v>1.8933999999999999E-2</v>
      </c>
      <c r="L332" s="17">
        <v>47325.030116000002</v>
      </c>
      <c r="M332" s="4" t="s">
        <v>1346</v>
      </c>
      <c r="N332" s="19">
        <v>20</v>
      </c>
      <c r="O332" s="19">
        <v>9.5861999999999998</v>
      </c>
      <c r="P332" s="19">
        <v>18.608336000000001</v>
      </c>
      <c r="Q332" s="19">
        <v>6.8451000000000004</v>
      </c>
      <c r="R332" s="19">
        <v>5.6216210000000002</v>
      </c>
      <c r="S332" s="19">
        <v>5.8533999999999997</v>
      </c>
      <c r="T332" s="19">
        <v>5.6216210000000002</v>
      </c>
      <c r="U332" s="19">
        <v>5.5622999999999996</v>
      </c>
      <c r="V332" s="19">
        <v>6.3872</v>
      </c>
      <c r="W332" s="19">
        <v>7.0490000000000004</v>
      </c>
      <c r="X332" s="19">
        <v>6.3872</v>
      </c>
      <c r="Y332" s="19">
        <v>7.0490000000000004</v>
      </c>
      <c r="Z332" s="4"/>
      <c r="AA332" s="4"/>
      <c r="AB332" s="4" t="e">
        <f ca="1">_xll.ciqfunctions.udf.CIQ("^SPX", "IQ_PRICEDATE", "4/17/2015")</f>
        <v>#NAME?</v>
      </c>
      <c r="AC332" s="16">
        <v>2081.1777536902</v>
      </c>
    </row>
    <row r="333" spans="1:29" x14ac:dyDescent="0.35">
      <c r="A333" s="2" t="s">
        <v>343</v>
      </c>
      <c r="B333" s="4" t="s">
        <v>1347</v>
      </c>
      <c r="C333" s="4" t="s">
        <v>573</v>
      </c>
      <c r="D333" s="4" t="s">
        <v>574</v>
      </c>
      <c r="E333" s="4" t="s">
        <v>575</v>
      </c>
      <c r="F333" s="4" t="s">
        <v>576</v>
      </c>
      <c r="G333" s="14">
        <v>94.21</v>
      </c>
      <c r="H333" s="10">
        <v>0</v>
      </c>
      <c r="I333" s="10">
        <v>15.782382999999999</v>
      </c>
      <c r="J333" s="10">
        <v>2.4309919999999998</v>
      </c>
      <c r="K333" s="15">
        <v>2.3351999999999998E-2</v>
      </c>
      <c r="L333" s="17">
        <v>20857.622950000001</v>
      </c>
      <c r="M333" s="4" t="s">
        <v>1348</v>
      </c>
      <c r="N333" s="19">
        <v>6.3517710000000003</v>
      </c>
      <c r="O333" s="19">
        <v>6.8392999999999997</v>
      </c>
      <c r="P333" s="19">
        <v>4.92</v>
      </c>
      <c r="Q333" s="19">
        <v>5.4245000000000001</v>
      </c>
      <c r="R333" s="19">
        <v>4.32</v>
      </c>
      <c r="S333" s="19">
        <v>4.5838999999999999</v>
      </c>
      <c r="T333" s="19">
        <v>4.32</v>
      </c>
      <c r="U333" s="19">
        <v>4.0640000000000001</v>
      </c>
      <c r="V333" s="19">
        <v>3.32</v>
      </c>
      <c r="W333" s="19">
        <v>3.5537999999999998</v>
      </c>
      <c r="X333" s="19">
        <v>3.32</v>
      </c>
      <c r="Y333" s="19">
        <v>3.5537999999999998</v>
      </c>
      <c r="Z333" s="4"/>
      <c r="AA333" s="4"/>
      <c r="AB333" s="4" t="e">
        <f ca="1">_xll.ciqfunctions.udf.CIQ("^SPX", "IQ_PRICEDATE", "4/20/2015")</f>
        <v>#NAME?</v>
      </c>
      <c r="AC333" s="16">
        <v>2100.4009440958998</v>
      </c>
    </row>
    <row r="334" spans="1:29" x14ac:dyDescent="0.35">
      <c r="A334" s="2" t="s">
        <v>344</v>
      </c>
      <c r="B334" s="4" t="s">
        <v>1349</v>
      </c>
      <c r="C334" s="4" t="s">
        <v>525</v>
      </c>
      <c r="D334" s="4" t="s">
        <v>526</v>
      </c>
      <c r="E334" s="4" t="s">
        <v>703</v>
      </c>
      <c r="F334" s="4" t="s">
        <v>703</v>
      </c>
      <c r="G334" s="14">
        <v>309.5</v>
      </c>
      <c r="H334" s="10">
        <v>16.487465</v>
      </c>
      <c r="I334" s="10">
        <v>24.26032</v>
      </c>
      <c r="J334" s="10" t="s">
        <v>534</v>
      </c>
      <c r="K334" s="15">
        <v>1.5507999999999999E-2</v>
      </c>
      <c r="L334" s="17">
        <v>53891.198181</v>
      </c>
      <c r="M334" s="4" t="s">
        <v>1350</v>
      </c>
      <c r="N334" s="19">
        <v>12.757457</v>
      </c>
      <c r="O334" s="19">
        <v>17.9908</v>
      </c>
      <c r="P334" s="19">
        <v>11.47</v>
      </c>
      <c r="Q334" s="19">
        <v>12.540699999999999</v>
      </c>
      <c r="R334" s="19">
        <v>12.19</v>
      </c>
      <c r="S334" s="19">
        <v>11.597300000000001</v>
      </c>
      <c r="T334" s="19">
        <v>12.19</v>
      </c>
      <c r="U334" s="19">
        <v>9.7711000000000006</v>
      </c>
      <c r="V334" s="19">
        <v>9.75</v>
      </c>
      <c r="W334" s="19">
        <v>8.8088999999999995</v>
      </c>
      <c r="X334" s="19">
        <v>9.75</v>
      </c>
      <c r="Y334" s="19">
        <v>8.8088999999999995</v>
      </c>
      <c r="Z334" s="4"/>
      <c r="AA334" s="4"/>
      <c r="AB334" s="4" t="e">
        <f ca="1">_xll.ciqfunctions.udf.CIQ("^SPX", "IQ_PRICEDATE", "4/21/2015")</f>
        <v>#NAME?</v>
      </c>
      <c r="AC334" s="16">
        <v>2097.2888943436001</v>
      </c>
    </row>
    <row r="335" spans="1:29" x14ac:dyDescent="0.35">
      <c r="A335" s="2" t="s">
        <v>345</v>
      </c>
      <c r="B335" s="4" t="s">
        <v>1351</v>
      </c>
      <c r="C335" s="4" t="s">
        <v>559</v>
      </c>
      <c r="D335" s="4" t="s">
        <v>798</v>
      </c>
      <c r="E335" s="4" t="s">
        <v>799</v>
      </c>
      <c r="F335" s="4" t="s">
        <v>800</v>
      </c>
      <c r="G335" s="14">
        <v>51.42</v>
      </c>
      <c r="H335" s="10">
        <v>10.840752999999999</v>
      </c>
      <c r="I335" s="10">
        <v>14.194938</v>
      </c>
      <c r="J335" s="10">
        <v>3.3105370000000001</v>
      </c>
      <c r="K335" s="15">
        <v>0</v>
      </c>
      <c r="L335" s="17">
        <v>11387.901426</v>
      </c>
      <c r="M335" s="4" t="s">
        <v>1352</v>
      </c>
      <c r="N335" s="19">
        <v>3.6224180000000001</v>
      </c>
      <c r="O335" s="19">
        <v>4.9335000000000004</v>
      </c>
      <c r="P335" s="19">
        <v>3.3099989999999999</v>
      </c>
      <c r="Q335" s="19">
        <v>4.4551999999999996</v>
      </c>
      <c r="R335" s="19">
        <v>2.7799990000000001</v>
      </c>
      <c r="S335" s="19">
        <v>3.6316000000000002</v>
      </c>
      <c r="T335" s="19">
        <v>2.7799990000000001</v>
      </c>
      <c r="U335" s="19">
        <v>3.5331000000000001</v>
      </c>
      <c r="V335" s="19">
        <v>1.619999</v>
      </c>
      <c r="W335" s="19">
        <v>2.6339999999999999</v>
      </c>
      <c r="X335" s="19">
        <v>1.619999</v>
      </c>
      <c r="Y335" s="19">
        <v>2.6339999999999999</v>
      </c>
      <c r="Z335" s="4"/>
      <c r="AA335" s="4"/>
      <c r="AB335" s="4" t="e">
        <f ca="1">_xll.ciqfunctions.udf.CIQ("^SPX", "IQ_PRICEDATE", "4/22/2015")</f>
        <v>#NAME?</v>
      </c>
      <c r="AC335" s="16">
        <v>2107.9640776233</v>
      </c>
    </row>
    <row r="336" spans="1:29" x14ac:dyDescent="0.35">
      <c r="A336" s="2" t="s">
        <v>346</v>
      </c>
      <c r="B336" s="4" t="s">
        <v>1353</v>
      </c>
      <c r="C336" s="4" t="s">
        <v>619</v>
      </c>
      <c r="D336" s="4" t="s">
        <v>619</v>
      </c>
      <c r="E336" s="4" t="s">
        <v>1354</v>
      </c>
      <c r="F336" s="4" t="s">
        <v>1355</v>
      </c>
      <c r="G336" s="14">
        <v>37.520000000000003</v>
      </c>
      <c r="H336" s="10">
        <v>10.296574</v>
      </c>
      <c r="I336" s="10" t="s">
        <v>534</v>
      </c>
      <c r="J336" s="10" t="s">
        <v>534</v>
      </c>
      <c r="K336" s="15">
        <v>3.1979999999999999E-3</v>
      </c>
      <c r="L336" s="17">
        <v>11352.367306</v>
      </c>
      <c r="M336" s="4" t="s">
        <v>1356</v>
      </c>
      <c r="N336" s="19">
        <v>-3.079113</v>
      </c>
      <c r="O336" s="19">
        <v>2.8513999999999999</v>
      </c>
      <c r="P336" s="19">
        <v>-4.3028389999999996</v>
      </c>
      <c r="Q336" s="19">
        <v>1.2450000000000001</v>
      </c>
      <c r="R336" s="19">
        <v>-2.5099999999999998</v>
      </c>
      <c r="S336" s="19">
        <v>-0.86</v>
      </c>
      <c r="T336" s="19">
        <v>-2.5099999999999998</v>
      </c>
      <c r="U336" s="19">
        <v>0.37169999999999997</v>
      </c>
      <c r="V336" s="19">
        <v>0.23</v>
      </c>
      <c r="W336" s="19">
        <v>1.9650000000000001</v>
      </c>
      <c r="X336" s="19">
        <v>0.23</v>
      </c>
      <c r="Y336" s="19">
        <v>1.9650000000000001</v>
      </c>
      <c r="Z336" s="4"/>
      <c r="AA336" s="4"/>
      <c r="AB336" s="4" t="e">
        <f ca="1">_xll.ciqfunctions.udf.CIQ("^SPX", "IQ_PRICEDATE", "4/23/2015")</f>
        <v>#NAME?</v>
      </c>
      <c r="AC336" s="16">
        <v>2112.9289997132</v>
      </c>
    </row>
    <row r="337" spans="1:29" x14ac:dyDescent="0.35">
      <c r="A337" s="2" t="s">
        <v>347</v>
      </c>
      <c r="B337" s="4" t="s">
        <v>1357</v>
      </c>
      <c r="C337" s="4" t="s">
        <v>586</v>
      </c>
      <c r="D337" s="4" t="s">
        <v>586</v>
      </c>
      <c r="E337" s="4" t="s">
        <v>1066</v>
      </c>
      <c r="F337" s="4" t="s">
        <v>1358</v>
      </c>
      <c r="G337" s="14">
        <v>59.09</v>
      </c>
      <c r="H337" s="10">
        <v>7.2447100000000004</v>
      </c>
      <c r="I337" s="10">
        <v>11.328200000000001</v>
      </c>
      <c r="J337" s="10">
        <v>2.9578549999999999</v>
      </c>
      <c r="K337" s="15">
        <v>2.5722999999999999E-2</v>
      </c>
      <c r="L337" s="17">
        <v>18692.736706</v>
      </c>
      <c r="M337" s="4" t="s">
        <v>1359</v>
      </c>
      <c r="N337" s="19">
        <v>5.2161860000000004</v>
      </c>
      <c r="O337" s="19">
        <v>7.81</v>
      </c>
      <c r="P337" s="19">
        <v>4.096819</v>
      </c>
      <c r="Q337" s="19">
        <v>4.0796000000000001</v>
      </c>
      <c r="R337" s="19">
        <v>2.4815049999999998</v>
      </c>
      <c r="S337" s="19">
        <v>3.0131000000000001</v>
      </c>
      <c r="T337" s="19">
        <v>2.4815049999999998</v>
      </c>
      <c r="U337" s="19">
        <v>2.1333000000000002</v>
      </c>
      <c r="V337" s="19">
        <v>2.11</v>
      </c>
      <c r="W337" s="19">
        <v>3.1785999999999999</v>
      </c>
      <c r="X337" s="19">
        <v>2.11</v>
      </c>
      <c r="Y337" s="19">
        <v>3.1785999999999999</v>
      </c>
      <c r="Z337" s="4"/>
      <c r="AA337" s="4"/>
      <c r="AB337" s="4" t="e">
        <f ca="1">_xll.ciqfunctions.udf.CIQ("^SPX", "IQ_PRICEDATE", "4/24/2015")</f>
        <v>#NAME?</v>
      </c>
      <c r="AC337" s="16">
        <v>2117.6899287491001</v>
      </c>
    </row>
    <row r="338" spans="1:29" x14ac:dyDescent="0.35">
      <c r="A338" s="2" t="s">
        <v>348</v>
      </c>
      <c r="B338" s="4" t="s">
        <v>1360</v>
      </c>
      <c r="C338" s="4" t="s">
        <v>543</v>
      </c>
      <c r="D338" s="4" t="s">
        <v>565</v>
      </c>
      <c r="E338" s="4" t="s">
        <v>565</v>
      </c>
      <c r="F338" s="4" t="s">
        <v>566</v>
      </c>
      <c r="G338" s="14">
        <v>243.06</v>
      </c>
      <c r="H338" s="10">
        <v>30.575227000000002</v>
      </c>
      <c r="I338" s="10">
        <v>35.425474999999999</v>
      </c>
      <c r="J338" s="10">
        <v>18.186129000000001</v>
      </c>
      <c r="K338" s="15">
        <v>2.4679999999999997E-3</v>
      </c>
      <c r="L338" s="17">
        <v>147780.48000000001</v>
      </c>
      <c r="M338" s="4" t="s">
        <v>1361</v>
      </c>
      <c r="N338" s="19">
        <v>6.8611639999999996</v>
      </c>
      <c r="O338" s="19">
        <v>7.9511000000000003</v>
      </c>
      <c r="P338" s="19">
        <v>4.0005249999999997</v>
      </c>
      <c r="Q338" s="19">
        <v>5.0218999999999996</v>
      </c>
      <c r="R338" s="19">
        <v>1.956553</v>
      </c>
      <c r="S338" s="19">
        <v>3.3001</v>
      </c>
      <c r="T338" s="19">
        <v>1.956553</v>
      </c>
      <c r="U338" s="19">
        <v>1.6435</v>
      </c>
      <c r="V338" s="19">
        <v>1.022451</v>
      </c>
      <c r="W338" s="19">
        <v>1.4068000000000001</v>
      </c>
      <c r="X338" s="19">
        <v>1.022451</v>
      </c>
      <c r="Y338" s="19">
        <v>1.4068000000000001</v>
      </c>
      <c r="Z338" s="4"/>
      <c r="AA338" s="4"/>
      <c r="AB338" s="4" t="e">
        <f ca="1">_xll.ciqfunctions.udf.CIQ("^SPX", "IQ_PRICEDATE", "4/27/2015")</f>
        <v>#NAME?</v>
      </c>
      <c r="AC338" s="16">
        <v>2108.9211408291999</v>
      </c>
    </row>
    <row r="339" spans="1:29" x14ac:dyDescent="0.35">
      <c r="A339" s="2" t="s">
        <v>349</v>
      </c>
      <c r="B339" s="4" t="s">
        <v>1362</v>
      </c>
      <c r="C339" s="4" t="s">
        <v>559</v>
      </c>
      <c r="D339" s="4" t="s">
        <v>560</v>
      </c>
      <c r="E339" s="4" t="s">
        <v>561</v>
      </c>
      <c r="F339" s="4" t="s">
        <v>562</v>
      </c>
      <c r="G339" s="14">
        <v>334.78</v>
      </c>
      <c r="H339" s="10">
        <v>14.97048</v>
      </c>
      <c r="I339" s="10">
        <v>22.874863999999999</v>
      </c>
      <c r="J339" s="10" t="s">
        <v>534</v>
      </c>
      <c r="K339" s="15">
        <v>0</v>
      </c>
      <c r="L339" s="17">
        <v>26970.884152999999</v>
      </c>
      <c r="M339" s="4" t="s">
        <v>1363</v>
      </c>
      <c r="N339" s="19">
        <v>14.635278</v>
      </c>
      <c r="O339" s="19">
        <v>16.7653</v>
      </c>
      <c r="P339" s="19">
        <v>12.67</v>
      </c>
      <c r="Q339" s="19">
        <v>12.696400000000001</v>
      </c>
      <c r="R339" s="19">
        <v>10.73</v>
      </c>
      <c r="S339" s="19">
        <v>11.896000000000001</v>
      </c>
      <c r="T339" s="19">
        <v>10.73</v>
      </c>
      <c r="U339" s="19">
        <v>10.028600000000001</v>
      </c>
      <c r="V339" s="19">
        <v>7.34</v>
      </c>
      <c r="W339" s="19">
        <v>8.0328999999999997</v>
      </c>
      <c r="X339" s="19">
        <v>7.34</v>
      </c>
      <c r="Y339" s="19">
        <v>8.0328999999999997</v>
      </c>
      <c r="Z339" s="4"/>
      <c r="AA339" s="4"/>
      <c r="AB339" s="4" t="e">
        <f ca="1">_xll.ciqfunctions.udf.CIQ("^SPX", "IQ_PRICEDATE", "4/28/2015")</f>
        <v>#NAME?</v>
      </c>
      <c r="AC339" s="16">
        <v>2114.7615406107998</v>
      </c>
    </row>
    <row r="340" spans="1:29" x14ac:dyDescent="0.35">
      <c r="A340" s="2" t="s">
        <v>350</v>
      </c>
      <c r="B340" s="4" t="s">
        <v>1364</v>
      </c>
      <c r="C340" s="4" t="s">
        <v>669</v>
      </c>
      <c r="D340" s="4" t="s">
        <v>669</v>
      </c>
      <c r="E340" s="4" t="s">
        <v>670</v>
      </c>
      <c r="F340" s="4" t="s">
        <v>836</v>
      </c>
      <c r="G340" s="14">
        <v>72.92</v>
      </c>
      <c r="H340" s="10">
        <v>9.1004760000000005</v>
      </c>
      <c r="I340" s="10">
        <v>25.053072</v>
      </c>
      <c r="J340" s="10">
        <v>2.664018</v>
      </c>
      <c r="K340" s="15">
        <v>4.2785999999999998E-2</v>
      </c>
      <c r="L340" s="17">
        <v>55763.488353000001</v>
      </c>
      <c r="M340" s="4" t="s">
        <v>1365</v>
      </c>
      <c r="N340" s="19">
        <v>2.9106209999999999</v>
      </c>
      <c r="O340" s="19">
        <v>6.2939999999999996</v>
      </c>
      <c r="P340" s="19">
        <v>1.7</v>
      </c>
      <c r="Q340" s="19">
        <v>1.6597</v>
      </c>
      <c r="R340" s="19">
        <v>-1.3118609999999999</v>
      </c>
      <c r="S340" s="19">
        <v>0.76859999999999995</v>
      </c>
      <c r="T340" s="19">
        <v>-1.3118609999999999</v>
      </c>
      <c r="U340" s="19">
        <v>0.48039999999999999</v>
      </c>
      <c r="V340" s="19">
        <v>-0.18435499999999999</v>
      </c>
      <c r="W340" s="19">
        <v>3.3957000000000002</v>
      </c>
      <c r="X340" s="19">
        <v>-0.18435499999999999</v>
      </c>
      <c r="Y340" s="19">
        <v>3.3957000000000002</v>
      </c>
      <c r="Z340" s="4"/>
      <c r="AA340" s="4"/>
      <c r="AB340" s="4" t="e">
        <f ca="1">_xll.ciqfunctions.udf.CIQ("^SPX", "IQ_PRICEDATE", "4/29/2015")</f>
        <v>#NAME?</v>
      </c>
      <c r="AC340" s="16">
        <v>2106.8509961673999</v>
      </c>
    </row>
    <row r="341" spans="1:29" x14ac:dyDescent="0.35">
      <c r="A341" s="2" t="s">
        <v>351</v>
      </c>
      <c r="B341" s="4" t="s">
        <v>1366</v>
      </c>
      <c r="C341" s="4" t="s">
        <v>549</v>
      </c>
      <c r="D341" s="4" t="s">
        <v>550</v>
      </c>
      <c r="E341" s="4" t="s">
        <v>814</v>
      </c>
      <c r="F341" s="4" t="s">
        <v>1367</v>
      </c>
      <c r="G341" s="14">
        <v>75.69</v>
      </c>
      <c r="H341" s="10">
        <v>8.7426829999999995</v>
      </c>
      <c r="I341" s="10">
        <v>14.679341000000001</v>
      </c>
      <c r="J341" s="10" t="s">
        <v>534</v>
      </c>
      <c r="K341" s="15">
        <v>3.1708E-2</v>
      </c>
      <c r="L341" s="17">
        <v>16962.558540999999</v>
      </c>
      <c r="M341" s="4" t="s">
        <v>1368</v>
      </c>
      <c r="N341" s="19">
        <v>5.1562260000000002</v>
      </c>
      <c r="O341" s="19">
        <v>5.5791000000000004</v>
      </c>
      <c r="P341" s="19">
        <v>4.6500000000000004</v>
      </c>
      <c r="Q341" s="19">
        <v>5.2290000000000001</v>
      </c>
      <c r="R341" s="19">
        <v>4.78</v>
      </c>
      <c r="S341" s="19">
        <v>4.9657</v>
      </c>
      <c r="T341" s="19">
        <v>4.78</v>
      </c>
      <c r="U341" s="19">
        <v>4.5791000000000004</v>
      </c>
      <c r="V341" s="19">
        <v>4.24</v>
      </c>
      <c r="W341" s="19">
        <v>4.4665999999999997</v>
      </c>
      <c r="X341" s="19">
        <v>4.24</v>
      </c>
      <c r="Y341" s="19">
        <v>4.4665999999999997</v>
      </c>
      <c r="Z341" s="4"/>
      <c r="AA341" s="4"/>
      <c r="AB341" s="4" t="e">
        <f ca="1">_xll.ciqfunctions.udf.CIQ("^SPX", "IQ_PRICEDATE", "4/30/2015")</f>
        <v>#NAME?</v>
      </c>
      <c r="AC341" s="16">
        <v>2085.5136532975998</v>
      </c>
    </row>
    <row r="342" spans="1:29" x14ac:dyDescent="0.35">
      <c r="A342" s="2" t="s">
        <v>352</v>
      </c>
      <c r="B342" s="4" t="s">
        <v>1369</v>
      </c>
      <c r="C342" s="4" t="s">
        <v>669</v>
      </c>
      <c r="D342" s="4" t="s">
        <v>669</v>
      </c>
      <c r="E342" s="4" t="s">
        <v>670</v>
      </c>
      <c r="F342" s="4" t="s">
        <v>1206</v>
      </c>
      <c r="G342" s="14">
        <v>67.02</v>
      </c>
      <c r="H342" s="10">
        <v>16.309066000000001</v>
      </c>
      <c r="I342" s="10">
        <v>34.590521000000003</v>
      </c>
      <c r="J342" s="10">
        <v>4.8538249999999996</v>
      </c>
      <c r="K342" s="15">
        <v>4.9238999999999998E-2</v>
      </c>
      <c r="L342" s="17">
        <v>27561.939747</v>
      </c>
      <c r="M342" s="4" t="s">
        <v>1370</v>
      </c>
      <c r="N342" s="19">
        <v>1.9375249999999999</v>
      </c>
      <c r="O342" s="19">
        <v>2.8071999999999999</v>
      </c>
      <c r="P342" s="19">
        <v>1.29</v>
      </c>
      <c r="Q342" s="19">
        <v>2.08</v>
      </c>
      <c r="R342" s="19">
        <v>1.67</v>
      </c>
      <c r="S342" s="19">
        <v>1.6295999999999999</v>
      </c>
      <c r="T342" s="19">
        <v>1.67</v>
      </c>
      <c r="U342" s="19">
        <v>1.6425000000000001</v>
      </c>
      <c r="V342" s="19">
        <v>1.52</v>
      </c>
      <c r="W342" s="19">
        <v>1.7535000000000001</v>
      </c>
      <c r="X342" s="19">
        <v>1.52</v>
      </c>
      <c r="Y342" s="19">
        <v>1.7535000000000001</v>
      </c>
      <c r="Z342" s="4"/>
      <c r="AA342" s="4"/>
      <c r="AB342" s="4" t="e">
        <f ca="1">_xll.ciqfunctions.udf.CIQ("^SPX", "IQ_PRICEDATE", "5/1/2015")</f>
        <v>#NAME?</v>
      </c>
      <c r="AC342" s="16">
        <v>2108.2902805086001</v>
      </c>
    </row>
    <row r="343" spans="1:29" x14ac:dyDescent="0.35">
      <c r="A343" s="2" t="s">
        <v>353</v>
      </c>
      <c r="B343" s="4" t="s">
        <v>1371</v>
      </c>
      <c r="C343" s="4" t="s">
        <v>543</v>
      </c>
      <c r="D343" s="4" t="s">
        <v>544</v>
      </c>
      <c r="E343" s="4" t="s">
        <v>555</v>
      </c>
      <c r="F343" s="4" t="s">
        <v>782</v>
      </c>
      <c r="G343" s="14">
        <v>47.86</v>
      </c>
      <c r="H343" s="10">
        <v>11.143684</v>
      </c>
      <c r="I343" s="10">
        <v>50.465429</v>
      </c>
      <c r="J343" s="10" t="s">
        <v>534</v>
      </c>
      <c r="K343" s="15">
        <v>1.5879000000000001E-2</v>
      </c>
      <c r="L343" s="17">
        <v>181324.22214599999</v>
      </c>
      <c r="M343" s="4" t="s">
        <v>1372</v>
      </c>
      <c r="N343" s="19">
        <v>0.94837199999999999</v>
      </c>
      <c r="O343" s="19">
        <v>3.4506000000000001</v>
      </c>
      <c r="P343" s="19">
        <v>2.3073899999999998</v>
      </c>
      <c r="Q343" s="19">
        <v>3.0503999999999998</v>
      </c>
      <c r="R343" s="19">
        <v>2.0948920000000002</v>
      </c>
      <c r="S343" s="19">
        <v>2.6434000000000002</v>
      </c>
      <c r="T343" s="19">
        <v>2.0948920000000002</v>
      </c>
      <c r="U343" s="19">
        <v>2.6959</v>
      </c>
      <c r="V343" s="19">
        <v>2.4040140000000001</v>
      </c>
      <c r="W343" s="19">
        <v>3.0528</v>
      </c>
      <c r="X343" s="19">
        <v>2.4040140000000001</v>
      </c>
      <c r="Y343" s="19">
        <v>3.0528</v>
      </c>
      <c r="Z343" s="4"/>
      <c r="AA343" s="4"/>
      <c r="AB343" s="4" t="e">
        <f ca="1">_xll.ciqfunctions.udf.CIQ("^SPX", "IQ_PRICEDATE", "5/4/2015")</f>
        <v>#NAME?</v>
      </c>
      <c r="AC343" s="16">
        <v>2114.4864683408</v>
      </c>
    </row>
    <row r="344" spans="1:29" x14ac:dyDescent="0.35">
      <c r="A344" s="2" t="s">
        <v>354</v>
      </c>
      <c r="B344" s="4" t="s">
        <v>1373</v>
      </c>
      <c r="C344" s="4" t="s">
        <v>525</v>
      </c>
      <c r="D344" s="4" t="s">
        <v>526</v>
      </c>
      <c r="E344" s="4" t="s">
        <v>803</v>
      </c>
      <c r="F344" s="4" t="s">
        <v>804</v>
      </c>
      <c r="G344" s="14">
        <v>61.74</v>
      </c>
      <c r="H344" s="10">
        <v>9.0038529999999994</v>
      </c>
      <c r="I344" s="10">
        <v>10.554795</v>
      </c>
      <c r="J344" s="10">
        <v>2.4662519999999999</v>
      </c>
      <c r="K344" s="15">
        <v>3.7575999999999998E-2</v>
      </c>
      <c r="L344" s="17">
        <v>21642.540563999999</v>
      </c>
      <c r="M344" s="4" t="s">
        <v>1374</v>
      </c>
      <c r="N344" s="19">
        <v>5.8494739999999998</v>
      </c>
      <c r="O344" s="19">
        <v>6.1204999999999998</v>
      </c>
      <c r="P344" s="19">
        <v>4.75</v>
      </c>
      <c r="Q344" s="19">
        <v>4.6715</v>
      </c>
      <c r="R344" s="19">
        <v>1.48</v>
      </c>
      <c r="S344" s="19">
        <v>3.5116000000000001</v>
      </c>
      <c r="T344" s="19">
        <v>1.48</v>
      </c>
      <c r="U344" s="19">
        <v>4.2267999999999999</v>
      </c>
      <c r="V344" s="19">
        <v>3.82</v>
      </c>
      <c r="W344" s="19">
        <v>4.2896000000000001</v>
      </c>
      <c r="X344" s="19">
        <v>3.82</v>
      </c>
      <c r="Y344" s="19">
        <v>4.2896000000000001</v>
      </c>
      <c r="Z344" s="4"/>
      <c r="AA344" s="4"/>
      <c r="AB344" s="4" t="e">
        <f ca="1">_xll.ciqfunctions.udf.CIQ("^SPX", "IQ_PRICEDATE", "5/5/2015")</f>
        <v>#NAME?</v>
      </c>
      <c r="AC344" s="16">
        <v>2089.4601421030002</v>
      </c>
    </row>
    <row r="345" spans="1:29" x14ac:dyDescent="0.35">
      <c r="A345" s="2" t="s">
        <v>355</v>
      </c>
      <c r="B345" s="4" t="s">
        <v>1375</v>
      </c>
      <c r="C345" s="4" t="s">
        <v>586</v>
      </c>
      <c r="D345" s="4" t="s">
        <v>586</v>
      </c>
      <c r="E345" s="4" t="s">
        <v>726</v>
      </c>
      <c r="F345" s="4" t="s">
        <v>727</v>
      </c>
      <c r="G345" s="14">
        <v>90.91</v>
      </c>
      <c r="H345" s="10">
        <v>7.6609619999999996</v>
      </c>
      <c r="I345" s="10">
        <v>11.702617999999999</v>
      </c>
      <c r="J345" s="10">
        <v>7.6423420000000002</v>
      </c>
      <c r="K345" s="15">
        <v>3.4759000000000005E-2</v>
      </c>
      <c r="L345" s="17">
        <v>8522.7398630000007</v>
      </c>
      <c r="M345" s="4" t="s">
        <v>1376</v>
      </c>
      <c r="N345" s="19">
        <v>7.7683470000000003</v>
      </c>
      <c r="O345" s="19">
        <v>8.5388000000000002</v>
      </c>
      <c r="P345" s="19">
        <v>7.07</v>
      </c>
      <c r="Q345" s="19">
        <v>6.4749999999999996</v>
      </c>
      <c r="R345" s="19">
        <v>4.75</v>
      </c>
      <c r="S345" s="19">
        <v>5.5372000000000003</v>
      </c>
      <c r="T345" s="19">
        <v>4.75</v>
      </c>
      <c r="U345" s="19">
        <v>4.7121000000000004</v>
      </c>
      <c r="V345" s="19">
        <v>3.9886590000000002</v>
      </c>
      <c r="W345" s="19">
        <v>5.1288</v>
      </c>
      <c r="X345" s="19">
        <v>3.9886590000000002</v>
      </c>
      <c r="Y345" s="19">
        <v>5.1288</v>
      </c>
      <c r="Z345" s="4"/>
      <c r="AA345" s="4"/>
      <c r="AB345" s="4" t="e">
        <f ca="1">_xll.ciqfunctions.udf.CIQ("^SPX", "IQ_PRICEDATE", "5/6/2015")</f>
        <v>#NAME?</v>
      </c>
      <c r="AC345" s="16">
        <v>2080.1450500901001</v>
      </c>
    </row>
    <row r="346" spans="1:29" x14ac:dyDescent="0.35">
      <c r="A346" s="2" t="s">
        <v>356</v>
      </c>
      <c r="B346" s="4" t="s">
        <v>1377</v>
      </c>
      <c r="C346" s="4" t="s">
        <v>525</v>
      </c>
      <c r="D346" s="4" t="s">
        <v>526</v>
      </c>
      <c r="E346" s="4" t="s">
        <v>803</v>
      </c>
      <c r="F346" s="4" t="s">
        <v>948</v>
      </c>
      <c r="G346" s="14">
        <v>162.54</v>
      </c>
      <c r="H346" s="10">
        <v>10.33174</v>
      </c>
      <c r="I346" s="10">
        <v>20.758623</v>
      </c>
      <c r="J346" s="10" t="s">
        <v>534</v>
      </c>
      <c r="K346" s="15">
        <v>1.8703000000000001E-2</v>
      </c>
      <c r="L346" s="17">
        <v>21522.903629</v>
      </c>
      <c r="M346" s="4" t="s">
        <v>1378</v>
      </c>
      <c r="N346" s="19">
        <v>7.8299989999999999</v>
      </c>
      <c r="O346" s="19">
        <v>11.417590000000001</v>
      </c>
      <c r="P346" s="19">
        <v>6.4283330000000003</v>
      </c>
      <c r="Q346" s="19">
        <v>9.8341999999999992</v>
      </c>
      <c r="R346" s="19">
        <v>6.4823550000000001</v>
      </c>
      <c r="S346" s="19">
        <v>6.9569000000000001</v>
      </c>
      <c r="T346" s="19">
        <v>6.4823550000000001</v>
      </c>
      <c r="U346" s="19">
        <v>6.1521999999999997</v>
      </c>
      <c r="V346" s="19">
        <v>7.2502250000000004</v>
      </c>
      <c r="W346" s="19">
        <v>8.1905999999999999</v>
      </c>
      <c r="X346" s="19">
        <v>7.2502250000000004</v>
      </c>
      <c r="Y346" s="19">
        <v>8.1905999999999999</v>
      </c>
      <c r="Z346" s="4"/>
      <c r="AA346" s="4"/>
      <c r="AB346" s="4" t="e">
        <f ca="1">_xll.ciqfunctions.udf.CIQ("^SPX", "IQ_PRICEDATE", "5/7/2015")</f>
        <v>#NAME?</v>
      </c>
      <c r="AC346" s="16">
        <v>2087.9973305568001</v>
      </c>
    </row>
    <row r="347" spans="1:29" x14ac:dyDescent="0.35">
      <c r="A347" s="2" t="s">
        <v>357</v>
      </c>
      <c r="B347" s="4" t="s">
        <v>1379</v>
      </c>
      <c r="C347" s="4" t="s">
        <v>543</v>
      </c>
      <c r="D347" s="4" t="s">
        <v>544</v>
      </c>
      <c r="E347" s="4" t="s">
        <v>545</v>
      </c>
      <c r="F347" s="4" t="s">
        <v>616</v>
      </c>
      <c r="G347" s="14">
        <v>68.89</v>
      </c>
      <c r="H347" s="10">
        <v>16.944186999999999</v>
      </c>
      <c r="I347" s="10">
        <v>25.801971000000002</v>
      </c>
      <c r="J347" s="10">
        <v>17.196155000000001</v>
      </c>
      <c r="K347" s="15">
        <v>3.2515000000000002E-2</v>
      </c>
      <c r="L347" s="17">
        <v>24737.154847000002</v>
      </c>
      <c r="M347" s="4" t="s">
        <v>1380</v>
      </c>
      <c r="N347" s="19">
        <v>2.6699510000000002</v>
      </c>
      <c r="O347" s="19">
        <v>2.9075000000000002</v>
      </c>
      <c r="P347" s="19">
        <v>2.2698049999999999</v>
      </c>
      <c r="Q347" s="19">
        <v>2.6501000000000001</v>
      </c>
      <c r="R347" s="19">
        <v>2.1501570000000001</v>
      </c>
      <c r="S347" s="19">
        <v>2.3043</v>
      </c>
      <c r="T347" s="19">
        <v>2.1501570000000001</v>
      </c>
      <c r="U347" s="19">
        <v>2.125</v>
      </c>
      <c r="V347" s="19">
        <v>1.769779</v>
      </c>
      <c r="W347" s="19">
        <v>1.9277</v>
      </c>
      <c r="X347" s="19">
        <v>1.769779</v>
      </c>
      <c r="Y347" s="19">
        <v>1.9277</v>
      </c>
      <c r="Z347" s="4"/>
      <c r="AA347" s="4"/>
      <c r="AB347" s="4" t="e">
        <f ca="1">_xll.ciqfunctions.udf.CIQ("^SPX", "IQ_PRICEDATE", "5/8/2015")</f>
        <v>#NAME?</v>
      </c>
      <c r="AC347" s="16">
        <v>2116.0951116755</v>
      </c>
    </row>
    <row r="348" spans="1:29" x14ac:dyDescent="0.35">
      <c r="A348" s="2" t="s">
        <v>358</v>
      </c>
      <c r="B348" s="4" t="s">
        <v>1381</v>
      </c>
      <c r="C348" s="4" t="s">
        <v>543</v>
      </c>
      <c r="D348" s="4" t="s">
        <v>544</v>
      </c>
      <c r="E348" s="4" t="s">
        <v>545</v>
      </c>
      <c r="F348" s="4" t="s">
        <v>616</v>
      </c>
      <c r="G348" s="14">
        <v>80.09</v>
      </c>
      <c r="H348" s="10">
        <v>32.757137999999998</v>
      </c>
      <c r="I348" s="10">
        <v>47.700386999999999</v>
      </c>
      <c r="J348" s="10">
        <v>8.9772379999999998</v>
      </c>
      <c r="K348" s="15">
        <v>0</v>
      </c>
      <c r="L348" s="17">
        <v>94800.331166000004</v>
      </c>
      <c r="M348" s="4" t="s">
        <v>1382</v>
      </c>
      <c r="N348" s="19">
        <v>1.679022</v>
      </c>
      <c r="O348" s="19">
        <v>2.5468000000000002</v>
      </c>
      <c r="P348" s="19">
        <v>1.47</v>
      </c>
      <c r="Q348" s="19">
        <v>2.1452</v>
      </c>
      <c r="R348" s="19">
        <v>1.1499999999999999</v>
      </c>
      <c r="S348" s="19">
        <v>1.6547000000000001</v>
      </c>
      <c r="T348" s="19">
        <v>1.1499999999999999</v>
      </c>
      <c r="U348" s="19">
        <v>1.4307000000000001</v>
      </c>
      <c r="V348" s="19">
        <v>0.34</v>
      </c>
      <c r="W348" s="19">
        <v>0</v>
      </c>
      <c r="X348" s="19">
        <v>0.34</v>
      </c>
      <c r="Y348" s="19">
        <v>0</v>
      </c>
      <c r="Z348" s="4"/>
      <c r="AA348" s="4"/>
      <c r="AB348" s="4" t="e">
        <f ca="1">_xll.ciqfunctions.udf.CIQ("^SPX", "IQ_PRICEDATE", "5/11/2015")</f>
        <v>#NAME?</v>
      </c>
      <c r="AC348" s="16">
        <v>2105.3275425463999</v>
      </c>
    </row>
    <row r="349" spans="1:29" x14ac:dyDescent="0.35">
      <c r="A349" s="2" t="s">
        <v>359</v>
      </c>
      <c r="B349" s="4" t="s">
        <v>1383</v>
      </c>
      <c r="C349" s="4" t="s">
        <v>525</v>
      </c>
      <c r="D349" s="4" t="s">
        <v>526</v>
      </c>
      <c r="E349" s="4" t="s">
        <v>803</v>
      </c>
      <c r="F349" s="4" t="s">
        <v>948</v>
      </c>
      <c r="G349" s="14">
        <v>38.994999999999997</v>
      </c>
      <c r="H349" s="10">
        <v>7.4371559999999999</v>
      </c>
      <c r="I349" s="10">
        <v>11.725459000000001</v>
      </c>
      <c r="J349" s="10" t="s">
        <v>534</v>
      </c>
      <c r="K349" s="15">
        <v>1.787E-2</v>
      </c>
      <c r="L349" s="17">
        <v>6870.5694309999999</v>
      </c>
      <c r="M349" s="4" t="s">
        <v>1384</v>
      </c>
      <c r="N349" s="19">
        <v>3.3405939999999998</v>
      </c>
      <c r="O349" s="19">
        <v>2.4123000000000001</v>
      </c>
      <c r="P349" s="19">
        <v>2.61</v>
      </c>
      <c r="Q349" s="19">
        <v>3.8936000000000002</v>
      </c>
      <c r="R349" s="19">
        <v>2.4700000000000002</v>
      </c>
      <c r="S349" s="19">
        <v>3.3353000000000002</v>
      </c>
      <c r="T349" s="19">
        <v>2.4700000000000002</v>
      </c>
      <c r="U349" s="19">
        <v>4.0029000000000003</v>
      </c>
      <c r="V349" s="19">
        <v>1.84</v>
      </c>
      <c r="W349" s="19">
        <v>4.1447000000000003</v>
      </c>
      <c r="X349" s="19">
        <v>1.84</v>
      </c>
      <c r="Y349" s="19">
        <v>4.1447000000000003</v>
      </c>
      <c r="Z349" s="4"/>
      <c r="AA349" s="4"/>
      <c r="AB349" s="4" t="e">
        <f ca="1">_xll.ciqfunctions.udf.CIQ("^SPX", "IQ_PRICEDATE", "5/12/2015")</f>
        <v>#NAME?</v>
      </c>
      <c r="AC349" s="16">
        <v>2099.1159344456</v>
      </c>
    </row>
    <row r="350" spans="1:29" x14ac:dyDescent="0.35">
      <c r="A350" s="2" t="s">
        <v>360</v>
      </c>
      <c r="B350" s="4" t="s">
        <v>1385</v>
      </c>
      <c r="C350" s="4" t="s">
        <v>573</v>
      </c>
      <c r="D350" s="4" t="s">
        <v>737</v>
      </c>
      <c r="E350" s="4" t="s">
        <v>737</v>
      </c>
      <c r="F350" s="4" t="s">
        <v>743</v>
      </c>
      <c r="G350" s="14">
        <v>16.350000000000001</v>
      </c>
      <c r="H350" s="10">
        <v>0</v>
      </c>
      <c r="I350" s="10">
        <v>14.013439999999999</v>
      </c>
      <c r="J350" s="10">
        <v>1.811957</v>
      </c>
      <c r="K350" s="15">
        <v>4.2812999999999997E-2</v>
      </c>
      <c r="L350" s="17">
        <v>6056.4263010000004</v>
      </c>
      <c r="M350" s="4" t="s">
        <v>1386</v>
      </c>
      <c r="N350" s="19">
        <v>1.1667369999999999</v>
      </c>
      <c r="O350" s="19">
        <v>1.3675999999999999</v>
      </c>
      <c r="P350" s="19">
        <v>0.97</v>
      </c>
      <c r="Q350" s="19">
        <v>1.1198999999999999</v>
      </c>
      <c r="R350" s="19">
        <v>0.91817800000000005</v>
      </c>
      <c r="S350" s="19">
        <v>0.93940000000000001</v>
      </c>
      <c r="T350" s="19">
        <v>0.91817800000000005</v>
      </c>
      <c r="U350" s="19">
        <v>0.92410000000000003</v>
      </c>
      <c r="V350" s="19">
        <v>0.84</v>
      </c>
      <c r="W350" s="19">
        <v>0.85940000000000005</v>
      </c>
      <c r="X350" s="19">
        <v>0.84</v>
      </c>
      <c r="Y350" s="19">
        <v>0.85940000000000005</v>
      </c>
      <c r="Z350" s="4"/>
      <c r="AA350" s="4"/>
      <c r="AB350" s="4" t="e">
        <f ca="1">_xll.ciqfunctions.udf.CIQ("^SPX", "IQ_PRICEDATE", "5/13/2015")</f>
        <v>#NAME?</v>
      </c>
      <c r="AC350" s="16">
        <v>2098.4776424717002</v>
      </c>
    </row>
    <row r="351" spans="1:29" x14ac:dyDescent="0.35">
      <c r="A351" s="2" t="s">
        <v>361</v>
      </c>
      <c r="B351" s="4" t="s">
        <v>1387</v>
      </c>
      <c r="C351" s="4" t="s">
        <v>626</v>
      </c>
      <c r="D351" s="4" t="s">
        <v>627</v>
      </c>
      <c r="E351" s="4" t="s">
        <v>775</v>
      </c>
      <c r="F351" s="4" t="s">
        <v>1298</v>
      </c>
      <c r="G351" s="14">
        <v>108.31</v>
      </c>
      <c r="H351" s="10">
        <v>13.702133</v>
      </c>
      <c r="I351" s="10">
        <v>31.244959999999999</v>
      </c>
      <c r="J351" s="10" t="s">
        <v>534</v>
      </c>
      <c r="K351" s="15">
        <v>3.4252999999999999E-2</v>
      </c>
      <c r="L351" s="17">
        <v>152886.93007999999</v>
      </c>
      <c r="M351" s="4" t="s">
        <v>1388</v>
      </c>
      <c r="N351" s="19">
        <v>3.4664790000000001</v>
      </c>
      <c r="O351" s="19">
        <v>5.8837999999999999</v>
      </c>
      <c r="P351" s="19">
        <v>3.3776069999999998</v>
      </c>
      <c r="Q351" s="19">
        <v>5.4755000000000003</v>
      </c>
      <c r="R351" s="19">
        <v>4.3588149999999999</v>
      </c>
      <c r="S351" s="19">
        <v>5.0688000000000004</v>
      </c>
      <c r="T351" s="19">
        <v>4.3588149999999999</v>
      </c>
      <c r="U351" s="19">
        <v>4.6847000000000003</v>
      </c>
      <c r="V351" s="19">
        <v>4.265225</v>
      </c>
      <c r="W351" s="19">
        <v>4.7572999999999999</v>
      </c>
      <c r="X351" s="19">
        <v>4.265225</v>
      </c>
      <c r="Y351" s="19">
        <v>4.7572999999999999</v>
      </c>
      <c r="Z351" s="4"/>
      <c r="AA351" s="4"/>
      <c r="AB351" s="4" t="e">
        <f ca="1">_xll.ciqfunctions.udf.CIQ("^SPX", "IQ_PRICEDATE", "5/14/2015")</f>
        <v>#NAME?</v>
      </c>
      <c r="AC351" s="16">
        <v>2121.0952244886998</v>
      </c>
    </row>
    <row r="352" spans="1:29" x14ac:dyDescent="0.35">
      <c r="A352" s="2" t="s">
        <v>362</v>
      </c>
      <c r="B352" s="4" t="s">
        <v>1389</v>
      </c>
      <c r="C352" s="4" t="s">
        <v>530</v>
      </c>
      <c r="D352" s="4" t="s">
        <v>537</v>
      </c>
      <c r="E352" s="4" t="s">
        <v>583</v>
      </c>
      <c r="F352" s="4" t="s">
        <v>583</v>
      </c>
      <c r="G352" s="14">
        <v>90.09</v>
      </c>
      <c r="H352" s="10">
        <v>23.292202</v>
      </c>
      <c r="I352" s="10">
        <v>67.212857999999997</v>
      </c>
      <c r="J352" s="10" t="s">
        <v>534</v>
      </c>
      <c r="K352" s="15">
        <v>3.1050000000000001E-3</v>
      </c>
      <c r="L352" s="17">
        <v>9983.7784319999992</v>
      </c>
      <c r="M352" s="4" t="s">
        <v>1390</v>
      </c>
      <c r="N352" s="19">
        <v>1.34141</v>
      </c>
      <c r="O352" s="19">
        <v>3.8965999999999998</v>
      </c>
      <c r="P352" s="19">
        <v>1.42</v>
      </c>
      <c r="Q352" s="19">
        <v>3.2837999999999998</v>
      </c>
      <c r="R352" s="19">
        <v>1.7889029999999999</v>
      </c>
      <c r="S352" s="19">
        <v>2.9066999999999998</v>
      </c>
      <c r="T352" s="19">
        <v>1.7889029999999999</v>
      </c>
      <c r="U352" s="19">
        <v>2.7705000000000002</v>
      </c>
      <c r="V352" s="19">
        <v>1.1399999999999999</v>
      </c>
      <c r="W352" s="19">
        <v>2.6059000000000001</v>
      </c>
      <c r="X352" s="19">
        <v>1.1399999999999999</v>
      </c>
      <c r="Y352" s="19">
        <v>2.6059000000000001</v>
      </c>
      <c r="Z352" s="4"/>
      <c r="AA352" s="4"/>
      <c r="AB352" s="4" t="e">
        <f ca="1">_xll.ciqfunctions.udf.CIQ("^SPX", "IQ_PRICEDATE", "5/15/2015")</f>
        <v>#NAME?</v>
      </c>
      <c r="AC352" s="16">
        <v>2122.7341297664002</v>
      </c>
    </row>
    <row r="353" spans="1:29" x14ac:dyDescent="0.35">
      <c r="A353" s="2" t="s">
        <v>363</v>
      </c>
      <c r="B353" s="4" t="s">
        <v>1391</v>
      </c>
      <c r="C353" s="4" t="s">
        <v>530</v>
      </c>
      <c r="D353" s="4" t="s">
        <v>537</v>
      </c>
      <c r="E353" s="4" t="s">
        <v>613</v>
      </c>
      <c r="F353" s="4" t="s">
        <v>613</v>
      </c>
      <c r="G353" s="14">
        <v>73.87</v>
      </c>
      <c r="H353" s="10">
        <v>12.218610999999999</v>
      </c>
      <c r="I353" s="10">
        <v>44.208649000000001</v>
      </c>
      <c r="J353" s="10" t="s">
        <v>534</v>
      </c>
      <c r="K353" s="15">
        <v>1.0287999999999999E-2</v>
      </c>
      <c r="L353" s="17">
        <v>10107.823054</v>
      </c>
      <c r="M353" s="4" t="s">
        <v>1392</v>
      </c>
      <c r="N353" s="19">
        <v>1.6709400000000001</v>
      </c>
      <c r="O353" s="19">
        <v>4.9934000000000003</v>
      </c>
      <c r="P353" s="19">
        <v>0.84</v>
      </c>
      <c r="Q353" s="19">
        <v>5.1871</v>
      </c>
      <c r="R353" s="19">
        <v>-28.01</v>
      </c>
      <c r="S353" s="19">
        <v>7.1489000000000003</v>
      </c>
      <c r="T353" s="19">
        <v>-28.01</v>
      </c>
      <c r="U353" s="19">
        <v>9.0718999999999994</v>
      </c>
      <c r="V353" s="19">
        <v>2.565439</v>
      </c>
      <c r="W353" s="19">
        <v>0</v>
      </c>
      <c r="X353" s="19">
        <v>2.565439</v>
      </c>
      <c r="Y353" s="19">
        <v>0</v>
      </c>
      <c r="Z353" s="4"/>
      <c r="AA353" s="4"/>
      <c r="AB353" s="4" t="e">
        <f ca="1">_xll.ciqfunctions.udf.CIQ("^SPX", "IQ_PRICEDATE", "5/18/2015")</f>
        <v>#NAME?</v>
      </c>
      <c r="AC353" s="16">
        <v>2129.2039046988998</v>
      </c>
    </row>
    <row r="354" spans="1:29" x14ac:dyDescent="0.35">
      <c r="A354" s="2" t="s">
        <v>364</v>
      </c>
      <c r="B354" s="4" t="s">
        <v>1393</v>
      </c>
      <c r="C354" s="4" t="s">
        <v>530</v>
      </c>
      <c r="D354" s="4" t="s">
        <v>537</v>
      </c>
      <c r="E354" s="4" t="s">
        <v>613</v>
      </c>
      <c r="F354" s="4" t="s">
        <v>613</v>
      </c>
      <c r="G354" s="14">
        <v>44.57</v>
      </c>
      <c r="H354" s="10">
        <v>13.467200999999999</v>
      </c>
      <c r="I354" s="10">
        <v>11.905595</v>
      </c>
      <c r="J354" s="10" t="s">
        <v>534</v>
      </c>
      <c r="K354" s="15">
        <v>3.0512999999999998E-2</v>
      </c>
      <c r="L354" s="17">
        <v>261274.22054899999</v>
      </c>
      <c r="M354" s="4" t="s">
        <v>1394</v>
      </c>
      <c r="N354" s="19">
        <v>3.7436180000000001</v>
      </c>
      <c r="O354" s="19">
        <v>3.0602999999999998</v>
      </c>
      <c r="P354" s="19">
        <v>3.5170020000000002</v>
      </c>
      <c r="Q354" s="19">
        <v>2.6686000000000001</v>
      </c>
      <c r="R354" s="19">
        <v>1.17</v>
      </c>
      <c r="S354" s="19">
        <v>2.4758</v>
      </c>
      <c r="T354" s="19">
        <v>1.17</v>
      </c>
      <c r="U354" s="19">
        <v>2.3218000000000001</v>
      </c>
      <c r="V354" s="19">
        <v>1.4143829999999999</v>
      </c>
      <c r="W354" s="19">
        <v>2.1695000000000002</v>
      </c>
      <c r="X354" s="19">
        <v>1.4143829999999999</v>
      </c>
      <c r="Y354" s="19">
        <v>2.1695000000000002</v>
      </c>
      <c r="Z354" s="4"/>
      <c r="AA354" s="4"/>
      <c r="AB354" s="4" t="e">
        <f ca="1">_xll.ciqfunctions.udf.CIQ("^SPX", "IQ_PRICEDATE", "5/19/2015")</f>
        <v>#NAME?</v>
      </c>
      <c r="AC354" s="16">
        <v>2127.8250587712</v>
      </c>
    </row>
    <row r="355" spans="1:29" x14ac:dyDescent="0.35">
      <c r="A355" s="2" t="s">
        <v>365</v>
      </c>
      <c r="B355" s="4" t="s">
        <v>1395</v>
      </c>
      <c r="C355" s="4" t="s">
        <v>619</v>
      </c>
      <c r="D355" s="4" t="s">
        <v>619</v>
      </c>
      <c r="E355" s="4" t="s">
        <v>620</v>
      </c>
      <c r="F355" s="4" t="s">
        <v>620</v>
      </c>
      <c r="G355" s="14">
        <v>48.96</v>
      </c>
      <c r="H355" s="10">
        <v>7.8465959999999999</v>
      </c>
      <c r="I355" s="10">
        <v>208.86213599999999</v>
      </c>
      <c r="J355" s="10">
        <v>1.346023</v>
      </c>
      <c r="K355" s="15">
        <v>0</v>
      </c>
      <c r="L355" s="17">
        <v>25319.729459999999</v>
      </c>
      <c r="M355" s="4" t="s">
        <v>1396</v>
      </c>
      <c r="N355" s="19">
        <v>0.23441300000000001</v>
      </c>
      <c r="O355" s="19">
        <v>3.6970000000000001</v>
      </c>
      <c r="P355" s="19">
        <v>3.21</v>
      </c>
      <c r="Q355" s="19">
        <v>3.4001000000000001</v>
      </c>
      <c r="R355" s="19">
        <v>2.78</v>
      </c>
      <c r="S355" s="19">
        <v>3.7797000000000001</v>
      </c>
      <c r="T355" s="19">
        <v>2.78</v>
      </c>
      <c r="U355" s="19">
        <v>3.4639000000000002</v>
      </c>
      <c r="V355" s="19">
        <v>3.06</v>
      </c>
      <c r="W355" s="19">
        <v>3.2985000000000002</v>
      </c>
      <c r="X355" s="19">
        <v>3.06</v>
      </c>
      <c r="Y355" s="19">
        <v>3.2985000000000002</v>
      </c>
      <c r="Z355" s="4"/>
      <c r="AA355" s="4"/>
      <c r="AB355" s="4" t="e">
        <f ca="1">_xll.ciqfunctions.udf.CIQ("^SPX", "IQ_PRICEDATE", "5/20/2015")</f>
        <v>#NAME?</v>
      </c>
      <c r="AC355" s="16">
        <v>2125.8487640356998</v>
      </c>
    </row>
    <row r="356" spans="1:29" x14ac:dyDescent="0.35">
      <c r="A356" s="2" t="s">
        <v>366</v>
      </c>
      <c r="B356" s="4" t="s">
        <v>1397</v>
      </c>
      <c r="C356" s="4" t="s">
        <v>626</v>
      </c>
      <c r="D356" s="4" t="s">
        <v>627</v>
      </c>
      <c r="E356" s="4" t="s">
        <v>628</v>
      </c>
      <c r="F356" s="4" t="s">
        <v>628</v>
      </c>
      <c r="G356" s="14">
        <v>84.56</v>
      </c>
      <c r="H356" s="10">
        <v>12.273115000000001</v>
      </c>
      <c r="I356" s="10">
        <v>20.523150999999999</v>
      </c>
      <c r="J356" s="10" t="s">
        <v>534</v>
      </c>
      <c r="K356" s="15">
        <v>5.3926000000000002E-2</v>
      </c>
      <c r="L356" s="17">
        <v>131449.09881299999</v>
      </c>
      <c r="M356" s="4" t="s">
        <v>1398</v>
      </c>
      <c r="N356" s="19">
        <v>4.1202249999999996</v>
      </c>
      <c r="O356" s="19">
        <v>5.0110999999999999</v>
      </c>
      <c r="P356" s="19">
        <v>3.8795099999999998</v>
      </c>
      <c r="Q356" s="19">
        <v>5.1825999999999999</v>
      </c>
      <c r="R356" s="19">
        <v>4.4796899999999997</v>
      </c>
      <c r="S356" s="19">
        <v>4.7333999999999996</v>
      </c>
      <c r="T356" s="19">
        <v>4.4796899999999997</v>
      </c>
      <c r="U356" s="19">
        <v>4.4893999999999998</v>
      </c>
      <c r="V356" s="19">
        <v>4.76</v>
      </c>
      <c r="W356" s="19">
        <v>4.8090999999999999</v>
      </c>
      <c r="X356" s="19">
        <v>4.76</v>
      </c>
      <c r="Y356" s="19">
        <v>4.8090999999999999</v>
      </c>
      <c r="Z356" s="4"/>
      <c r="AA356" s="4"/>
      <c r="AB356" s="4" t="e">
        <f ca="1">_xll.ciqfunctions.udf.CIQ("^SPX", "IQ_PRICEDATE", "5/21/2015")</f>
        <v>#NAME?</v>
      </c>
      <c r="AC356" s="16">
        <v>2130.8168954618</v>
      </c>
    </row>
    <row r="357" spans="1:29" x14ac:dyDescent="0.35">
      <c r="A357" s="2" t="s">
        <v>367</v>
      </c>
      <c r="B357" s="4" t="s">
        <v>1399</v>
      </c>
      <c r="C357" s="4" t="s">
        <v>669</v>
      </c>
      <c r="D357" s="4" t="s">
        <v>669</v>
      </c>
      <c r="E357" s="4" t="s">
        <v>670</v>
      </c>
      <c r="F357" s="4" t="s">
        <v>1126</v>
      </c>
      <c r="G357" s="14">
        <v>108.78</v>
      </c>
      <c r="H357" s="10">
        <v>10.004242</v>
      </c>
      <c r="I357" s="10">
        <v>9.2006700000000006</v>
      </c>
      <c r="J357" s="10">
        <v>2.7446990000000002</v>
      </c>
      <c r="K357" s="15">
        <v>2.9416999999999999E-2</v>
      </c>
      <c r="L357" s="17">
        <v>50502.464959999998</v>
      </c>
      <c r="M357" s="4" t="s">
        <v>1400</v>
      </c>
      <c r="N357" s="19">
        <v>11.823051</v>
      </c>
      <c r="O357" s="19">
        <v>8.7157</v>
      </c>
      <c r="P357" s="19">
        <v>9.8474850000000007</v>
      </c>
      <c r="Q357" s="19">
        <v>6.2218999999999998</v>
      </c>
      <c r="R357" s="19">
        <v>2.9241640000000002</v>
      </c>
      <c r="S357" s="19">
        <v>5.0987999999999998</v>
      </c>
      <c r="T357" s="19">
        <v>2.9241640000000002</v>
      </c>
      <c r="U357" s="19">
        <v>7.4589999999999996</v>
      </c>
      <c r="V357" s="19">
        <v>7.0970630000000003</v>
      </c>
      <c r="W357" s="19">
        <v>6.7664999999999997</v>
      </c>
      <c r="X357" s="19">
        <v>7.0970630000000003</v>
      </c>
      <c r="Y357" s="19">
        <v>6.7664999999999997</v>
      </c>
      <c r="Z357" s="4"/>
      <c r="AA357" s="4"/>
      <c r="AB357" s="4" t="e">
        <f ca="1">_xll.ciqfunctions.udf.CIQ("^SPX", "IQ_PRICEDATE", "5/22/2015")</f>
        <v>#NAME?</v>
      </c>
      <c r="AC357" s="16">
        <v>2126.0614088692</v>
      </c>
    </row>
    <row r="358" spans="1:29" x14ac:dyDescent="0.35">
      <c r="A358" s="2" t="s">
        <v>368</v>
      </c>
      <c r="B358" s="4" t="s">
        <v>1401</v>
      </c>
      <c r="C358" s="4" t="s">
        <v>619</v>
      </c>
      <c r="D358" s="4" t="s">
        <v>619</v>
      </c>
      <c r="E358" s="4" t="s">
        <v>620</v>
      </c>
      <c r="F358" s="4" t="s">
        <v>620</v>
      </c>
      <c r="G358" s="14">
        <v>83.69</v>
      </c>
      <c r="H358" s="10">
        <v>9.9353280000000002</v>
      </c>
      <c r="I358" s="10">
        <v>20.122198999999998</v>
      </c>
      <c r="J358" s="10">
        <v>1.962518</v>
      </c>
      <c r="K358" s="15">
        <v>3.3216999999999997E-2</v>
      </c>
      <c r="L358" s="17">
        <v>9371.1156929999997</v>
      </c>
      <c r="M358" s="4" t="s">
        <v>1402</v>
      </c>
      <c r="N358" s="19">
        <v>4.1590879999999997</v>
      </c>
      <c r="O358" s="19">
        <v>4.6233000000000004</v>
      </c>
      <c r="P358" s="19">
        <v>4.3499990000000004</v>
      </c>
      <c r="Q358" s="19">
        <v>4.4267000000000003</v>
      </c>
      <c r="R358" s="19">
        <v>3.95</v>
      </c>
      <c r="S358" s="19">
        <v>4.3037000000000001</v>
      </c>
      <c r="T358" s="19">
        <v>3.95</v>
      </c>
      <c r="U358" s="19">
        <v>3.9756</v>
      </c>
      <c r="V358" s="19">
        <v>3.58</v>
      </c>
      <c r="W358" s="19">
        <v>3.8540000000000001</v>
      </c>
      <c r="X358" s="19">
        <v>3.58</v>
      </c>
      <c r="Y358" s="19">
        <v>3.8540000000000001</v>
      </c>
      <c r="Z358" s="4"/>
      <c r="AA358" s="4"/>
      <c r="AB358" s="4" t="e">
        <f ca="1">_xll.ciqfunctions.udf.CIQ("^SPX", "IQ_PRICEDATE", "5/26/2015")</f>
        <v>#NAME?</v>
      </c>
      <c r="AC358" s="16">
        <v>2104.1993725443999</v>
      </c>
    </row>
    <row r="359" spans="1:29" x14ac:dyDescent="0.35">
      <c r="A359" s="2" t="s">
        <v>369</v>
      </c>
      <c r="B359" s="4" t="s">
        <v>1403</v>
      </c>
      <c r="C359" s="4" t="s">
        <v>669</v>
      </c>
      <c r="D359" s="4" t="s">
        <v>669</v>
      </c>
      <c r="E359" s="4" t="s">
        <v>670</v>
      </c>
      <c r="F359" s="4" t="s">
        <v>671</v>
      </c>
      <c r="G359" s="14">
        <v>170.18</v>
      </c>
      <c r="H359" s="10">
        <v>15.654123</v>
      </c>
      <c r="I359" s="10">
        <v>33.024165000000004</v>
      </c>
      <c r="J359" s="10">
        <v>2.586176</v>
      </c>
      <c r="K359" s="15">
        <v>1.8799999999999999E-3</v>
      </c>
      <c r="L359" s="17">
        <v>28998.880300000001</v>
      </c>
      <c r="M359" s="4" t="s">
        <v>1404</v>
      </c>
      <c r="N359" s="19">
        <v>5.1531960000000003</v>
      </c>
      <c r="O359" s="19">
        <v>9.2149000000000001</v>
      </c>
      <c r="P359" s="19">
        <v>4.8499999999999996</v>
      </c>
      <c r="Q359" s="19">
        <v>3.3130999999999999</v>
      </c>
      <c r="R359" s="19">
        <v>-3.3493970000000002</v>
      </c>
      <c r="S359" s="19">
        <v>0.74819999999999998</v>
      </c>
      <c r="T359" s="19">
        <v>-3.3493970000000002</v>
      </c>
      <c r="U359" s="19">
        <v>-0.19969999999999999</v>
      </c>
      <c r="V359" s="19">
        <v>7.15</v>
      </c>
      <c r="W359" s="19">
        <v>4.4124999999999996</v>
      </c>
      <c r="X359" s="19">
        <v>7.15</v>
      </c>
      <c r="Y359" s="19">
        <v>4.4124999999999996</v>
      </c>
      <c r="Z359" s="4"/>
      <c r="AA359" s="4"/>
      <c r="AB359" s="4" t="e">
        <f ca="1">_xll.ciqfunctions.udf.CIQ("^SPX", "IQ_PRICEDATE", "5/27/2015")</f>
        <v>#NAME?</v>
      </c>
      <c r="AC359" s="16">
        <v>2123.4758687950002</v>
      </c>
    </row>
    <row r="360" spans="1:29" x14ac:dyDescent="0.35">
      <c r="A360" s="2" t="s">
        <v>370</v>
      </c>
      <c r="B360" s="4" t="s">
        <v>1405</v>
      </c>
      <c r="C360" s="4" t="s">
        <v>586</v>
      </c>
      <c r="D360" s="4" t="s">
        <v>586</v>
      </c>
      <c r="E360" s="4" t="s">
        <v>587</v>
      </c>
      <c r="F360" s="4" t="s">
        <v>598</v>
      </c>
      <c r="G360" s="14">
        <v>98.12</v>
      </c>
      <c r="H360" s="10">
        <v>11.401399</v>
      </c>
      <c r="I360" s="10">
        <v>19.969313</v>
      </c>
      <c r="J360" s="10" t="s">
        <v>534</v>
      </c>
      <c r="K360" s="15">
        <v>1.9567000000000001E-2</v>
      </c>
      <c r="L360" s="17">
        <v>23746.816363999998</v>
      </c>
      <c r="M360" s="4" t="s">
        <v>1406</v>
      </c>
      <c r="N360" s="19">
        <v>4.9135390000000001</v>
      </c>
      <c r="O360" s="19">
        <v>6.1002000000000001</v>
      </c>
      <c r="P360" s="19">
        <v>5.31</v>
      </c>
      <c r="Q360" s="19">
        <v>6.4161999999999999</v>
      </c>
      <c r="R360" s="19">
        <v>2.04</v>
      </c>
      <c r="S360" s="19">
        <v>6.1288999999999998</v>
      </c>
      <c r="T360" s="19">
        <v>2.04</v>
      </c>
      <c r="U360" s="19">
        <v>6.2786999999999997</v>
      </c>
      <c r="V360" s="19">
        <v>3.7646350000000002</v>
      </c>
      <c r="W360" s="19">
        <v>5.5399000000000003</v>
      </c>
      <c r="X360" s="19">
        <v>3.7646350000000002</v>
      </c>
      <c r="Y360" s="19">
        <v>5.5399000000000003</v>
      </c>
      <c r="Z360" s="4"/>
      <c r="AA360" s="4"/>
      <c r="AB360" s="4" t="e">
        <f ca="1">_xll.ciqfunctions.udf.CIQ("^SPX", "IQ_PRICEDATE", "5/28/2015")</f>
        <v>#NAME?</v>
      </c>
      <c r="AC360" s="16">
        <v>2120.7897623846002</v>
      </c>
    </row>
    <row r="361" spans="1:29" x14ac:dyDescent="0.35">
      <c r="A361" s="2" t="s">
        <v>371</v>
      </c>
      <c r="B361" s="4" t="s">
        <v>1407</v>
      </c>
      <c r="C361" s="4" t="s">
        <v>619</v>
      </c>
      <c r="D361" s="4" t="s">
        <v>619</v>
      </c>
      <c r="E361" s="4" t="s">
        <v>620</v>
      </c>
      <c r="F361" s="4" t="s">
        <v>620</v>
      </c>
      <c r="G361" s="14">
        <v>30.9</v>
      </c>
      <c r="H361" s="10">
        <v>10.155426</v>
      </c>
      <c r="I361" s="10">
        <v>15.328384</v>
      </c>
      <c r="J361" s="10">
        <v>2.9846720000000002</v>
      </c>
      <c r="K361" s="15">
        <v>5.3074000000000003E-2</v>
      </c>
      <c r="L361" s="17">
        <v>22234.733393999999</v>
      </c>
      <c r="M361" s="4" t="s">
        <v>1408</v>
      </c>
      <c r="N361" s="19">
        <v>2.0158680000000002</v>
      </c>
      <c r="O361" s="19">
        <v>2.3231999999999999</v>
      </c>
      <c r="P361" s="19">
        <v>1.64</v>
      </c>
      <c r="Q361" s="19">
        <v>2.2665000000000002</v>
      </c>
      <c r="R361" s="19">
        <v>2.79</v>
      </c>
      <c r="S361" s="19">
        <v>2.1981999999999999</v>
      </c>
      <c r="T361" s="19">
        <v>2.79</v>
      </c>
      <c r="U361" s="19">
        <v>2.2444999999999999</v>
      </c>
      <c r="V361" s="19">
        <v>2.1577449999999998</v>
      </c>
      <c r="W361" s="19">
        <v>2.3094000000000001</v>
      </c>
      <c r="X361" s="19">
        <v>2.1577449999999998</v>
      </c>
      <c r="Y361" s="19">
        <v>2.3094000000000001</v>
      </c>
      <c r="Z361" s="4"/>
      <c r="AA361" s="4"/>
      <c r="AB361" s="4" t="e">
        <f ca="1">_xll.ciqfunctions.udf.CIQ("^SPX", "IQ_PRICEDATE", "5/29/2015")</f>
        <v>#NAME?</v>
      </c>
      <c r="AC361" s="16">
        <v>2107.3895783551002</v>
      </c>
    </row>
    <row r="362" spans="1:29" x14ac:dyDescent="0.35">
      <c r="A362" s="2" t="s">
        <v>372</v>
      </c>
      <c r="B362" s="4" t="s">
        <v>1409</v>
      </c>
      <c r="C362" s="4" t="s">
        <v>586</v>
      </c>
      <c r="D362" s="4" t="s">
        <v>586</v>
      </c>
      <c r="E362" s="4" t="s">
        <v>587</v>
      </c>
      <c r="F362" s="4" t="s">
        <v>588</v>
      </c>
      <c r="G362" s="14">
        <v>159.79</v>
      </c>
      <c r="H362" s="10">
        <v>13.742234</v>
      </c>
      <c r="I362" s="10">
        <v>33.244315</v>
      </c>
      <c r="J362" s="10">
        <v>19.961658</v>
      </c>
      <c r="K362" s="15">
        <v>2.0652E-2</v>
      </c>
      <c r="L362" s="17">
        <v>45951.734525</v>
      </c>
      <c r="M362" s="4" t="s">
        <v>1410</v>
      </c>
      <c r="N362" s="19">
        <v>4.8065360000000004</v>
      </c>
      <c r="O362" s="19">
        <v>7.0350000000000001</v>
      </c>
      <c r="P362" s="19">
        <v>4.32</v>
      </c>
      <c r="Q362" s="19">
        <v>6.2965999999999998</v>
      </c>
      <c r="R362" s="19">
        <v>5.21</v>
      </c>
      <c r="S362" s="19">
        <v>5.8258999999999999</v>
      </c>
      <c r="T362" s="19">
        <v>5.21</v>
      </c>
      <c r="U362" s="19">
        <v>5.9588000000000001</v>
      </c>
      <c r="V362" s="19">
        <v>5.73</v>
      </c>
      <c r="W362" s="19">
        <v>6.6227</v>
      </c>
      <c r="X362" s="19">
        <v>5.73</v>
      </c>
      <c r="Y362" s="19">
        <v>6.6227</v>
      </c>
      <c r="Z362" s="4"/>
      <c r="AA362" s="4"/>
      <c r="AB362" s="4" t="e">
        <f ca="1">_xll.ciqfunctions.udf.CIQ("^SPX", "IQ_PRICEDATE", "6/1/2015")</f>
        <v>#NAME?</v>
      </c>
      <c r="AC362" s="16">
        <v>2111.7315555443001</v>
      </c>
    </row>
    <row r="363" spans="1:29" x14ac:dyDescent="0.35">
      <c r="A363" s="2" t="s">
        <v>373</v>
      </c>
      <c r="B363" s="4" t="s">
        <v>1411</v>
      </c>
      <c r="C363" s="4" t="s">
        <v>573</v>
      </c>
      <c r="D363" s="4" t="s">
        <v>579</v>
      </c>
      <c r="E363" s="4" t="s">
        <v>579</v>
      </c>
      <c r="F363" s="4" t="s">
        <v>580</v>
      </c>
      <c r="G363" s="14">
        <v>55.08</v>
      </c>
      <c r="H363" s="10">
        <v>6.0108459999999999</v>
      </c>
      <c r="I363" s="10">
        <v>6.4307720000000002</v>
      </c>
      <c r="J363" s="10">
        <v>1.7074689999999999</v>
      </c>
      <c r="K363" s="15">
        <v>3.8489000000000002E-2</v>
      </c>
      <c r="L363" s="17">
        <v>15683.961756000001</v>
      </c>
      <c r="M363" s="4" t="s">
        <v>1412</v>
      </c>
      <c r="N363" s="19">
        <v>8.5650680000000001</v>
      </c>
      <c r="O363" s="19">
        <v>6.0256999999999996</v>
      </c>
      <c r="P363" s="19">
        <v>7.88</v>
      </c>
      <c r="Q363" s="19">
        <v>5.4653999999999998</v>
      </c>
      <c r="R363" s="19">
        <v>4.5</v>
      </c>
      <c r="S363" s="19">
        <v>4.7317</v>
      </c>
      <c r="T363" s="19">
        <v>4.5</v>
      </c>
      <c r="U363" s="19">
        <v>4.29</v>
      </c>
      <c r="V363" s="19">
        <v>3.65</v>
      </c>
      <c r="W363" s="19">
        <v>4.2855999999999996</v>
      </c>
      <c r="X363" s="19">
        <v>3.65</v>
      </c>
      <c r="Y363" s="19">
        <v>4.2855999999999996</v>
      </c>
      <c r="Z363" s="4"/>
      <c r="AA363" s="4"/>
      <c r="AB363" s="4" t="e">
        <f ca="1">_xll.ciqfunctions.udf.CIQ("^SPX", "IQ_PRICEDATE", "6/2/2015")</f>
        <v>#NAME?</v>
      </c>
      <c r="AC363" s="16">
        <v>2109.5971932025</v>
      </c>
    </row>
    <row r="364" spans="1:29" x14ac:dyDescent="0.35">
      <c r="A364" s="2" t="s">
        <v>374</v>
      </c>
      <c r="B364" s="4" t="s">
        <v>1413</v>
      </c>
      <c r="C364" s="4" t="s">
        <v>601</v>
      </c>
      <c r="D364" s="4" t="s">
        <v>601</v>
      </c>
      <c r="E364" s="4" t="s">
        <v>602</v>
      </c>
      <c r="F364" s="4" t="s">
        <v>958</v>
      </c>
      <c r="G364" s="14">
        <v>62.86</v>
      </c>
      <c r="H364" s="10">
        <v>29.059937999999999</v>
      </c>
      <c r="I364" s="10">
        <v>25.663626000000001</v>
      </c>
      <c r="J364" s="10">
        <v>1.705268</v>
      </c>
      <c r="K364" s="15">
        <v>3.0543999999999998E-2</v>
      </c>
      <c r="L364" s="17">
        <v>39571.564339999997</v>
      </c>
      <c r="M364" s="4" t="s">
        <v>1414</v>
      </c>
      <c r="N364" s="19">
        <v>2.4493809999999998</v>
      </c>
      <c r="O364" s="19">
        <v>1.7458</v>
      </c>
      <c r="P364" s="19">
        <v>3.056692</v>
      </c>
      <c r="Q364" s="19">
        <v>1.5014000000000001</v>
      </c>
      <c r="R364" s="19">
        <v>2.2688380000000001</v>
      </c>
      <c r="S364" s="19">
        <v>1.1967000000000001</v>
      </c>
      <c r="T364" s="19">
        <v>2.2688380000000001</v>
      </c>
      <c r="U364" s="19">
        <v>0.42280000000000001</v>
      </c>
      <c r="V364" s="19">
        <v>1.2359439999999999</v>
      </c>
      <c r="W364" s="19">
        <v>0.45</v>
      </c>
      <c r="X364" s="19">
        <v>1.2359439999999999</v>
      </c>
      <c r="Y364" s="19">
        <v>0.45</v>
      </c>
      <c r="Z364" s="4"/>
      <c r="AA364" s="4"/>
      <c r="AB364" s="4" t="e">
        <f ca="1">_xll.ciqfunctions.udf.CIQ("^SPX", "IQ_PRICEDATE", "6/3/2015")</f>
        <v>#NAME?</v>
      </c>
      <c r="AC364" s="16">
        <v>2114.0673737123998</v>
      </c>
    </row>
    <row r="365" spans="1:29" x14ac:dyDescent="0.35">
      <c r="A365" s="2" t="s">
        <v>375</v>
      </c>
      <c r="B365" s="4" t="s">
        <v>1415</v>
      </c>
      <c r="C365" s="4" t="s">
        <v>573</v>
      </c>
      <c r="D365" s="4" t="s">
        <v>579</v>
      </c>
      <c r="E365" s="4" t="s">
        <v>579</v>
      </c>
      <c r="F365" s="4" t="s">
        <v>580</v>
      </c>
      <c r="G365" s="14">
        <v>99.7</v>
      </c>
      <c r="H365" s="10">
        <v>7.1693439999999997</v>
      </c>
      <c r="I365" s="10">
        <v>5.7440930000000003</v>
      </c>
      <c r="J365" s="10">
        <v>0.86344699999999996</v>
      </c>
      <c r="K365" s="15">
        <v>3.6108000000000001E-2</v>
      </c>
      <c r="L365" s="17">
        <v>41645.819701</v>
      </c>
      <c r="M365" s="4" t="s">
        <v>1416</v>
      </c>
      <c r="N365" s="19">
        <v>17.356960000000001</v>
      </c>
      <c r="O365" s="19">
        <v>12.6372</v>
      </c>
      <c r="P365" s="19">
        <v>17.857797999999999</v>
      </c>
      <c r="Q365" s="19">
        <v>11.2858</v>
      </c>
      <c r="R365" s="19">
        <v>9.7089110000000005</v>
      </c>
      <c r="S365" s="19">
        <v>10.2933</v>
      </c>
      <c r="T365" s="19">
        <v>9.7089110000000005</v>
      </c>
      <c r="U365" s="19">
        <v>9.9460999999999995</v>
      </c>
      <c r="V365" s="19">
        <v>2.8860480000000002</v>
      </c>
      <c r="W365" s="19">
        <v>9.8229000000000006</v>
      </c>
      <c r="X365" s="19">
        <v>2.8860480000000002</v>
      </c>
      <c r="Y365" s="19">
        <v>9.8229000000000006</v>
      </c>
      <c r="Z365" s="4"/>
      <c r="AA365" s="4"/>
      <c r="AB365" s="4" t="e">
        <f ca="1">_xll.ciqfunctions.udf.CIQ("^SPX", "IQ_PRICEDATE", "6/4/2015")</f>
        <v>#NAME?</v>
      </c>
      <c r="AC365" s="16">
        <v>2095.8440838400002</v>
      </c>
    </row>
    <row r="366" spans="1:29" x14ac:dyDescent="0.35">
      <c r="A366" s="2" t="s">
        <v>376</v>
      </c>
      <c r="B366" s="4" t="s">
        <v>1417</v>
      </c>
      <c r="C366" s="4" t="s">
        <v>619</v>
      </c>
      <c r="D366" s="4" t="s">
        <v>619</v>
      </c>
      <c r="E366" s="4" t="s">
        <v>634</v>
      </c>
      <c r="F366" s="4" t="s">
        <v>634</v>
      </c>
      <c r="G366" s="14">
        <v>53.65</v>
      </c>
      <c r="H366" s="10">
        <v>15.427460999999999</v>
      </c>
      <c r="I366" s="10">
        <v>12.505827</v>
      </c>
      <c r="J366" s="10">
        <v>1.929332</v>
      </c>
      <c r="K366" s="15">
        <v>3.3549999999999996E-2</v>
      </c>
      <c r="L366" s="17">
        <v>27110.596440000001</v>
      </c>
      <c r="M366" s="4" t="s">
        <v>1418</v>
      </c>
      <c r="N366" s="19">
        <v>4.29</v>
      </c>
      <c r="O366" s="19">
        <v>3.3405999999999998</v>
      </c>
      <c r="P366" s="19">
        <v>3.1</v>
      </c>
      <c r="Q366" s="19">
        <v>3.0203000000000002</v>
      </c>
      <c r="R366" s="19">
        <v>1.75</v>
      </c>
      <c r="S366" s="19">
        <v>2.9262999999999999</v>
      </c>
      <c r="T366" s="19">
        <v>1.75</v>
      </c>
      <c r="U366" s="19">
        <v>2.9211</v>
      </c>
      <c r="V366" s="19">
        <v>2.99</v>
      </c>
      <c r="W366" s="19">
        <v>2.7528000000000001</v>
      </c>
      <c r="X366" s="19">
        <v>2.99</v>
      </c>
      <c r="Y366" s="19">
        <v>2.7528000000000001</v>
      </c>
      <c r="Z366" s="4"/>
      <c r="AA366" s="4"/>
      <c r="AB366" s="4" t="e">
        <f ca="1">_xll.ciqfunctions.udf.CIQ("^SPX", "IQ_PRICEDATE", "6/5/2015")</f>
        <v>#NAME?</v>
      </c>
      <c r="AC366" s="16">
        <v>2092.8309484256001</v>
      </c>
    </row>
    <row r="367" spans="1:29" x14ac:dyDescent="0.35">
      <c r="A367" s="2" t="s">
        <v>377</v>
      </c>
      <c r="B367" s="4" t="s">
        <v>1419</v>
      </c>
      <c r="C367" s="4" t="s">
        <v>601</v>
      </c>
      <c r="D367" s="4" t="s">
        <v>601</v>
      </c>
      <c r="E367" s="4" t="s">
        <v>602</v>
      </c>
      <c r="F367" s="4" t="s">
        <v>647</v>
      </c>
      <c r="G367" s="14">
        <v>198.13</v>
      </c>
      <c r="H367" s="10">
        <v>19.940149000000002</v>
      </c>
      <c r="I367" s="10">
        <v>27.595341000000001</v>
      </c>
      <c r="J367" s="10">
        <v>7.3898929999999998</v>
      </c>
      <c r="K367" s="15">
        <v>4.0377000000000003E-2</v>
      </c>
      <c r="L367" s="17">
        <v>34522.255207000002</v>
      </c>
      <c r="M367" s="4" t="s">
        <v>1420</v>
      </c>
      <c r="N367" s="19">
        <v>7.1798349999999997</v>
      </c>
      <c r="O367" s="19">
        <v>7.4696999999999996</v>
      </c>
      <c r="P367" s="19">
        <v>6.73</v>
      </c>
      <c r="Q367" s="19">
        <v>7.4301000000000004</v>
      </c>
      <c r="R367" s="19">
        <v>6.81</v>
      </c>
      <c r="S367" s="19">
        <v>7.3371000000000004</v>
      </c>
      <c r="T367" s="19">
        <v>6.81</v>
      </c>
      <c r="U367" s="19">
        <v>6.7283999999999997</v>
      </c>
      <c r="V367" s="19">
        <v>5.25</v>
      </c>
      <c r="W367" s="19">
        <v>5.5126999999999997</v>
      </c>
      <c r="X367" s="19">
        <v>5.25</v>
      </c>
      <c r="Y367" s="19">
        <v>5.5126999999999997</v>
      </c>
      <c r="Z367" s="4"/>
      <c r="AA367" s="4"/>
      <c r="AB367" s="4" t="e">
        <f ca="1">_xll.ciqfunctions.udf.CIQ("^SPX", "IQ_PRICEDATE", "6/8/2015")</f>
        <v>#NAME?</v>
      </c>
      <c r="AC367" s="16">
        <v>2079.2803854418999</v>
      </c>
    </row>
    <row r="368" spans="1:29" x14ac:dyDescent="0.35">
      <c r="A368" s="2" t="s">
        <v>378</v>
      </c>
      <c r="B368" s="4" t="s">
        <v>1421</v>
      </c>
      <c r="C368" s="4" t="s">
        <v>559</v>
      </c>
      <c r="D368" s="4" t="s">
        <v>912</v>
      </c>
      <c r="E368" s="4" t="s">
        <v>913</v>
      </c>
      <c r="F368" s="4" t="s">
        <v>914</v>
      </c>
      <c r="G368" s="14">
        <v>22.82</v>
      </c>
      <c r="H368" s="10">
        <v>6.5710879999999996</v>
      </c>
      <c r="I368" s="10">
        <v>8.952045</v>
      </c>
      <c r="J368" s="10">
        <v>1.477282</v>
      </c>
      <c r="K368" s="15">
        <v>1.5774999999999997E-2</v>
      </c>
      <c r="L368" s="17">
        <v>6481.3036990000001</v>
      </c>
      <c r="M368" s="4" t="s">
        <v>1422</v>
      </c>
      <c r="N368" s="19">
        <v>2.5491380000000001</v>
      </c>
      <c r="O368" s="19">
        <v>3.6315</v>
      </c>
      <c r="P368" s="19">
        <v>1.4427890000000001</v>
      </c>
      <c r="Q368" s="19">
        <v>2.6408</v>
      </c>
      <c r="R368" s="19">
        <v>1.7479119999999999</v>
      </c>
      <c r="S368" s="19">
        <v>1.9226000000000001</v>
      </c>
      <c r="T368" s="19">
        <v>1.7479119999999999</v>
      </c>
      <c r="U368" s="19">
        <v>1.4933000000000001</v>
      </c>
      <c r="V368" s="19">
        <v>1.259314</v>
      </c>
      <c r="W368" s="19">
        <v>1.3675999999999999</v>
      </c>
      <c r="X368" s="19">
        <v>1.259314</v>
      </c>
      <c r="Y368" s="19">
        <v>1.3675999999999999</v>
      </c>
      <c r="Z368" s="4"/>
      <c r="AA368" s="4"/>
      <c r="AB368" s="4" t="e">
        <f ca="1">_xll.ciqfunctions.udf.CIQ("^SPX", "IQ_PRICEDATE", "6/9/2015")</f>
        <v>#NAME?</v>
      </c>
      <c r="AC368" s="16">
        <v>2080.1520763919998</v>
      </c>
    </row>
    <row r="369" spans="1:29" x14ac:dyDescent="0.35">
      <c r="A369" s="2" t="s">
        <v>379</v>
      </c>
      <c r="B369" s="4" t="s">
        <v>1423</v>
      </c>
      <c r="C369" s="4" t="s">
        <v>559</v>
      </c>
      <c r="D369" s="4" t="s">
        <v>912</v>
      </c>
      <c r="E369" s="4" t="s">
        <v>1097</v>
      </c>
      <c r="F369" s="4" t="s">
        <v>1098</v>
      </c>
      <c r="G369" s="14">
        <v>127.96</v>
      </c>
      <c r="H369" s="10">
        <v>10.616185</v>
      </c>
      <c r="I369" s="10">
        <v>14.450281</v>
      </c>
      <c r="J369" s="10" t="s">
        <v>534</v>
      </c>
      <c r="K369" s="15">
        <v>1.1720000000000001E-3</v>
      </c>
      <c r="L369" s="17">
        <v>9816.5094939999999</v>
      </c>
      <c r="M369" s="4" t="s">
        <v>1424</v>
      </c>
      <c r="N369" s="19">
        <v>8.8551909999999996</v>
      </c>
      <c r="O369" s="19">
        <v>9.8125</v>
      </c>
      <c r="P369" s="19">
        <v>6.7120579999999999</v>
      </c>
      <c r="Q369" s="19">
        <v>8.6102000000000007</v>
      </c>
      <c r="R369" s="19">
        <v>7.1465800000000002</v>
      </c>
      <c r="S369" s="19">
        <v>7.1961000000000004</v>
      </c>
      <c r="T369" s="19">
        <v>7.1465800000000002</v>
      </c>
      <c r="U369" s="19">
        <v>6.5484999999999998</v>
      </c>
      <c r="V369" s="19">
        <v>4.2196809999999996</v>
      </c>
      <c r="W369" s="19">
        <v>8.0885999999999996</v>
      </c>
      <c r="X369" s="19">
        <v>4.2196809999999996</v>
      </c>
      <c r="Y369" s="19">
        <v>8.0885999999999996</v>
      </c>
      <c r="Z369" s="4"/>
      <c r="AA369" s="4"/>
      <c r="AB369" s="4" t="e">
        <f ca="1">_xll.ciqfunctions.udf.CIQ("^SPX", "IQ_PRICEDATE", "6/10/2015")</f>
        <v>#NAME?</v>
      </c>
      <c r="AC369" s="16">
        <v>2105.2022673125998</v>
      </c>
    </row>
    <row r="370" spans="1:29" x14ac:dyDescent="0.35">
      <c r="A370" s="2" t="s">
        <v>380</v>
      </c>
      <c r="B370" s="4" t="s">
        <v>1425</v>
      </c>
      <c r="C370" s="4" t="s">
        <v>543</v>
      </c>
      <c r="D370" s="4" t="s">
        <v>565</v>
      </c>
      <c r="E370" s="4" t="s">
        <v>565</v>
      </c>
      <c r="F370" s="4" t="s">
        <v>566</v>
      </c>
      <c r="G370" s="14">
        <v>75.42</v>
      </c>
      <c r="H370" s="10">
        <v>11.11843</v>
      </c>
      <c r="I370" s="10" t="s">
        <v>534</v>
      </c>
      <c r="J370" s="10">
        <v>5.3367430000000002</v>
      </c>
      <c r="K370" s="15">
        <v>0</v>
      </c>
      <c r="L370" s="17">
        <v>9476.0162529999998</v>
      </c>
      <c r="M370" s="4" t="s">
        <v>1426</v>
      </c>
      <c r="N370" s="19">
        <v>-0.31903599999999999</v>
      </c>
      <c r="O370" s="19">
        <v>6.7069000000000001</v>
      </c>
      <c r="P370" s="19">
        <v>0.217893</v>
      </c>
      <c r="Q370" s="19">
        <v>6.2256</v>
      </c>
      <c r="R370" s="19">
        <v>-0.75099499999999997</v>
      </c>
      <c r="S370" s="19">
        <v>5.0407000000000002</v>
      </c>
      <c r="T370" s="19">
        <v>-0.75099499999999997</v>
      </c>
      <c r="U370" s="19">
        <v>4.8334000000000001</v>
      </c>
      <c r="V370" s="19">
        <v>2.5673659999999998</v>
      </c>
      <c r="W370" s="19">
        <v>0</v>
      </c>
      <c r="X370" s="19">
        <v>2.5673659999999998</v>
      </c>
      <c r="Y370" s="19">
        <v>0</v>
      </c>
      <c r="Z370" s="4"/>
      <c r="AA370" s="4"/>
      <c r="AB370" s="4" t="e">
        <f ca="1">_xll.ciqfunctions.udf.CIQ("^SPX", "IQ_PRICEDATE", "6/11/2015")</f>
        <v>#NAME?</v>
      </c>
      <c r="AC370" s="16">
        <v>2108.8561965326999</v>
      </c>
    </row>
    <row r="371" spans="1:29" x14ac:dyDescent="0.35">
      <c r="A371" s="2" t="s">
        <v>381</v>
      </c>
      <c r="B371" s="4" t="s">
        <v>1427</v>
      </c>
      <c r="C371" s="4" t="s">
        <v>543</v>
      </c>
      <c r="D371" s="4" t="s">
        <v>565</v>
      </c>
      <c r="E371" s="4" t="s">
        <v>565</v>
      </c>
      <c r="F371" s="4" t="s">
        <v>566</v>
      </c>
      <c r="G371" s="14">
        <v>66.099999999999994</v>
      </c>
      <c r="H371" s="10">
        <v>12.284266000000001</v>
      </c>
      <c r="I371" s="10" t="s">
        <v>534</v>
      </c>
      <c r="J371" s="10">
        <v>7.3206350000000002</v>
      </c>
      <c r="K371" s="15">
        <v>3.7517999999999996E-2</v>
      </c>
      <c r="L371" s="17">
        <v>97109.421281999996</v>
      </c>
      <c r="M371" s="4" t="s">
        <v>1428</v>
      </c>
      <c r="N371" s="19">
        <v>-2.8526340000000001</v>
      </c>
      <c r="O371" s="19">
        <v>3.7048999999999999</v>
      </c>
      <c r="P371" s="19">
        <v>-2.8315619999999999</v>
      </c>
      <c r="Q371" s="19">
        <v>3.6014900000000001</v>
      </c>
      <c r="R371" s="19">
        <v>3.278559</v>
      </c>
      <c r="S371" s="19">
        <v>4.7089600000000003</v>
      </c>
      <c r="T371" s="19">
        <v>3.278559</v>
      </c>
      <c r="U371" s="19">
        <v>4.1777199999999999</v>
      </c>
      <c r="V371" s="19">
        <v>4.7318119999999997</v>
      </c>
      <c r="W371" s="19">
        <v>5.2083199999999996</v>
      </c>
      <c r="X371" s="19">
        <v>4.7318119999999997</v>
      </c>
      <c r="Y371" s="19">
        <v>5.2083199999999996</v>
      </c>
      <c r="Z371" s="4"/>
      <c r="AA371" s="4"/>
      <c r="AB371" s="4" t="e">
        <f ca="1">_xll.ciqfunctions.udf.CIQ("^SPX", "IQ_PRICEDATE", "6/12/2015")</f>
        <v>#NAME?</v>
      </c>
      <c r="AC371" s="16">
        <v>2094.1056542483002</v>
      </c>
    </row>
    <row r="372" spans="1:29" x14ac:dyDescent="0.35">
      <c r="A372" s="2" t="s">
        <v>382</v>
      </c>
      <c r="B372" s="4" t="s">
        <v>1429</v>
      </c>
      <c r="C372" s="4" t="s">
        <v>525</v>
      </c>
      <c r="D372" s="4" t="s">
        <v>526</v>
      </c>
      <c r="E372" s="4" t="s">
        <v>1046</v>
      </c>
      <c r="F372" s="4" t="s">
        <v>1046</v>
      </c>
      <c r="G372" s="14">
        <v>32.58</v>
      </c>
      <c r="H372" s="10">
        <v>8.5303269999999998</v>
      </c>
      <c r="I372" s="10">
        <v>16.295328000000001</v>
      </c>
      <c r="J372" s="10">
        <v>3.1826050000000001</v>
      </c>
      <c r="K372" s="15">
        <v>0</v>
      </c>
      <c r="L372" s="17">
        <v>4863.9875730000003</v>
      </c>
      <c r="M372" s="4" t="s">
        <v>1430</v>
      </c>
      <c r="N372" s="19">
        <v>1.9993460000000001</v>
      </c>
      <c r="O372" s="19">
        <v>3.0196000000000001</v>
      </c>
      <c r="P372" s="19">
        <v>2</v>
      </c>
      <c r="Q372" s="19">
        <v>2.2818999999999998</v>
      </c>
      <c r="R372" s="19">
        <v>1.26</v>
      </c>
      <c r="S372" s="19">
        <v>2.0802</v>
      </c>
      <c r="T372" s="19">
        <v>1.26</v>
      </c>
      <c r="U372" s="19">
        <v>1.5874999999999999</v>
      </c>
      <c r="V372" s="19">
        <v>1.22</v>
      </c>
      <c r="W372" s="19">
        <v>2.1514000000000002</v>
      </c>
      <c r="X372" s="19">
        <v>1.22</v>
      </c>
      <c r="Y372" s="19">
        <v>2.1514000000000002</v>
      </c>
      <c r="Z372" s="4"/>
      <c r="AA372" s="4"/>
      <c r="AB372" s="4" t="e">
        <f ca="1">_xll.ciqfunctions.udf.CIQ("^SPX", "IQ_PRICEDATE", "6/15/2015")</f>
        <v>#NAME?</v>
      </c>
      <c r="AC372" s="16">
        <v>2084.4252841215998</v>
      </c>
    </row>
    <row r="373" spans="1:29" x14ac:dyDescent="0.35">
      <c r="A373" s="2" t="s">
        <v>383</v>
      </c>
      <c r="B373" s="4" t="s">
        <v>1431</v>
      </c>
      <c r="C373" s="4" t="s">
        <v>530</v>
      </c>
      <c r="D373" s="4" t="s">
        <v>531</v>
      </c>
      <c r="E373" s="4" t="s">
        <v>569</v>
      </c>
      <c r="F373" s="4" t="s">
        <v>909</v>
      </c>
      <c r="G373" s="14">
        <v>102.38</v>
      </c>
      <c r="H373" s="10">
        <v>11.041496</v>
      </c>
      <c r="I373" s="10">
        <v>17.619931999999999</v>
      </c>
      <c r="J373" s="10" t="s">
        <v>534</v>
      </c>
      <c r="K373" s="15">
        <v>1.9535E-2</v>
      </c>
      <c r="L373" s="17">
        <v>13991.934493999999</v>
      </c>
      <c r="M373" s="4" t="s">
        <v>1432</v>
      </c>
      <c r="N373" s="19">
        <v>5.8104649999999998</v>
      </c>
      <c r="O373" s="19">
        <v>6.7607999999999997</v>
      </c>
      <c r="P373" s="19">
        <v>5.5</v>
      </c>
      <c r="Q373" s="19">
        <v>5.7065000000000001</v>
      </c>
      <c r="R373" s="19">
        <v>4.51</v>
      </c>
      <c r="S373" s="19">
        <v>5.3535000000000004</v>
      </c>
      <c r="T373" s="19">
        <v>4.51</v>
      </c>
      <c r="U373" s="19">
        <v>4.9916999999999998</v>
      </c>
      <c r="V373" s="19">
        <v>3.78</v>
      </c>
      <c r="W373" s="19">
        <v>4.3490000000000002</v>
      </c>
      <c r="X373" s="19">
        <v>3.78</v>
      </c>
      <c r="Y373" s="19">
        <v>4.3490000000000002</v>
      </c>
      <c r="Z373" s="4"/>
      <c r="AA373" s="4"/>
      <c r="AB373" s="4" t="e">
        <f ca="1">_xll.ciqfunctions.udf.CIQ("^SPX", "IQ_PRICEDATE", "6/16/2015")</f>
        <v>#NAME?</v>
      </c>
      <c r="AC373" s="16">
        <v>2096.2923688098999</v>
      </c>
    </row>
    <row r="374" spans="1:29" x14ac:dyDescent="0.35">
      <c r="A374" s="2" t="s">
        <v>384</v>
      </c>
      <c r="B374" s="4" t="s">
        <v>1433</v>
      </c>
      <c r="C374" s="4" t="s">
        <v>559</v>
      </c>
      <c r="D374" s="4" t="s">
        <v>912</v>
      </c>
      <c r="E374" s="4" t="s">
        <v>1097</v>
      </c>
      <c r="F374" s="4" t="s">
        <v>1098</v>
      </c>
      <c r="G374" s="14">
        <v>128.16999999999999</v>
      </c>
      <c r="H374" s="10">
        <v>9.7130709999999993</v>
      </c>
      <c r="I374" s="10">
        <v>49.939976000000001</v>
      </c>
      <c r="J374" s="10">
        <v>4.498068</v>
      </c>
      <c r="K374" s="15">
        <v>1.9504999999999998E-2</v>
      </c>
      <c r="L374" s="17">
        <v>10398.446968</v>
      </c>
      <c r="M374" s="4" t="s">
        <v>1434</v>
      </c>
      <c r="N374" s="19">
        <v>2.566481</v>
      </c>
      <c r="O374" s="19">
        <v>6.7205000000000004</v>
      </c>
      <c r="P374" s="19">
        <v>-1.0085569999999999</v>
      </c>
      <c r="Q374" s="19">
        <v>5.6300999999999997</v>
      </c>
      <c r="R374" s="19">
        <v>1.7486139999999999</v>
      </c>
      <c r="S374" s="19">
        <v>5.4927000000000001</v>
      </c>
      <c r="T374" s="19">
        <v>1.7486139999999999</v>
      </c>
      <c r="U374" s="19">
        <v>7.1894</v>
      </c>
      <c r="V374" s="19">
        <v>8.1375340000000005</v>
      </c>
      <c r="W374" s="19">
        <v>9.1341000000000001</v>
      </c>
      <c r="X374" s="19">
        <v>8.1375340000000005</v>
      </c>
      <c r="Y374" s="19">
        <v>9.1341000000000001</v>
      </c>
      <c r="Z374" s="4"/>
      <c r="AA374" s="4"/>
      <c r="AB374" s="4" t="e">
        <f ca="1">_xll.ciqfunctions.udf.CIQ("^SPX", "IQ_PRICEDATE", "6/17/2015")</f>
        <v>#NAME?</v>
      </c>
      <c r="AC374" s="16">
        <v>2100.4437209033999</v>
      </c>
    </row>
    <row r="375" spans="1:29" x14ac:dyDescent="0.35">
      <c r="A375" s="2" t="s">
        <v>385</v>
      </c>
      <c r="B375" s="4" t="s">
        <v>1435</v>
      </c>
      <c r="C375" s="4" t="s">
        <v>573</v>
      </c>
      <c r="D375" s="4" t="s">
        <v>574</v>
      </c>
      <c r="E375" s="4" t="s">
        <v>575</v>
      </c>
      <c r="F375" s="4" t="s">
        <v>963</v>
      </c>
      <c r="G375" s="14">
        <v>89.18</v>
      </c>
      <c r="H375" s="10">
        <v>0</v>
      </c>
      <c r="I375" s="10">
        <v>16.845255999999999</v>
      </c>
      <c r="J375" s="10">
        <v>2.3547199999999999</v>
      </c>
      <c r="K375" s="15">
        <v>1.3455E-2</v>
      </c>
      <c r="L375" s="17">
        <v>12587.40028</v>
      </c>
      <c r="M375" s="4" t="s">
        <v>1436</v>
      </c>
      <c r="N375" s="19">
        <v>5.2940719999999999</v>
      </c>
      <c r="O375" s="19">
        <v>7.5509000000000004</v>
      </c>
      <c r="P375" s="19">
        <v>4.1229310000000003</v>
      </c>
      <c r="Q375" s="19">
        <v>6.0290699999999999</v>
      </c>
      <c r="R375" s="19">
        <v>3.9355730000000002</v>
      </c>
      <c r="S375" s="19">
        <v>4.3505000000000003</v>
      </c>
      <c r="T375" s="19">
        <v>3.9355730000000002</v>
      </c>
      <c r="U375" s="19">
        <v>3.85243</v>
      </c>
      <c r="V375" s="19">
        <v>3.3785249999999998</v>
      </c>
      <c r="W375" s="19">
        <v>3.6553100000000001</v>
      </c>
      <c r="X375" s="19">
        <v>3.3785249999999998</v>
      </c>
      <c r="Y375" s="19">
        <v>3.6553100000000001</v>
      </c>
      <c r="Z375" s="4"/>
      <c r="AA375" s="4"/>
      <c r="AB375" s="4" t="e">
        <f ca="1">_xll.ciqfunctions.udf.CIQ("^SPX", "IQ_PRICEDATE", "6/18/2015")</f>
        <v>#NAME?</v>
      </c>
      <c r="AC375" s="16">
        <v>2121.2354112715998</v>
      </c>
    </row>
    <row r="376" spans="1:29" x14ac:dyDescent="0.35">
      <c r="A376" s="2" t="s">
        <v>386</v>
      </c>
      <c r="B376" s="4" t="s">
        <v>1437</v>
      </c>
      <c r="C376" s="4" t="s">
        <v>525</v>
      </c>
      <c r="D376" s="4" t="s">
        <v>526</v>
      </c>
      <c r="E376" s="4" t="s">
        <v>703</v>
      </c>
      <c r="F376" s="4" t="s">
        <v>703</v>
      </c>
      <c r="G376" s="14">
        <v>193.12</v>
      </c>
      <c r="H376" s="10">
        <v>14.827256</v>
      </c>
      <c r="I376" s="10">
        <v>23.288088999999999</v>
      </c>
      <c r="J376" s="10" t="s">
        <v>534</v>
      </c>
      <c r="K376" s="15">
        <v>1.7967999999999998E-2</v>
      </c>
      <c r="L376" s="17">
        <v>55089.411200000002</v>
      </c>
      <c r="M376" s="4" t="s">
        <v>1438</v>
      </c>
      <c r="N376" s="19">
        <v>8.2926509999999993</v>
      </c>
      <c r="O376" s="19">
        <v>10.5326</v>
      </c>
      <c r="P376" s="19">
        <v>6.94</v>
      </c>
      <c r="Q376" s="19">
        <v>7.9721000000000002</v>
      </c>
      <c r="R376" s="19">
        <v>7.55</v>
      </c>
      <c r="S376" s="19">
        <v>6.9596</v>
      </c>
      <c r="T376" s="19">
        <v>7.55</v>
      </c>
      <c r="U376" s="19">
        <v>6.8864999999999998</v>
      </c>
      <c r="V376" s="19">
        <v>6.97</v>
      </c>
      <c r="W376" s="19">
        <v>6.8384999999999998</v>
      </c>
      <c r="X376" s="19">
        <v>6.97</v>
      </c>
      <c r="Y376" s="19">
        <v>6.8384999999999998</v>
      </c>
      <c r="Z376" s="4"/>
      <c r="AA376" s="4"/>
      <c r="AB376" s="4" t="e">
        <f ca="1">_xll.ciqfunctions.udf.CIQ("^SPX", "IQ_PRICEDATE", "6/19/2015")</f>
        <v>#NAME?</v>
      </c>
      <c r="AC376" s="16">
        <v>2109.9882780010998</v>
      </c>
    </row>
    <row r="377" spans="1:29" x14ac:dyDescent="0.35">
      <c r="A377" s="2" t="s">
        <v>387</v>
      </c>
      <c r="B377" s="4" t="s">
        <v>1439</v>
      </c>
      <c r="C377" s="4" t="s">
        <v>601</v>
      </c>
      <c r="D377" s="4" t="s">
        <v>601</v>
      </c>
      <c r="E377" s="4" t="s">
        <v>602</v>
      </c>
      <c r="F377" s="4" t="s">
        <v>1026</v>
      </c>
      <c r="G377" s="14">
        <v>58.04</v>
      </c>
      <c r="H377" s="10">
        <v>20.322717000000001</v>
      </c>
      <c r="I377" s="10">
        <v>49.958812000000002</v>
      </c>
      <c r="J377" s="10">
        <v>2.7009439999999998</v>
      </c>
      <c r="K377" s="15">
        <v>4.5589000000000005E-2</v>
      </c>
      <c r="L377" s="17">
        <v>16834.113131999999</v>
      </c>
      <c r="M377" s="4" t="s">
        <v>1440</v>
      </c>
      <c r="N377" s="19">
        <v>1.1617569999999999</v>
      </c>
      <c r="O377" s="19">
        <v>1.3156000000000001</v>
      </c>
      <c r="P377" s="19">
        <v>1.0999989999999999</v>
      </c>
      <c r="Q377" s="19">
        <v>1.2678</v>
      </c>
      <c r="R377" s="19">
        <v>1.1299999999999999</v>
      </c>
      <c r="S377" s="19">
        <v>1.2182999999999999</v>
      </c>
      <c r="T377" s="19">
        <v>1.1299999999999999</v>
      </c>
      <c r="U377" s="19">
        <v>1.0723</v>
      </c>
      <c r="V377" s="19">
        <v>1.0291539999999999</v>
      </c>
      <c r="W377" s="19">
        <v>0.96919999999999995</v>
      </c>
      <c r="X377" s="19">
        <v>1.0291539999999999</v>
      </c>
      <c r="Y377" s="19">
        <v>0.96919999999999995</v>
      </c>
      <c r="Z377" s="4"/>
      <c r="AA377" s="4"/>
      <c r="AB377" s="4" t="e">
        <f ca="1">_xll.ciqfunctions.udf.CIQ("^SPX", "IQ_PRICEDATE", "6/22/2015")</f>
        <v>#NAME?</v>
      </c>
      <c r="AC377" s="16">
        <v>2122.8467894445998</v>
      </c>
    </row>
    <row r="378" spans="1:29" x14ac:dyDescent="0.35">
      <c r="A378" s="2" t="s">
        <v>388</v>
      </c>
      <c r="B378" s="4" t="s">
        <v>1441</v>
      </c>
      <c r="C378" s="4" t="s">
        <v>543</v>
      </c>
      <c r="D378" s="4" t="s">
        <v>544</v>
      </c>
      <c r="E378" s="4" t="s">
        <v>555</v>
      </c>
      <c r="F378" s="4" t="s">
        <v>782</v>
      </c>
      <c r="G378" s="14">
        <v>124.84</v>
      </c>
      <c r="H378" s="10">
        <v>34.442061000000002</v>
      </c>
      <c r="I378" s="10">
        <v>81.723285000000004</v>
      </c>
      <c r="J378" s="10" t="s">
        <v>534</v>
      </c>
      <c r="K378" s="15">
        <v>0</v>
      </c>
      <c r="L378" s="17">
        <v>21968.553962000002</v>
      </c>
      <c r="M378" s="4" t="s">
        <v>1442</v>
      </c>
      <c r="N378" s="19">
        <v>1.5275939999999999</v>
      </c>
      <c r="O378" s="19">
        <v>3.7183999999999999</v>
      </c>
      <c r="P378" s="19">
        <v>1.852301</v>
      </c>
      <c r="Q378" s="19">
        <v>3.2326999999999999</v>
      </c>
      <c r="R378" s="19">
        <v>1.3097810000000001</v>
      </c>
      <c r="S378" s="19">
        <v>2.5049999999999999</v>
      </c>
      <c r="T378" s="19">
        <v>1.3097810000000001</v>
      </c>
      <c r="U378" s="19">
        <v>2.0676999999999999</v>
      </c>
      <c r="V378" s="19">
        <v>0.940052</v>
      </c>
      <c r="W378" s="19">
        <v>1.7611000000000001</v>
      </c>
      <c r="X378" s="19">
        <v>0.940052</v>
      </c>
      <c r="Y378" s="19">
        <v>1.7611000000000001</v>
      </c>
      <c r="Z378" s="4"/>
      <c r="AA378" s="4"/>
      <c r="AB378" s="4" t="e">
        <f ca="1">_xll.ciqfunctions.udf.CIQ("^SPX", "IQ_PRICEDATE", "6/23/2015")</f>
        <v>#NAME?</v>
      </c>
      <c r="AC378" s="16">
        <v>2124.1984754584</v>
      </c>
    </row>
    <row r="379" spans="1:29" x14ac:dyDescent="0.35">
      <c r="A379" s="2" t="s">
        <v>389</v>
      </c>
      <c r="B379" s="4" t="s">
        <v>1443</v>
      </c>
      <c r="C379" s="4" t="s">
        <v>601</v>
      </c>
      <c r="D379" s="4" t="s">
        <v>601</v>
      </c>
      <c r="E379" s="4" t="s">
        <v>602</v>
      </c>
      <c r="F379" s="4" t="s">
        <v>1026</v>
      </c>
      <c r="G379" s="14">
        <v>63.02</v>
      </c>
      <c r="H379" s="10">
        <v>19.780158</v>
      </c>
      <c r="I379" s="10">
        <v>43.796644999999998</v>
      </c>
      <c r="J379" s="10">
        <v>1.844967</v>
      </c>
      <c r="K379" s="15">
        <v>3.5226E-2</v>
      </c>
      <c r="L379" s="17">
        <v>10677.838191999999</v>
      </c>
      <c r="M379" s="4" t="s">
        <v>1444</v>
      </c>
      <c r="N379" s="19">
        <v>1.438923</v>
      </c>
      <c r="O379" s="19">
        <v>1.4756</v>
      </c>
      <c r="P379" s="19">
        <v>1</v>
      </c>
      <c r="Q379" s="19">
        <v>1.3922000000000001</v>
      </c>
      <c r="R379" s="19">
        <v>1.42</v>
      </c>
      <c r="S379" s="19">
        <v>1.5489999999999999</v>
      </c>
      <c r="T379" s="19">
        <v>1.42</v>
      </c>
      <c r="U379" s="19">
        <v>1.1554</v>
      </c>
      <c r="V379" s="19">
        <v>1.7957669999999999</v>
      </c>
      <c r="W379" s="19">
        <v>0.99760000000000004</v>
      </c>
      <c r="X379" s="19">
        <v>1.7957669999999999</v>
      </c>
      <c r="Y379" s="19">
        <v>0.99760000000000004</v>
      </c>
      <c r="Z379" s="4"/>
      <c r="AA379" s="4"/>
      <c r="AB379" s="4" t="e">
        <f ca="1">_xll.ciqfunctions.udf.CIQ("^SPX", "IQ_PRICEDATE", "6/24/2015")</f>
        <v>#NAME?</v>
      </c>
      <c r="AC379" s="16">
        <v>2108.5780593228001</v>
      </c>
    </row>
    <row r="380" spans="1:29" x14ac:dyDescent="0.35">
      <c r="A380" s="2" t="s">
        <v>390</v>
      </c>
      <c r="B380" s="4" t="s">
        <v>1445</v>
      </c>
      <c r="C380" s="4" t="s">
        <v>530</v>
      </c>
      <c r="D380" s="4" t="s">
        <v>537</v>
      </c>
      <c r="E380" s="4" t="s">
        <v>538</v>
      </c>
      <c r="F380" s="4" t="s">
        <v>538</v>
      </c>
      <c r="G380" s="14">
        <v>399.06</v>
      </c>
      <c r="H380" s="10">
        <v>17.321949</v>
      </c>
      <c r="I380" s="10">
        <v>28.973458999999998</v>
      </c>
      <c r="J380" s="10">
        <v>5.9860939999999996</v>
      </c>
      <c r="K380" s="15">
        <v>0</v>
      </c>
      <c r="L380" s="17">
        <v>43076.569212000002</v>
      </c>
      <c r="M380" s="4" t="s">
        <v>1446</v>
      </c>
      <c r="N380" s="19">
        <v>13.773294999999999</v>
      </c>
      <c r="O380" s="19">
        <v>20.823799999999999</v>
      </c>
      <c r="P380" s="19">
        <v>10.34</v>
      </c>
      <c r="Q380" s="19">
        <v>16.898900000000001</v>
      </c>
      <c r="R380" s="19">
        <v>7.6990809999999996</v>
      </c>
      <c r="S380" s="19">
        <v>13.571300000000001</v>
      </c>
      <c r="T380" s="19">
        <v>7.6990809999999996</v>
      </c>
      <c r="U380" s="19">
        <v>14.7066</v>
      </c>
      <c r="V380" s="19">
        <v>2.98</v>
      </c>
      <c r="W380" s="19">
        <v>10.794</v>
      </c>
      <c r="X380" s="19">
        <v>2.98</v>
      </c>
      <c r="Y380" s="19">
        <v>10.794</v>
      </c>
      <c r="Z380" s="4"/>
      <c r="AA380" s="4"/>
      <c r="AB380" s="4" t="e">
        <f ca="1">_xll.ciqfunctions.udf.CIQ("^SPX", "IQ_PRICEDATE", "6/25/2015")</f>
        <v>#NAME?</v>
      </c>
      <c r="AC380" s="16">
        <v>2102.3120563614002</v>
      </c>
    </row>
    <row r="381" spans="1:29" x14ac:dyDescent="0.35">
      <c r="A381" s="2" t="s">
        <v>391</v>
      </c>
      <c r="B381" s="4" t="s">
        <v>1447</v>
      </c>
      <c r="C381" s="4" t="s">
        <v>573</v>
      </c>
      <c r="D381" s="4" t="s">
        <v>737</v>
      </c>
      <c r="E381" s="4" t="s">
        <v>737</v>
      </c>
      <c r="F381" s="4" t="s">
        <v>743</v>
      </c>
      <c r="G381" s="14">
        <v>17.329999999999998</v>
      </c>
      <c r="H381" s="10">
        <v>0</v>
      </c>
      <c r="I381" s="10">
        <v>14.460537</v>
      </c>
      <c r="J381" s="10">
        <v>1.9513240000000001</v>
      </c>
      <c r="K381" s="15">
        <v>3.2313000000000001E-2</v>
      </c>
      <c r="L381" s="17">
        <v>19105.808375000001</v>
      </c>
      <c r="M381" s="4" t="s">
        <v>1448</v>
      </c>
      <c r="N381" s="19">
        <v>1.198434</v>
      </c>
      <c r="O381" s="19">
        <v>1.4888999999999999</v>
      </c>
      <c r="P381" s="19">
        <v>1</v>
      </c>
      <c r="Q381" s="19">
        <v>1.1037999999999999</v>
      </c>
      <c r="R381" s="19">
        <v>0.87</v>
      </c>
      <c r="S381" s="19">
        <v>0.94189999999999996</v>
      </c>
      <c r="T381" s="19">
        <v>0.87</v>
      </c>
      <c r="U381" s="19">
        <v>0.82430000000000003</v>
      </c>
      <c r="V381" s="19">
        <v>0.78</v>
      </c>
      <c r="W381" s="19">
        <v>0.85</v>
      </c>
      <c r="X381" s="19">
        <v>0.78</v>
      </c>
      <c r="Y381" s="19">
        <v>0.85</v>
      </c>
      <c r="Z381" s="4"/>
      <c r="AA381" s="4"/>
      <c r="AB381" s="4" t="e">
        <f ca="1">_xll.ciqfunctions.udf.CIQ("^SPX", "IQ_PRICEDATE", "6/26/2015")</f>
        <v>#NAME?</v>
      </c>
      <c r="AC381" s="16">
        <v>2101.4873869614999</v>
      </c>
    </row>
    <row r="382" spans="1:29" x14ac:dyDescent="0.35">
      <c r="A382" s="2" t="s">
        <v>392</v>
      </c>
      <c r="B382" s="4" t="s">
        <v>1449</v>
      </c>
      <c r="C382" s="4" t="s">
        <v>525</v>
      </c>
      <c r="D382" s="4" t="s">
        <v>855</v>
      </c>
      <c r="E382" s="4" t="s">
        <v>856</v>
      </c>
      <c r="F382" s="4" t="s">
        <v>1450</v>
      </c>
      <c r="G382" s="14">
        <v>71.959999999999994</v>
      </c>
      <c r="H382" s="10">
        <v>11.416579</v>
      </c>
      <c r="I382" s="10">
        <v>17.679811999999998</v>
      </c>
      <c r="J382" s="10" t="s">
        <v>534</v>
      </c>
      <c r="K382" s="15">
        <v>2.0844000000000001E-2</v>
      </c>
      <c r="L382" s="17">
        <v>23430.175999999999</v>
      </c>
      <c r="M382" s="4" t="s">
        <v>1451</v>
      </c>
      <c r="N382" s="19">
        <v>4.0701790000000004</v>
      </c>
      <c r="O382" s="19">
        <v>3.1497000000000002</v>
      </c>
      <c r="P382" s="19">
        <v>3.77</v>
      </c>
      <c r="Q382" s="19">
        <v>2.5028999999999999</v>
      </c>
      <c r="R382" s="19">
        <v>1.78</v>
      </c>
      <c r="S382" s="19">
        <v>2.3121999999999998</v>
      </c>
      <c r="T382" s="19">
        <v>1.78</v>
      </c>
      <c r="U382" s="19">
        <v>2.1122999999999998</v>
      </c>
      <c r="V382" s="19">
        <v>1.53</v>
      </c>
      <c r="W382" s="19">
        <v>2.0036</v>
      </c>
      <c r="X382" s="19">
        <v>1.53</v>
      </c>
      <c r="Y382" s="19">
        <v>2.0036</v>
      </c>
      <c r="Z382" s="4"/>
      <c r="AA382" s="4"/>
      <c r="AB382" s="4" t="e">
        <f ca="1">_xll.ciqfunctions.udf.CIQ("^SPX", "IQ_PRICEDATE", "6/29/2015")</f>
        <v>#NAME?</v>
      </c>
      <c r="AC382" s="16">
        <v>2057.6410918902002</v>
      </c>
    </row>
    <row r="383" spans="1:29" x14ac:dyDescent="0.35">
      <c r="A383" s="2" t="s">
        <v>393</v>
      </c>
      <c r="B383" s="4" t="s">
        <v>1452</v>
      </c>
      <c r="C383" s="4" t="s">
        <v>530</v>
      </c>
      <c r="D383" s="4" t="s">
        <v>531</v>
      </c>
      <c r="E383" s="4" t="s">
        <v>532</v>
      </c>
      <c r="F383" s="4" t="s">
        <v>533</v>
      </c>
      <c r="G383" s="14">
        <v>106.66</v>
      </c>
      <c r="H383" s="10">
        <v>22.510649999999998</v>
      </c>
      <c r="I383" s="10">
        <v>48.703195999999998</v>
      </c>
      <c r="J383" s="10">
        <v>19.640149999999998</v>
      </c>
      <c r="K383" s="15">
        <v>1.3875E-2</v>
      </c>
      <c r="L383" s="17">
        <v>15219.508988</v>
      </c>
      <c r="M383" s="4" t="s">
        <v>1453</v>
      </c>
      <c r="N383" s="19">
        <v>2.19</v>
      </c>
      <c r="O383" s="19">
        <v>3.7151100000000001</v>
      </c>
      <c r="P383" s="19">
        <v>1.987322</v>
      </c>
      <c r="Q383" s="19">
        <v>3.1392000000000002</v>
      </c>
      <c r="R383" s="19">
        <v>2.3097089999999998</v>
      </c>
      <c r="S383" s="19">
        <v>2.82</v>
      </c>
      <c r="T383" s="19">
        <v>2.3097089999999998</v>
      </c>
      <c r="U383" s="19">
        <v>2.7869999999999999</v>
      </c>
      <c r="V383" s="19">
        <v>2.4607209999999999</v>
      </c>
      <c r="W383" s="19">
        <v>2.6614</v>
      </c>
      <c r="X383" s="19">
        <v>2.4607209999999999</v>
      </c>
      <c r="Y383" s="19">
        <v>2.6614</v>
      </c>
      <c r="Z383" s="4"/>
      <c r="AA383" s="4"/>
      <c r="AB383" s="4" t="e">
        <f ca="1">_xll.ciqfunctions.udf.CIQ("^SPX", "IQ_PRICEDATE", "6/30/2015")</f>
        <v>#NAME?</v>
      </c>
      <c r="AC383" s="16">
        <v>2063.1118322236998</v>
      </c>
    </row>
    <row r="384" spans="1:29" x14ac:dyDescent="0.35">
      <c r="A384" s="2" t="s">
        <v>394</v>
      </c>
      <c r="B384" s="4" t="s">
        <v>1454</v>
      </c>
      <c r="C384" s="4" t="s">
        <v>525</v>
      </c>
      <c r="D384" s="4" t="s">
        <v>855</v>
      </c>
      <c r="E384" s="4" t="s">
        <v>990</v>
      </c>
      <c r="F384" s="4" t="s">
        <v>1455</v>
      </c>
      <c r="G384" s="14">
        <v>64.55</v>
      </c>
      <c r="H384" s="10">
        <v>12.243043999999999</v>
      </c>
      <c r="I384" s="10">
        <v>23.514814000000001</v>
      </c>
      <c r="J384" s="10">
        <v>8.7478300000000004</v>
      </c>
      <c r="K384" s="15">
        <v>1.7350000000000001E-2</v>
      </c>
      <c r="L384" s="17">
        <v>7768.2052000000003</v>
      </c>
      <c r="M384" s="4" t="s">
        <v>1456</v>
      </c>
      <c r="N384" s="19">
        <v>2.7450779999999999</v>
      </c>
      <c r="O384" s="19">
        <v>3.6137000000000001</v>
      </c>
      <c r="P384" s="19">
        <v>2.33</v>
      </c>
      <c r="Q384" s="19">
        <v>3.0674000000000001</v>
      </c>
      <c r="R384" s="19">
        <v>2.67</v>
      </c>
      <c r="S384" s="19">
        <v>2.7521</v>
      </c>
      <c r="T384" s="19">
        <v>2.67</v>
      </c>
      <c r="U384" s="19">
        <v>2.9569999999999999</v>
      </c>
      <c r="V384" s="19">
        <v>2.2599999999999998</v>
      </c>
      <c r="W384" s="19">
        <v>2.5206</v>
      </c>
      <c r="X384" s="19">
        <v>2.2599999999999998</v>
      </c>
      <c r="Y384" s="19">
        <v>2.5206</v>
      </c>
      <c r="Z384" s="4"/>
      <c r="AA384" s="4"/>
      <c r="AB384" s="4" t="e">
        <f ca="1">_xll.ciqfunctions.udf.CIQ("^SPX", "IQ_PRICEDATE", "7/1/2015")</f>
        <v>#NAME?</v>
      </c>
      <c r="AC384" s="16">
        <v>2077.4243417120001</v>
      </c>
    </row>
    <row r="385" spans="1:29" x14ac:dyDescent="0.35">
      <c r="A385" s="2" t="s">
        <v>395</v>
      </c>
      <c r="B385" s="4" t="s">
        <v>1457</v>
      </c>
      <c r="C385" s="4" t="s">
        <v>525</v>
      </c>
      <c r="D385" s="4" t="s">
        <v>526</v>
      </c>
      <c r="E385" s="4" t="s">
        <v>658</v>
      </c>
      <c r="F385" s="4" t="s">
        <v>659</v>
      </c>
      <c r="G385" s="14">
        <v>171.52</v>
      </c>
      <c r="H385" s="10">
        <v>15.32572</v>
      </c>
      <c r="I385" s="10">
        <v>55.878953000000003</v>
      </c>
      <c r="J385" s="10">
        <v>147.522639</v>
      </c>
      <c r="K385" s="15">
        <v>2.1455000000000002E-2</v>
      </c>
      <c r="L385" s="17">
        <v>21125.235586999999</v>
      </c>
      <c r="M385" s="4" t="s">
        <v>1458</v>
      </c>
      <c r="N385" s="19">
        <v>3.0694919999999999</v>
      </c>
      <c r="O385" s="19">
        <v>8.7108000000000008</v>
      </c>
      <c r="P385" s="19">
        <v>2.8949769999999999</v>
      </c>
      <c r="Q385" s="19">
        <v>7.4127400000000003</v>
      </c>
      <c r="R385" s="19">
        <v>5.8084829999999998</v>
      </c>
      <c r="S385" s="19">
        <v>6.0611100000000002</v>
      </c>
      <c r="T385" s="19">
        <v>5.8084829999999998</v>
      </c>
      <c r="U385" s="19">
        <v>6.0425500000000003</v>
      </c>
      <c r="V385" s="19">
        <v>6.0596209999999999</v>
      </c>
      <c r="W385" s="19">
        <v>6.7373399999999997</v>
      </c>
      <c r="X385" s="19">
        <v>6.0596209999999999</v>
      </c>
      <c r="Y385" s="19">
        <v>6.7373399999999997</v>
      </c>
      <c r="Z385" s="4"/>
      <c r="AA385" s="4"/>
      <c r="AB385" s="4" t="e">
        <f ca="1">_xll.ciqfunctions.udf.CIQ("^SPX", "IQ_PRICEDATE", "7/2/2015")</f>
        <v>#NAME?</v>
      </c>
      <c r="AC385" s="16">
        <v>2076.7757002570002</v>
      </c>
    </row>
    <row r="386" spans="1:29" x14ac:dyDescent="0.35">
      <c r="A386" s="2" t="s">
        <v>396</v>
      </c>
      <c r="B386" s="4" t="s">
        <v>1459</v>
      </c>
      <c r="C386" s="4" t="s">
        <v>525</v>
      </c>
      <c r="D386" s="4" t="s">
        <v>526</v>
      </c>
      <c r="E386" s="4" t="s">
        <v>703</v>
      </c>
      <c r="F386" s="4" t="s">
        <v>703</v>
      </c>
      <c r="G386" s="14">
        <v>133.59</v>
      </c>
      <c r="H386" s="10">
        <v>15.769275</v>
      </c>
      <c r="I386" s="10">
        <v>21.987825000000001</v>
      </c>
      <c r="J386" s="10" t="s">
        <v>534</v>
      </c>
      <c r="K386" s="15">
        <v>9.8799999999999999E-3</v>
      </c>
      <c r="L386" s="17">
        <v>21957.619340000001</v>
      </c>
      <c r="M386" s="4" t="s">
        <v>1460</v>
      </c>
      <c r="N386" s="19">
        <v>6.0756350000000001</v>
      </c>
      <c r="O386" s="19">
        <v>8.1076999999999995</v>
      </c>
      <c r="P386" s="19">
        <v>5.3962649999999996</v>
      </c>
      <c r="Q386" s="19">
        <v>6.9805999999999999</v>
      </c>
      <c r="R386" s="19">
        <v>5.6025780000000003</v>
      </c>
      <c r="S386" s="19">
        <v>5.43682</v>
      </c>
      <c r="T386" s="19">
        <v>5.6025780000000003</v>
      </c>
      <c r="U386" s="19">
        <v>5.37425</v>
      </c>
      <c r="V386" s="19">
        <v>4.7990300000000001</v>
      </c>
      <c r="W386" s="19">
        <v>5.03308</v>
      </c>
      <c r="X386" s="19">
        <v>4.7990300000000001</v>
      </c>
      <c r="Y386" s="19">
        <v>5.03308</v>
      </c>
      <c r="Z386" s="4"/>
      <c r="AA386" s="4"/>
      <c r="AB386" s="4" t="e">
        <f ca="1">_xll.ciqfunctions.udf.CIQ("^SPX", "IQ_PRICEDATE", "7/6/2015")</f>
        <v>#NAME?</v>
      </c>
      <c r="AC386" s="16">
        <v>2068.7566460202002</v>
      </c>
    </row>
    <row r="387" spans="1:29" x14ac:dyDescent="0.35">
      <c r="A387" s="2" t="s">
        <v>397</v>
      </c>
      <c r="B387" s="4" t="s">
        <v>1461</v>
      </c>
      <c r="C387" s="4" t="s">
        <v>525</v>
      </c>
      <c r="D387" s="4" t="s">
        <v>855</v>
      </c>
      <c r="E387" s="4" t="s">
        <v>856</v>
      </c>
      <c r="F387" s="4" t="s">
        <v>1450</v>
      </c>
      <c r="G387" s="14">
        <v>57.37</v>
      </c>
      <c r="H387" s="10">
        <v>34.270729000000003</v>
      </c>
      <c r="I387" s="10">
        <v>63.040145000000003</v>
      </c>
      <c r="J387" s="10">
        <v>138.66866400000001</v>
      </c>
      <c r="K387" s="15">
        <v>1.1504E-2</v>
      </c>
      <c r="L387" s="17">
        <v>12516.679269</v>
      </c>
      <c r="M387" s="4" t="s">
        <v>1462</v>
      </c>
      <c r="N387" s="19">
        <v>0.91005499999999995</v>
      </c>
      <c r="O387" s="19">
        <v>1.1359999999999999</v>
      </c>
      <c r="P387" s="19">
        <v>0.82</v>
      </c>
      <c r="Q387" s="19">
        <v>0.92649999999999999</v>
      </c>
      <c r="R387" s="19">
        <v>0.76688900000000004</v>
      </c>
      <c r="S387" s="19">
        <v>0.82320000000000004</v>
      </c>
      <c r="T387" s="19">
        <v>0.76688900000000004</v>
      </c>
      <c r="U387" s="19">
        <v>0.74860000000000004</v>
      </c>
      <c r="V387" s="19">
        <v>0.62947900000000001</v>
      </c>
      <c r="W387" s="19">
        <v>0.69330000000000003</v>
      </c>
      <c r="X387" s="19">
        <v>0.62947900000000001</v>
      </c>
      <c r="Y387" s="19">
        <v>0.69330000000000003</v>
      </c>
      <c r="Z387" s="4"/>
      <c r="AA387" s="4"/>
      <c r="AB387" s="4" t="e">
        <f ca="1">_xll.ciqfunctions.udf.CIQ("^SPX", "IQ_PRICEDATE", "7/7/2015")</f>
        <v>#NAME?</v>
      </c>
      <c r="AC387" s="16">
        <v>2081.340933767</v>
      </c>
    </row>
    <row r="388" spans="1:29" x14ac:dyDescent="0.35">
      <c r="A388" s="2" t="s">
        <v>398</v>
      </c>
      <c r="B388" s="4" t="s">
        <v>1463</v>
      </c>
      <c r="C388" s="4" t="s">
        <v>525</v>
      </c>
      <c r="D388" s="4" t="s">
        <v>526</v>
      </c>
      <c r="E388" s="4" t="s">
        <v>1077</v>
      </c>
      <c r="F388" s="4" t="s">
        <v>1077</v>
      </c>
      <c r="G388" s="14">
        <v>284.32</v>
      </c>
      <c r="H388" s="10">
        <v>20.785246000000001</v>
      </c>
      <c r="I388" s="10">
        <v>27.531662000000001</v>
      </c>
      <c r="J388" s="10" t="s">
        <v>534</v>
      </c>
      <c r="K388" s="15">
        <v>5.803E-3</v>
      </c>
      <c r="L388" s="17">
        <v>29383.158157000002</v>
      </c>
      <c r="M388" s="4" t="s">
        <v>1464</v>
      </c>
      <c r="N388" s="19">
        <v>10.327019</v>
      </c>
      <c r="O388" s="19">
        <v>11.9902</v>
      </c>
      <c r="P388" s="19">
        <v>9.39</v>
      </c>
      <c r="Q388" s="19">
        <v>9.9524000000000008</v>
      </c>
      <c r="R388" s="19">
        <v>6.43</v>
      </c>
      <c r="S388" s="19">
        <v>7.8586999999999998</v>
      </c>
      <c r="T388" s="19">
        <v>6.43</v>
      </c>
      <c r="U388" s="19">
        <v>7.2096</v>
      </c>
      <c r="V388" s="19">
        <v>6.4</v>
      </c>
      <c r="W388" s="19">
        <v>6.7225000000000001</v>
      </c>
      <c r="X388" s="19">
        <v>6.4</v>
      </c>
      <c r="Y388" s="19">
        <v>6.7225000000000001</v>
      </c>
      <c r="Z388" s="4"/>
      <c r="AA388" s="4"/>
      <c r="AB388" s="4" t="e">
        <f ca="1">_xll.ciqfunctions.udf.CIQ("^SPX", "IQ_PRICEDATE", "7/8/2015")</f>
        <v>#NAME?</v>
      </c>
      <c r="AC388" s="16">
        <v>2046.6840334527001</v>
      </c>
    </row>
    <row r="389" spans="1:29" x14ac:dyDescent="0.35">
      <c r="A389" s="2" t="s">
        <v>399</v>
      </c>
      <c r="B389" s="4" t="s">
        <v>1465</v>
      </c>
      <c r="C389" s="4" t="s">
        <v>559</v>
      </c>
      <c r="D389" s="4" t="s">
        <v>560</v>
      </c>
      <c r="E389" s="4" t="s">
        <v>561</v>
      </c>
      <c r="F389" s="4" t="s">
        <v>1051</v>
      </c>
      <c r="G389" s="14">
        <v>96.96</v>
      </c>
      <c r="H389" s="10">
        <v>14.566182</v>
      </c>
      <c r="I389" s="10">
        <v>23.878373</v>
      </c>
      <c r="J389" s="10">
        <v>11.382944999999999</v>
      </c>
      <c r="K389" s="15">
        <v>9.2820000000000003E-3</v>
      </c>
      <c r="L389" s="17">
        <v>36201.537012000001</v>
      </c>
      <c r="M389" s="4" t="s">
        <v>1466</v>
      </c>
      <c r="N389" s="19">
        <v>4.0605779999999996</v>
      </c>
      <c r="O389" s="19">
        <v>4.3414000000000001</v>
      </c>
      <c r="P389" s="19">
        <v>3.1314730000000002</v>
      </c>
      <c r="Q389" s="19">
        <v>3.5348999999999999</v>
      </c>
      <c r="R389" s="19">
        <v>2.7201879999999998</v>
      </c>
      <c r="S389" s="19">
        <v>3.0390999999999999</v>
      </c>
      <c r="T389" s="19">
        <v>2.7201879999999998</v>
      </c>
      <c r="U389" s="19">
        <v>2.6808000000000001</v>
      </c>
      <c r="V389" s="19">
        <v>2.1200749999999999</v>
      </c>
      <c r="W389" s="19">
        <v>2.3216999999999999</v>
      </c>
      <c r="X389" s="19">
        <v>2.1200749999999999</v>
      </c>
      <c r="Y389" s="19">
        <v>2.3216999999999999</v>
      </c>
      <c r="Z389" s="4"/>
      <c r="AA389" s="4"/>
      <c r="AB389" s="4" t="e">
        <f ca="1">_xll.ciqfunctions.udf.CIQ("^SPX", "IQ_PRICEDATE", "7/9/2015")</f>
        <v>#NAME?</v>
      </c>
      <c r="AC389" s="16">
        <v>2051.3113582238002</v>
      </c>
    </row>
    <row r="390" spans="1:29" x14ac:dyDescent="0.35">
      <c r="A390" s="2" t="s">
        <v>400</v>
      </c>
      <c r="B390" s="4" t="s">
        <v>1467</v>
      </c>
      <c r="C390" s="4" t="s">
        <v>559</v>
      </c>
      <c r="D390" s="4" t="s">
        <v>798</v>
      </c>
      <c r="E390" s="4" t="s">
        <v>799</v>
      </c>
      <c r="F390" s="4" t="s">
        <v>800</v>
      </c>
      <c r="G390" s="14">
        <v>120.59</v>
      </c>
      <c r="H390" s="10">
        <v>11.372239</v>
      </c>
      <c r="I390" s="10">
        <v>14.996243</v>
      </c>
      <c r="J390" s="10">
        <v>2.4207719999999999</v>
      </c>
      <c r="K390" s="15">
        <v>2.3219E-2</v>
      </c>
      <c r="L390" s="17">
        <v>25199.695435000001</v>
      </c>
      <c r="M390" s="4" t="s">
        <v>1468</v>
      </c>
      <c r="N390" s="19">
        <v>8.041347</v>
      </c>
      <c r="O390" s="19">
        <v>9.2256</v>
      </c>
      <c r="P390" s="19">
        <v>7.53</v>
      </c>
      <c r="Q390" s="19">
        <v>8.1911000000000005</v>
      </c>
      <c r="R390" s="19">
        <v>5.93</v>
      </c>
      <c r="S390" s="19">
        <v>6.5033000000000003</v>
      </c>
      <c r="T390" s="19">
        <v>5.93</v>
      </c>
      <c r="U390" s="19">
        <v>5.9537000000000004</v>
      </c>
      <c r="V390" s="19">
        <v>3.43</v>
      </c>
      <c r="W390" s="19">
        <v>4.5311000000000003</v>
      </c>
      <c r="X390" s="19">
        <v>3.43</v>
      </c>
      <c r="Y390" s="19">
        <v>4.5311000000000003</v>
      </c>
      <c r="Z390" s="4"/>
      <c r="AA390" s="4"/>
      <c r="AB390" s="4" t="e">
        <f ca="1">_xll.ciqfunctions.udf.CIQ("^SPX", "IQ_PRICEDATE", "7/10/2015")</f>
        <v>#NAME?</v>
      </c>
      <c r="AC390" s="16">
        <v>2076.6183523557002</v>
      </c>
    </row>
    <row r="391" spans="1:29" x14ac:dyDescent="0.35">
      <c r="A391" s="2" t="s">
        <v>401</v>
      </c>
      <c r="B391" s="4" t="s">
        <v>1469</v>
      </c>
      <c r="C391" s="4" t="s">
        <v>573</v>
      </c>
      <c r="D391" s="4" t="s">
        <v>574</v>
      </c>
      <c r="E391" s="4" t="s">
        <v>575</v>
      </c>
      <c r="F391" s="4" t="s">
        <v>807</v>
      </c>
      <c r="G391" s="14">
        <v>190.63</v>
      </c>
      <c r="H391" s="10">
        <v>16.667462</v>
      </c>
      <c r="I391" s="10">
        <v>29.930627999999999</v>
      </c>
      <c r="J391" s="10" t="s">
        <v>534</v>
      </c>
      <c r="K391" s="15">
        <v>1.0490999999999999E-2</v>
      </c>
      <c r="L391" s="17">
        <v>47943.445</v>
      </c>
      <c r="M391" s="4" t="s">
        <v>1470</v>
      </c>
      <c r="N391" s="19">
        <v>6.3690610000000003</v>
      </c>
      <c r="O391" s="19">
        <v>8.9459</v>
      </c>
      <c r="P391" s="19">
        <v>5.78</v>
      </c>
      <c r="Q391" s="19">
        <v>7.0751999999999997</v>
      </c>
      <c r="R391" s="19">
        <v>7.94</v>
      </c>
      <c r="S391" s="19">
        <v>5.6291000000000002</v>
      </c>
      <c r="T391" s="19">
        <v>7.94</v>
      </c>
      <c r="U391" s="19">
        <v>4.7160000000000002</v>
      </c>
      <c r="V391" s="19">
        <v>-1.08</v>
      </c>
      <c r="W391" s="19">
        <v>4.1563999999999997</v>
      </c>
      <c r="X391" s="19">
        <v>-1.08</v>
      </c>
      <c r="Y391" s="19">
        <v>4.1563999999999997</v>
      </c>
      <c r="Z391" s="4"/>
      <c r="AA391" s="4"/>
      <c r="AB391" s="4" t="e">
        <f ca="1">_xll.ciqfunctions.udf.CIQ("^SPX", "IQ_PRICEDATE", "7/13/2015")</f>
        <v>#NAME?</v>
      </c>
      <c r="AC391" s="16">
        <v>2099.5991931722001</v>
      </c>
    </row>
    <row r="392" spans="1:29" x14ac:dyDescent="0.35">
      <c r="A392" s="2" t="s">
        <v>402</v>
      </c>
      <c r="B392" s="4" t="s">
        <v>1471</v>
      </c>
      <c r="C392" s="4" t="s">
        <v>543</v>
      </c>
      <c r="D392" s="4" t="s">
        <v>544</v>
      </c>
      <c r="E392" s="4" t="s">
        <v>555</v>
      </c>
      <c r="F392" s="4" t="s">
        <v>556</v>
      </c>
      <c r="G392" s="14">
        <v>147.01</v>
      </c>
      <c r="H392" s="10">
        <v>101.765415</v>
      </c>
      <c r="I392" s="10">
        <v>153.290783</v>
      </c>
      <c r="J392" s="10" t="s">
        <v>534</v>
      </c>
      <c r="K392" s="15">
        <v>0</v>
      </c>
      <c r="L392" s="17">
        <v>111242.467</v>
      </c>
      <c r="M392" s="4" t="s">
        <v>1472</v>
      </c>
      <c r="N392" s="19">
        <v>0.95902699999999996</v>
      </c>
      <c r="O392" s="19">
        <v>2.3761000000000001</v>
      </c>
      <c r="P392" s="19">
        <v>6.5492999999999996E-2</v>
      </c>
      <c r="Q392" s="19">
        <v>1.5885</v>
      </c>
      <c r="R392" s="19">
        <v>0.29475400000000002</v>
      </c>
      <c r="S392" s="19">
        <v>1.1863999999999999</v>
      </c>
      <c r="T392" s="19">
        <v>0.29475400000000002</v>
      </c>
      <c r="U392" s="19">
        <v>0.90739999999999998</v>
      </c>
      <c r="V392" s="19">
        <v>-0.51642699999999997</v>
      </c>
      <c r="W392" s="19">
        <v>0.63560000000000005</v>
      </c>
      <c r="X392" s="19">
        <v>-0.51642699999999997</v>
      </c>
      <c r="Y392" s="19">
        <v>0.63560000000000005</v>
      </c>
      <c r="Z392" s="4"/>
      <c r="AA392" s="4"/>
      <c r="AB392" s="4" t="e">
        <f ca="1">_xll.ciqfunctions.udf.CIQ("^SPX", "IQ_PRICEDATE", "7/14/2015")</f>
        <v>#NAME?</v>
      </c>
      <c r="AC392" s="16">
        <v>2108.9549682367001</v>
      </c>
    </row>
    <row r="393" spans="1:29" x14ac:dyDescent="0.35">
      <c r="A393" s="2" t="s">
        <v>403</v>
      </c>
      <c r="B393" s="4" t="s">
        <v>1473</v>
      </c>
      <c r="C393" s="4" t="s">
        <v>601</v>
      </c>
      <c r="D393" s="4" t="s">
        <v>601</v>
      </c>
      <c r="E393" s="4" t="s">
        <v>602</v>
      </c>
      <c r="F393" s="4" t="s">
        <v>647</v>
      </c>
      <c r="G393" s="14">
        <v>152.34</v>
      </c>
      <c r="H393" s="10">
        <v>22.840526000000001</v>
      </c>
      <c r="I393" s="10" t="s">
        <v>534</v>
      </c>
      <c r="J393" s="10" t="s">
        <v>534</v>
      </c>
      <c r="K393" s="15">
        <v>0</v>
      </c>
      <c r="L393" s="17">
        <v>17495.386602999999</v>
      </c>
      <c r="M393" s="4" t="s">
        <v>1474</v>
      </c>
      <c r="N393" s="19">
        <v>0.26447799999999999</v>
      </c>
      <c r="O393" s="19">
        <v>1.1674</v>
      </c>
      <c r="P393" s="19">
        <v>0.86</v>
      </c>
      <c r="Q393" s="19">
        <v>1.0752999999999999</v>
      </c>
      <c r="R393" s="19">
        <v>0.61</v>
      </c>
      <c r="S393" s="19">
        <v>1.004</v>
      </c>
      <c r="T393" s="19">
        <v>0.61</v>
      </c>
      <c r="U393" s="19">
        <v>0.47020000000000001</v>
      </c>
      <c r="V393" s="19">
        <v>-0.19</v>
      </c>
      <c r="W393" s="19">
        <v>-3.3500000000000002E-2</v>
      </c>
      <c r="X393" s="19">
        <v>-0.19</v>
      </c>
      <c r="Y393" s="19">
        <v>-3.3500000000000002E-2</v>
      </c>
      <c r="Z393" s="4"/>
      <c r="AA393" s="4"/>
      <c r="AB393" s="4" t="e">
        <f ca="1">_xll.ciqfunctions.udf.CIQ("^SPX", "IQ_PRICEDATE", "7/15/2015")</f>
        <v>#NAME?</v>
      </c>
      <c r="AC393" s="16">
        <v>2107.4030475322002</v>
      </c>
    </row>
    <row r="394" spans="1:29" x14ac:dyDescent="0.35">
      <c r="A394" s="2" t="s">
        <v>404</v>
      </c>
      <c r="B394" s="4" t="s">
        <v>1475</v>
      </c>
      <c r="C394" s="4" t="s">
        <v>619</v>
      </c>
      <c r="D394" s="4" t="s">
        <v>619</v>
      </c>
      <c r="E394" s="4" t="s">
        <v>634</v>
      </c>
      <c r="F394" s="4" t="s">
        <v>634</v>
      </c>
      <c r="G394" s="14">
        <v>40.08</v>
      </c>
      <c r="H394" s="10">
        <v>9.1816010000000006</v>
      </c>
      <c r="I394" s="10" t="s">
        <v>534</v>
      </c>
      <c r="J394" s="10">
        <v>1.114965</v>
      </c>
      <c r="K394" s="15">
        <v>1.2345E-2</v>
      </c>
      <c r="L394" s="17">
        <v>5716.4266729999999</v>
      </c>
      <c r="M394" s="4" t="s">
        <v>1476</v>
      </c>
      <c r="N394" s="19">
        <v>-1.636363</v>
      </c>
      <c r="O394" s="19">
        <v>2.9784999999999999</v>
      </c>
      <c r="P394" s="19">
        <v>-0.83216699999999999</v>
      </c>
      <c r="Q394" s="19">
        <v>3.4148000000000001</v>
      </c>
      <c r="R394" s="19">
        <v>4.16</v>
      </c>
      <c r="S394" s="19">
        <v>4.1891999999999996</v>
      </c>
      <c r="T394" s="19">
        <v>4.16</v>
      </c>
      <c r="U394" s="19">
        <v>3.9243999999999999</v>
      </c>
      <c r="V394" s="19">
        <v>3.79</v>
      </c>
      <c r="W394" s="19">
        <v>3.722</v>
      </c>
      <c r="X394" s="19">
        <v>3.79</v>
      </c>
      <c r="Y394" s="19">
        <v>3.722</v>
      </c>
      <c r="Z394" s="4"/>
      <c r="AA394" s="4"/>
      <c r="AB394" s="4" t="e">
        <f ca="1">_xll.ciqfunctions.udf.CIQ("^SPX", "IQ_PRICEDATE", "7/16/2015")</f>
        <v>#NAME?</v>
      </c>
      <c r="AC394" s="16">
        <v>2124.2864594386001</v>
      </c>
    </row>
    <row r="395" spans="1:29" x14ac:dyDescent="0.35">
      <c r="A395" s="2" t="s">
        <v>405</v>
      </c>
      <c r="B395" s="4" t="s">
        <v>1477</v>
      </c>
      <c r="C395" s="4" t="s">
        <v>669</v>
      </c>
      <c r="D395" s="4" t="s">
        <v>669</v>
      </c>
      <c r="E395" s="4" t="s">
        <v>730</v>
      </c>
      <c r="F395" s="4" t="s">
        <v>731</v>
      </c>
      <c r="G395" s="14">
        <v>59.24</v>
      </c>
      <c r="H395" s="10">
        <v>13.833671000000001</v>
      </c>
      <c r="I395" s="10" t="s">
        <v>534</v>
      </c>
      <c r="J395" s="10">
        <v>51.732027000000002</v>
      </c>
      <c r="K395" s="15">
        <v>3.3759999999999998E-2</v>
      </c>
      <c r="L395" s="17">
        <v>81995.204287999994</v>
      </c>
      <c r="M395" s="4" t="s">
        <v>1478</v>
      </c>
      <c r="N395" s="19">
        <v>-0.544929</v>
      </c>
      <c r="O395" s="19">
        <v>1.9111</v>
      </c>
      <c r="P395" s="19">
        <v>-1.084293</v>
      </c>
      <c r="Q395" s="19">
        <v>1.9665999999999999</v>
      </c>
      <c r="R395" s="19">
        <v>-1.2431829999999999</v>
      </c>
      <c r="S395" s="19">
        <v>1.5141</v>
      </c>
      <c r="T395" s="19">
        <v>-1.2431829999999999</v>
      </c>
      <c r="U395" s="19">
        <v>2.4939</v>
      </c>
      <c r="V395" s="19">
        <v>4.3099999999999996</v>
      </c>
      <c r="W395" s="19">
        <v>5.3281000000000001</v>
      </c>
      <c r="X395" s="19">
        <v>4.3099999999999996</v>
      </c>
      <c r="Y395" s="19">
        <v>5.3281000000000001</v>
      </c>
      <c r="Z395" s="4"/>
      <c r="AA395" s="4"/>
      <c r="AB395" s="4" t="e">
        <f ca="1">_xll.ciqfunctions.udf.CIQ("^SPX", "IQ_PRICEDATE", "7/17/2015")</f>
        <v>#NAME?</v>
      </c>
      <c r="AC395" s="16">
        <v>2126.6439439241999</v>
      </c>
    </row>
    <row r="396" spans="1:29" x14ac:dyDescent="0.35">
      <c r="A396" s="2" t="s">
        <v>406</v>
      </c>
      <c r="B396" s="4" t="s">
        <v>1479</v>
      </c>
      <c r="C396" s="4" t="s">
        <v>543</v>
      </c>
      <c r="D396" s="4" t="s">
        <v>664</v>
      </c>
      <c r="E396" s="4" t="s">
        <v>688</v>
      </c>
      <c r="F396" s="4" t="s">
        <v>688</v>
      </c>
      <c r="G396" s="14">
        <v>44.12</v>
      </c>
      <c r="H396" s="10">
        <v>6.7305109999999999</v>
      </c>
      <c r="I396" s="10">
        <v>10.893827</v>
      </c>
      <c r="J396" s="10">
        <v>52.791538000000003</v>
      </c>
      <c r="K396" s="15">
        <v>5.7116E-2</v>
      </c>
      <c r="L396" s="17">
        <v>12702.629790000001</v>
      </c>
      <c r="M396" s="4" t="s">
        <v>1480</v>
      </c>
      <c r="N396" s="19">
        <v>4.05</v>
      </c>
      <c r="O396" s="19">
        <v>6.1776299999999997</v>
      </c>
      <c r="P396" s="19">
        <v>2.1981009999999999</v>
      </c>
      <c r="Q396" s="19">
        <v>4.0801999999999996</v>
      </c>
      <c r="R396" s="19">
        <v>1.7144900000000001</v>
      </c>
      <c r="S396" s="19">
        <v>3.7997000000000001</v>
      </c>
      <c r="T396" s="19">
        <v>1.7144900000000001</v>
      </c>
      <c r="U396" s="19">
        <v>3.496</v>
      </c>
      <c r="V396" s="19">
        <v>4.487457</v>
      </c>
      <c r="W396" s="19">
        <v>5.2712000000000003</v>
      </c>
      <c r="X396" s="19">
        <v>4.487457</v>
      </c>
      <c r="Y396" s="19">
        <v>5.2712000000000003</v>
      </c>
      <c r="Z396" s="4"/>
      <c r="AA396" s="4"/>
      <c r="AB396" s="4" t="e">
        <f ca="1">_xll.ciqfunctions.udf.CIQ("^SPX", "IQ_PRICEDATE", "7/20/2015")</f>
        <v>#NAME?</v>
      </c>
      <c r="AC396" s="16">
        <v>2128.2835669705</v>
      </c>
    </row>
    <row r="397" spans="1:29" x14ac:dyDescent="0.35">
      <c r="A397" s="2" t="s">
        <v>407</v>
      </c>
      <c r="B397" s="4" t="s">
        <v>1481</v>
      </c>
      <c r="C397" s="4" t="s">
        <v>586</v>
      </c>
      <c r="D397" s="4" t="s">
        <v>586</v>
      </c>
      <c r="E397" s="4" t="s">
        <v>726</v>
      </c>
      <c r="F397" s="4" t="s">
        <v>727</v>
      </c>
      <c r="G397" s="14">
        <v>35.28</v>
      </c>
      <c r="H397" s="10">
        <v>11.106391</v>
      </c>
      <c r="I397" s="10" t="s">
        <v>534</v>
      </c>
      <c r="J397" s="10" t="s">
        <v>534</v>
      </c>
      <c r="K397" s="15">
        <v>1.814E-2</v>
      </c>
      <c r="L397" s="17">
        <v>5602.9004139999997</v>
      </c>
      <c r="M397" s="4" t="s">
        <v>1482</v>
      </c>
      <c r="N397" s="19">
        <v>-0.245777</v>
      </c>
      <c r="O397" s="19">
        <v>2.6915</v>
      </c>
      <c r="P397" s="19">
        <v>0.30852800000000002</v>
      </c>
      <c r="Q397" s="19">
        <v>2.3214000000000001</v>
      </c>
      <c r="R397" s="19">
        <v>1.4757199999999999</v>
      </c>
      <c r="S397" s="19">
        <v>2.8933</v>
      </c>
      <c r="T397" s="19">
        <v>1.4757199999999999</v>
      </c>
      <c r="U397" s="19">
        <v>2.4399000000000002</v>
      </c>
      <c r="V397" s="19">
        <v>1.1996249999999999</v>
      </c>
      <c r="W397" s="19">
        <v>1.9958</v>
      </c>
      <c r="X397" s="19">
        <v>1.1996249999999999</v>
      </c>
      <c r="Y397" s="19">
        <v>1.9958</v>
      </c>
      <c r="Z397" s="4"/>
      <c r="AA397" s="4"/>
      <c r="AB397" s="4" t="e">
        <f ca="1">_xll.ciqfunctions.udf.CIQ("^SPX", "IQ_PRICEDATE", "7/21/2015")</f>
        <v>#NAME?</v>
      </c>
      <c r="AC397" s="16">
        <v>2119.2099513663002</v>
      </c>
    </row>
    <row r="398" spans="1:29" x14ac:dyDescent="0.35">
      <c r="A398" s="2" t="s">
        <v>408</v>
      </c>
      <c r="B398" s="4" t="s">
        <v>1483</v>
      </c>
      <c r="C398" s="4" t="s">
        <v>619</v>
      </c>
      <c r="D398" s="4" t="s">
        <v>619</v>
      </c>
      <c r="E398" s="4" t="s">
        <v>634</v>
      </c>
      <c r="F398" s="4" t="s">
        <v>634</v>
      </c>
      <c r="G398" s="14">
        <v>115.3</v>
      </c>
      <c r="H398" s="10">
        <v>16.099806000000001</v>
      </c>
      <c r="I398" s="10" t="s">
        <v>534</v>
      </c>
      <c r="J398" s="10">
        <v>2.7174070000000001</v>
      </c>
      <c r="K398" s="15">
        <v>3.1049000000000004E-2</v>
      </c>
      <c r="L398" s="17">
        <v>31529.758938999999</v>
      </c>
      <c r="M398" s="4" t="s">
        <v>1484</v>
      </c>
      <c r="N398" s="19">
        <v>-2.5682659999999999</v>
      </c>
      <c r="O398" s="19">
        <v>5.6677</v>
      </c>
      <c r="P398" s="19">
        <v>1.01</v>
      </c>
      <c r="Q398" s="19">
        <v>5.4333</v>
      </c>
      <c r="R398" s="19">
        <v>5.46</v>
      </c>
      <c r="S398" s="19">
        <v>5.0349000000000004</v>
      </c>
      <c r="T398" s="19">
        <v>5.46</v>
      </c>
      <c r="U398" s="19">
        <v>5.2542999999999997</v>
      </c>
      <c r="V398" s="19">
        <v>4.63</v>
      </c>
      <c r="W398" s="19">
        <v>4.7480000000000002</v>
      </c>
      <c r="X398" s="19">
        <v>4.63</v>
      </c>
      <c r="Y398" s="19">
        <v>4.7480000000000002</v>
      </c>
      <c r="Z398" s="4"/>
      <c r="AA398" s="4"/>
      <c r="AB398" s="4" t="e">
        <f ca="1">_xll.ciqfunctions.udf.CIQ("^SPX", "IQ_PRICEDATE", "7/22/2015")</f>
        <v>#NAME?</v>
      </c>
      <c r="AC398" s="16">
        <v>2114.1512378338002</v>
      </c>
    </row>
    <row r="399" spans="1:29" x14ac:dyDescent="0.35">
      <c r="A399" s="2" t="s">
        <v>409</v>
      </c>
      <c r="B399" s="4" t="s">
        <v>1485</v>
      </c>
      <c r="C399" s="4" t="s">
        <v>601</v>
      </c>
      <c r="D399" s="4" t="s">
        <v>601</v>
      </c>
      <c r="E399" s="4" t="s">
        <v>602</v>
      </c>
      <c r="F399" s="4" t="s">
        <v>1026</v>
      </c>
      <c r="G399" s="14">
        <v>172.75</v>
      </c>
      <c r="H399" s="10">
        <v>16.715260000000001</v>
      </c>
      <c r="I399" s="10">
        <v>23.805133000000001</v>
      </c>
      <c r="J399" s="10">
        <v>16.050348</v>
      </c>
      <c r="K399" s="15">
        <v>4.6308999999999996E-2</v>
      </c>
      <c r="L399" s="17">
        <v>53417.354738000002</v>
      </c>
      <c r="M399" s="4" t="s">
        <v>1486</v>
      </c>
      <c r="N399" s="19">
        <v>7.2568380000000001</v>
      </c>
      <c r="O399" s="19">
        <v>7.2000999999999999</v>
      </c>
      <c r="P399" s="19">
        <v>6.24</v>
      </c>
      <c r="Q399" s="19">
        <v>6.5951000000000004</v>
      </c>
      <c r="R399" s="19">
        <v>5.87</v>
      </c>
      <c r="S399" s="19">
        <v>6.6962999999999999</v>
      </c>
      <c r="T399" s="19">
        <v>5.87</v>
      </c>
      <c r="U399" s="19">
        <v>5.9370000000000003</v>
      </c>
      <c r="V399" s="19">
        <v>4.4279130000000002</v>
      </c>
      <c r="W399" s="19">
        <v>5.2740999999999998</v>
      </c>
      <c r="X399" s="19">
        <v>4.4279130000000002</v>
      </c>
      <c r="Y399" s="19">
        <v>5.2740999999999998</v>
      </c>
      <c r="Z399" s="4"/>
      <c r="AA399" s="4"/>
      <c r="AB399" s="4" t="e">
        <f ca="1">_xll.ciqfunctions.udf.CIQ("^SPX", "IQ_PRICEDATE", "7/23/2015")</f>
        <v>#NAME?</v>
      </c>
      <c r="AC399" s="16">
        <v>2102.1479844647001</v>
      </c>
    </row>
    <row r="400" spans="1:29" x14ac:dyDescent="0.35">
      <c r="A400" s="2" t="s">
        <v>410</v>
      </c>
      <c r="B400" s="4" t="s">
        <v>1487</v>
      </c>
      <c r="C400" s="4" t="s">
        <v>543</v>
      </c>
      <c r="D400" s="4" t="s">
        <v>565</v>
      </c>
      <c r="E400" s="4" t="s">
        <v>565</v>
      </c>
      <c r="F400" s="4" t="s">
        <v>566</v>
      </c>
      <c r="G400" s="14">
        <v>88.38</v>
      </c>
      <c r="H400" s="10">
        <v>8.9610749999999992</v>
      </c>
      <c r="I400" s="10">
        <v>17.842344000000001</v>
      </c>
      <c r="J400" s="10">
        <v>5.057925</v>
      </c>
      <c r="K400" s="15">
        <v>1.4482E-2</v>
      </c>
      <c r="L400" s="17">
        <v>15818.388946999999</v>
      </c>
      <c r="M400" s="4" t="s">
        <v>1488</v>
      </c>
      <c r="N400" s="19">
        <v>4.9533849999999999</v>
      </c>
      <c r="O400" s="19">
        <v>7.6551</v>
      </c>
      <c r="P400" s="19">
        <v>4.413761</v>
      </c>
      <c r="Q400" s="19">
        <v>7.2417400000000001</v>
      </c>
      <c r="R400" s="19">
        <v>4.7264020000000002</v>
      </c>
      <c r="S400" s="19">
        <v>6.15604</v>
      </c>
      <c r="T400" s="19">
        <v>4.7264020000000002</v>
      </c>
      <c r="U400" s="19">
        <v>6.26959</v>
      </c>
      <c r="V400" s="19">
        <v>2.38</v>
      </c>
      <c r="W400" s="19">
        <v>4.4965000000000002</v>
      </c>
      <c r="X400" s="19">
        <v>2.38</v>
      </c>
      <c r="Y400" s="19">
        <v>4.4965000000000002</v>
      </c>
      <c r="Z400" s="4"/>
      <c r="AA400" s="4"/>
      <c r="AB400" s="4" t="e">
        <f ca="1">_xll.ciqfunctions.udf.CIQ("^SPX", "IQ_PRICEDATE", "7/24/2015")</f>
        <v>#NAME?</v>
      </c>
      <c r="AC400" s="16">
        <v>2079.6492126245998</v>
      </c>
    </row>
    <row r="401" spans="1:29" x14ac:dyDescent="0.35">
      <c r="A401" s="2" t="s">
        <v>411</v>
      </c>
      <c r="B401" s="4" t="s">
        <v>1489</v>
      </c>
      <c r="C401" s="4" t="s">
        <v>601</v>
      </c>
      <c r="D401" s="4" t="s">
        <v>601</v>
      </c>
      <c r="E401" s="4" t="s">
        <v>602</v>
      </c>
      <c r="F401" s="4" t="s">
        <v>603</v>
      </c>
      <c r="G401" s="14">
        <v>92.17</v>
      </c>
      <c r="H401" s="10">
        <v>20.455514999999998</v>
      </c>
      <c r="I401" s="10">
        <v>26.907028</v>
      </c>
      <c r="J401" s="10">
        <v>1.3171660000000001</v>
      </c>
      <c r="K401" s="15">
        <v>3.526E-2</v>
      </c>
      <c r="L401" s="17">
        <v>7889.1989800000001</v>
      </c>
      <c r="M401" s="4" t="s">
        <v>1490</v>
      </c>
      <c r="N401" s="19">
        <v>3.4254989999999998</v>
      </c>
      <c r="O401" s="19">
        <v>1.4849000000000001</v>
      </c>
      <c r="P401" s="19">
        <v>0.87443300000000002</v>
      </c>
      <c r="Q401" s="19">
        <v>2.1</v>
      </c>
      <c r="R401" s="19">
        <v>2.3367619999999998</v>
      </c>
      <c r="S401" s="19">
        <v>1.2424999999999999</v>
      </c>
      <c r="T401" s="19">
        <v>2.3367619999999998</v>
      </c>
      <c r="U401" s="19">
        <v>0.65110000000000001</v>
      </c>
      <c r="V401" s="19">
        <v>3.3513269999999999</v>
      </c>
      <c r="W401" s="19">
        <v>1.8984000000000001</v>
      </c>
      <c r="X401" s="19">
        <v>3.3513269999999999</v>
      </c>
      <c r="Y401" s="19">
        <v>1.8984000000000001</v>
      </c>
      <c r="Z401" s="4"/>
      <c r="AA401" s="4"/>
      <c r="AB401" s="4" t="e">
        <f ca="1">_xll.ciqfunctions.udf.CIQ("^SPX", "IQ_PRICEDATE", "7/27/2015")</f>
        <v>#NAME?</v>
      </c>
      <c r="AC401" s="16">
        <v>2067.6418261434001</v>
      </c>
    </row>
    <row r="402" spans="1:29" x14ac:dyDescent="0.35">
      <c r="A402" s="2" t="s">
        <v>412</v>
      </c>
      <c r="B402" s="4" t="s">
        <v>1491</v>
      </c>
      <c r="C402" s="4" t="s">
        <v>525</v>
      </c>
      <c r="D402" s="4" t="s">
        <v>526</v>
      </c>
      <c r="E402" s="4" t="s">
        <v>803</v>
      </c>
      <c r="F402" s="4" t="s">
        <v>948</v>
      </c>
      <c r="G402" s="14">
        <v>167.57</v>
      </c>
      <c r="H402" s="10">
        <v>10.087440000000001</v>
      </c>
      <c r="I402" s="10">
        <v>16.020188000000001</v>
      </c>
      <c r="J402" s="10">
        <v>4.8684079999999996</v>
      </c>
      <c r="K402" s="15">
        <v>1.9573E-2</v>
      </c>
      <c r="L402" s="17">
        <v>9451.3134699999991</v>
      </c>
      <c r="M402" s="4" t="s">
        <v>1492</v>
      </c>
      <c r="N402" s="19">
        <v>10.459927</v>
      </c>
      <c r="O402" s="19">
        <v>12.326700000000001</v>
      </c>
      <c r="P402" s="19">
        <v>9.52</v>
      </c>
      <c r="Q402" s="19">
        <v>10.6473</v>
      </c>
      <c r="R402" s="19">
        <v>9.1999999999999993</v>
      </c>
      <c r="S402" s="19">
        <v>9.8010999999999999</v>
      </c>
      <c r="T402" s="19">
        <v>9.1999999999999993</v>
      </c>
      <c r="U402" s="19">
        <v>8.8339999999999996</v>
      </c>
      <c r="V402" s="19">
        <v>6.7795030000000001</v>
      </c>
      <c r="W402" s="19">
        <v>7.5033000000000003</v>
      </c>
      <c r="X402" s="19">
        <v>6.7795030000000001</v>
      </c>
      <c r="Y402" s="19">
        <v>7.5033000000000003</v>
      </c>
      <c r="Z402" s="4"/>
      <c r="AA402" s="4"/>
      <c r="AB402" s="4" t="e">
        <f ca="1">_xll.ciqfunctions.udf.CIQ("^SPX", "IQ_PRICEDATE", "7/28/2015")</f>
        <v>#NAME?</v>
      </c>
      <c r="AC402" s="16">
        <v>2093.253342511</v>
      </c>
    </row>
    <row r="403" spans="1:29" x14ac:dyDescent="0.35">
      <c r="A403" s="2" t="s">
        <v>413</v>
      </c>
      <c r="B403" s="4" t="s">
        <v>1493</v>
      </c>
      <c r="C403" s="4" t="s">
        <v>525</v>
      </c>
      <c r="D403" s="4" t="s">
        <v>594</v>
      </c>
      <c r="E403" s="4" t="s">
        <v>595</v>
      </c>
      <c r="F403" s="4" t="s">
        <v>595</v>
      </c>
      <c r="G403" s="14">
        <v>59.2</v>
      </c>
      <c r="H403" s="10">
        <v>8.0103709999999992</v>
      </c>
      <c r="I403" s="10">
        <v>9.6756700000000002</v>
      </c>
      <c r="J403" s="10">
        <v>3.934895</v>
      </c>
      <c r="K403" s="15">
        <v>1.081E-2</v>
      </c>
      <c r="L403" s="17">
        <v>33922.736047999999</v>
      </c>
      <c r="M403" s="4" t="s">
        <v>1494</v>
      </c>
      <c r="N403" s="19">
        <v>6.1184390000000004</v>
      </c>
      <c r="O403" s="19">
        <v>4.5202999999999998</v>
      </c>
      <c r="P403" s="19">
        <v>5.79</v>
      </c>
      <c r="Q403" s="19">
        <v>4.2991999999999999</v>
      </c>
      <c r="R403" s="19">
        <v>3.5481829999999999</v>
      </c>
      <c r="S403" s="19">
        <v>3.4277000000000002</v>
      </c>
      <c r="T403" s="19">
        <v>3.5481829999999999</v>
      </c>
      <c r="U403" s="19">
        <v>4.0465</v>
      </c>
      <c r="V403" s="19">
        <v>1.637931</v>
      </c>
      <c r="W403" s="19">
        <v>2.7282999999999999</v>
      </c>
      <c r="X403" s="19">
        <v>1.637931</v>
      </c>
      <c r="Y403" s="19">
        <v>2.7282999999999999</v>
      </c>
      <c r="Z403" s="4"/>
      <c r="AA403" s="4"/>
      <c r="AB403" s="4" t="e">
        <f ca="1">_xll.ciqfunctions.udf.CIQ("^SPX", "IQ_PRICEDATE", "7/29/2015")</f>
        <v>#NAME?</v>
      </c>
      <c r="AC403" s="16">
        <v>2108.5685642213002</v>
      </c>
    </row>
    <row r="404" spans="1:29" x14ac:dyDescent="0.35">
      <c r="A404" s="2" t="s">
        <v>414</v>
      </c>
      <c r="B404" s="4" t="s">
        <v>1495</v>
      </c>
      <c r="C404" s="4" t="s">
        <v>525</v>
      </c>
      <c r="D404" s="4" t="s">
        <v>526</v>
      </c>
      <c r="E404" s="4" t="s">
        <v>803</v>
      </c>
      <c r="F404" s="4" t="s">
        <v>948</v>
      </c>
      <c r="G404" s="14">
        <v>123.57</v>
      </c>
      <c r="H404" s="10">
        <v>11.257039000000001</v>
      </c>
      <c r="I404" s="10">
        <v>18.57386</v>
      </c>
      <c r="J404" s="10" t="s">
        <v>534</v>
      </c>
      <c r="K404" s="15">
        <v>2.1364000000000001E-2</v>
      </c>
      <c r="L404" s="17">
        <v>18907.421356999999</v>
      </c>
      <c r="M404" s="4" t="s">
        <v>1496</v>
      </c>
      <c r="N404" s="19">
        <v>6.6528980000000004</v>
      </c>
      <c r="O404" s="19">
        <v>8.4849999999999994</v>
      </c>
      <c r="P404" s="19">
        <v>8.0399999999999991</v>
      </c>
      <c r="Q404" s="19">
        <v>8.1202000000000005</v>
      </c>
      <c r="R404" s="19">
        <v>6.51</v>
      </c>
      <c r="S404" s="19">
        <v>6.7171000000000003</v>
      </c>
      <c r="T404" s="19">
        <v>6.51</v>
      </c>
      <c r="U404" s="19">
        <v>6.4880000000000004</v>
      </c>
      <c r="V404" s="19">
        <v>4.4186930000000002</v>
      </c>
      <c r="W404" s="19">
        <v>5.9595000000000002</v>
      </c>
      <c r="X404" s="19">
        <v>4.4186930000000002</v>
      </c>
      <c r="Y404" s="19">
        <v>5.9595000000000002</v>
      </c>
      <c r="Z404" s="4"/>
      <c r="AA404" s="4"/>
      <c r="AB404" s="4" t="e">
        <f ca="1">_xll.ciqfunctions.udf.CIQ("^SPX", "IQ_PRICEDATE", "7/30/2015")</f>
        <v>#NAME?</v>
      </c>
      <c r="AC404" s="16">
        <v>2108.6299535420999</v>
      </c>
    </row>
    <row r="405" spans="1:29" x14ac:dyDescent="0.35">
      <c r="A405" s="2" t="s">
        <v>415</v>
      </c>
      <c r="B405" s="4" t="s">
        <v>1497</v>
      </c>
      <c r="C405" s="4" t="s">
        <v>559</v>
      </c>
      <c r="D405" s="4" t="s">
        <v>798</v>
      </c>
      <c r="E405" s="4" t="s">
        <v>799</v>
      </c>
      <c r="F405" s="4" t="s">
        <v>839</v>
      </c>
      <c r="G405" s="14">
        <v>59.1</v>
      </c>
      <c r="H405" s="10">
        <v>15.665952000000001</v>
      </c>
      <c r="I405" s="10">
        <v>18.452586</v>
      </c>
      <c r="J405" s="10" t="s">
        <v>534</v>
      </c>
      <c r="K405" s="15">
        <v>2.4365000000000001E-2</v>
      </c>
      <c r="L405" s="17">
        <v>79731.81</v>
      </c>
      <c r="M405" s="4" t="s">
        <v>1498</v>
      </c>
      <c r="N405" s="19">
        <v>3.2028029999999998</v>
      </c>
      <c r="O405" s="19">
        <v>2.5272000000000001</v>
      </c>
      <c r="P405" s="19">
        <v>3.016486</v>
      </c>
      <c r="Q405" s="19">
        <v>2.3214899999999998</v>
      </c>
      <c r="R405" s="19">
        <v>1.9</v>
      </c>
      <c r="S405" s="19">
        <v>2.1384500000000002</v>
      </c>
      <c r="T405" s="19">
        <v>1.9</v>
      </c>
      <c r="U405" s="19">
        <v>1.8896599999999999</v>
      </c>
      <c r="V405" s="19">
        <v>1.6437349999999999</v>
      </c>
      <c r="W405" s="19">
        <v>1.5526800000000001</v>
      </c>
      <c r="X405" s="19">
        <v>1.6437349999999999</v>
      </c>
      <c r="Y405" s="19">
        <v>1.5526800000000001</v>
      </c>
      <c r="Z405" s="4"/>
      <c r="AA405" s="4"/>
      <c r="AB405" s="4" t="e">
        <f ca="1">_xll.ciqfunctions.udf.CIQ("^SPX", "IQ_PRICEDATE", "7/31/2015")</f>
        <v>#NAME?</v>
      </c>
      <c r="AC405" s="16">
        <v>2103.8353651370999</v>
      </c>
    </row>
    <row r="406" spans="1:29" x14ac:dyDescent="0.35">
      <c r="A406" s="2" t="s">
        <v>416</v>
      </c>
      <c r="B406" s="4" t="s">
        <v>1499</v>
      </c>
      <c r="C406" s="4" t="s">
        <v>573</v>
      </c>
      <c r="D406" s="4" t="s">
        <v>574</v>
      </c>
      <c r="E406" s="4" t="s">
        <v>575</v>
      </c>
      <c r="F406" s="4" t="s">
        <v>576</v>
      </c>
      <c r="G406" s="14">
        <v>82.15</v>
      </c>
      <c r="H406" s="10">
        <v>0</v>
      </c>
      <c r="I406" s="10">
        <v>13.574719999999999</v>
      </c>
      <c r="J406" s="10">
        <v>2.5250149999999998</v>
      </c>
      <c r="K406" s="15">
        <v>2.2884000000000002E-2</v>
      </c>
      <c r="L406" s="17">
        <v>31168.977164</v>
      </c>
      <c r="M406" s="4" t="s">
        <v>1500</v>
      </c>
      <c r="N406" s="19">
        <v>6.0516899999999998</v>
      </c>
      <c r="O406" s="19">
        <v>7.7119999999999997</v>
      </c>
      <c r="P406" s="19">
        <v>5.24</v>
      </c>
      <c r="Q406" s="19">
        <v>6.907</v>
      </c>
      <c r="R406" s="19">
        <v>4.97</v>
      </c>
      <c r="S406" s="19">
        <v>5.5077999999999996</v>
      </c>
      <c r="T406" s="19">
        <v>4.97</v>
      </c>
      <c r="U406" s="19">
        <v>5.0037000000000003</v>
      </c>
      <c r="V406" s="19">
        <v>4.53</v>
      </c>
      <c r="W406" s="19">
        <v>5.1422999999999996</v>
      </c>
      <c r="X406" s="19">
        <v>4.53</v>
      </c>
      <c r="Y406" s="19">
        <v>5.1422999999999996</v>
      </c>
      <c r="Z406" s="4"/>
      <c r="AA406" s="4"/>
      <c r="AB406" s="4" t="e">
        <f ca="1">_xll.ciqfunctions.udf.CIQ("^SPX", "IQ_PRICEDATE", "8/3/2015")</f>
        <v>#NAME?</v>
      </c>
      <c r="AC406" s="16">
        <v>2098.0396633670998</v>
      </c>
    </row>
    <row r="407" spans="1:29" x14ac:dyDescent="0.35">
      <c r="A407" s="2" t="s">
        <v>417</v>
      </c>
      <c r="B407" s="4" t="s">
        <v>1501</v>
      </c>
      <c r="C407" s="4" t="s">
        <v>525</v>
      </c>
      <c r="D407" s="4" t="s">
        <v>855</v>
      </c>
      <c r="E407" s="4" t="s">
        <v>856</v>
      </c>
      <c r="F407" s="4" t="s">
        <v>1450</v>
      </c>
      <c r="G407" s="14">
        <v>53.75</v>
      </c>
      <c r="H407" s="10">
        <v>10.560729</v>
      </c>
      <c r="I407" s="10">
        <v>27.860004</v>
      </c>
      <c r="J407" s="10" t="s">
        <v>534</v>
      </c>
      <c r="K407" s="15">
        <v>0</v>
      </c>
      <c r="L407" s="17">
        <v>4616.468175</v>
      </c>
      <c r="M407" s="4" t="s">
        <v>1502</v>
      </c>
      <c r="N407" s="19">
        <v>1.929289</v>
      </c>
      <c r="O407" s="19">
        <v>4.3295000000000003</v>
      </c>
      <c r="P407" s="19">
        <v>0.27</v>
      </c>
      <c r="Q407" s="19">
        <v>4.4885000000000002</v>
      </c>
      <c r="R407" s="19">
        <v>2.08</v>
      </c>
      <c r="S407" s="19">
        <v>4.6181000000000001</v>
      </c>
      <c r="T407" s="19">
        <v>2.08</v>
      </c>
      <c r="U407" s="19">
        <v>4.7899000000000003</v>
      </c>
      <c r="V407" s="19">
        <v>3.7899989999999999</v>
      </c>
      <c r="W407" s="19">
        <v>4.6071</v>
      </c>
      <c r="X407" s="19">
        <v>3.7899989999999999</v>
      </c>
      <c r="Y407" s="19">
        <v>4.6071</v>
      </c>
      <c r="Z407" s="4"/>
      <c r="AA407" s="4"/>
      <c r="AB407" s="4" t="e">
        <f ca="1">_xll.ciqfunctions.udf.CIQ("^SPX", "IQ_PRICEDATE", "8/4/2015")</f>
        <v>#NAME?</v>
      </c>
      <c r="AC407" s="16">
        <v>2093.3239169262001</v>
      </c>
    </row>
    <row r="408" spans="1:29" x14ac:dyDescent="0.35">
      <c r="A408" s="2" t="s">
        <v>418</v>
      </c>
      <c r="B408" s="4" t="s">
        <v>1503</v>
      </c>
      <c r="C408" s="4" t="s">
        <v>530</v>
      </c>
      <c r="D408" s="4" t="s">
        <v>531</v>
      </c>
      <c r="E408" s="4" t="s">
        <v>532</v>
      </c>
      <c r="F408" s="4" t="s">
        <v>533</v>
      </c>
      <c r="G408" s="14">
        <v>176.23</v>
      </c>
      <c r="H408" s="10">
        <v>19.974844000000001</v>
      </c>
      <c r="I408" s="10">
        <v>62.233204999999998</v>
      </c>
      <c r="J408" s="10" t="s">
        <v>534</v>
      </c>
      <c r="K408" s="15">
        <v>1.0666999999999999E-2</v>
      </c>
      <c r="L408" s="17">
        <v>65908.344758000007</v>
      </c>
      <c r="M408" s="4" t="s">
        <v>1504</v>
      </c>
      <c r="N408" s="19">
        <v>2.8317679999999998</v>
      </c>
      <c r="O408" s="19">
        <v>7.5571000000000002</v>
      </c>
      <c r="P408" s="19">
        <v>2.68</v>
      </c>
      <c r="Q408" s="19">
        <v>6.9295999999999998</v>
      </c>
      <c r="R408" s="19">
        <v>4.3499999999999996</v>
      </c>
      <c r="S408" s="19">
        <v>6.2773000000000003</v>
      </c>
      <c r="T408" s="19">
        <v>4.3499999999999996</v>
      </c>
      <c r="U408" s="19">
        <v>5.4596999999999998</v>
      </c>
      <c r="V408" s="19">
        <v>1.34</v>
      </c>
      <c r="W408" s="19">
        <v>5.0968</v>
      </c>
      <c r="X408" s="19">
        <v>1.34</v>
      </c>
      <c r="Y408" s="19">
        <v>5.0968</v>
      </c>
      <c r="Z408" s="4"/>
      <c r="AA408" s="4"/>
      <c r="AB408" s="4" t="e">
        <f ca="1">_xll.ciqfunctions.udf.CIQ("^SPX", "IQ_PRICEDATE", "8/5/2015")</f>
        <v>#NAME?</v>
      </c>
      <c r="AC408" s="16">
        <v>2099.8422217912998</v>
      </c>
    </row>
    <row r="409" spans="1:29" x14ac:dyDescent="0.35">
      <c r="A409" s="2" t="s">
        <v>419</v>
      </c>
      <c r="B409" s="4" t="s">
        <v>1505</v>
      </c>
      <c r="C409" s="4" t="s">
        <v>573</v>
      </c>
      <c r="D409" s="4" t="s">
        <v>737</v>
      </c>
      <c r="E409" s="4" t="s">
        <v>737</v>
      </c>
      <c r="F409" s="4" t="s">
        <v>743</v>
      </c>
      <c r="G409" s="14">
        <v>62.42</v>
      </c>
      <c r="H409" s="10">
        <v>0</v>
      </c>
      <c r="I409" s="10">
        <v>11.747455</v>
      </c>
      <c r="J409" s="10">
        <v>1.8328139999999999</v>
      </c>
      <c r="K409" s="15">
        <v>3.2041E-2</v>
      </c>
      <c r="L409" s="17">
        <v>28758.766599999999</v>
      </c>
      <c r="M409" s="4" t="s">
        <v>1506</v>
      </c>
      <c r="N409" s="19">
        <v>5.313491</v>
      </c>
      <c r="O409" s="19">
        <v>5.5731999999999999</v>
      </c>
      <c r="P409" s="19">
        <v>4.47</v>
      </c>
      <c r="Q409" s="19">
        <v>4.3282999999999996</v>
      </c>
      <c r="R409" s="19">
        <v>3.6</v>
      </c>
      <c r="S409" s="19">
        <v>3.6676000000000002</v>
      </c>
      <c r="T409" s="19">
        <v>3.6</v>
      </c>
      <c r="U409" s="19">
        <v>3.5158</v>
      </c>
      <c r="V409" s="19">
        <v>3.23</v>
      </c>
      <c r="W409" s="19">
        <v>3.1966000000000001</v>
      </c>
      <c r="X409" s="19">
        <v>3.23</v>
      </c>
      <c r="Y409" s="19">
        <v>3.1966000000000001</v>
      </c>
      <c r="Z409" s="4"/>
      <c r="AA409" s="4"/>
      <c r="AB409" s="4" t="e">
        <f ca="1">_xll.ciqfunctions.udf.CIQ("^SPX", "IQ_PRICEDATE", "8/6/2015")</f>
        <v>#NAME?</v>
      </c>
      <c r="AC409" s="16">
        <v>2083.5585172903002</v>
      </c>
    </row>
    <row r="410" spans="1:29" x14ac:dyDescent="0.35">
      <c r="A410" s="2" t="s">
        <v>420</v>
      </c>
      <c r="B410" s="4" t="s">
        <v>1507</v>
      </c>
      <c r="C410" s="4" t="s">
        <v>573</v>
      </c>
      <c r="D410" s="4" t="s">
        <v>737</v>
      </c>
      <c r="E410" s="4" t="s">
        <v>737</v>
      </c>
      <c r="F410" s="4" t="s">
        <v>743</v>
      </c>
      <c r="G410" s="14">
        <v>296.98</v>
      </c>
      <c r="H410" s="10">
        <v>0</v>
      </c>
      <c r="I410" s="10">
        <v>22.780117000000001</v>
      </c>
      <c r="J410" s="10">
        <v>3.392801</v>
      </c>
      <c r="K410" s="15">
        <v>0</v>
      </c>
      <c r="L410" s="17">
        <v>15803.415614</v>
      </c>
      <c r="M410" s="4" t="s">
        <v>1508</v>
      </c>
      <c r="N410" s="19">
        <v>13.036807</v>
      </c>
      <c r="O410" s="19">
        <v>19.271699999999999</v>
      </c>
      <c r="P410" s="19">
        <v>9.1999999999999993</v>
      </c>
      <c r="Q410" s="19">
        <v>11.307</v>
      </c>
      <c r="R410" s="19">
        <v>7.31</v>
      </c>
      <c r="S410" s="19">
        <v>7.7786</v>
      </c>
      <c r="T410" s="19">
        <v>7.31</v>
      </c>
      <c r="U410" s="19">
        <v>6.8251999999999997</v>
      </c>
      <c r="V410" s="19">
        <v>5.31</v>
      </c>
      <c r="W410" s="19">
        <v>5.3982999999999999</v>
      </c>
      <c r="X410" s="19">
        <v>5.31</v>
      </c>
      <c r="Y410" s="19">
        <v>5.3982999999999999</v>
      </c>
      <c r="Z410" s="4"/>
      <c r="AA410" s="4"/>
      <c r="AB410" s="4" t="e">
        <f ca="1">_xll.ciqfunctions.udf.CIQ("^SPX", "IQ_PRICEDATE", "8/7/2015")</f>
        <v>#NAME?</v>
      </c>
      <c r="AC410" s="16">
        <v>2077.5684171683001</v>
      </c>
    </row>
    <row r="411" spans="1:29" x14ac:dyDescent="0.35">
      <c r="A411" s="2" t="s">
        <v>421</v>
      </c>
      <c r="B411" s="4" t="s">
        <v>1509</v>
      </c>
      <c r="C411" s="4" t="s">
        <v>543</v>
      </c>
      <c r="D411" s="4" t="s">
        <v>544</v>
      </c>
      <c r="E411" s="4" t="s">
        <v>555</v>
      </c>
      <c r="F411" s="4" t="s">
        <v>782</v>
      </c>
      <c r="G411" s="14">
        <v>20.57</v>
      </c>
      <c r="H411" s="10">
        <v>12.554335</v>
      </c>
      <c r="I411" s="10">
        <v>11.577239000000001</v>
      </c>
      <c r="J411" s="10" t="s">
        <v>534</v>
      </c>
      <c r="K411" s="15">
        <v>1.4584E-2</v>
      </c>
      <c r="L411" s="17">
        <v>12785.049988999999</v>
      </c>
      <c r="M411" s="4" t="s">
        <v>1510</v>
      </c>
      <c r="N411" s="19">
        <v>1.776762</v>
      </c>
      <c r="O411" s="19">
        <v>1.5720000000000001</v>
      </c>
      <c r="P411" s="19">
        <v>1.5471250000000001</v>
      </c>
      <c r="Q411" s="19">
        <v>1.83</v>
      </c>
      <c r="R411" s="19">
        <v>-1.7213579999999999</v>
      </c>
      <c r="S411" s="19">
        <v>1.3633999999999999</v>
      </c>
      <c r="T411" s="19">
        <v>-1.7213579999999999</v>
      </c>
      <c r="U411" s="19">
        <v>1.0382</v>
      </c>
      <c r="V411" s="19">
        <v>0.83640300000000001</v>
      </c>
      <c r="W411" s="19">
        <v>1.952</v>
      </c>
      <c r="X411" s="19">
        <v>0.83640300000000001</v>
      </c>
      <c r="Y411" s="19">
        <v>1.952</v>
      </c>
      <c r="Z411" s="4"/>
      <c r="AA411" s="4"/>
      <c r="AB411" s="4" t="e">
        <f ca="1">_xll.ciqfunctions.udf.CIQ("^SPX", "IQ_PRICEDATE", "8/10/2015")</f>
        <v>#NAME?</v>
      </c>
      <c r="AC411" s="16">
        <v>2104.1825034717999</v>
      </c>
    </row>
    <row r="412" spans="1:29" x14ac:dyDescent="0.35">
      <c r="A412" s="2" t="s">
        <v>422</v>
      </c>
      <c r="B412" s="4" t="s">
        <v>1511</v>
      </c>
      <c r="C412" s="4" t="s">
        <v>573</v>
      </c>
      <c r="D412" s="4" t="s">
        <v>574</v>
      </c>
      <c r="E412" s="4" t="s">
        <v>641</v>
      </c>
      <c r="F412" s="4" t="s">
        <v>641</v>
      </c>
      <c r="G412" s="14">
        <v>30.07</v>
      </c>
      <c r="H412" s="10">
        <v>0</v>
      </c>
      <c r="I412" s="10">
        <v>10.258984999999999</v>
      </c>
      <c r="J412" s="10">
        <v>1.785873</v>
      </c>
      <c r="K412" s="15">
        <v>2.7934E-2</v>
      </c>
      <c r="L412" s="17">
        <v>22272.431388000001</v>
      </c>
      <c r="M412" s="4" t="s">
        <v>1512</v>
      </c>
      <c r="N412" s="19">
        <v>2.9310890000000001</v>
      </c>
      <c r="O412" s="19">
        <v>3.6911999999999998</v>
      </c>
      <c r="P412" s="19">
        <v>2.42</v>
      </c>
      <c r="Q412" s="19">
        <v>2.9068000000000001</v>
      </c>
      <c r="R412" s="19">
        <v>2.71</v>
      </c>
      <c r="S412" s="19">
        <v>2.9849000000000001</v>
      </c>
      <c r="T412" s="19">
        <v>2.71</v>
      </c>
      <c r="U412" s="19">
        <v>2.75</v>
      </c>
      <c r="V412" s="19">
        <v>2.78</v>
      </c>
      <c r="W412" s="19">
        <v>2.5200999999999998</v>
      </c>
      <c r="X412" s="19">
        <v>2.78</v>
      </c>
      <c r="Y412" s="19">
        <v>2.5200999999999998</v>
      </c>
      <c r="Z412" s="4"/>
      <c r="AA412" s="4"/>
      <c r="AB412" s="4" t="e">
        <f ca="1">_xll.ciqfunctions.udf.CIQ("^SPX", "IQ_PRICEDATE", "8/11/2015")</f>
        <v>#NAME?</v>
      </c>
      <c r="AC412" s="16">
        <v>2084.0735079156998</v>
      </c>
    </row>
    <row r="413" spans="1:29" x14ac:dyDescent="0.35">
      <c r="A413" s="2" t="s">
        <v>423</v>
      </c>
      <c r="B413" s="4" t="s">
        <v>1513</v>
      </c>
      <c r="C413" s="4" t="s">
        <v>543</v>
      </c>
      <c r="D413" s="4" t="s">
        <v>544</v>
      </c>
      <c r="E413" s="4" t="s">
        <v>555</v>
      </c>
      <c r="F413" s="4" t="s">
        <v>556</v>
      </c>
      <c r="G413" s="14">
        <v>89.57</v>
      </c>
      <c r="H413" s="10">
        <v>25.671937</v>
      </c>
      <c r="I413" s="10">
        <v>241.57442699999999</v>
      </c>
      <c r="J413" s="10" t="s">
        <v>534</v>
      </c>
      <c r="K413" s="15">
        <v>0</v>
      </c>
      <c r="L413" s="17">
        <v>13309.036744000001</v>
      </c>
      <c r="M413" s="4" t="s">
        <v>1514</v>
      </c>
      <c r="N413" s="19">
        <v>0.37077599999999999</v>
      </c>
      <c r="O413" s="19">
        <v>3.9087000000000001</v>
      </c>
      <c r="P413" s="19">
        <v>0.88</v>
      </c>
      <c r="Q413" s="19">
        <v>3.5009999999999999</v>
      </c>
      <c r="R413" s="19">
        <v>1.73</v>
      </c>
      <c r="S413" s="19">
        <v>3.2007500000000002</v>
      </c>
      <c r="T413" s="19">
        <v>1.73</v>
      </c>
      <c r="U413" s="19">
        <v>2.9549099999999999</v>
      </c>
      <c r="V413" s="19">
        <v>1.64</v>
      </c>
      <c r="W413" s="19">
        <v>2.69</v>
      </c>
      <c r="X413" s="19">
        <v>1.64</v>
      </c>
      <c r="Y413" s="19">
        <v>2.69</v>
      </c>
      <c r="Z413" s="4"/>
      <c r="AA413" s="4"/>
      <c r="AB413" s="4" t="e">
        <f ca="1">_xll.ciqfunctions.udf.CIQ("^SPX", "IQ_PRICEDATE", "8/12/2015")</f>
        <v>#NAME?</v>
      </c>
      <c r="AC413" s="16">
        <v>2086.0464367455002</v>
      </c>
    </row>
    <row r="414" spans="1:29" x14ac:dyDescent="0.35">
      <c r="A414" s="2" t="s">
        <v>424</v>
      </c>
      <c r="B414" s="4" t="s">
        <v>1515</v>
      </c>
      <c r="C414" s="4" t="s">
        <v>626</v>
      </c>
      <c r="D414" s="4" t="s">
        <v>894</v>
      </c>
      <c r="E414" s="4" t="s">
        <v>894</v>
      </c>
      <c r="F414" s="4" t="s">
        <v>1516</v>
      </c>
      <c r="G414" s="14">
        <v>70.38</v>
      </c>
      <c r="H414" s="10">
        <v>13.652329999999999</v>
      </c>
      <c r="I414" s="10">
        <v>26.066666000000001</v>
      </c>
      <c r="J414" s="10" t="s">
        <v>534</v>
      </c>
      <c r="K414" s="15">
        <v>2.0459999999999999E-2</v>
      </c>
      <c r="L414" s="17">
        <v>36646.111455999999</v>
      </c>
      <c r="M414" s="4" t="s">
        <v>1517</v>
      </c>
      <c r="N414" s="19">
        <v>2.7</v>
      </c>
      <c r="O414" s="19">
        <v>3.5036</v>
      </c>
      <c r="P414" s="19">
        <v>2.226518</v>
      </c>
      <c r="Q414" s="19">
        <v>2.8266</v>
      </c>
      <c r="R414" s="19">
        <v>1.834436</v>
      </c>
      <c r="S414" s="19">
        <v>2.5177999999999998</v>
      </c>
      <c r="T414" s="19">
        <v>1.834436</v>
      </c>
      <c r="U414" s="19">
        <v>1.9779</v>
      </c>
      <c r="V414" s="19">
        <v>1.470086</v>
      </c>
      <c r="W414" s="19">
        <v>1.9001999999999999</v>
      </c>
      <c r="X414" s="19">
        <v>1.470086</v>
      </c>
      <c r="Y414" s="19">
        <v>1.9001999999999999</v>
      </c>
      <c r="Z414" s="4"/>
      <c r="AA414" s="4"/>
      <c r="AB414" s="4" t="e">
        <f ca="1">_xll.ciqfunctions.udf.CIQ("^SPX", "IQ_PRICEDATE", "8/13/2015")</f>
        <v>#NAME?</v>
      </c>
      <c r="AC414" s="16">
        <v>2083.3873035974002</v>
      </c>
    </row>
    <row r="415" spans="1:29" x14ac:dyDescent="0.35">
      <c r="A415" s="2" t="s">
        <v>425</v>
      </c>
      <c r="B415" s="4" t="s">
        <v>1518</v>
      </c>
      <c r="C415" s="4" t="s">
        <v>573</v>
      </c>
      <c r="D415" s="4" t="s">
        <v>574</v>
      </c>
      <c r="E415" s="4" t="s">
        <v>575</v>
      </c>
      <c r="F415" s="4" t="s">
        <v>576</v>
      </c>
      <c r="G415" s="14">
        <v>102.66</v>
      </c>
      <c r="H415" s="10">
        <v>10.073513999999999</v>
      </c>
      <c r="I415" s="10">
        <v>15.833651</v>
      </c>
      <c r="J415" s="10">
        <v>4.5816319999999999</v>
      </c>
      <c r="K415" s="15">
        <v>2.7274E-2</v>
      </c>
      <c r="L415" s="17">
        <v>24965.957569999999</v>
      </c>
      <c r="M415" s="4" t="s">
        <v>1519</v>
      </c>
      <c r="N415" s="19">
        <v>6.4836590000000003</v>
      </c>
      <c r="O415" s="19">
        <v>7.5735000000000001</v>
      </c>
      <c r="P415" s="19">
        <v>5.97</v>
      </c>
      <c r="Q415" s="19">
        <v>5.6021000000000001</v>
      </c>
      <c r="R415" s="19">
        <v>4.75</v>
      </c>
      <c r="S415" s="19">
        <v>4.8513999999999999</v>
      </c>
      <c r="T415" s="19">
        <v>4.75</v>
      </c>
      <c r="U415" s="19">
        <v>4.5837000000000003</v>
      </c>
      <c r="V415" s="19">
        <v>4.55</v>
      </c>
      <c r="W415" s="19">
        <v>4.7064000000000004</v>
      </c>
      <c r="X415" s="19">
        <v>4.55</v>
      </c>
      <c r="Y415" s="19">
        <v>4.7064000000000004</v>
      </c>
      <c r="Z415" s="4"/>
      <c r="AA415" s="4"/>
      <c r="AB415" s="4" t="e">
        <f ca="1">_xll.ciqfunctions.udf.CIQ("^SPX", "IQ_PRICEDATE", "8/14/2015")</f>
        <v>#NAME?</v>
      </c>
      <c r="AC415" s="16">
        <v>2091.5436408942001</v>
      </c>
    </row>
    <row r="416" spans="1:29" x14ac:dyDescent="0.35">
      <c r="A416" s="2" t="s">
        <v>426</v>
      </c>
      <c r="B416" s="4" t="s">
        <v>1520</v>
      </c>
      <c r="C416" s="4" t="s">
        <v>549</v>
      </c>
      <c r="D416" s="4" t="s">
        <v>550</v>
      </c>
      <c r="E416" s="4" t="s">
        <v>551</v>
      </c>
      <c r="F416" s="4" t="s">
        <v>552</v>
      </c>
      <c r="G416" s="14">
        <v>132.06</v>
      </c>
      <c r="H416" s="10">
        <v>59.969042000000002</v>
      </c>
      <c r="I416" s="10">
        <v>82.561235999999994</v>
      </c>
      <c r="J416" s="10">
        <v>22.838864000000001</v>
      </c>
      <c r="K416" s="15">
        <v>0</v>
      </c>
      <c r="L416" s="17">
        <v>15032.154337</v>
      </c>
      <c r="M416" s="4" t="s">
        <v>1521</v>
      </c>
      <c r="N416" s="19">
        <v>1.59954</v>
      </c>
      <c r="O416" s="19">
        <v>5.4131999999999998</v>
      </c>
      <c r="P416" s="19">
        <v>1.633982</v>
      </c>
      <c r="Q416" s="19">
        <v>3.8226</v>
      </c>
      <c r="R416" s="19">
        <v>0.16561600000000001</v>
      </c>
      <c r="S416" s="19">
        <v>1.6736</v>
      </c>
      <c r="T416" s="19">
        <v>0.16561600000000001</v>
      </c>
      <c r="U416" s="19">
        <v>1.1617999999999999</v>
      </c>
      <c r="V416" s="19">
        <v>-0.83181799999999995</v>
      </c>
      <c r="W416" s="19">
        <v>1.8036000000000001</v>
      </c>
      <c r="X416" s="19">
        <v>-0.83181799999999995</v>
      </c>
      <c r="Y416" s="19">
        <v>1.8036000000000001</v>
      </c>
      <c r="Z416" s="4"/>
      <c r="AA416" s="4"/>
      <c r="AB416" s="4" t="e">
        <f ca="1">_xll.ciqfunctions.udf.CIQ("^SPX", "IQ_PRICEDATE", "8/17/2015")</f>
        <v>#NAME?</v>
      </c>
      <c r="AC416" s="16">
        <v>2102.4363504756002</v>
      </c>
    </row>
    <row r="417" spans="1:29" x14ac:dyDescent="0.35">
      <c r="A417" s="2" t="s">
        <v>427</v>
      </c>
      <c r="B417" s="4" t="s">
        <v>1522</v>
      </c>
      <c r="C417" s="4" t="s">
        <v>559</v>
      </c>
      <c r="D417" s="4" t="s">
        <v>912</v>
      </c>
      <c r="E417" s="4" t="s">
        <v>1097</v>
      </c>
      <c r="F417" s="4" t="s">
        <v>1098</v>
      </c>
      <c r="G417" s="14">
        <v>43.99</v>
      </c>
      <c r="H417" s="10">
        <v>11.194981</v>
      </c>
      <c r="I417" s="10">
        <v>31.876811</v>
      </c>
      <c r="J417" s="10" t="s">
        <v>534</v>
      </c>
      <c r="K417" s="15">
        <v>3.0688E-2</v>
      </c>
      <c r="L417" s="17">
        <v>12740.810855</v>
      </c>
      <c r="M417" s="4" t="s">
        <v>1523</v>
      </c>
      <c r="N417" s="19">
        <v>1.38</v>
      </c>
      <c r="O417" s="19">
        <v>2.7761100000000001</v>
      </c>
      <c r="P417" s="19">
        <v>1.116808</v>
      </c>
      <c r="Q417" s="19">
        <v>2.4628000000000001</v>
      </c>
      <c r="R417" s="19">
        <v>1.8221339999999999</v>
      </c>
      <c r="S417" s="19">
        <v>2.1831</v>
      </c>
      <c r="T417" s="19">
        <v>1.8221339999999999</v>
      </c>
      <c r="U417" s="19">
        <v>1.9338</v>
      </c>
      <c r="V417" s="19">
        <v>2.0517210000000001</v>
      </c>
      <c r="W417" s="19">
        <v>1.8629</v>
      </c>
      <c r="X417" s="19">
        <v>2.0517210000000001</v>
      </c>
      <c r="Y417" s="19">
        <v>1.8629</v>
      </c>
      <c r="Z417" s="4"/>
      <c r="AA417" s="4"/>
      <c r="AB417" s="4" t="e">
        <f ca="1">_xll.ciqfunctions.udf.CIQ("^SPX", "IQ_PRICEDATE", "8/18/2015")</f>
        <v>#NAME?</v>
      </c>
      <c r="AC417" s="16">
        <v>2096.9193711046</v>
      </c>
    </row>
    <row r="418" spans="1:29" x14ac:dyDescent="0.35">
      <c r="A418" s="2" t="s">
        <v>428</v>
      </c>
      <c r="B418" s="4" t="s">
        <v>1524</v>
      </c>
      <c r="C418" s="4" t="s">
        <v>559</v>
      </c>
      <c r="D418" s="4" t="s">
        <v>560</v>
      </c>
      <c r="E418" s="4" t="s">
        <v>940</v>
      </c>
      <c r="F418" s="4" t="s">
        <v>941</v>
      </c>
      <c r="G418" s="14">
        <v>84.42</v>
      </c>
      <c r="H418" s="10">
        <v>8.2758509999999994</v>
      </c>
      <c r="I418" s="10">
        <v>14.801658</v>
      </c>
      <c r="J418" s="10">
        <v>3.9772940000000001</v>
      </c>
      <c r="K418" s="15">
        <v>3.0324E-2</v>
      </c>
      <c r="L418" s="17">
        <v>44434.550323000003</v>
      </c>
      <c r="M418" s="4" t="s">
        <v>1525</v>
      </c>
      <c r="N418" s="19">
        <v>5.7034149999999997</v>
      </c>
      <c r="O418" s="19">
        <v>5.5453000000000001</v>
      </c>
      <c r="P418" s="19">
        <v>4.7610070000000002</v>
      </c>
      <c r="Q418" s="19">
        <v>4.2606000000000002</v>
      </c>
      <c r="R418" s="19">
        <v>5.4889349999999997</v>
      </c>
      <c r="S418" s="19">
        <v>5.4146000000000001</v>
      </c>
      <c r="T418" s="19">
        <v>5.4889349999999997</v>
      </c>
      <c r="U418" s="19">
        <v>5.0492999999999997</v>
      </c>
      <c r="V418" s="19">
        <v>4.2760059999999998</v>
      </c>
      <c r="W418" s="19">
        <v>3.7113999999999998</v>
      </c>
      <c r="X418" s="19">
        <v>4.2760059999999998</v>
      </c>
      <c r="Y418" s="19">
        <v>3.7113999999999998</v>
      </c>
      <c r="Z418" s="4"/>
      <c r="AA418" s="4"/>
      <c r="AB418" s="4" t="e">
        <f ca="1">_xll.ciqfunctions.udf.CIQ("^SPX", "IQ_PRICEDATE", "8/19/2015")</f>
        <v>#NAME?</v>
      </c>
      <c r="AC418" s="16">
        <v>2079.6106568018999</v>
      </c>
    </row>
    <row r="419" spans="1:29" x14ac:dyDescent="0.35">
      <c r="A419" s="2" t="s">
        <v>429</v>
      </c>
      <c r="B419" s="4" t="s">
        <v>1526</v>
      </c>
      <c r="C419" s="4" t="s">
        <v>543</v>
      </c>
      <c r="D419" s="4" t="s">
        <v>664</v>
      </c>
      <c r="E419" s="4" t="s">
        <v>665</v>
      </c>
      <c r="F419" s="4" t="s">
        <v>1174</v>
      </c>
      <c r="G419" s="14">
        <v>79.55</v>
      </c>
      <c r="H419" s="10">
        <v>9.9439469999999996</v>
      </c>
      <c r="I419" s="10">
        <v>21.150727</v>
      </c>
      <c r="J419" s="10">
        <v>12.725485000000001</v>
      </c>
      <c r="K419" s="15">
        <v>2.2124000000000001E-2</v>
      </c>
      <c r="L419" s="17">
        <v>27719.892767000001</v>
      </c>
      <c r="M419" s="4" t="s">
        <v>1527</v>
      </c>
      <c r="N419" s="19">
        <v>3.7610999999999999</v>
      </c>
      <c r="O419" s="19">
        <v>5.7514000000000003</v>
      </c>
      <c r="P419" s="19">
        <v>3.4455290000000001</v>
      </c>
      <c r="Q419" s="19">
        <v>5.2727899999999996</v>
      </c>
      <c r="R419" s="19">
        <v>5.5997500000000002</v>
      </c>
      <c r="S419" s="19">
        <v>4.35914</v>
      </c>
      <c r="T419" s="19">
        <v>5.5997500000000002</v>
      </c>
      <c r="U419" s="19">
        <v>3.9870299999999999</v>
      </c>
      <c r="V419" s="19">
        <v>4.1699270000000004</v>
      </c>
      <c r="W419" s="19">
        <v>4.2041700000000004</v>
      </c>
      <c r="X419" s="19">
        <v>4.1699270000000004</v>
      </c>
      <c r="Y419" s="19">
        <v>4.2041700000000004</v>
      </c>
      <c r="Z419" s="4"/>
      <c r="AA419" s="4"/>
      <c r="AB419" s="4" t="e">
        <f ca="1">_xll.ciqfunctions.udf.CIQ("^SPX", "IQ_PRICEDATE", "8/20/2015")</f>
        <v>#NAME?</v>
      </c>
      <c r="AC419" s="16">
        <v>2035.7341442458001</v>
      </c>
    </row>
    <row r="420" spans="1:29" x14ac:dyDescent="0.35">
      <c r="A420" s="2" t="s">
        <v>430</v>
      </c>
      <c r="B420" s="4" t="s">
        <v>1528</v>
      </c>
      <c r="C420" s="4" t="s">
        <v>669</v>
      </c>
      <c r="D420" s="4" t="s">
        <v>669</v>
      </c>
      <c r="E420" s="4" t="s">
        <v>730</v>
      </c>
      <c r="F420" s="4" t="s">
        <v>731</v>
      </c>
      <c r="G420" s="14">
        <v>29.75</v>
      </c>
      <c r="H420" s="10">
        <v>6.1323049999999997</v>
      </c>
      <c r="I420" s="10">
        <v>83.140270000000001</v>
      </c>
      <c r="J420" s="10">
        <v>4.9993210000000001</v>
      </c>
      <c r="K420" s="15">
        <v>1.7478E-2</v>
      </c>
      <c r="L420" s="17">
        <v>13367.502199</v>
      </c>
      <c r="M420" s="4" t="s">
        <v>1529</v>
      </c>
      <c r="N420" s="19">
        <v>0.35782900000000001</v>
      </c>
      <c r="O420" s="19">
        <v>1.4746999999999999</v>
      </c>
      <c r="P420" s="19">
        <v>0.24</v>
      </c>
      <c r="Q420" s="19">
        <v>1.4136</v>
      </c>
      <c r="R420" s="19">
        <v>3.155875</v>
      </c>
      <c r="S420" s="19">
        <v>0</v>
      </c>
      <c r="T420" s="19">
        <v>3.155875</v>
      </c>
      <c r="U420" s="19">
        <v>0</v>
      </c>
      <c r="V420" s="19">
        <v>4.4177049999999998</v>
      </c>
      <c r="W420" s="19">
        <v>0</v>
      </c>
      <c r="X420" s="19">
        <v>4.4177049999999998</v>
      </c>
      <c r="Y420" s="19">
        <v>0</v>
      </c>
      <c r="Z420" s="4"/>
      <c r="AA420" s="4"/>
      <c r="AB420" s="4" t="e">
        <f ca="1">_xll.ciqfunctions.udf.CIQ("^SPX", "IQ_PRICEDATE", "8/21/2015")</f>
        <v>#NAME?</v>
      </c>
      <c r="AC420" s="16">
        <v>1970.8890645414001</v>
      </c>
    </row>
    <row r="421" spans="1:29" x14ac:dyDescent="0.35">
      <c r="A421" s="2" t="s">
        <v>431</v>
      </c>
      <c r="B421" s="4" t="s">
        <v>1530</v>
      </c>
      <c r="C421" s="4" t="s">
        <v>543</v>
      </c>
      <c r="D421" s="4" t="s">
        <v>565</v>
      </c>
      <c r="E421" s="4" t="s">
        <v>565</v>
      </c>
      <c r="F421" s="4" t="s">
        <v>566</v>
      </c>
      <c r="G421" s="14">
        <v>101.54</v>
      </c>
      <c r="H421" s="10">
        <v>13.291926999999999</v>
      </c>
      <c r="I421" s="10">
        <v>23.360717000000001</v>
      </c>
      <c r="J421" s="10">
        <v>18.376128000000001</v>
      </c>
      <c r="K421" s="15">
        <v>3.0331999999999998E-2</v>
      </c>
      <c r="L421" s="17">
        <v>98716.687611000001</v>
      </c>
      <c r="M421" s="4" t="s">
        <v>1531</v>
      </c>
      <c r="N421" s="19">
        <v>4.3466129999999996</v>
      </c>
      <c r="O421" s="19">
        <v>5.9795999999999996</v>
      </c>
      <c r="P421" s="19">
        <v>3.605731</v>
      </c>
      <c r="Q421" s="19">
        <v>4.6287000000000003</v>
      </c>
      <c r="R421" s="19">
        <v>3.4779620000000002</v>
      </c>
      <c r="S421" s="19">
        <v>3.5226999999999999</v>
      </c>
      <c r="T421" s="19">
        <v>3.4779620000000002</v>
      </c>
      <c r="U421" s="19">
        <v>3.0630999999999999</v>
      </c>
      <c r="V421" s="19">
        <v>2.572222</v>
      </c>
      <c r="W421" s="19">
        <v>3.0369000000000002</v>
      </c>
      <c r="X421" s="19">
        <v>2.572222</v>
      </c>
      <c r="Y421" s="19">
        <v>3.0369000000000002</v>
      </c>
      <c r="Z421" s="4"/>
      <c r="AA421" s="4"/>
      <c r="AB421" s="4" t="e">
        <f ca="1">_xll.ciqfunctions.udf.CIQ("^SPX", "IQ_PRICEDATE", "8/24/2015")</f>
        <v>#NAME?</v>
      </c>
      <c r="AC421" s="16">
        <v>1893.2139388332</v>
      </c>
    </row>
    <row r="422" spans="1:29" x14ac:dyDescent="0.35">
      <c r="A422" s="2" t="s">
        <v>432</v>
      </c>
      <c r="B422" s="4" t="s">
        <v>1532</v>
      </c>
      <c r="C422" s="4" t="s">
        <v>525</v>
      </c>
      <c r="D422" s="4" t="s">
        <v>526</v>
      </c>
      <c r="E422" s="4" t="s">
        <v>703</v>
      </c>
      <c r="F422" s="4" t="s">
        <v>703</v>
      </c>
      <c r="G422" s="14">
        <v>64.78</v>
      </c>
      <c r="H422" s="10">
        <v>12.349684</v>
      </c>
      <c r="I422" s="10">
        <v>36.645721999999999</v>
      </c>
      <c r="J422" s="10">
        <v>5.110741</v>
      </c>
      <c r="K422" s="15">
        <v>1.2339999999999999E-3</v>
      </c>
      <c r="L422" s="17">
        <v>16092.053631999999</v>
      </c>
      <c r="M422" s="4" t="s">
        <v>1533</v>
      </c>
      <c r="N422" s="19">
        <v>1.7677369999999999</v>
      </c>
      <c r="O422" s="19">
        <v>3.4117999999999999</v>
      </c>
      <c r="P422" s="19">
        <v>1.1399999999999999</v>
      </c>
      <c r="Q422" s="19">
        <v>2.6858</v>
      </c>
      <c r="R422" s="19">
        <v>3.09</v>
      </c>
      <c r="S422" s="19">
        <v>2.8826999999999998</v>
      </c>
      <c r="T422" s="19">
        <v>3.09</v>
      </c>
      <c r="U422" s="19">
        <v>2.7608000000000001</v>
      </c>
      <c r="V422" s="19">
        <v>1.9911080000000001</v>
      </c>
      <c r="W422" s="19">
        <v>2.4639000000000002</v>
      </c>
      <c r="X422" s="19">
        <v>1.9911080000000001</v>
      </c>
      <c r="Y422" s="19">
        <v>2.4639000000000002</v>
      </c>
      <c r="Z422" s="4"/>
      <c r="AA422" s="4"/>
      <c r="AB422" s="4" t="e">
        <f ca="1">_xll.ciqfunctions.udf.CIQ("^SPX", "IQ_PRICEDATE", "8/25/2015")</f>
        <v>#NAME?</v>
      </c>
      <c r="AC422" s="16">
        <v>1867.6109248626999</v>
      </c>
    </row>
    <row r="423" spans="1:29" x14ac:dyDescent="0.35">
      <c r="A423" s="2" t="s">
        <v>433</v>
      </c>
      <c r="B423" s="4" t="s">
        <v>1534</v>
      </c>
      <c r="C423" s="4" t="s">
        <v>619</v>
      </c>
      <c r="D423" s="4" t="s">
        <v>619</v>
      </c>
      <c r="E423" s="4" t="s">
        <v>1354</v>
      </c>
      <c r="F423" s="4" t="s">
        <v>1355</v>
      </c>
      <c r="G423" s="14">
        <v>15.08</v>
      </c>
      <c r="H423" s="10">
        <v>8.4477840000000004</v>
      </c>
      <c r="I423" s="10">
        <v>40.654460999999998</v>
      </c>
      <c r="J423" s="10">
        <v>5.2256970000000003</v>
      </c>
      <c r="K423" s="15">
        <v>3.4481999999999999E-2</v>
      </c>
      <c r="L423" s="17">
        <v>9978.1866669999999</v>
      </c>
      <c r="M423" s="4" t="s">
        <v>1535</v>
      </c>
      <c r="N423" s="19">
        <v>0.37093100000000001</v>
      </c>
      <c r="O423" s="19">
        <v>1.3411</v>
      </c>
      <c r="P423" s="19">
        <v>-0.77</v>
      </c>
      <c r="Q423" s="19">
        <v>1.2398</v>
      </c>
      <c r="R423" s="19">
        <v>-0.04</v>
      </c>
      <c r="S423" s="19">
        <v>1.252</v>
      </c>
      <c r="T423" s="19">
        <v>-0.04</v>
      </c>
      <c r="U423" s="19">
        <v>1.2125999999999999</v>
      </c>
      <c r="V423" s="19">
        <v>0.97</v>
      </c>
      <c r="W423" s="19">
        <v>1.2941</v>
      </c>
      <c r="X423" s="19">
        <v>0.97</v>
      </c>
      <c r="Y423" s="19">
        <v>1.2941</v>
      </c>
      <c r="Z423" s="4"/>
      <c r="AA423" s="4"/>
      <c r="AB423" s="4" t="e">
        <f ca="1">_xll.ciqfunctions.udf.CIQ("^SPX", "IQ_PRICEDATE", "8/26/2015")</f>
        <v>#NAME?</v>
      </c>
      <c r="AC423" s="16">
        <v>1940.5107172512</v>
      </c>
    </row>
    <row r="424" spans="1:29" x14ac:dyDescent="0.35">
      <c r="A424" s="2" t="s">
        <v>434</v>
      </c>
      <c r="B424" s="4" t="s">
        <v>1536</v>
      </c>
      <c r="C424" s="4" t="s">
        <v>573</v>
      </c>
      <c r="D424" s="4" t="s">
        <v>579</v>
      </c>
      <c r="E424" s="4" t="s">
        <v>579</v>
      </c>
      <c r="F424" s="4" t="s">
        <v>842</v>
      </c>
      <c r="G424" s="14">
        <v>95.75</v>
      </c>
      <c r="H424" s="10">
        <v>7.9077229999999998</v>
      </c>
      <c r="I424" s="10">
        <v>10.059168</v>
      </c>
      <c r="J424" s="10">
        <v>1.8381879999999999</v>
      </c>
      <c r="K424" s="15">
        <v>1.9216E-2</v>
      </c>
      <c r="L424" s="17">
        <v>33151.747990999997</v>
      </c>
      <c r="M424" s="4" t="s">
        <v>1537</v>
      </c>
      <c r="N424" s="19">
        <v>9.5186790000000006</v>
      </c>
      <c r="O424" s="19">
        <v>8.8592999999999993</v>
      </c>
      <c r="P424" s="19">
        <v>8.36</v>
      </c>
      <c r="Q424" s="19">
        <v>6.9157000000000002</v>
      </c>
      <c r="R424" s="19">
        <v>4.67</v>
      </c>
      <c r="S424" s="19">
        <v>5.8446999999999996</v>
      </c>
      <c r="T424" s="19">
        <v>4.67</v>
      </c>
      <c r="U424" s="19">
        <v>5.1920000000000002</v>
      </c>
      <c r="V424" s="19">
        <v>6.27</v>
      </c>
      <c r="W424" s="19">
        <v>5.6212</v>
      </c>
      <c r="X424" s="19">
        <v>6.27</v>
      </c>
      <c r="Y424" s="19">
        <v>5.6212</v>
      </c>
      <c r="Z424" s="4"/>
      <c r="AA424" s="4"/>
      <c r="AB424" s="4" t="e">
        <f ca="1">_xll.ciqfunctions.udf.CIQ("^SPX", "IQ_PRICEDATE", "8/27/2015")</f>
        <v>#NAME?</v>
      </c>
      <c r="AC424" s="16">
        <v>1987.6624923115</v>
      </c>
    </row>
    <row r="425" spans="1:29" x14ac:dyDescent="0.35">
      <c r="A425" s="2" t="s">
        <v>435</v>
      </c>
      <c r="B425" s="4" t="s">
        <v>1538</v>
      </c>
      <c r="C425" s="4" t="s">
        <v>573</v>
      </c>
      <c r="D425" s="4" t="s">
        <v>574</v>
      </c>
      <c r="E425" s="4" t="s">
        <v>575</v>
      </c>
      <c r="F425" s="4" t="s">
        <v>576</v>
      </c>
      <c r="G425" s="14">
        <v>49.15</v>
      </c>
      <c r="H425" s="10">
        <v>0</v>
      </c>
      <c r="I425" s="10">
        <v>11.81385</v>
      </c>
      <c r="J425" s="10">
        <v>3.1329940000000001</v>
      </c>
      <c r="K425" s="15">
        <v>2.2787000000000002E-2</v>
      </c>
      <c r="L425" s="17">
        <v>49147.276450999998</v>
      </c>
      <c r="M425" s="4" t="s">
        <v>1539</v>
      </c>
      <c r="N425" s="19">
        <v>4.1603709999999996</v>
      </c>
      <c r="O425" s="19">
        <v>4.2137000000000002</v>
      </c>
      <c r="P425" s="19">
        <v>3.72</v>
      </c>
      <c r="Q425" s="19">
        <v>3.8774999999999999</v>
      </c>
      <c r="R425" s="19">
        <v>3.15</v>
      </c>
      <c r="S425" s="19">
        <v>3.4152</v>
      </c>
      <c r="T425" s="19">
        <v>3.15</v>
      </c>
      <c r="U425" s="19">
        <v>2.9577</v>
      </c>
      <c r="V425" s="19">
        <v>2.15</v>
      </c>
      <c r="W425" s="19">
        <v>2.5171000000000001</v>
      </c>
      <c r="X425" s="19">
        <v>2.15</v>
      </c>
      <c r="Y425" s="19">
        <v>2.5171000000000001</v>
      </c>
      <c r="Z425" s="4"/>
      <c r="AA425" s="4"/>
      <c r="AB425" s="4" t="e">
        <f ca="1">_xll.ciqfunctions.udf.CIQ("^SPX", "IQ_PRICEDATE", "8/28/2015")</f>
        <v>#NAME?</v>
      </c>
      <c r="AC425" s="16">
        <v>1988.8714072271</v>
      </c>
    </row>
    <row r="426" spans="1:29" x14ac:dyDescent="0.35">
      <c r="A426" s="2" t="s">
        <v>436</v>
      </c>
      <c r="B426" s="4" t="s">
        <v>1540</v>
      </c>
      <c r="C426" s="4" t="s">
        <v>525</v>
      </c>
      <c r="D426" s="4" t="s">
        <v>526</v>
      </c>
      <c r="E426" s="4" t="s">
        <v>703</v>
      </c>
      <c r="F426" s="4" t="s">
        <v>703</v>
      </c>
      <c r="G426" s="14">
        <v>365.5</v>
      </c>
      <c r="H426" s="10">
        <v>16.268211999999998</v>
      </c>
      <c r="I426" s="10">
        <v>22.956282999999999</v>
      </c>
      <c r="J426" s="10" t="s">
        <v>534</v>
      </c>
      <c r="K426" s="15">
        <v>1.8713999999999998E-2</v>
      </c>
      <c r="L426" s="17">
        <v>209982.78876699999</v>
      </c>
      <c r="M426" s="4" t="s">
        <v>1541</v>
      </c>
      <c r="N426" s="19">
        <v>15.921567</v>
      </c>
      <c r="O426" s="19">
        <v>15.833299999999999</v>
      </c>
      <c r="P426" s="19">
        <v>13.43</v>
      </c>
      <c r="Q426" s="19">
        <v>10.849</v>
      </c>
      <c r="R426" s="19">
        <v>7.61</v>
      </c>
      <c r="S426" s="19">
        <v>9.0985999999999994</v>
      </c>
      <c r="T426" s="19">
        <v>7.61</v>
      </c>
      <c r="U426" s="19">
        <v>9.1153999999999993</v>
      </c>
      <c r="V426" s="19">
        <v>7.38</v>
      </c>
      <c r="W426" s="19">
        <v>8.4928000000000008</v>
      </c>
      <c r="X426" s="19">
        <v>7.38</v>
      </c>
      <c r="Y426" s="19">
        <v>8.4928000000000008</v>
      </c>
      <c r="Z426" s="4"/>
      <c r="AA426" s="4"/>
      <c r="AB426" s="4" t="e">
        <f ca="1">_xll.ciqfunctions.udf.CIQ("^SPX", "IQ_PRICEDATE", "8/31/2015")</f>
        <v>#NAME?</v>
      </c>
      <c r="AC426" s="16">
        <v>1972.1846887109</v>
      </c>
    </row>
    <row r="427" spans="1:29" x14ac:dyDescent="0.35">
      <c r="A427" s="2" t="s">
        <v>437</v>
      </c>
      <c r="B427" s="4" t="s">
        <v>1542</v>
      </c>
      <c r="C427" s="4" t="s">
        <v>573</v>
      </c>
      <c r="D427" s="4" t="s">
        <v>574</v>
      </c>
      <c r="E427" s="4" t="s">
        <v>575</v>
      </c>
      <c r="F427" s="4" t="s">
        <v>963</v>
      </c>
      <c r="G427" s="14">
        <v>48.04</v>
      </c>
      <c r="H427" s="10">
        <v>0</v>
      </c>
      <c r="I427" s="10">
        <v>21.928412999999999</v>
      </c>
      <c r="J427" s="10">
        <v>3.1202899999999998</v>
      </c>
      <c r="K427" s="15">
        <v>1.0824E-2</v>
      </c>
      <c r="L427" s="17">
        <v>64905.056095</v>
      </c>
      <c r="M427" s="4" t="s">
        <v>1543</v>
      </c>
      <c r="N427" s="19">
        <v>2.1907649999999999</v>
      </c>
      <c r="O427" s="19">
        <v>2.7970000000000002</v>
      </c>
      <c r="P427" s="19">
        <v>1.61</v>
      </c>
      <c r="Q427" s="19">
        <v>1.8414999999999999</v>
      </c>
      <c r="R427" s="19">
        <v>1.31</v>
      </c>
      <c r="S427" s="19">
        <v>1.5119</v>
      </c>
      <c r="T427" s="19">
        <v>1.31</v>
      </c>
      <c r="U427" s="19">
        <v>1.2218</v>
      </c>
      <c r="V427" s="19">
        <v>0.95</v>
      </c>
      <c r="W427" s="19">
        <v>1.0673999999999999</v>
      </c>
      <c r="X427" s="19">
        <v>0.95</v>
      </c>
      <c r="Y427" s="19">
        <v>1.0673999999999999</v>
      </c>
      <c r="Z427" s="4"/>
      <c r="AA427" s="4"/>
      <c r="AB427" s="4" t="e">
        <f ca="1">_xll.ciqfunctions.udf.CIQ("^SPX", "IQ_PRICEDATE", "9/1/2015")</f>
        <v>#NAME?</v>
      </c>
      <c r="AC427" s="16">
        <v>1913.8526947388</v>
      </c>
    </row>
    <row r="428" spans="1:29" x14ac:dyDescent="0.35">
      <c r="A428" s="2" t="s">
        <v>438</v>
      </c>
      <c r="B428" s="4" t="s">
        <v>1544</v>
      </c>
      <c r="C428" s="4" t="s">
        <v>626</v>
      </c>
      <c r="D428" s="4" t="s">
        <v>845</v>
      </c>
      <c r="E428" s="4" t="s">
        <v>846</v>
      </c>
      <c r="F428" s="4" t="s">
        <v>846</v>
      </c>
      <c r="G428" s="14">
        <v>149.43</v>
      </c>
      <c r="H428" s="10">
        <v>16.537621000000001</v>
      </c>
      <c r="I428" s="10">
        <v>23.870607</v>
      </c>
      <c r="J428" s="10" t="s">
        <v>534</v>
      </c>
      <c r="K428" s="15">
        <v>2.5697000000000001E-2</v>
      </c>
      <c r="L428" s="17">
        <v>19080.757345000002</v>
      </c>
      <c r="M428" s="4" t="s">
        <v>1545</v>
      </c>
      <c r="N428" s="19">
        <v>6.26</v>
      </c>
      <c r="O428" s="19">
        <v>6.4449699999999996</v>
      </c>
      <c r="P428" s="19">
        <v>6.0693510000000002</v>
      </c>
      <c r="Q428" s="19">
        <v>5.6807999999999996</v>
      </c>
      <c r="R428" s="19">
        <v>4.9698950000000002</v>
      </c>
      <c r="S428" s="19">
        <v>5.4089999999999998</v>
      </c>
      <c r="T428" s="19">
        <v>4.9698950000000002</v>
      </c>
      <c r="U428" s="19">
        <v>4.9394</v>
      </c>
      <c r="V428" s="19">
        <v>4.5105890000000004</v>
      </c>
      <c r="W428" s="19">
        <v>4.5160999999999998</v>
      </c>
      <c r="X428" s="19">
        <v>4.5105890000000004</v>
      </c>
      <c r="Y428" s="19">
        <v>4.5160999999999998</v>
      </c>
      <c r="Z428" s="4"/>
      <c r="AA428" s="4"/>
      <c r="AB428" s="4" t="e">
        <f ca="1">_xll.ciqfunctions.udf.CIQ("^SPX", "IQ_PRICEDATE", "9/2/2015")</f>
        <v>#NAME?</v>
      </c>
      <c r="AC428" s="16">
        <v>1948.8626025962999</v>
      </c>
    </row>
    <row r="429" spans="1:29" x14ac:dyDescent="0.35">
      <c r="A429" s="2" t="s">
        <v>439</v>
      </c>
      <c r="B429" s="4" t="s">
        <v>1546</v>
      </c>
      <c r="C429" s="4" t="s">
        <v>626</v>
      </c>
      <c r="D429" s="4" t="s">
        <v>627</v>
      </c>
      <c r="E429" s="4" t="s">
        <v>775</v>
      </c>
      <c r="F429" s="4" t="s">
        <v>1298</v>
      </c>
      <c r="G429" s="14">
        <v>45.86</v>
      </c>
      <c r="H429" s="10">
        <v>18.702285</v>
      </c>
      <c r="I429" s="10">
        <v>90.363106999999999</v>
      </c>
      <c r="J429" s="10">
        <v>133.49945500000001</v>
      </c>
      <c r="K429" s="15">
        <v>3.4016000000000005E-2</v>
      </c>
      <c r="L429" s="17">
        <v>195039.023419</v>
      </c>
      <c r="M429" s="4" t="s">
        <v>1547</v>
      </c>
      <c r="N429" s="19">
        <v>0.50750799999999996</v>
      </c>
      <c r="O429" s="19">
        <v>2.1431</v>
      </c>
      <c r="P429" s="19">
        <v>0.26849200000000001</v>
      </c>
      <c r="Q429" s="19">
        <v>1.9507000000000001</v>
      </c>
      <c r="R429" s="19">
        <v>1.49</v>
      </c>
      <c r="S429" s="19">
        <v>1.9345000000000001</v>
      </c>
      <c r="T429" s="19">
        <v>1.49</v>
      </c>
      <c r="U429" s="19">
        <v>2.0082</v>
      </c>
      <c r="V429" s="19">
        <v>1.6</v>
      </c>
      <c r="W429" s="19">
        <v>2.0051000000000001</v>
      </c>
      <c r="X429" s="19">
        <v>1.6</v>
      </c>
      <c r="Y429" s="19">
        <v>2.0051000000000001</v>
      </c>
      <c r="Z429" s="4"/>
      <c r="AA429" s="4"/>
      <c r="AB429" s="4" t="e">
        <f ca="1">_xll.ciqfunctions.udf.CIQ("^SPX", "IQ_PRICEDATE", "9/3/2015")</f>
        <v>#NAME?</v>
      </c>
      <c r="AC429" s="16">
        <v>1951.1277803734999</v>
      </c>
    </row>
    <row r="430" spans="1:29" x14ac:dyDescent="0.35">
      <c r="A430" s="2" t="s">
        <v>440</v>
      </c>
      <c r="B430" s="4" t="s">
        <v>1548</v>
      </c>
      <c r="C430" s="4" t="s">
        <v>530</v>
      </c>
      <c r="D430" s="4" t="s">
        <v>531</v>
      </c>
      <c r="E430" s="4" t="s">
        <v>532</v>
      </c>
      <c r="F430" s="4" t="s">
        <v>608</v>
      </c>
      <c r="G430" s="14">
        <v>264.27999999999997</v>
      </c>
      <c r="H430" s="10">
        <v>19.112124000000001</v>
      </c>
      <c r="I430" s="10">
        <v>102.52654099999999</v>
      </c>
      <c r="J430" s="10" t="s">
        <v>534</v>
      </c>
      <c r="K430" s="15">
        <v>2.2700000000000002E-4</v>
      </c>
      <c r="L430" s="17">
        <v>12986.635158999999</v>
      </c>
      <c r="M430" s="4" t="s">
        <v>1549</v>
      </c>
      <c r="N430" s="19">
        <v>2.577674</v>
      </c>
      <c r="O430" s="19">
        <v>11.926</v>
      </c>
      <c r="P430" s="19">
        <v>7.52</v>
      </c>
      <c r="Q430" s="19">
        <v>11.5067</v>
      </c>
      <c r="R430" s="19">
        <v>5.59</v>
      </c>
      <c r="S430" s="19">
        <v>9.1911199999999997</v>
      </c>
      <c r="T430" s="19">
        <v>5.59</v>
      </c>
      <c r="U430" s="19">
        <v>7.7448600000000001</v>
      </c>
      <c r="V430" s="19">
        <v>5.51</v>
      </c>
      <c r="W430" s="19">
        <v>7.5372700000000004</v>
      </c>
      <c r="X430" s="19">
        <v>5.51</v>
      </c>
      <c r="Y430" s="19">
        <v>7.5372700000000004</v>
      </c>
      <c r="Z430" s="4"/>
      <c r="AA430" s="4"/>
      <c r="AB430" s="4" t="e">
        <f ca="1">_xll.ciqfunctions.udf.CIQ("^SPX", "IQ_PRICEDATE", "9/4/2015")</f>
        <v>#NAME?</v>
      </c>
      <c r="AC430" s="16">
        <v>1921.2244033136001</v>
      </c>
    </row>
    <row r="431" spans="1:29" x14ac:dyDescent="0.35">
      <c r="A431" s="2" t="s">
        <v>441</v>
      </c>
      <c r="B431" s="4" t="s">
        <v>1550</v>
      </c>
      <c r="C431" s="4" t="s">
        <v>626</v>
      </c>
      <c r="D431" s="4" t="s">
        <v>845</v>
      </c>
      <c r="E431" s="4" t="s">
        <v>898</v>
      </c>
      <c r="F431" s="4" t="s">
        <v>898</v>
      </c>
      <c r="G431" s="14">
        <v>128.82</v>
      </c>
      <c r="H431" s="10">
        <v>17.230432</v>
      </c>
      <c r="I431" s="10">
        <v>43.667796000000003</v>
      </c>
      <c r="J431" s="10">
        <v>31.827508999999999</v>
      </c>
      <c r="K431" s="15">
        <v>1.1798999999999999E-2</v>
      </c>
      <c r="L431" s="17">
        <v>47204.676488999998</v>
      </c>
      <c r="M431" s="4" t="s">
        <v>1551</v>
      </c>
      <c r="N431" s="19">
        <v>2.95</v>
      </c>
      <c r="O431" s="19">
        <v>4.7648099999999998</v>
      </c>
      <c r="P431" s="19">
        <v>2.8703150000000002</v>
      </c>
      <c r="Q431" s="19">
        <v>4.2493999999999996</v>
      </c>
      <c r="R431" s="19">
        <v>2.8938329999999999</v>
      </c>
      <c r="S431" s="19">
        <v>3.4948000000000001</v>
      </c>
      <c r="T431" s="19">
        <v>2.8938329999999999</v>
      </c>
      <c r="U431" s="19">
        <v>3.2808000000000002</v>
      </c>
      <c r="V431" s="19">
        <v>2.9039860000000002</v>
      </c>
      <c r="W431" s="19">
        <v>3.0964</v>
      </c>
      <c r="X431" s="19">
        <v>2.9039860000000002</v>
      </c>
      <c r="Y431" s="19">
        <v>3.0964</v>
      </c>
      <c r="Z431" s="4"/>
      <c r="AA431" s="4"/>
      <c r="AB431" s="4" t="e">
        <f ca="1">_xll.ciqfunctions.udf.CIQ("^SPX", "IQ_PRICEDATE", "9/8/2015")</f>
        <v>#NAME?</v>
      </c>
      <c r="AC431" s="16">
        <v>1969.4145121332001</v>
      </c>
    </row>
    <row r="432" spans="1:29" x14ac:dyDescent="0.35">
      <c r="A432" s="2" t="s">
        <v>442</v>
      </c>
      <c r="B432" s="4" t="s">
        <v>1552</v>
      </c>
      <c r="C432" s="4" t="s">
        <v>559</v>
      </c>
      <c r="D432" s="4" t="s">
        <v>560</v>
      </c>
      <c r="E432" s="4" t="s">
        <v>561</v>
      </c>
      <c r="F432" s="4" t="s">
        <v>1051</v>
      </c>
      <c r="G432" s="14">
        <v>27.13</v>
      </c>
      <c r="H432" s="10">
        <v>5.1922379999999997</v>
      </c>
      <c r="I432" s="10">
        <v>11.899122</v>
      </c>
      <c r="J432" s="10">
        <v>3.1272600000000002</v>
      </c>
      <c r="K432" s="15">
        <v>3.5753E-2</v>
      </c>
      <c r="L432" s="17">
        <v>10437.135745</v>
      </c>
      <c r="M432" s="4" t="s">
        <v>1553</v>
      </c>
      <c r="N432" s="19">
        <v>2.2799999999999998</v>
      </c>
      <c r="O432" s="19">
        <v>2.6046999999999998</v>
      </c>
      <c r="P432" s="19">
        <v>2.1695669999999998</v>
      </c>
      <c r="Q432" s="19">
        <v>2.1579000000000002</v>
      </c>
      <c r="R432" s="19">
        <v>1.6796</v>
      </c>
      <c r="S432" s="19">
        <v>2.0004</v>
      </c>
      <c r="T432" s="19">
        <v>1.6796</v>
      </c>
      <c r="U432" s="19">
        <v>2.3855</v>
      </c>
      <c r="V432" s="19">
        <v>2.7887849999999998</v>
      </c>
      <c r="W432" s="19">
        <v>2.9359999999999999</v>
      </c>
      <c r="X432" s="19">
        <v>2.7887849999999998</v>
      </c>
      <c r="Y432" s="19">
        <v>2.9359999999999999</v>
      </c>
      <c r="Z432" s="4"/>
      <c r="AA432" s="4"/>
      <c r="AB432" s="4" t="e">
        <f ca="1">_xll.ciqfunctions.udf.CIQ("^SPX", "IQ_PRICEDATE", "9/9/2015")</f>
        <v>#NAME?</v>
      </c>
      <c r="AC432" s="16">
        <v>1942.0378135220001</v>
      </c>
    </row>
    <row r="433" spans="1:29" x14ac:dyDescent="0.35">
      <c r="A433" s="2" t="s">
        <v>443</v>
      </c>
      <c r="B433" s="4" t="s">
        <v>1554</v>
      </c>
      <c r="C433" s="4" t="s">
        <v>573</v>
      </c>
      <c r="D433" s="4" t="s">
        <v>574</v>
      </c>
      <c r="E433" s="4" t="s">
        <v>575</v>
      </c>
      <c r="F433" s="4" t="s">
        <v>963</v>
      </c>
      <c r="G433" s="14">
        <v>228.28</v>
      </c>
      <c r="H433" s="10">
        <v>0</v>
      </c>
      <c r="I433" s="10">
        <v>16.653438999999999</v>
      </c>
      <c r="J433" s="10">
        <v>1.16072</v>
      </c>
      <c r="K433" s="15">
        <v>1.4017E-2</v>
      </c>
      <c r="L433" s="17">
        <v>86188.535271000001</v>
      </c>
      <c r="M433" s="4" t="s">
        <v>1555</v>
      </c>
      <c r="N433" s="19">
        <v>13.707679000000001</v>
      </c>
      <c r="O433" s="19">
        <v>24.1952</v>
      </c>
      <c r="P433" s="19">
        <v>9.0075769999999995</v>
      </c>
      <c r="Q433" s="19">
        <v>19.676500000000001</v>
      </c>
      <c r="R433" s="19">
        <v>16.288208999999998</v>
      </c>
      <c r="S433" s="19">
        <v>17.8263</v>
      </c>
      <c r="T433" s="19">
        <v>16.288208999999998</v>
      </c>
      <c r="U433" s="19">
        <v>18.084700000000002</v>
      </c>
      <c r="V433" s="19">
        <v>17.068892000000002</v>
      </c>
      <c r="W433" s="19">
        <v>16.5594</v>
      </c>
      <c r="X433" s="19">
        <v>17.068892000000002</v>
      </c>
      <c r="Y433" s="19">
        <v>16.5594</v>
      </c>
      <c r="Z433" s="4"/>
      <c r="AA433" s="4"/>
      <c r="AB433" s="4" t="e">
        <f ca="1">_xll.ciqfunctions.udf.CIQ("^SPX", "IQ_PRICEDATE", "9/10/2015")</f>
        <v>#NAME?</v>
      </c>
      <c r="AC433" s="16">
        <v>1952.2868084032</v>
      </c>
    </row>
    <row r="434" spans="1:29" x14ac:dyDescent="0.35">
      <c r="A434" s="2" t="s">
        <v>444</v>
      </c>
      <c r="B434" s="4" t="s">
        <v>1556</v>
      </c>
      <c r="C434" s="4" t="s">
        <v>559</v>
      </c>
      <c r="D434" s="4" t="s">
        <v>694</v>
      </c>
      <c r="E434" s="4" t="s">
        <v>695</v>
      </c>
      <c r="F434" s="4" t="s">
        <v>1557</v>
      </c>
      <c r="G434" s="14">
        <v>21.45</v>
      </c>
      <c r="H434" s="10">
        <v>5.3609790000000004</v>
      </c>
      <c r="I434" s="10">
        <v>19.983733000000001</v>
      </c>
      <c r="J434" s="10">
        <v>1.2959430000000001</v>
      </c>
      <c r="K434" s="15">
        <v>2.9836000000000001E-2</v>
      </c>
      <c r="L434" s="17">
        <v>5083.9877299999998</v>
      </c>
      <c r="M434" s="4" t="s">
        <v>1558</v>
      </c>
      <c r="N434" s="19">
        <v>1.0733729999999999</v>
      </c>
      <c r="O434" s="19">
        <v>3.2141000000000002</v>
      </c>
      <c r="P434" s="19">
        <v>1.37</v>
      </c>
      <c r="Q434" s="19">
        <v>3.4752999999999998</v>
      </c>
      <c r="R434" s="19">
        <v>4.74</v>
      </c>
      <c r="S434" s="19">
        <v>4.1307</v>
      </c>
      <c r="T434" s="19">
        <v>4.74</v>
      </c>
      <c r="U434" s="19">
        <v>3.7967</v>
      </c>
      <c r="V434" s="19">
        <v>8.7885299999999997</v>
      </c>
      <c r="W434" s="19">
        <v>3.0832999999999999</v>
      </c>
      <c r="X434" s="19">
        <v>8.7885299999999997</v>
      </c>
      <c r="Y434" s="19">
        <v>3.0832999999999999</v>
      </c>
      <c r="Z434" s="4"/>
      <c r="AA434" s="4"/>
      <c r="AB434" s="4" t="e">
        <f ca="1">_xll.ciqfunctions.udf.CIQ("^SPX", "IQ_PRICEDATE", "9/11/2015")</f>
        <v>#NAME?</v>
      </c>
      <c r="AC434" s="16">
        <v>1961.0456719107001</v>
      </c>
    </row>
    <row r="435" spans="1:29" x14ac:dyDescent="0.35">
      <c r="A435" s="2" t="s">
        <v>445</v>
      </c>
      <c r="B435" s="4" t="s">
        <v>1559</v>
      </c>
      <c r="C435" s="4" t="s">
        <v>573</v>
      </c>
      <c r="D435" s="4" t="s">
        <v>579</v>
      </c>
      <c r="E435" s="4" t="s">
        <v>579</v>
      </c>
      <c r="F435" s="4" t="s">
        <v>644</v>
      </c>
      <c r="G435" s="14">
        <v>46.76</v>
      </c>
      <c r="H435" s="10">
        <v>8.8489000000000004</v>
      </c>
      <c r="I435" s="10">
        <v>37.314295999999999</v>
      </c>
      <c r="J435" s="10">
        <v>1.582778</v>
      </c>
      <c r="K435" s="15">
        <v>2.5661999999999997E-2</v>
      </c>
      <c r="L435" s="17">
        <v>16759.677958</v>
      </c>
      <c r="M435" s="4" t="s">
        <v>1560</v>
      </c>
      <c r="N435" s="19">
        <v>1.253139</v>
      </c>
      <c r="O435" s="19">
        <v>4.7042999999999999</v>
      </c>
      <c r="P435" s="19">
        <v>-0.72037300000000004</v>
      </c>
      <c r="Q435" s="19">
        <v>3.7298</v>
      </c>
      <c r="R435" s="19">
        <v>1.55</v>
      </c>
      <c r="S435" s="19">
        <v>3.8207</v>
      </c>
      <c r="T435" s="19">
        <v>1.55</v>
      </c>
      <c r="U435" s="19">
        <v>3.8062</v>
      </c>
      <c r="V435" s="19">
        <v>2.93</v>
      </c>
      <c r="W435" s="19">
        <v>3.6341999999999999</v>
      </c>
      <c r="X435" s="19">
        <v>2.93</v>
      </c>
      <c r="Y435" s="19">
        <v>3.6341999999999999</v>
      </c>
      <c r="Z435" s="4"/>
      <c r="AA435" s="4"/>
      <c r="AB435" s="4" t="e">
        <f ca="1">_xll.ciqfunctions.udf.CIQ("^SPX", "IQ_PRICEDATE", "9/14/2015")</f>
        <v>#NAME?</v>
      </c>
      <c r="AC435" s="16">
        <v>1953.0260841301999</v>
      </c>
    </row>
    <row r="436" spans="1:29" x14ac:dyDescent="0.35">
      <c r="A436" s="2" t="s">
        <v>446</v>
      </c>
      <c r="B436" s="4" t="s">
        <v>1561</v>
      </c>
      <c r="C436" s="4" t="s">
        <v>626</v>
      </c>
      <c r="D436" s="4" t="s">
        <v>627</v>
      </c>
      <c r="E436" s="4" t="s">
        <v>699</v>
      </c>
      <c r="F436" s="4" t="s">
        <v>789</v>
      </c>
      <c r="G436" s="14">
        <v>105.19</v>
      </c>
      <c r="H436" s="10">
        <v>13.619052</v>
      </c>
      <c r="I436" s="10">
        <v>21.644304000000002</v>
      </c>
      <c r="J436" s="10" t="s">
        <v>534</v>
      </c>
      <c r="K436" s="15">
        <v>2.7454999999999997E-2</v>
      </c>
      <c r="L436" s="17">
        <v>22017.604175</v>
      </c>
      <c r="M436" s="4" t="s">
        <v>1562</v>
      </c>
      <c r="N436" s="19">
        <v>4.8599389999999998</v>
      </c>
      <c r="O436" s="19">
        <v>5.5034000000000001</v>
      </c>
      <c r="P436" s="19">
        <v>3.66</v>
      </c>
      <c r="Q436" s="19">
        <v>5.0721999999999996</v>
      </c>
      <c r="R436" s="19">
        <v>3.34</v>
      </c>
      <c r="S436" s="19">
        <v>4.5460000000000003</v>
      </c>
      <c r="T436" s="19">
        <v>3.34</v>
      </c>
      <c r="U436" s="19">
        <v>4.2995999999999999</v>
      </c>
      <c r="V436" s="19">
        <v>3.77</v>
      </c>
      <c r="W436" s="19">
        <v>4.3806000000000003</v>
      </c>
      <c r="X436" s="19">
        <v>3.77</v>
      </c>
      <c r="Y436" s="19">
        <v>4.3806000000000003</v>
      </c>
      <c r="Z436" s="4"/>
      <c r="AA436" s="4"/>
      <c r="AB436" s="4" t="e">
        <f ca="1">_xll.ciqfunctions.udf.CIQ("^SPX", "IQ_PRICEDATE", "9/15/2015")</f>
        <v>#NAME?</v>
      </c>
      <c r="AC436" s="16">
        <v>1978.0866505581</v>
      </c>
    </row>
    <row r="437" spans="1:29" x14ac:dyDescent="0.35">
      <c r="A437" s="2" t="s">
        <v>447</v>
      </c>
      <c r="B437" s="4" t="s">
        <v>1563</v>
      </c>
      <c r="C437" s="4" t="s">
        <v>559</v>
      </c>
      <c r="D437" s="4" t="s">
        <v>560</v>
      </c>
      <c r="E437" s="4" t="s">
        <v>561</v>
      </c>
      <c r="F437" s="4" t="s">
        <v>1235</v>
      </c>
      <c r="G437" s="14">
        <v>185.17</v>
      </c>
      <c r="H437" s="10">
        <v>13.549714</v>
      </c>
      <c r="I437" s="10">
        <v>21.832609000000001</v>
      </c>
      <c r="J437" s="10" t="s">
        <v>534</v>
      </c>
      <c r="K437" s="15">
        <v>2.2248999999999998E-2</v>
      </c>
      <c r="L437" s="17">
        <v>211860.06771599999</v>
      </c>
      <c r="M437" s="4" t="s">
        <v>1564</v>
      </c>
      <c r="N437" s="19">
        <v>8.4813500000000008</v>
      </c>
      <c r="O437" s="19">
        <v>9.9509000000000007</v>
      </c>
      <c r="P437" s="19">
        <v>7.1997479999999996</v>
      </c>
      <c r="Q437" s="19">
        <v>8.0988000000000007</v>
      </c>
      <c r="R437" s="19">
        <v>6.1596469999999997</v>
      </c>
      <c r="S437" s="19">
        <v>6.9504999999999999</v>
      </c>
      <c r="T437" s="19">
        <v>6.1596469999999997</v>
      </c>
      <c r="U437" s="19">
        <v>5.9935999999999998</v>
      </c>
      <c r="V437" s="19">
        <v>4.3822999999999999</v>
      </c>
      <c r="W437" s="19">
        <v>5.0602999999999998</v>
      </c>
      <c r="X437" s="19">
        <v>4.3822999999999999</v>
      </c>
      <c r="Y437" s="19">
        <v>5.0602999999999998</v>
      </c>
      <c r="Z437" s="4"/>
      <c r="AA437" s="4"/>
      <c r="AB437" s="4" t="e">
        <f ca="1">_xll.ciqfunctions.udf.CIQ("^SPX", "IQ_PRICEDATE", "9/16/2015")</f>
        <v>#NAME?</v>
      </c>
      <c r="AC437" s="16">
        <v>1995.3107086494999</v>
      </c>
    </row>
    <row r="438" spans="1:29" x14ac:dyDescent="0.35">
      <c r="A438" s="2" t="s">
        <v>448</v>
      </c>
      <c r="B438" s="4" t="s">
        <v>1565</v>
      </c>
      <c r="C438" s="4" t="s">
        <v>549</v>
      </c>
      <c r="D438" s="4" t="s">
        <v>550</v>
      </c>
      <c r="E438" s="4" t="s">
        <v>814</v>
      </c>
      <c r="F438" s="4" t="s">
        <v>1367</v>
      </c>
      <c r="G438" s="14">
        <v>22.2</v>
      </c>
      <c r="H438" s="10">
        <v>8.8184699999999996</v>
      </c>
      <c r="I438" s="10">
        <v>14.991481</v>
      </c>
      <c r="J438" s="10" t="s">
        <v>534</v>
      </c>
      <c r="K438" s="15">
        <v>3.7837000000000003E-2</v>
      </c>
      <c r="L438" s="17">
        <v>8520.0363240000006</v>
      </c>
      <c r="M438" s="4" t="s">
        <v>1566</v>
      </c>
      <c r="N438" s="19">
        <v>1.4808410000000001</v>
      </c>
      <c r="O438" s="19">
        <v>1.7865</v>
      </c>
      <c r="P438" s="19">
        <v>1.46</v>
      </c>
      <c r="Q438" s="19">
        <v>1.5042</v>
      </c>
      <c r="R438" s="19">
        <v>1.49</v>
      </c>
      <c r="S438" s="19">
        <v>1.3581000000000001</v>
      </c>
      <c r="T438" s="19">
        <v>1.49</v>
      </c>
      <c r="U438" s="19">
        <v>1.2754000000000001</v>
      </c>
      <c r="V438" s="19">
        <v>1.1200000000000001</v>
      </c>
      <c r="W438" s="19">
        <v>1.111</v>
      </c>
      <c r="X438" s="19">
        <v>1.1200000000000001</v>
      </c>
      <c r="Y438" s="19">
        <v>1.111</v>
      </c>
      <c r="Z438" s="4"/>
      <c r="AA438" s="4"/>
      <c r="AB438" s="4" t="e">
        <f ca="1">_xll.ciqfunctions.udf.CIQ("^SPX", "IQ_PRICEDATE", "9/17/2015")</f>
        <v>#NAME?</v>
      </c>
      <c r="AC438" s="16">
        <v>1990.2042737638001</v>
      </c>
    </row>
    <row r="439" spans="1:29" x14ac:dyDescent="0.35">
      <c r="A439" s="2" t="s">
        <v>449</v>
      </c>
      <c r="B439" s="4" t="s">
        <v>1567</v>
      </c>
      <c r="C439" s="4" t="s">
        <v>626</v>
      </c>
      <c r="D439" s="4" t="s">
        <v>627</v>
      </c>
      <c r="E439" s="4" t="s">
        <v>699</v>
      </c>
      <c r="F439" s="4" t="s">
        <v>789</v>
      </c>
      <c r="G439" s="14">
        <v>103.8</v>
      </c>
      <c r="H439" s="10">
        <v>11.016263</v>
      </c>
      <c r="I439" s="10">
        <v>8.7798149999999993</v>
      </c>
      <c r="J439" s="10" t="s">
        <v>534</v>
      </c>
      <c r="K439" s="15">
        <v>3.2754999999999999E-2</v>
      </c>
      <c r="L439" s="17">
        <v>11805.958728</v>
      </c>
      <c r="M439" s="4" t="s">
        <v>1568</v>
      </c>
      <c r="N439" s="19">
        <v>11.822571999999999</v>
      </c>
      <c r="O439" s="19">
        <v>8.4360999999999997</v>
      </c>
      <c r="P439" s="19">
        <v>4.9415750000000003</v>
      </c>
      <c r="Q439" s="19">
        <v>8.1940000000000008</v>
      </c>
      <c r="R439" s="19">
        <v>6.1326689999999999</v>
      </c>
      <c r="S439" s="19">
        <v>7.8440000000000003</v>
      </c>
      <c r="T439" s="19">
        <v>6.1326689999999999</v>
      </c>
      <c r="U439" s="19">
        <v>6.1154999999999999</v>
      </c>
      <c r="V439" s="19">
        <v>5.4619790000000004</v>
      </c>
      <c r="W439" s="19">
        <v>5.7008000000000001</v>
      </c>
      <c r="X439" s="19">
        <v>5.4619790000000004</v>
      </c>
      <c r="Y439" s="19">
        <v>5.7008000000000001</v>
      </c>
      <c r="Z439" s="4"/>
      <c r="AA439" s="4"/>
      <c r="AB439" s="4" t="e">
        <f ca="1">_xll.ciqfunctions.udf.CIQ("^SPX", "IQ_PRICEDATE", "9/18/2015")</f>
        <v>#NAME?</v>
      </c>
      <c r="AC439" s="16">
        <v>1958.0328294343999</v>
      </c>
    </row>
    <row r="440" spans="1:29" x14ac:dyDescent="0.35">
      <c r="A440" s="2" t="s">
        <v>450</v>
      </c>
      <c r="B440" s="4" t="s">
        <v>1569</v>
      </c>
      <c r="C440" s="4" t="s">
        <v>626</v>
      </c>
      <c r="D440" s="4" t="s">
        <v>627</v>
      </c>
      <c r="E440" s="4" t="s">
        <v>699</v>
      </c>
      <c r="F440" s="4" t="s">
        <v>789</v>
      </c>
      <c r="G440" s="14">
        <v>56.4</v>
      </c>
      <c r="H440" s="10">
        <v>12.288691</v>
      </c>
      <c r="I440" s="10">
        <v>6.4719179999999996</v>
      </c>
      <c r="J440" s="10" t="s">
        <v>534</v>
      </c>
      <c r="K440" s="15">
        <v>4.4325999999999997E-2</v>
      </c>
      <c r="L440" s="17">
        <v>68765.600227999996</v>
      </c>
      <c r="M440" s="4" t="s">
        <v>1570</v>
      </c>
      <c r="N440" s="19">
        <v>8.7145720000000004</v>
      </c>
      <c r="O440" s="19">
        <v>3.7258</v>
      </c>
      <c r="P440" s="19">
        <v>8.9499999999999993</v>
      </c>
      <c r="Q440" s="19">
        <v>3.8</v>
      </c>
      <c r="R440" s="19">
        <v>2.81</v>
      </c>
      <c r="S440" s="19">
        <v>3.7938999999999998</v>
      </c>
      <c r="T440" s="19">
        <v>2.81</v>
      </c>
      <c r="U440" s="19">
        <v>2.6663000000000001</v>
      </c>
      <c r="V440" s="19">
        <v>-0.17</v>
      </c>
      <c r="W440" s="19">
        <v>0</v>
      </c>
      <c r="X440" s="19">
        <v>-0.17</v>
      </c>
      <c r="Y440" s="19">
        <v>0</v>
      </c>
      <c r="Z440" s="4"/>
      <c r="AA440" s="4"/>
      <c r="AB440" s="4" t="e">
        <f ca="1">_xll.ciqfunctions.udf.CIQ("^SPX", "IQ_PRICEDATE", "9/21/2015")</f>
        <v>#NAME?</v>
      </c>
      <c r="AC440" s="16">
        <v>1966.9702715327001</v>
      </c>
    </row>
    <row r="441" spans="1:29" x14ac:dyDescent="0.35">
      <c r="A441" s="2" t="s">
        <v>451</v>
      </c>
      <c r="B441" s="4" t="s">
        <v>1571</v>
      </c>
      <c r="C441" s="4" t="s">
        <v>626</v>
      </c>
      <c r="D441" s="4" t="s">
        <v>894</v>
      </c>
      <c r="E441" s="4" t="s">
        <v>894</v>
      </c>
      <c r="F441" s="4" t="s">
        <v>1572</v>
      </c>
      <c r="G441" s="14">
        <v>27.29</v>
      </c>
      <c r="H441" s="10">
        <v>7.1209189999999998</v>
      </c>
      <c r="I441" s="10">
        <v>6.2582389999999997</v>
      </c>
      <c r="J441" s="10">
        <v>7.0870410000000001</v>
      </c>
      <c r="K441" s="15">
        <v>2.052E-2</v>
      </c>
      <c r="L441" s="17">
        <v>21761.557087000001</v>
      </c>
      <c r="M441" s="4" t="s">
        <v>1573</v>
      </c>
      <c r="N441" s="19">
        <v>4.3606509999999998</v>
      </c>
      <c r="O441" s="19">
        <v>2.1631</v>
      </c>
      <c r="P441" s="19">
        <v>1.6846129999999999</v>
      </c>
      <c r="Q441" s="19">
        <v>2.0297000000000001</v>
      </c>
      <c r="R441" s="19">
        <v>2.0807440000000001</v>
      </c>
      <c r="S441" s="19">
        <v>2.1358000000000001</v>
      </c>
      <c r="T441" s="19">
        <v>2.0807440000000001</v>
      </c>
      <c r="U441" s="19">
        <v>2.1724999999999999</v>
      </c>
      <c r="V441" s="19">
        <v>1.605483</v>
      </c>
      <c r="W441" s="19">
        <v>1.7989999999999999</v>
      </c>
      <c r="X441" s="19">
        <v>1.605483</v>
      </c>
      <c r="Y441" s="19">
        <v>1.7989999999999999</v>
      </c>
      <c r="Z441" s="4"/>
      <c r="AA441" s="4"/>
      <c r="AB441" s="4" t="e">
        <f ca="1">_xll.ciqfunctions.udf.CIQ("^SPX", "IQ_PRICEDATE", "9/22/2015")</f>
        <v>#NAME?</v>
      </c>
      <c r="AC441" s="16">
        <v>1942.7441268069999</v>
      </c>
    </row>
    <row r="442" spans="1:29" x14ac:dyDescent="0.35">
      <c r="A442" s="2" t="s">
        <v>452</v>
      </c>
      <c r="B442" s="4" t="s">
        <v>1574</v>
      </c>
      <c r="C442" s="4" t="s">
        <v>586</v>
      </c>
      <c r="D442" s="4" t="s">
        <v>586</v>
      </c>
      <c r="E442" s="4" t="s">
        <v>587</v>
      </c>
      <c r="F442" s="4" t="s">
        <v>830</v>
      </c>
      <c r="G442" s="14">
        <v>33.049999999999997</v>
      </c>
      <c r="H442" s="10">
        <v>11.300969</v>
      </c>
      <c r="I442" s="10" t="s">
        <v>534</v>
      </c>
      <c r="J442" s="10">
        <v>1.506122</v>
      </c>
      <c r="K442" s="15">
        <v>3.0249999999999999E-3</v>
      </c>
      <c r="L442" s="17">
        <v>12739.383</v>
      </c>
      <c r="M442" s="4" t="s">
        <v>1575</v>
      </c>
      <c r="N442" s="19">
        <v>-0.25414900000000001</v>
      </c>
      <c r="O442" s="19">
        <v>2.2004999999999999</v>
      </c>
      <c r="P442" s="19">
        <v>-0.31</v>
      </c>
      <c r="Q442" s="19">
        <v>1.0253000000000001</v>
      </c>
      <c r="R442" s="19">
        <v>0.849885</v>
      </c>
      <c r="S442" s="19">
        <v>0.85129999999999995</v>
      </c>
      <c r="T442" s="19">
        <v>0.849885</v>
      </c>
      <c r="U442" s="19">
        <v>2.5206</v>
      </c>
      <c r="V442" s="19">
        <v>2.68</v>
      </c>
      <c r="W442" s="19">
        <v>2.9106000000000001</v>
      </c>
      <c r="X442" s="19">
        <v>2.68</v>
      </c>
      <c r="Y442" s="19">
        <v>2.9106000000000001</v>
      </c>
      <c r="Z442" s="4"/>
      <c r="AA442" s="4"/>
      <c r="AB442" s="4" t="e">
        <f ca="1">_xll.ciqfunctions.udf.CIQ("^SPX", "IQ_PRICEDATE", "9/23/2015")</f>
        <v>#NAME?</v>
      </c>
      <c r="AC442" s="16">
        <v>1938.7592864579999</v>
      </c>
    </row>
    <row r="443" spans="1:29" x14ac:dyDescent="0.35">
      <c r="A443" s="2" t="s">
        <v>453</v>
      </c>
      <c r="B443" s="4" t="s">
        <v>1576</v>
      </c>
      <c r="C443" s="4" t="s">
        <v>573</v>
      </c>
      <c r="D443" s="4" t="s">
        <v>737</v>
      </c>
      <c r="E443" s="4" t="s">
        <v>737</v>
      </c>
      <c r="F443" s="4" t="s">
        <v>743</v>
      </c>
      <c r="G443" s="14">
        <v>127.33</v>
      </c>
      <c r="H443" s="10">
        <v>0</v>
      </c>
      <c r="I443" s="10">
        <v>10.470926</v>
      </c>
      <c r="J443" s="10">
        <v>1.55461</v>
      </c>
      <c r="K443" s="15">
        <v>2.9843000000000001E-2</v>
      </c>
      <c r="L443" s="17">
        <v>58826.46</v>
      </c>
      <c r="M443" s="4" t="s">
        <v>1577</v>
      </c>
      <c r="N443" s="19">
        <v>12.160337</v>
      </c>
      <c r="O443" s="19">
        <v>11.237299999999999</v>
      </c>
      <c r="P443" s="19">
        <v>10.364197000000001</v>
      </c>
      <c r="Q443" s="19">
        <v>9.1697000000000006</v>
      </c>
      <c r="R443" s="19">
        <v>7.3</v>
      </c>
      <c r="S443" s="19">
        <v>7.4806999999999997</v>
      </c>
      <c r="T443" s="19">
        <v>7.3</v>
      </c>
      <c r="U443" s="19">
        <v>7.1966000000000001</v>
      </c>
      <c r="V443" s="19">
        <v>7.2960890000000003</v>
      </c>
      <c r="W443" s="19">
        <v>7.0872000000000002</v>
      </c>
      <c r="X443" s="19">
        <v>7.2960890000000003</v>
      </c>
      <c r="Y443" s="19">
        <v>7.0872000000000002</v>
      </c>
      <c r="Z443" s="4"/>
      <c r="AA443" s="4"/>
      <c r="AB443" s="4" t="e">
        <f ca="1">_xll.ciqfunctions.udf.CIQ("^SPX", "IQ_PRICEDATE", "9/24/2015")</f>
        <v>#NAME?</v>
      </c>
      <c r="AC443" s="16">
        <v>1932.2411739508</v>
      </c>
    </row>
    <row r="444" spans="1:29" x14ac:dyDescent="0.35">
      <c r="A444" s="2" t="s">
        <v>454</v>
      </c>
      <c r="B444" s="4" t="s">
        <v>1578</v>
      </c>
      <c r="C444" s="4" t="s">
        <v>626</v>
      </c>
      <c r="D444" s="4" t="s">
        <v>845</v>
      </c>
      <c r="E444" s="4" t="s">
        <v>846</v>
      </c>
      <c r="F444" s="4" t="s">
        <v>846</v>
      </c>
      <c r="G444" s="14">
        <v>81.142799999999994</v>
      </c>
      <c r="H444" s="10">
        <v>12.759328</v>
      </c>
      <c r="I444" s="10">
        <v>22.305382999999999</v>
      </c>
      <c r="J444" s="10" t="s">
        <v>534</v>
      </c>
      <c r="K444" s="15">
        <v>3.5045E-2</v>
      </c>
      <c r="L444" s="17">
        <v>203762.57595900001</v>
      </c>
      <c r="M444" s="4" t="s">
        <v>1579</v>
      </c>
      <c r="N444" s="19">
        <v>3.6699660000000001</v>
      </c>
      <c r="O444" s="19">
        <v>4.3838400000000002</v>
      </c>
      <c r="P444" s="19">
        <v>3.7485819999999999</v>
      </c>
      <c r="Q444" s="19">
        <v>4.2313000000000001</v>
      </c>
      <c r="R444" s="19">
        <v>3.454097</v>
      </c>
      <c r="S444" s="19">
        <v>3.9472999999999998</v>
      </c>
      <c r="T444" s="19">
        <v>3.454097</v>
      </c>
      <c r="U444" s="19">
        <v>3.8786</v>
      </c>
      <c r="V444" s="19">
        <v>3.5824760000000002</v>
      </c>
      <c r="W444" s="19">
        <v>4.4438000000000004</v>
      </c>
      <c r="X444" s="19">
        <v>3.5824760000000002</v>
      </c>
      <c r="Y444" s="19">
        <v>4.4438000000000004</v>
      </c>
      <c r="Z444" s="4"/>
      <c r="AA444" s="4"/>
      <c r="AB444" s="4" t="e">
        <f ca="1">_xll.ciqfunctions.udf.CIQ("^SPX", "IQ_PRICEDATE", "9/25/2015")</f>
        <v>#NAME?</v>
      </c>
      <c r="AC444" s="16">
        <v>1931.3399031875999</v>
      </c>
    </row>
    <row r="445" spans="1:29" x14ac:dyDescent="0.35">
      <c r="A445" s="2" t="s">
        <v>455</v>
      </c>
      <c r="B445" s="4" t="s">
        <v>1580</v>
      </c>
      <c r="C445" s="4" t="s">
        <v>573</v>
      </c>
      <c r="D445" s="4" t="s">
        <v>579</v>
      </c>
      <c r="E445" s="4" t="s">
        <v>579</v>
      </c>
      <c r="F445" s="4" t="s">
        <v>842</v>
      </c>
      <c r="G445" s="14">
        <v>70.63</v>
      </c>
      <c r="H445" s="10">
        <v>11.252679000000001</v>
      </c>
      <c r="I445" s="10">
        <v>14.210038000000001</v>
      </c>
      <c r="J445" s="10">
        <v>3.7124760000000001</v>
      </c>
      <c r="K445" s="15">
        <v>1.5923E-2</v>
      </c>
      <c r="L445" s="17">
        <v>41184.353000000003</v>
      </c>
      <c r="M445" s="4" t="s">
        <v>1581</v>
      </c>
      <c r="N445" s="19">
        <v>4.9704300000000003</v>
      </c>
      <c r="O445" s="19">
        <v>4.5716999999999999</v>
      </c>
      <c r="P445" s="19">
        <v>2.72</v>
      </c>
      <c r="Q445" s="19">
        <v>2.8906999999999998</v>
      </c>
      <c r="R445" s="19">
        <v>1.76</v>
      </c>
      <c r="S445" s="19">
        <v>1.9379</v>
      </c>
      <c r="T445" s="19">
        <v>1.76</v>
      </c>
      <c r="U445" s="19">
        <v>1.9179999999999999</v>
      </c>
      <c r="V445" s="19">
        <v>2.15</v>
      </c>
      <c r="W445" s="19">
        <v>1.7692000000000001</v>
      </c>
      <c r="X445" s="19">
        <v>2.15</v>
      </c>
      <c r="Y445" s="19">
        <v>1.7692000000000001</v>
      </c>
      <c r="Z445" s="4"/>
      <c r="AA445" s="4"/>
      <c r="AB445" s="4" t="e">
        <f ca="1">_xll.ciqfunctions.udf.CIQ("^SPX", "IQ_PRICEDATE", "9/28/2015")</f>
        <v>#NAME?</v>
      </c>
      <c r="AC445" s="16">
        <v>1881.7689706629001</v>
      </c>
    </row>
    <row r="446" spans="1:29" x14ac:dyDescent="0.35">
      <c r="A446" s="2" t="s">
        <v>456</v>
      </c>
      <c r="B446" s="4" t="s">
        <v>1582</v>
      </c>
      <c r="C446" s="4" t="s">
        <v>586</v>
      </c>
      <c r="D446" s="4" t="s">
        <v>586</v>
      </c>
      <c r="E446" s="4" t="s">
        <v>587</v>
      </c>
      <c r="F446" s="4" t="s">
        <v>598</v>
      </c>
      <c r="G446" s="14">
        <v>410.67</v>
      </c>
      <c r="H446" s="10">
        <v>17.408747999999999</v>
      </c>
      <c r="I446" s="10">
        <v>20.940460999999999</v>
      </c>
      <c r="J446" s="10" t="s">
        <v>534</v>
      </c>
      <c r="K446" s="15">
        <v>8.3759999999999998E-3</v>
      </c>
      <c r="L446" s="17">
        <v>38147.440196000003</v>
      </c>
      <c r="M446" s="4" t="s">
        <v>1583</v>
      </c>
      <c r="N446" s="19">
        <v>19.611315999999999</v>
      </c>
      <c r="O446" s="19">
        <v>20.756699999999999</v>
      </c>
      <c r="P446" s="19">
        <v>19.109998999999998</v>
      </c>
      <c r="Q446" s="19">
        <v>17.8202</v>
      </c>
      <c r="R446" s="19">
        <v>11.989998999999999</v>
      </c>
      <c r="S446" s="19">
        <v>13.2418</v>
      </c>
      <c r="T446" s="19">
        <v>11.989998999999999</v>
      </c>
      <c r="U446" s="19">
        <v>12.311400000000001</v>
      </c>
      <c r="V446" s="19">
        <v>8.7699990000000003</v>
      </c>
      <c r="W446" s="19">
        <v>10.5313</v>
      </c>
      <c r="X446" s="19">
        <v>8.7699990000000003</v>
      </c>
      <c r="Y446" s="19">
        <v>10.5313</v>
      </c>
      <c r="Z446" s="4"/>
      <c r="AA446" s="4"/>
      <c r="AB446" s="4" t="e">
        <f ca="1">_xll.ciqfunctions.udf.CIQ("^SPX", "IQ_PRICEDATE", "9/29/2015")</f>
        <v>#NAME?</v>
      </c>
      <c r="AC446" s="16">
        <v>1884.0851818742001</v>
      </c>
    </row>
    <row r="447" spans="1:29" x14ac:dyDescent="0.35">
      <c r="A447" s="2" t="s">
        <v>457</v>
      </c>
      <c r="B447" s="4" t="s">
        <v>1584</v>
      </c>
      <c r="C447" s="4" t="s">
        <v>619</v>
      </c>
      <c r="D447" s="4" t="s">
        <v>619</v>
      </c>
      <c r="E447" s="4" t="s">
        <v>620</v>
      </c>
      <c r="F447" s="4" t="s">
        <v>620</v>
      </c>
      <c r="G447" s="14">
        <v>44.31</v>
      </c>
      <c r="H447" s="10">
        <v>11.736205</v>
      </c>
      <c r="I447" s="10">
        <v>19.181211999999999</v>
      </c>
      <c r="J447" s="10">
        <v>2.550449</v>
      </c>
      <c r="K447" s="15">
        <v>5.4162999999999996E-2</v>
      </c>
      <c r="L447" s="17">
        <v>44936.369837999999</v>
      </c>
      <c r="M447" s="4" t="s">
        <v>1585</v>
      </c>
      <c r="N447" s="19">
        <v>2.310073</v>
      </c>
      <c r="O447" s="19">
        <v>2.8071999999999999</v>
      </c>
      <c r="P447" s="19">
        <v>0.84</v>
      </c>
      <c r="Q447" s="19">
        <v>3.0775999999999999</v>
      </c>
      <c r="R447" s="19">
        <v>2.5499999999999998</v>
      </c>
      <c r="S447" s="19">
        <v>3.0072000000000001</v>
      </c>
      <c r="T447" s="19">
        <v>2.5499999999999998</v>
      </c>
      <c r="U447" s="19">
        <v>2.9157999999999999</v>
      </c>
      <c r="V447" s="19">
        <v>2.1800000000000002</v>
      </c>
      <c r="W447" s="19">
        <v>2.7951000000000001</v>
      </c>
      <c r="X447" s="19">
        <v>2.1800000000000002</v>
      </c>
      <c r="Y447" s="19">
        <v>2.7951000000000001</v>
      </c>
      <c r="Z447" s="4"/>
      <c r="AA447" s="4"/>
      <c r="AB447" s="4" t="e">
        <f ca="1">_xll.ciqfunctions.udf.CIQ("^SPX", "IQ_PRICEDATE", "9/30/2015")</f>
        <v>#NAME?</v>
      </c>
      <c r="AC447" s="16">
        <v>1920.0265516397001</v>
      </c>
    </row>
    <row r="448" spans="1:29" x14ac:dyDescent="0.35">
      <c r="A448" s="2" t="s">
        <v>458</v>
      </c>
      <c r="B448" s="4" t="s">
        <v>1586</v>
      </c>
      <c r="C448" s="4" t="s">
        <v>559</v>
      </c>
      <c r="D448" s="4" t="s">
        <v>560</v>
      </c>
      <c r="E448" s="4" t="s">
        <v>561</v>
      </c>
      <c r="F448" s="4" t="s">
        <v>1051</v>
      </c>
      <c r="G448" s="14">
        <v>110.8</v>
      </c>
      <c r="H448" s="10">
        <v>13.657080000000001</v>
      </c>
      <c r="I448" s="10">
        <v>23.691801999999999</v>
      </c>
      <c r="J448" s="10">
        <v>13.410314</v>
      </c>
      <c r="K448" s="15">
        <v>1.4079E-2</v>
      </c>
      <c r="L448" s="17">
        <v>68559.096296000003</v>
      </c>
      <c r="M448" s="4" t="s">
        <v>1587</v>
      </c>
      <c r="N448" s="19">
        <v>4.676723</v>
      </c>
      <c r="O448" s="19">
        <v>5.1369999999999996</v>
      </c>
      <c r="P448" s="19">
        <v>3.7037079999999998</v>
      </c>
      <c r="Q448" s="19">
        <v>4.1898999999999997</v>
      </c>
      <c r="R448" s="19">
        <v>3.4140440000000001</v>
      </c>
      <c r="S448" s="19">
        <v>3.7023999999999999</v>
      </c>
      <c r="T448" s="19">
        <v>3.4140440000000001</v>
      </c>
      <c r="U448" s="19">
        <v>3.5104000000000002</v>
      </c>
      <c r="V448" s="19">
        <v>3.02162</v>
      </c>
      <c r="W448" s="19">
        <v>3.4154</v>
      </c>
      <c r="X448" s="19">
        <v>3.02162</v>
      </c>
      <c r="Y448" s="19">
        <v>3.4154</v>
      </c>
      <c r="Z448" s="4"/>
      <c r="AA448" s="4"/>
      <c r="AB448" s="4" t="e">
        <f ca="1">_xll.ciqfunctions.udf.CIQ("^SPX", "IQ_PRICEDATE", "10/1/2015")</f>
        <v>#NAME?</v>
      </c>
      <c r="AC448" s="16">
        <v>1923.8200536917</v>
      </c>
    </row>
    <row r="449" spans="1:29" x14ac:dyDescent="0.35">
      <c r="A449" s="2" t="s">
        <v>459</v>
      </c>
      <c r="B449" s="4" t="s">
        <v>1588</v>
      </c>
      <c r="C449" s="4" t="s">
        <v>573</v>
      </c>
      <c r="D449" s="4" t="s">
        <v>579</v>
      </c>
      <c r="E449" s="4" t="s">
        <v>579</v>
      </c>
      <c r="F449" s="4" t="s">
        <v>842</v>
      </c>
      <c r="G449" s="14">
        <v>126.44</v>
      </c>
      <c r="H449" s="10">
        <v>10.579386</v>
      </c>
      <c r="I449" s="10">
        <v>17.132691000000001</v>
      </c>
      <c r="J449" s="10">
        <v>1.845985</v>
      </c>
      <c r="K449" s="15">
        <v>2.4359000000000002E-2</v>
      </c>
      <c r="L449" s="17">
        <v>33845.867727999997</v>
      </c>
      <c r="M449" s="4" t="s">
        <v>1589</v>
      </c>
      <c r="N449" s="19">
        <v>7.3800429999999997</v>
      </c>
      <c r="O449" s="19">
        <v>10.9533</v>
      </c>
      <c r="P449" s="19">
        <v>7.33</v>
      </c>
      <c r="Q449" s="19">
        <v>8.6235999999999997</v>
      </c>
      <c r="R449" s="19">
        <v>10.28</v>
      </c>
      <c r="S449" s="19">
        <v>9.4224999999999994</v>
      </c>
      <c r="T449" s="19">
        <v>10.28</v>
      </c>
      <c r="U449" s="19">
        <v>9.6561000000000003</v>
      </c>
      <c r="V449" s="19">
        <v>10.7</v>
      </c>
      <c r="W449" s="19">
        <v>9.0736000000000008</v>
      </c>
      <c r="X449" s="19">
        <v>10.7</v>
      </c>
      <c r="Y449" s="19">
        <v>9.0736000000000008</v>
      </c>
      <c r="Z449" s="4"/>
      <c r="AA449" s="4"/>
      <c r="AB449" s="4" t="e">
        <f ca="1">_xll.ciqfunctions.udf.CIQ("^SPX", "IQ_PRICEDATE", "10/2/2015")</f>
        <v>#NAME?</v>
      </c>
      <c r="AC449" s="16">
        <v>1951.3598314296</v>
      </c>
    </row>
    <row r="450" spans="1:29" x14ac:dyDescent="0.35">
      <c r="A450" s="2" t="s">
        <v>460</v>
      </c>
      <c r="B450" s="4" t="s">
        <v>1590</v>
      </c>
      <c r="C450" s="4" t="s">
        <v>549</v>
      </c>
      <c r="D450" s="4" t="s">
        <v>550</v>
      </c>
      <c r="E450" s="4" t="s">
        <v>551</v>
      </c>
      <c r="F450" s="4" t="s">
        <v>1319</v>
      </c>
      <c r="G450" s="14">
        <v>117.13</v>
      </c>
      <c r="H450" s="10">
        <v>11.327843</v>
      </c>
      <c r="I450" s="10">
        <v>14.786587000000001</v>
      </c>
      <c r="J450" s="10">
        <v>22.268059999999998</v>
      </c>
      <c r="K450" s="15">
        <v>1.4343E-2</v>
      </c>
      <c r="L450" s="17">
        <v>174200.72526899999</v>
      </c>
      <c r="M450" s="4" t="s">
        <v>1591</v>
      </c>
      <c r="N450" s="19">
        <v>7.9213680000000002</v>
      </c>
      <c r="O450" s="19">
        <v>7.3235000000000001</v>
      </c>
      <c r="P450" s="19">
        <v>7.0114150000000004</v>
      </c>
      <c r="Q450" s="19">
        <v>6.2363600000000003</v>
      </c>
      <c r="R450" s="19">
        <v>5.5402740000000001</v>
      </c>
      <c r="S450" s="19">
        <v>5.9319699999999997</v>
      </c>
      <c r="T450" s="19">
        <v>5.5402740000000001</v>
      </c>
      <c r="U450" s="19">
        <v>5.6629300000000002</v>
      </c>
      <c r="V450" s="19">
        <v>4.4978670000000003</v>
      </c>
      <c r="W450" s="19">
        <v>4.6808100000000001</v>
      </c>
      <c r="X450" s="19">
        <v>4.4978670000000003</v>
      </c>
      <c r="Y450" s="19">
        <v>4.6808100000000001</v>
      </c>
      <c r="Z450" s="4"/>
      <c r="AA450" s="4"/>
      <c r="AB450" s="4" t="e">
        <f ca="1">_xll.ciqfunctions.udf.CIQ("^SPX", "IQ_PRICEDATE", "10/5/2015")</f>
        <v>#NAME?</v>
      </c>
      <c r="AC450" s="16">
        <v>1987.0541437813999</v>
      </c>
    </row>
    <row r="451" spans="1:29" x14ac:dyDescent="0.35">
      <c r="A451" s="2" t="s">
        <v>461</v>
      </c>
      <c r="B451" s="4" t="s">
        <v>1592</v>
      </c>
      <c r="C451" s="4" t="s">
        <v>543</v>
      </c>
      <c r="D451" s="4" t="s">
        <v>544</v>
      </c>
      <c r="E451" s="4" t="s">
        <v>545</v>
      </c>
      <c r="F451" s="4" t="s">
        <v>616</v>
      </c>
      <c r="G451" s="14">
        <v>18.420000000000002</v>
      </c>
      <c r="H451" s="10">
        <v>7.8900360000000003</v>
      </c>
      <c r="I451" s="10" t="s">
        <v>534</v>
      </c>
      <c r="J451" s="10" t="s">
        <v>534</v>
      </c>
      <c r="K451" s="15">
        <v>4.1258999999999997E-2</v>
      </c>
      <c r="L451" s="17">
        <v>8238.3570099999997</v>
      </c>
      <c r="M451" s="4" t="s">
        <v>1593</v>
      </c>
      <c r="N451" s="19">
        <v>-0.99375199999999997</v>
      </c>
      <c r="O451" s="19">
        <v>1.8697999999999999</v>
      </c>
      <c r="P451" s="19">
        <v>-1.190639</v>
      </c>
      <c r="Q451" s="19">
        <v>1.8042</v>
      </c>
      <c r="R451" s="19">
        <v>0.51</v>
      </c>
      <c r="S451" s="19">
        <v>1.7021999999999999</v>
      </c>
      <c r="T451" s="19">
        <v>0.51</v>
      </c>
      <c r="U451" s="19">
        <v>1.722</v>
      </c>
      <c r="V451" s="19">
        <v>1.59</v>
      </c>
      <c r="W451" s="19">
        <v>1.5556000000000001</v>
      </c>
      <c r="X451" s="19">
        <v>1.59</v>
      </c>
      <c r="Y451" s="19">
        <v>1.5556000000000001</v>
      </c>
      <c r="Z451" s="4"/>
      <c r="AA451" s="4"/>
      <c r="AB451" s="4" t="e">
        <f ca="1">_xll.ciqfunctions.udf.CIQ("^SPX", "IQ_PRICEDATE", "10/6/2015")</f>
        <v>#NAME?</v>
      </c>
      <c r="AC451" s="16">
        <v>1979.9150477426001</v>
      </c>
    </row>
    <row r="452" spans="1:29" x14ac:dyDescent="0.35">
      <c r="A452" s="2" t="s">
        <v>462</v>
      </c>
      <c r="B452" s="4" t="s">
        <v>1594</v>
      </c>
      <c r="C452" s="4" t="s">
        <v>669</v>
      </c>
      <c r="D452" s="4" t="s">
        <v>669</v>
      </c>
      <c r="E452" s="4" t="s">
        <v>670</v>
      </c>
      <c r="F452" s="4" t="s">
        <v>1206</v>
      </c>
      <c r="G452" s="14">
        <v>26.88</v>
      </c>
      <c r="H452" s="10">
        <v>15.143402999999999</v>
      </c>
      <c r="I452" s="10">
        <v>11.118823000000001</v>
      </c>
      <c r="J452" s="10">
        <v>23.673870999999998</v>
      </c>
      <c r="K452" s="15">
        <v>5.0595000000000001E-2</v>
      </c>
      <c r="L452" s="17">
        <v>32507.865600000001</v>
      </c>
      <c r="M452" s="4" t="s">
        <v>1595</v>
      </c>
      <c r="N452" s="19">
        <v>2.4175219999999999</v>
      </c>
      <c r="O452" s="19">
        <v>1.0054000000000001</v>
      </c>
      <c r="P452" s="19">
        <v>2.62</v>
      </c>
      <c r="Q452" s="19">
        <v>0.88419999999999999</v>
      </c>
      <c r="R452" s="19">
        <v>-0.56999999999999995</v>
      </c>
      <c r="S452" s="19">
        <v>0.78600000000000003</v>
      </c>
      <c r="T452" s="19">
        <v>-0.56999999999999995</v>
      </c>
      <c r="U452" s="19">
        <v>1.3778999999999999</v>
      </c>
      <c r="V452" s="19">
        <v>2.91</v>
      </c>
      <c r="W452" s="19">
        <v>1.2786999999999999</v>
      </c>
      <c r="X452" s="19">
        <v>2.91</v>
      </c>
      <c r="Y452" s="19">
        <v>1.2786999999999999</v>
      </c>
      <c r="Z452" s="4"/>
      <c r="AA452" s="4"/>
      <c r="AB452" s="4" t="e">
        <f ca="1">_xll.ciqfunctions.udf.CIQ("^SPX", "IQ_PRICEDATE", "10/7/2015")</f>
        <v>#NAME?</v>
      </c>
      <c r="AC452" s="16">
        <v>1995.8264815445</v>
      </c>
    </row>
    <row r="453" spans="1:29" x14ac:dyDescent="0.35">
      <c r="A453" s="2" t="s">
        <v>463</v>
      </c>
      <c r="B453" s="4" t="s">
        <v>1596</v>
      </c>
      <c r="C453" s="4" t="s">
        <v>530</v>
      </c>
      <c r="D453" s="4" t="s">
        <v>537</v>
      </c>
      <c r="E453" s="4" t="s">
        <v>583</v>
      </c>
      <c r="F453" s="4" t="s">
        <v>583</v>
      </c>
      <c r="G453" s="14">
        <v>234.65</v>
      </c>
      <c r="H453" s="10">
        <v>19.576395000000002</v>
      </c>
      <c r="I453" s="10">
        <v>39.594447000000002</v>
      </c>
      <c r="J453" s="10" t="s">
        <v>534</v>
      </c>
      <c r="K453" s="15">
        <v>2.8970000000000003E-3</v>
      </c>
      <c r="L453" s="17">
        <v>94516.140297000005</v>
      </c>
      <c r="M453" s="4" t="s">
        <v>1597</v>
      </c>
      <c r="N453" s="19">
        <v>5.926336</v>
      </c>
      <c r="O453" s="19">
        <v>11.6022</v>
      </c>
      <c r="P453" s="19">
        <v>5.6</v>
      </c>
      <c r="Q453" s="19">
        <v>10.3156</v>
      </c>
      <c r="R453" s="19">
        <v>5.0999999999999996</v>
      </c>
      <c r="S453" s="19">
        <v>8.9893999999999998</v>
      </c>
      <c r="T453" s="19">
        <v>5.0999999999999996</v>
      </c>
      <c r="U453" s="19">
        <v>7.9717000000000002</v>
      </c>
      <c r="V453" s="19">
        <v>4.71</v>
      </c>
      <c r="W453" s="19">
        <v>7.5541999999999998</v>
      </c>
      <c r="X453" s="19">
        <v>4.71</v>
      </c>
      <c r="Y453" s="19">
        <v>7.5541999999999998</v>
      </c>
      <c r="Z453" s="4"/>
      <c r="AA453" s="4"/>
      <c r="AB453" s="4" t="e">
        <f ca="1">_xll.ciqfunctions.udf.CIQ("^SPX", "IQ_PRICEDATE", "10/8/2015")</f>
        <v>#NAME?</v>
      </c>
      <c r="AC453" s="16">
        <v>2013.4308976294001</v>
      </c>
    </row>
    <row r="454" spans="1:29" x14ac:dyDescent="0.35">
      <c r="A454" s="2" t="s">
        <v>464</v>
      </c>
      <c r="B454" s="4" t="s">
        <v>1598</v>
      </c>
      <c r="C454" s="4" t="s">
        <v>559</v>
      </c>
      <c r="D454" s="4" t="s">
        <v>560</v>
      </c>
      <c r="E454" s="4" t="s">
        <v>561</v>
      </c>
      <c r="F454" s="4" t="s">
        <v>1599</v>
      </c>
      <c r="G454" s="14">
        <v>112</v>
      </c>
      <c r="H454" s="10">
        <v>12.95468</v>
      </c>
      <c r="I454" s="10">
        <v>31.044820999999999</v>
      </c>
      <c r="J454" s="10">
        <v>4.484947</v>
      </c>
      <c r="K454" s="15">
        <v>1.9642E-2</v>
      </c>
      <c r="L454" s="17">
        <v>13710.03592</v>
      </c>
      <c r="M454" s="4" t="s">
        <v>1600</v>
      </c>
      <c r="N454" s="19">
        <v>3.6076869999999999</v>
      </c>
      <c r="O454" s="19">
        <v>5.0213999999999999</v>
      </c>
      <c r="P454" s="19">
        <v>3.7218010000000001</v>
      </c>
      <c r="Q454" s="19">
        <v>4.1689999999999996</v>
      </c>
      <c r="R454" s="19">
        <v>3.571342</v>
      </c>
      <c r="S454" s="19">
        <v>3.8713000000000002</v>
      </c>
      <c r="T454" s="19">
        <v>3.571342</v>
      </c>
      <c r="U454" s="19">
        <v>4.1371000000000002</v>
      </c>
      <c r="V454" s="19">
        <v>1.4300409999999999</v>
      </c>
      <c r="W454" s="19">
        <v>4.6894999999999998</v>
      </c>
      <c r="X454" s="19">
        <v>1.4300409999999999</v>
      </c>
      <c r="Y454" s="19">
        <v>4.6894999999999998</v>
      </c>
      <c r="Z454" s="4"/>
      <c r="AA454" s="4"/>
      <c r="AB454" s="4" t="e">
        <f ca="1">_xll.ciqfunctions.udf.CIQ("^SPX", "IQ_PRICEDATE", "10/9/2015")</f>
        <v>#NAME?</v>
      </c>
      <c r="AC454" s="16">
        <v>2014.8926461318999</v>
      </c>
    </row>
    <row r="455" spans="1:29" x14ac:dyDescent="0.35">
      <c r="A455" s="2" t="s">
        <v>465</v>
      </c>
      <c r="B455" s="4" t="s">
        <v>1601</v>
      </c>
      <c r="C455" s="4" t="s">
        <v>573</v>
      </c>
      <c r="D455" s="4" t="s">
        <v>579</v>
      </c>
      <c r="E455" s="4" t="s">
        <v>579</v>
      </c>
      <c r="F455" s="4" t="s">
        <v>580</v>
      </c>
      <c r="G455" s="14">
        <v>85.83</v>
      </c>
      <c r="H455" s="10">
        <v>11.337294999999999</v>
      </c>
      <c r="I455" s="10">
        <v>6.5372880000000002</v>
      </c>
      <c r="J455" s="10">
        <v>1.8893150000000001</v>
      </c>
      <c r="K455" s="15">
        <v>7.4560000000000008E-3</v>
      </c>
      <c r="L455" s="17">
        <v>9638.416577</v>
      </c>
      <c r="M455" s="4" t="s">
        <v>1602</v>
      </c>
      <c r="N455" s="19">
        <v>13.129296</v>
      </c>
      <c r="O455" s="19">
        <v>6.2961999999999998</v>
      </c>
      <c r="P455" s="19">
        <v>12.259999000000001</v>
      </c>
      <c r="Q455" s="19">
        <v>5.0377000000000001</v>
      </c>
      <c r="R455" s="19">
        <v>4.41</v>
      </c>
      <c r="S455" s="19">
        <v>4.6266999999999996</v>
      </c>
      <c r="T455" s="19">
        <v>4.41</v>
      </c>
      <c r="U455" s="19">
        <v>4.3547000000000002</v>
      </c>
      <c r="V455" s="19">
        <v>3.9799989999999998</v>
      </c>
      <c r="W455" s="19">
        <v>4.2285000000000004</v>
      </c>
      <c r="X455" s="19">
        <v>3.9799989999999998</v>
      </c>
      <c r="Y455" s="19">
        <v>4.2285000000000004</v>
      </c>
      <c r="Z455" s="4"/>
      <c r="AA455" s="4"/>
      <c r="AB455" s="4" t="e">
        <f ca="1">_xll.ciqfunctions.udf.CIQ("^SPX", "IQ_PRICEDATE", "10/12/2015")</f>
        <v>#NAME?</v>
      </c>
      <c r="AC455" s="16">
        <v>2017.4562247174999</v>
      </c>
    </row>
    <row r="456" spans="1:29" x14ac:dyDescent="0.35">
      <c r="A456" s="2" t="s">
        <v>466</v>
      </c>
      <c r="B456" s="4" t="s">
        <v>1603</v>
      </c>
      <c r="C456" s="4" t="s">
        <v>543</v>
      </c>
      <c r="D456" s="4" t="s">
        <v>544</v>
      </c>
      <c r="E456" s="4" t="s">
        <v>545</v>
      </c>
      <c r="F456" s="4" t="s">
        <v>616</v>
      </c>
      <c r="G456" s="14">
        <v>95.35</v>
      </c>
      <c r="H456" s="10">
        <v>19.469083999999999</v>
      </c>
      <c r="I456" s="10">
        <v>27.096589000000002</v>
      </c>
      <c r="J456" s="10" t="s">
        <v>534</v>
      </c>
      <c r="K456" s="15">
        <v>5.4530000000000004E-3</v>
      </c>
      <c r="L456" s="17">
        <v>17393.559923000001</v>
      </c>
      <c r="M456" s="4" t="s">
        <v>1604</v>
      </c>
      <c r="N456" s="19">
        <v>3.5188929999999998</v>
      </c>
      <c r="O456" s="19">
        <v>4.5712000000000002</v>
      </c>
      <c r="P456" s="19">
        <v>3.161219</v>
      </c>
      <c r="Q456" s="19">
        <v>3.6002000000000001</v>
      </c>
      <c r="R456" s="19">
        <v>1.7329429999999999</v>
      </c>
      <c r="S456" s="19">
        <v>3.0804999999999998</v>
      </c>
      <c r="T456" s="19">
        <v>1.7329429999999999</v>
      </c>
      <c r="U456" s="19">
        <v>2.5766</v>
      </c>
      <c r="V456" s="19">
        <v>1.45852</v>
      </c>
      <c r="W456" s="19">
        <v>2.1427999999999998</v>
      </c>
      <c r="X456" s="19">
        <v>1.45852</v>
      </c>
      <c r="Y456" s="19">
        <v>2.1427999999999998</v>
      </c>
      <c r="Z456" s="4"/>
      <c r="AA456" s="4"/>
      <c r="AB456" s="4" t="e">
        <f ca="1">_xll.ciqfunctions.udf.CIQ("^SPX", "IQ_PRICEDATE", "10/13/2015")</f>
        <v>#NAME?</v>
      </c>
      <c r="AC456" s="16">
        <v>2003.6902857436</v>
      </c>
    </row>
    <row r="457" spans="1:29" x14ac:dyDescent="0.35">
      <c r="A457" s="2" t="s">
        <v>467</v>
      </c>
      <c r="B457" s="4" t="s">
        <v>1605</v>
      </c>
      <c r="C457" s="4" t="s">
        <v>559</v>
      </c>
      <c r="D457" s="4" t="s">
        <v>560</v>
      </c>
      <c r="E457" s="4" t="s">
        <v>561</v>
      </c>
      <c r="F457" s="4" t="s">
        <v>1599</v>
      </c>
      <c r="G457" s="14">
        <v>88.06</v>
      </c>
      <c r="H457" s="10">
        <v>12.881307</v>
      </c>
      <c r="I457" s="10">
        <v>22.919858000000001</v>
      </c>
      <c r="J457" s="10">
        <v>8.3700810000000008</v>
      </c>
      <c r="K457" s="15">
        <v>1.4081E-2</v>
      </c>
      <c r="L457" s="17">
        <v>10726.119857</v>
      </c>
      <c r="M457" s="4" t="s">
        <v>1606</v>
      </c>
      <c r="N457" s="19">
        <v>3.8420830000000001</v>
      </c>
      <c r="O457" s="19">
        <v>4.3891999999999998</v>
      </c>
      <c r="P457" s="19">
        <v>3.3</v>
      </c>
      <c r="Q457" s="19">
        <v>3.4685000000000001</v>
      </c>
      <c r="R457" s="19">
        <v>3.27</v>
      </c>
      <c r="S457" s="19">
        <v>3.4594999999999998</v>
      </c>
      <c r="T457" s="19">
        <v>3.27</v>
      </c>
      <c r="U457" s="19">
        <v>3.4003999999999999</v>
      </c>
      <c r="V457" s="19">
        <v>2.66</v>
      </c>
      <c r="W457" s="19">
        <v>2.9098999999999999</v>
      </c>
      <c r="X457" s="19">
        <v>2.66</v>
      </c>
      <c r="Y457" s="19">
        <v>2.9098999999999999</v>
      </c>
      <c r="Z457" s="4"/>
      <c r="AA457" s="4"/>
      <c r="AB457" s="4" t="e">
        <f ca="1">_xll.ciqfunctions.udf.CIQ("^SPX", "IQ_PRICEDATE", "10/14/2015")</f>
        <v>#NAME?</v>
      </c>
      <c r="AC457" s="16">
        <v>1994.2423705799999</v>
      </c>
    </row>
    <row r="458" spans="1:29" x14ac:dyDescent="0.35">
      <c r="A458" s="2" t="s">
        <v>468</v>
      </c>
      <c r="B458" s="4" t="s">
        <v>1607</v>
      </c>
      <c r="C458" s="4" t="s">
        <v>525</v>
      </c>
      <c r="D458" s="4" t="s">
        <v>526</v>
      </c>
      <c r="E458" s="4" t="s">
        <v>703</v>
      </c>
      <c r="F458" s="4" t="s">
        <v>703</v>
      </c>
      <c r="G458" s="14">
        <v>347.78</v>
      </c>
      <c r="H458" s="10">
        <v>16.753229999999999</v>
      </c>
      <c r="I458" s="10">
        <v>24.205611999999999</v>
      </c>
      <c r="J458" s="10" t="s">
        <v>534</v>
      </c>
      <c r="K458" s="15">
        <v>0</v>
      </c>
      <c r="L458" s="17">
        <v>18303.207199</v>
      </c>
      <c r="M458" s="4" t="s">
        <v>1608</v>
      </c>
      <c r="N458" s="19">
        <v>14.367742</v>
      </c>
      <c r="O458" s="19">
        <v>16.288699999999999</v>
      </c>
      <c r="P458" s="19">
        <v>12.69909</v>
      </c>
      <c r="Q458" s="19">
        <v>13.372640000000001</v>
      </c>
      <c r="R458" s="19">
        <v>8.5559060000000002</v>
      </c>
      <c r="S458" s="19">
        <v>12.1408</v>
      </c>
      <c r="T458" s="19">
        <v>8.5559060000000002</v>
      </c>
      <c r="U458" s="19">
        <v>10.626720000000001</v>
      </c>
      <c r="V458" s="19">
        <v>3.3478279999999998</v>
      </c>
      <c r="W458" s="19">
        <v>8.3816699999999997</v>
      </c>
      <c r="X458" s="19">
        <v>3.3478279999999998</v>
      </c>
      <c r="Y458" s="19">
        <v>8.3816699999999997</v>
      </c>
      <c r="Z458" s="4"/>
      <c r="AA458" s="4"/>
      <c r="AB458" s="4" t="e">
        <f ca="1">_xll.ciqfunctions.udf.CIQ("^SPX", "IQ_PRICEDATE", "10/15/2015")</f>
        <v>#NAME?</v>
      </c>
      <c r="AC458" s="16">
        <v>2023.8617836236999</v>
      </c>
    </row>
    <row r="459" spans="1:29" x14ac:dyDescent="0.35">
      <c r="A459" s="2" t="s">
        <v>469</v>
      </c>
      <c r="B459" s="4" t="s">
        <v>1609</v>
      </c>
      <c r="C459" s="4" t="s">
        <v>549</v>
      </c>
      <c r="D459" s="4" t="s">
        <v>550</v>
      </c>
      <c r="E459" s="4" t="s">
        <v>623</v>
      </c>
      <c r="F459" s="4" t="s">
        <v>623</v>
      </c>
      <c r="G459" s="14">
        <v>47.16</v>
      </c>
      <c r="H459" s="10">
        <v>34.371181999999997</v>
      </c>
      <c r="I459" s="10" t="s">
        <v>534</v>
      </c>
      <c r="J459" s="10">
        <v>14.541498000000001</v>
      </c>
      <c r="K459" s="15">
        <v>0</v>
      </c>
      <c r="L459" s="17">
        <v>6486.7297719999997</v>
      </c>
      <c r="M459" s="4" t="s">
        <v>1610</v>
      </c>
      <c r="N459" s="19">
        <v>-0.16770399999999999</v>
      </c>
      <c r="O459" s="19">
        <v>1.4690000000000001</v>
      </c>
      <c r="P459" s="19">
        <v>-0.14000000000000001</v>
      </c>
      <c r="Q459" s="19">
        <v>1.0461</v>
      </c>
      <c r="R459" s="19">
        <v>0.82</v>
      </c>
      <c r="S459" s="19">
        <v>1.5522</v>
      </c>
      <c r="T459" s="19">
        <v>0.82</v>
      </c>
      <c r="U459" s="19">
        <v>2.157</v>
      </c>
      <c r="V459" s="19">
        <v>1.55</v>
      </c>
      <c r="W459" s="19">
        <v>2.4192999999999998</v>
      </c>
      <c r="X459" s="19">
        <v>1.55</v>
      </c>
      <c r="Y459" s="19">
        <v>2.4192999999999998</v>
      </c>
      <c r="Z459" s="4"/>
      <c r="AA459" s="4"/>
      <c r="AB459" s="4" t="e">
        <f ca="1">_xll.ciqfunctions.udf.CIQ("^SPX", "IQ_PRICEDATE", "10/16/2015")</f>
        <v>#NAME?</v>
      </c>
      <c r="AC459" s="16">
        <v>2033.1103965692</v>
      </c>
    </row>
    <row r="460" spans="1:29" x14ac:dyDescent="0.35">
      <c r="A460" s="2" t="s">
        <v>470</v>
      </c>
      <c r="B460" s="4" t="s">
        <v>1611</v>
      </c>
      <c r="C460" s="4" t="s">
        <v>549</v>
      </c>
      <c r="D460" s="4" t="s">
        <v>550</v>
      </c>
      <c r="E460" s="4" t="s">
        <v>551</v>
      </c>
      <c r="F460" s="4" t="s">
        <v>1319</v>
      </c>
      <c r="G460" s="14">
        <v>45.46</v>
      </c>
      <c r="H460" s="10">
        <v>14.55697</v>
      </c>
      <c r="I460" s="10">
        <v>0</v>
      </c>
      <c r="J460" s="10">
        <v>0</v>
      </c>
      <c r="K460" s="15">
        <v>0</v>
      </c>
      <c r="L460" s="17">
        <v>84608.020678999994</v>
      </c>
      <c r="M460" s="4" t="s">
        <v>1331</v>
      </c>
      <c r="N460" s="19">
        <v>2.41</v>
      </c>
      <c r="O460" s="19">
        <v>2.0968399999999998</v>
      </c>
      <c r="P460" s="19">
        <v>2.1397729999999999</v>
      </c>
      <c r="Q460" s="19">
        <v>2.0568</v>
      </c>
      <c r="R460" s="19">
        <v>1.6462760000000001</v>
      </c>
      <c r="S460" s="19">
        <v>1.929</v>
      </c>
      <c r="T460" s="19">
        <v>1.6462760000000001</v>
      </c>
      <c r="U460" s="19">
        <v>1.9152</v>
      </c>
      <c r="V460" s="19">
        <v>4.213857</v>
      </c>
      <c r="W460" s="19">
        <v>1.78</v>
      </c>
      <c r="X460" s="19">
        <v>4.213857</v>
      </c>
      <c r="Y460" s="19">
        <v>1.78</v>
      </c>
      <c r="Z460" s="4"/>
      <c r="AA460" s="4"/>
      <c r="AB460" s="4" t="e">
        <f ca="1">_xll.ciqfunctions.udf.CIQ("^SPX", "IQ_PRICEDATE", "10/19/2015")</f>
        <v>#NAME?</v>
      </c>
      <c r="AC460" s="16">
        <v>2033.6644048101</v>
      </c>
    </row>
    <row r="461" spans="1:29" x14ac:dyDescent="0.35">
      <c r="A461" s="2" t="s">
        <v>471</v>
      </c>
      <c r="B461" s="4" t="s">
        <v>1611</v>
      </c>
      <c r="C461" s="4" t="s">
        <v>549</v>
      </c>
      <c r="D461" s="4" t="s">
        <v>550</v>
      </c>
      <c r="E461" s="4" t="s">
        <v>551</v>
      </c>
      <c r="F461" s="4" t="s">
        <v>1319</v>
      </c>
      <c r="G461" s="14">
        <v>45.83</v>
      </c>
      <c r="H461" s="10">
        <v>14.55697</v>
      </c>
      <c r="I461" s="10">
        <v>19.016597000000001</v>
      </c>
      <c r="J461" s="10" t="s">
        <v>534</v>
      </c>
      <c r="K461" s="15">
        <v>7.8549999999999991E-3</v>
      </c>
      <c r="L461" s="17">
        <v>84608.020678999994</v>
      </c>
      <c r="M461" s="4" t="s">
        <v>1331</v>
      </c>
      <c r="N461" s="19">
        <v>2.41</v>
      </c>
      <c r="O461" s="19">
        <v>2.0968399999999998</v>
      </c>
      <c r="P461" s="19">
        <v>2.1397729999999999</v>
      </c>
      <c r="Q461" s="19">
        <v>2.0568</v>
      </c>
      <c r="R461" s="19">
        <v>1.6462760000000001</v>
      </c>
      <c r="S461" s="19">
        <v>1.929</v>
      </c>
      <c r="T461" s="19">
        <v>1.6462760000000001</v>
      </c>
      <c r="U461" s="19">
        <v>1.9152</v>
      </c>
      <c r="V461" s="19">
        <v>4.213857</v>
      </c>
      <c r="W461" s="19">
        <v>1.7846</v>
      </c>
      <c r="X461" s="19">
        <v>4.213857</v>
      </c>
      <c r="Y461" s="19">
        <v>1.7846</v>
      </c>
      <c r="Z461" s="4"/>
      <c r="AA461" s="4"/>
      <c r="AB461" s="4" t="e">
        <f ca="1">_xll.ciqfunctions.udf.CIQ("^SPX", "IQ_PRICEDATE", "10/20/2015")</f>
        <v>#NAME?</v>
      </c>
      <c r="AC461" s="16">
        <v>2030.7671635219001</v>
      </c>
    </row>
    <row r="462" spans="1:29" x14ac:dyDescent="0.35">
      <c r="A462" s="2" t="s">
        <v>472</v>
      </c>
      <c r="B462" s="4" t="s">
        <v>1612</v>
      </c>
      <c r="C462" s="4" t="s">
        <v>549</v>
      </c>
      <c r="D462" s="4" t="s">
        <v>550</v>
      </c>
      <c r="E462" s="4" t="s">
        <v>623</v>
      </c>
      <c r="F462" s="4" t="s">
        <v>623</v>
      </c>
      <c r="G462" s="14">
        <v>29.55</v>
      </c>
      <c r="H462" s="10">
        <v>33.006252000000003</v>
      </c>
      <c r="I462" s="10">
        <v>95.597655000000003</v>
      </c>
      <c r="J462" s="10">
        <v>5.1907290000000001</v>
      </c>
      <c r="K462" s="15">
        <v>0</v>
      </c>
      <c r="L462" s="17">
        <v>22308.772499999999</v>
      </c>
      <c r="M462" s="4" t="s">
        <v>1613</v>
      </c>
      <c r="N462" s="19">
        <v>0.30910799999999999</v>
      </c>
      <c r="O462" s="19">
        <v>0.6915</v>
      </c>
      <c r="P462" s="19">
        <v>-0.15</v>
      </c>
      <c r="Q462" s="19">
        <v>0.42959999999999998</v>
      </c>
      <c r="R462" s="19">
        <v>-0.65069100000000002</v>
      </c>
      <c r="S462" s="19">
        <v>0.55520000000000003</v>
      </c>
      <c r="T462" s="19">
        <v>-0.65069100000000002</v>
      </c>
      <c r="U462" s="19">
        <v>0.43809999999999999</v>
      </c>
      <c r="V462" s="19">
        <v>-0.96</v>
      </c>
      <c r="W462" s="19">
        <v>0.24909999999999999</v>
      </c>
      <c r="X462" s="19">
        <v>-0.96</v>
      </c>
      <c r="Y462" s="19">
        <v>0.24909999999999999</v>
      </c>
      <c r="Z462" s="4"/>
      <c r="AA462" s="4"/>
      <c r="AB462" s="4" t="e">
        <f ca="1">_xll.ciqfunctions.udf.CIQ("^SPX", "IQ_PRICEDATE", "10/21/2015")</f>
        <v>#NAME?</v>
      </c>
      <c r="AC462" s="16">
        <v>2018.941033007</v>
      </c>
    </row>
    <row r="463" spans="1:29" x14ac:dyDescent="0.35">
      <c r="A463" s="2" t="s">
        <v>473</v>
      </c>
      <c r="B463" s="4" t="s">
        <v>1614</v>
      </c>
      <c r="C463" s="4" t="s">
        <v>626</v>
      </c>
      <c r="D463" s="4" t="s">
        <v>627</v>
      </c>
      <c r="E463" s="4" t="s">
        <v>699</v>
      </c>
      <c r="F463" s="4" t="s">
        <v>789</v>
      </c>
      <c r="G463" s="14">
        <v>61.97</v>
      </c>
      <c r="H463" s="10">
        <v>7.8864830000000001</v>
      </c>
      <c r="I463" s="10">
        <v>7.9492050000000001</v>
      </c>
      <c r="J463" s="10" t="s">
        <v>534</v>
      </c>
      <c r="K463" s="15">
        <v>1.9363999999999999E-2</v>
      </c>
      <c r="L463" s="17">
        <v>22676.699452000001</v>
      </c>
      <c r="M463" s="4" t="s">
        <v>1615</v>
      </c>
      <c r="N463" s="19">
        <v>7.7957479999999997</v>
      </c>
      <c r="O463" s="19">
        <v>5.7884000000000002</v>
      </c>
      <c r="P463" s="19">
        <v>7.6092820000000003</v>
      </c>
      <c r="Q463" s="19">
        <v>5.8586299999999998</v>
      </c>
      <c r="R463" s="19">
        <v>4.9569989999999997</v>
      </c>
      <c r="S463" s="19">
        <v>4.8356599999999998</v>
      </c>
      <c r="T463" s="19">
        <v>4.9569989999999997</v>
      </c>
      <c r="U463" s="19">
        <v>3.6011600000000001</v>
      </c>
      <c r="V463" s="19">
        <v>2.4127529999999999</v>
      </c>
      <c r="W463" s="19">
        <v>3.4053800000000001</v>
      </c>
      <c r="X463" s="19">
        <v>2.4127529999999999</v>
      </c>
      <c r="Y463" s="19">
        <v>3.4053800000000001</v>
      </c>
      <c r="Z463" s="4"/>
      <c r="AA463" s="4"/>
      <c r="AB463" s="4" t="e">
        <f ca="1">_xll.ciqfunctions.udf.CIQ("^SPX", "IQ_PRICEDATE", "10/22/2015")</f>
        <v>#NAME?</v>
      </c>
      <c r="AC463" s="16">
        <v>2052.5088261477999</v>
      </c>
    </row>
    <row r="464" spans="1:29" x14ac:dyDescent="0.35">
      <c r="A464" s="2" t="s">
        <v>474</v>
      </c>
      <c r="B464" s="4" t="s">
        <v>1616</v>
      </c>
      <c r="C464" s="4" t="s">
        <v>573</v>
      </c>
      <c r="D464" s="4" t="s">
        <v>737</v>
      </c>
      <c r="E464" s="4" t="s">
        <v>737</v>
      </c>
      <c r="F464" s="4" t="s">
        <v>738</v>
      </c>
      <c r="G464" s="14">
        <v>52.9</v>
      </c>
      <c r="H464" s="10">
        <v>0</v>
      </c>
      <c r="I464" s="10">
        <v>13.809882999999999</v>
      </c>
      <c r="J464" s="10">
        <v>2.529703</v>
      </c>
      <c r="K464" s="15">
        <v>2.7976999999999998E-2</v>
      </c>
      <c r="L464" s="17">
        <v>85856.7</v>
      </c>
      <c r="M464" s="4" t="s">
        <v>1617</v>
      </c>
      <c r="N464" s="19">
        <v>4.0007149999999996</v>
      </c>
      <c r="O464" s="19">
        <v>4.1962000000000002</v>
      </c>
      <c r="P464" s="19">
        <v>3.51</v>
      </c>
      <c r="Q464" s="19">
        <v>3.6615000000000002</v>
      </c>
      <c r="R464" s="19">
        <v>3.24</v>
      </c>
      <c r="S464" s="19">
        <v>3.3683000000000001</v>
      </c>
      <c r="T464" s="19">
        <v>3.24</v>
      </c>
      <c r="U464" s="19">
        <v>3.3271000000000002</v>
      </c>
      <c r="V464" s="19">
        <v>3.08</v>
      </c>
      <c r="W464" s="19">
        <v>3.2099000000000002</v>
      </c>
      <c r="X464" s="19">
        <v>3.08</v>
      </c>
      <c r="Y464" s="19">
        <v>3.2099000000000002</v>
      </c>
      <c r="Z464" s="4"/>
      <c r="AA464" s="4"/>
      <c r="AB464" s="4" t="e">
        <f ca="1">_xll.ciqfunctions.udf.CIQ("^SPX", "IQ_PRICEDATE", "10/23/2015")</f>
        <v>#NAME?</v>
      </c>
      <c r="AC464" s="16">
        <v>2075.1512780694002</v>
      </c>
    </row>
    <row r="465" spans="1:29" x14ac:dyDescent="0.35">
      <c r="A465" s="2" t="s">
        <v>475</v>
      </c>
      <c r="B465" s="4" t="s">
        <v>1618</v>
      </c>
      <c r="C465" s="4" t="s">
        <v>601</v>
      </c>
      <c r="D465" s="4" t="s">
        <v>601</v>
      </c>
      <c r="E465" s="4" t="s">
        <v>602</v>
      </c>
      <c r="F465" s="4" t="s">
        <v>685</v>
      </c>
      <c r="G465" s="14">
        <v>39.049999999999997</v>
      </c>
      <c r="H465" s="10">
        <v>23.943628</v>
      </c>
      <c r="I465" s="10">
        <v>57.430692999999998</v>
      </c>
      <c r="J465" s="10">
        <v>3.8551389999999999</v>
      </c>
      <c r="K465" s="15">
        <v>3.3034000000000001E-2</v>
      </c>
      <c r="L465" s="17">
        <v>10452.861161999999</v>
      </c>
      <c r="M465" s="4" t="s">
        <v>1619</v>
      </c>
      <c r="N465" s="19">
        <v>0.67995000000000005</v>
      </c>
      <c r="O465" s="19">
        <v>0.30149999999999999</v>
      </c>
      <c r="P465" s="19">
        <v>0.44</v>
      </c>
      <c r="Q465" s="19">
        <v>0.30809999999999998</v>
      </c>
      <c r="R465" s="19">
        <v>1.08</v>
      </c>
      <c r="S465" s="19">
        <v>0.23449999999999999</v>
      </c>
      <c r="T465" s="19">
        <v>1.08</v>
      </c>
      <c r="U465" s="19">
        <v>0.32969999999999999</v>
      </c>
      <c r="V465" s="19">
        <v>0.59</v>
      </c>
      <c r="W465" s="19">
        <v>0.14799999999999999</v>
      </c>
      <c r="X465" s="19">
        <v>0.59</v>
      </c>
      <c r="Y465" s="19">
        <v>0.14799999999999999</v>
      </c>
      <c r="Z465" s="4"/>
      <c r="AA465" s="4"/>
      <c r="AB465" s="4" t="e">
        <f ca="1">_xll.ciqfunctions.udf.CIQ("^SPX", "IQ_PRICEDATE", "10/26/2015")</f>
        <v>#NAME?</v>
      </c>
      <c r="AC465" s="16">
        <v>2071.1815203360002</v>
      </c>
    </row>
    <row r="466" spans="1:29" x14ac:dyDescent="0.35">
      <c r="A466" s="2" t="s">
        <v>476</v>
      </c>
      <c r="B466" s="4" t="s">
        <v>1620</v>
      </c>
      <c r="C466" s="4" t="s">
        <v>559</v>
      </c>
      <c r="D466" s="4" t="s">
        <v>560</v>
      </c>
      <c r="E466" s="4" t="s">
        <v>561</v>
      </c>
      <c r="F466" s="4" t="s">
        <v>1599</v>
      </c>
      <c r="G466" s="14">
        <v>281.92</v>
      </c>
      <c r="H466" s="10">
        <v>15.164898000000001</v>
      </c>
      <c r="I466" s="10">
        <v>27.505901000000001</v>
      </c>
      <c r="J466" s="10">
        <v>9.3127270000000006</v>
      </c>
      <c r="K466" s="15">
        <v>0</v>
      </c>
      <c r="L466" s="17">
        <v>16850.470885999999</v>
      </c>
      <c r="M466" s="4" t="s">
        <v>1621</v>
      </c>
      <c r="N466" s="19">
        <v>10.249437</v>
      </c>
      <c r="O466" s="19">
        <v>11.7638</v>
      </c>
      <c r="P466" s="19">
        <v>7.8250469999999996</v>
      </c>
      <c r="Q466" s="19">
        <v>9.4501000000000008</v>
      </c>
      <c r="R466" s="19">
        <v>5.9660380000000002</v>
      </c>
      <c r="S466" s="19">
        <v>7.4290000000000003</v>
      </c>
      <c r="T466" s="19">
        <v>5.9660380000000002</v>
      </c>
      <c r="U466" s="19">
        <v>5.4147999999999996</v>
      </c>
      <c r="V466" s="19">
        <v>3.729069</v>
      </c>
      <c r="W466" s="19">
        <v>4.3217999999999996</v>
      </c>
      <c r="X466" s="19">
        <v>3.729069</v>
      </c>
      <c r="Y466" s="19">
        <v>4.3217999999999996</v>
      </c>
      <c r="Z466" s="4"/>
      <c r="AA466" s="4"/>
      <c r="AB466" s="4" t="e">
        <f ca="1">_xll.ciqfunctions.udf.CIQ("^SPX", "IQ_PRICEDATE", "10/27/2015")</f>
        <v>#NAME?</v>
      </c>
      <c r="AC466" s="16">
        <v>2065.8922884034</v>
      </c>
    </row>
    <row r="467" spans="1:29" x14ac:dyDescent="0.35">
      <c r="A467" s="2" t="s">
        <v>477</v>
      </c>
      <c r="B467" s="4" t="s">
        <v>1622</v>
      </c>
      <c r="C467" s="4" t="s">
        <v>559</v>
      </c>
      <c r="D467" s="4" t="s">
        <v>912</v>
      </c>
      <c r="E467" s="4" t="s">
        <v>1097</v>
      </c>
      <c r="F467" s="4" t="s">
        <v>1098</v>
      </c>
      <c r="G467" s="14">
        <v>17.559999999999999</v>
      </c>
      <c r="H467" s="10">
        <v>26.577881000000001</v>
      </c>
      <c r="I467" s="10">
        <v>0</v>
      </c>
      <c r="J467" s="10">
        <v>0</v>
      </c>
      <c r="K467" s="15">
        <v>0</v>
      </c>
      <c r="L467" s="17">
        <v>8157.1402959999996</v>
      </c>
      <c r="M467" s="4" t="s">
        <v>1623</v>
      </c>
      <c r="N467" s="19">
        <v>-0.36042000000000002</v>
      </c>
      <c r="O467" s="19">
        <v>0.27500000000000002</v>
      </c>
      <c r="P467" s="19">
        <v>-0.11</v>
      </c>
      <c r="Q467" s="19">
        <v>0.15</v>
      </c>
      <c r="R467" s="19">
        <v>0.45</v>
      </c>
      <c r="S467" s="19">
        <v>0.65780000000000005</v>
      </c>
      <c r="T467" s="19">
        <v>0.45</v>
      </c>
      <c r="U467" s="19">
        <v>0</v>
      </c>
      <c r="V467" s="19">
        <v>0.47</v>
      </c>
      <c r="W467" s="19">
        <v>0</v>
      </c>
      <c r="X467" s="19">
        <v>0.47</v>
      </c>
      <c r="Y467" s="19">
        <v>0</v>
      </c>
      <c r="Z467" s="4"/>
      <c r="AA467" s="4"/>
      <c r="AB467" s="4" t="e">
        <f ca="1">_xll.ciqfunctions.udf.CIQ("^SPX", "IQ_PRICEDATE", "10/28/2015")</f>
        <v>#NAME?</v>
      </c>
      <c r="AC467" s="16">
        <v>2090.3538814400999</v>
      </c>
    </row>
    <row r="468" spans="1:29" x14ac:dyDescent="0.35">
      <c r="A468" s="2" t="s">
        <v>478</v>
      </c>
      <c r="B468" s="4" t="s">
        <v>1622</v>
      </c>
      <c r="C468" s="4" t="s">
        <v>559</v>
      </c>
      <c r="D468" s="4" t="s">
        <v>912</v>
      </c>
      <c r="E468" s="4" t="s">
        <v>1097</v>
      </c>
      <c r="F468" s="4" t="s">
        <v>1098</v>
      </c>
      <c r="G468" s="14">
        <v>19.12</v>
      </c>
      <c r="H468" s="10">
        <v>26.577881000000001</v>
      </c>
      <c r="I468" s="10" t="s">
        <v>534</v>
      </c>
      <c r="J468" s="10">
        <v>6.4106880000000004</v>
      </c>
      <c r="K468" s="15">
        <v>0</v>
      </c>
      <c r="L468" s="17">
        <v>8157.1402959999996</v>
      </c>
      <c r="M468" s="4" t="s">
        <v>1623</v>
      </c>
      <c r="N468" s="19">
        <v>-0.36042000000000002</v>
      </c>
      <c r="O468" s="19">
        <v>0.2432</v>
      </c>
      <c r="P468" s="19">
        <v>-0.11</v>
      </c>
      <c r="Q468" s="19">
        <v>0.14019999999999999</v>
      </c>
      <c r="R468" s="19">
        <v>0.45</v>
      </c>
      <c r="S468" s="19">
        <v>0.63149999999999995</v>
      </c>
      <c r="T468" s="19">
        <v>0.45</v>
      </c>
      <c r="U468" s="19">
        <v>0.60629999999999995</v>
      </c>
      <c r="V468" s="19">
        <v>0.47</v>
      </c>
      <c r="W468" s="19">
        <v>0.55289999999999995</v>
      </c>
      <c r="X468" s="19">
        <v>0.47</v>
      </c>
      <c r="Y468" s="19">
        <v>0.55289999999999995</v>
      </c>
      <c r="Z468" s="4"/>
      <c r="AA468" s="4"/>
      <c r="AB468" s="4" t="e">
        <f ca="1">_xll.ciqfunctions.udf.CIQ("^SPX", "IQ_PRICEDATE", "10/29/2015")</f>
        <v>#NAME?</v>
      </c>
      <c r="AC468" s="16">
        <v>2089.4074019073</v>
      </c>
    </row>
    <row r="469" spans="1:29" x14ac:dyDescent="0.35">
      <c r="A469" s="2" t="s">
        <v>479</v>
      </c>
      <c r="B469" s="4" t="s">
        <v>1624</v>
      </c>
      <c r="C469" s="4" t="s">
        <v>525</v>
      </c>
      <c r="D469" s="4" t="s">
        <v>594</v>
      </c>
      <c r="E469" s="4" t="s">
        <v>903</v>
      </c>
      <c r="F469" s="4" t="s">
        <v>904</v>
      </c>
      <c r="G469" s="14">
        <v>149.88999999999999</v>
      </c>
      <c r="H469" s="10">
        <v>12.510600999999999</v>
      </c>
      <c r="I469" s="10">
        <v>10.383309000000001</v>
      </c>
      <c r="J469" s="10">
        <v>5.7536160000000001</v>
      </c>
      <c r="K469" s="15">
        <v>2.1347999999999999E-2</v>
      </c>
      <c r="L469" s="17">
        <v>110842.822961</v>
      </c>
      <c r="M469" s="4" t="s">
        <v>1625</v>
      </c>
      <c r="N469" s="19">
        <v>14.435667</v>
      </c>
      <c r="O469" s="19">
        <v>8.2949999999999999</v>
      </c>
      <c r="P469" s="19">
        <v>13.36</v>
      </c>
      <c r="Q469" s="19">
        <v>6.2483000000000004</v>
      </c>
      <c r="R469" s="19">
        <v>5.07</v>
      </c>
      <c r="S469" s="19">
        <v>5.4150999999999998</v>
      </c>
      <c r="T469" s="19">
        <v>5.07</v>
      </c>
      <c r="U469" s="19">
        <v>5.8707000000000003</v>
      </c>
      <c r="V469" s="19">
        <v>5.75</v>
      </c>
      <c r="W469" s="19">
        <v>6.2869999999999999</v>
      </c>
      <c r="X469" s="19">
        <v>5.75</v>
      </c>
      <c r="Y469" s="19">
        <v>6.2869999999999999</v>
      </c>
      <c r="Z469" s="4"/>
      <c r="AA469" s="4"/>
      <c r="AB469" s="4" t="e">
        <f ca="1">_xll.ciqfunctions.udf.CIQ("^SPX", "IQ_PRICEDATE", "10/30/2015")</f>
        <v>#NAME?</v>
      </c>
      <c r="AC469" s="16">
        <v>2079.3598374672001</v>
      </c>
    </row>
    <row r="470" spans="1:29" x14ac:dyDescent="0.35">
      <c r="A470" s="2" t="s">
        <v>480</v>
      </c>
      <c r="B470" s="4" t="s">
        <v>1626</v>
      </c>
      <c r="C470" s="4" t="s">
        <v>525</v>
      </c>
      <c r="D470" s="4" t="s">
        <v>594</v>
      </c>
      <c r="E470" s="4" t="s">
        <v>595</v>
      </c>
      <c r="F470" s="4" t="s">
        <v>595</v>
      </c>
      <c r="G470" s="14">
        <v>88.49</v>
      </c>
      <c r="H470" s="10">
        <v>6.0404059999999999</v>
      </c>
      <c r="I470" s="10">
        <v>11.162362</v>
      </c>
      <c r="J470" s="10">
        <v>33.695047000000002</v>
      </c>
      <c r="K470" s="15">
        <v>0</v>
      </c>
      <c r="L470" s="17">
        <v>24110.375818</v>
      </c>
      <c r="M470" s="4" t="s">
        <v>1627</v>
      </c>
      <c r="N470" s="19">
        <v>7.9275330000000004</v>
      </c>
      <c r="O470" s="19">
        <v>8.7324000000000002</v>
      </c>
      <c r="P470" s="19">
        <v>7.02</v>
      </c>
      <c r="Q470" s="19">
        <v>6.2331000000000003</v>
      </c>
      <c r="R470" s="19">
        <v>6.85</v>
      </c>
      <c r="S470" s="19">
        <v>6.5766</v>
      </c>
      <c r="T470" s="19">
        <v>6.85</v>
      </c>
      <c r="U470" s="19">
        <v>9.4006000000000007</v>
      </c>
      <c r="V470" s="19">
        <v>2.9330250000000002</v>
      </c>
      <c r="W470" s="19">
        <v>7.9301000000000004</v>
      </c>
      <c r="X470" s="19">
        <v>2.9330250000000002</v>
      </c>
      <c r="Y470" s="19">
        <v>7.9301000000000004</v>
      </c>
      <c r="Z470" s="4"/>
      <c r="AA470" s="4"/>
      <c r="AB470" s="4" t="e">
        <f ca="1">_xll.ciqfunctions.udf.CIQ("^SPX", "IQ_PRICEDATE", "11/2/2015")</f>
        <v>#NAME?</v>
      </c>
      <c r="AC470" s="16">
        <v>2104.0490473793998</v>
      </c>
    </row>
    <row r="471" spans="1:29" x14ac:dyDescent="0.35">
      <c r="A471" s="2" t="s">
        <v>481</v>
      </c>
      <c r="B471" s="4" t="s">
        <v>1628</v>
      </c>
      <c r="C471" s="4" t="s">
        <v>525</v>
      </c>
      <c r="D471" s="4" t="s">
        <v>594</v>
      </c>
      <c r="E471" s="4" t="s">
        <v>779</v>
      </c>
      <c r="F471" s="4" t="s">
        <v>779</v>
      </c>
      <c r="G471" s="14">
        <v>118.01</v>
      </c>
      <c r="H471" s="10">
        <v>12.263819</v>
      </c>
      <c r="I471" s="10">
        <v>19.838377000000001</v>
      </c>
      <c r="J471" s="10" t="s">
        <v>534</v>
      </c>
      <c r="K471" s="15">
        <v>3.0844E-2</v>
      </c>
      <c r="L471" s="17">
        <v>101529.280289</v>
      </c>
      <c r="M471" s="4" t="s">
        <v>1629</v>
      </c>
      <c r="N471" s="19">
        <v>5.9485710000000003</v>
      </c>
      <c r="O471" s="19">
        <v>7.4805000000000001</v>
      </c>
      <c r="P471" s="19">
        <v>5.61</v>
      </c>
      <c r="Q471" s="19">
        <v>6.3202999999999996</v>
      </c>
      <c r="R471" s="19">
        <v>3.87</v>
      </c>
      <c r="S471" s="19">
        <v>6.0423999999999998</v>
      </c>
      <c r="T471" s="19">
        <v>3.87</v>
      </c>
      <c r="U471" s="19">
        <v>5.5875000000000004</v>
      </c>
      <c r="V471" s="19">
        <v>3.28</v>
      </c>
      <c r="W471" s="19">
        <v>5.4767000000000001</v>
      </c>
      <c r="X471" s="19">
        <v>3.28</v>
      </c>
      <c r="Y471" s="19">
        <v>5.4767000000000001</v>
      </c>
      <c r="Z471" s="4"/>
      <c r="AA471" s="4"/>
      <c r="AB471" s="4" t="e">
        <f ca="1">_xll.ciqfunctions.udf.CIQ("^SPX", "IQ_PRICEDATE", "11/3/2015")</f>
        <v>#NAME?</v>
      </c>
      <c r="AC471" s="16">
        <v>2109.7875229148999</v>
      </c>
    </row>
    <row r="472" spans="1:29" x14ac:dyDescent="0.35">
      <c r="A472" s="2" t="s">
        <v>482</v>
      </c>
      <c r="B472" s="4" t="s">
        <v>1630</v>
      </c>
      <c r="C472" s="4" t="s">
        <v>525</v>
      </c>
      <c r="D472" s="4" t="s">
        <v>526</v>
      </c>
      <c r="E472" s="4" t="s">
        <v>1023</v>
      </c>
      <c r="F472" s="4" t="s">
        <v>1023</v>
      </c>
      <c r="G472" s="14">
        <v>139.04</v>
      </c>
      <c r="H472" s="10">
        <v>8.6262190000000007</v>
      </c>
      <c r="I472" s="10">
        <v>6.98733</v>
      </c>
      <c r="J472" s="10" t="s">
        <v>534</v>
      </c>
      <c r="K472" s="15">
        <v>0</v>
      </c>
      <c r="L472" s="17">
        <v>11276.508562999999</v>
      </c>
      <c r="M472" s="4" t="s">
        <v>1631</v>
      </c>
      <c r="N472" s="19">
        <v>19.898873999999999</v>
      </c>
      <c r="O472" s="19">
        <v>16.346900000000002</v>
      </c>
      <c r="P472" s="19">
        <v>15.73</v>
      </c>
      <c r="Q472" s="19">
        <v>12.0929</v>
      </c>
      <c r="R472" s="19">
        <v>6.45</v>
      </c>
      <c r="S472" s="19">
        <v>8.5184999999999995</v>
      </c>
      <c r="T472" s="19">
        <v>6.45</v>
      </c>
      <c r="U472" s="19">
        <v>8.6806000000000001</v>
      </c>
      <c r="V472" s="19">
        <v>5.15</v>
      </c>
      <c r="W472" s="19">
        <v>7.9267000000000003</v>
      </c>
      <c r="X472" s="19">
        <v>5.15</v>
      </c>
      <c r="Y472" s="19">
        <v>7.9267000000000003</v>
      </c>
      <c r="Z472" s="4"/>
      <c r="AA472" s="4"/>
      <c r="AB472" s="4" t="e">
        <f ca="1">_xll.ciqfunctions.udf.CIQ("^SPX", "IQ_PRICEDATE", "11/4/2015")</f>
        <v>#NAME?</v>
      </c>
      <c r="AC472" s="16">
        <v>2102.3136815055</v>
      </c>
    </row>
    <row r="473" spans="1:29" x14ac:dyDescent="0.35">
      <c r="A473" s="2" t="s">
        <v>483</v>
      </c>
      <c r="B473" s="4" t="s">
        <v>1632</v>
      </c>
      <c r="C473" s="4" t="s">
        <v>525</v>
      </c>
      <c r="D473" s="4" t="s">
        <v>526</v>
      </c>
      <c r="E473" s="4" t="s">
        <v>703</v>
      </c>
      <c r="F473" s="4" t="s">
        <v>703</v>
      </c>
      <c r="G473" s="14">
        <v>130.07</v>
      </c>
      <c r="H473" s="10">
        <v>11.715342</v>
      </c>
      <c r="I473" s="10">
        <v>20.481677000000001</v>
      </c>
      <c r="J473" s="10" t="s">
        <v>534</v>
      </c>
      <c r="K473" s="15">
        <v>2.1526E-2</v>
      </c>
      <c r="L473" s="17">
        <v>104068.13357999999</v>
      </c>
      <c r="M473" s="4" t="s">
        <v>1633</v>
      </c>
      <c r="N473" s="19">
        <v>6.3505539999999998</v>
      </c>
      <c r="O473" s="19">
        <v>7.3339999999999996</v>
      </c>
      <c r="P473" s="19">
        <v>5.7</v>
      </c>
      <c r="Q473" s="19">
        <v>6.6734</v>
      </c>
      <c r="R473" s="19">
        <v>6.13</v>
      </c>
      <c r="S473" s="19">
        <v>6.4573</v>
      </c>
      <c r="T473" s="19">
        <v>6.13</v>
      </c>
      <c r="U473" s="19">
        <v>6.3377999999999997</v>
      </c>
      <c r="V473" s="19">
        <v>6.65</v>
      </c>
      <c r="W473" s="19">
        <v>6.8353000000000002</v>
      </c>
      <c r="X473" s="19">
        <v>6.65</v>
      </c>
      <c r="Y473" s="19">
        <v>6.8353000000000002</v>
      </c>
      <c r="Z473" s="4"/>
      <c r="AA473" s="4"/>
      <c r="AB473" s="4" t="e">
        <f ca="1">_xll.ciqfunctions.udf.CIQ("^SPX", "IQ_PRICEDATE", "11/5/2015")</f>
        <v>#NAME?</v>
      </c>
      <c r="AC473" s="16">
        <v>2099.9291454118002</v>
      </c>
    </row>
    <row r="474" spans="1:29" x14ac:dyDescent="0.35">
      <c r="A474" s="2" t="s">
        <v>484</v>
      </c>
      <c r="B474" s="4" t="s">
        <v>1634</v>
      </c>
      <c r="C474" s="4" t="s">
        <v>530</v>
      </c>
      <c r="D474" s="4" t="s">
        <v>531</v>
      </c>
      <c r="E474" s="4" t="s">
        <v>569</v>
      </c>
      <c r="F474" s="4" t="s">
        <v>570</v>
      </c>
      <c r="G474" s="14">
        <v>267.3</v>
      </c>
      <c r="H474" s="10">
        <v>15.143921000000001</v>
      </c>
      <c r="I474" s="10">
        <v>20.972270000000002</v>
      </c>
      <c r="J474" s="10">
        <v>4.9957390000000004</v>
      </c>
      <c r="K474" s="15">
        <v>1.3468000000000001E-2</v>
      </c>
      <c r="L474" s="17">
        <v>257269.12993</v>
      </c>
      <c r="M474" s="4" t="s">
        <v>1635</v>
      </c>
      <c r="N474" s="19">
        <v>12.745400999999999</v>
      </c>
      <c r="O474" s="19">
        <v>13.480700000000001</v>
      </c>
      <c r="P474" s="19">
        <v>10.72</v>
      </c>
      <c r="Q474" s="19">
        <v>10.5776</v>
      </c>
      <c r="R474" s="19">
        <v>7.25</v>
      </c>
      <c r="S474" s="19">
        <v>9.1264000000000003</v>
      </c>
      <c r="T474" s="19">
        <v>7.25</v>
      </c>
      <c r="U474" s="19">
        <v>7.1228999999999996</v>
      </c>
      <c r="V474" s="19">
        <v>5.7</v>
      </c>
      <c r="W474" s="19">
        <v>6.0094000000000003</v>
      </c>
      <c r="X474" s="19">
        <v>5.7</v>
      </c>
      <c r="Y474" s="19">
        <v>6.0094000000000003</v>
      </c>
      <c r="Z474" s="4"/>
      <c r="AA474" s="4"/>
      <c r="AB474" s="4" t="e">
        <f ca="1">_xll.ciqfunctions.udf.CIQ("^SPX", "IQ_PRICEDATE", "11/6/2015")</f>
        <v>#NAME?</v>
      </c>
      <c r="AC474" s="16">
        <v>2099.2034899273999</v>
      </c>
    </row>
    <row r="475" spans="1:29" x14ac:dyDescent="0.35">
      <c r="A475" s="2" t="s">
        <v>485</v>
      </c>
      <c r="B475" s="4" t="s">
        <v>1636</v>
      </c>
      <c r="C475" s="4" t="s">
        <v>530</v>
      </c>
      <c r="D475" s="4" t="s">
        <v>531</v>
      </c>
      <c r="E475" s="4" t="s">
        <v>569</v>
      </c>
      <c r="F475" s="4" t="s">
        <v>1109</v>
      </c>
      <c r="G475" s="14">
        <v>125.64</v>
      </c>
      <c r="H475" s="10">
        <v>9.2370059999999992</v>
      </c>
      <c r="I475" s="10">
        <v>14.724497</v>
      </c>
      <c r="J475" s="10">
        <v>7.8062399999999998</v>
      </c>
      <c r="K475" s="15">
        <v>3.1830000000000001E-3</v>
      </c>
      <c r="L475" s="17">
        <v>11727.777281999999</v>
      </c>
      <c r="M475" s="4" t="s">
        <v>1637</v>
      </c>
      <c r="N475" s="19">
        <v>8.5327190000000002</v>
      </c>
      <c r="O475" s="19">
        <v>9.8560999999999996</v>
      </c>
      <c r="P475" s="19">
        <v>7.81</v>
      </c>
      <c r="Q475" s="19">
        <v>7.7785000000000002</v>
      </c>
      <c r="R475" s="19">
        <v>7.14</v>
      </c>
      <c r="S475" s="19">
        <v>7.8731999999999998</v>
      </c>
      <c r="T475" s="19">
        <v>7.14</v>
      </c>
      <c r="U475" s="19">
        <v>7.2564000000000002</v>
      </c>
      <c r="V475" s="19">
        <v>5.42</v>
      </c>
      <c r="W475" s="19">
        <v>6.2946999999999997</v>
      </c>
      <c r="X475" s="19">
        <v>5.42</v>
      </c>
      <c r="Y475" s="19">
        <v>6.2946999999999997</v>
      </c>
      <c r="Z475" s="4"/>
      <c r="AA475" s="4"/>
      <c r="AB475" s="4" t="e">
        <f ca="1">_xll.ciqfunctions.udf.CIQ("^SPX", "IQ_PRICEDATE", "11/9/2015")</f>
        <v>#NAME?</v>
      </c>
      <c r="AC475" s="16">
        <v>2078.5799955810999</v>
      </c>
    </row>
    <row r="476" spans="1:29" x14ac:dyDescent="0.35">
      <c r="A476" s="2" t="s">
        <v>486</v>
      </c>
      <c r="B476" s="4" t="s">
        <v>1638</v>
      </c>
      <c r="C476" s="4" t="s">
        <v>573</v>
      </c>
      <c r="D476" s="4" t="s">
        <v>579</v>
      </c>
      <c r="E476" s="4" t="s">
        <v>579</v>
      </c>
      <c r="F476" s="4" t="s">
        <v>580</v>
      </c>
      <c r="G476" s="14">
        <v>37.99</v>
      </c>
      <c r="H476" s="10">
        <v>6.8335710000000001</v>
      </c>
      <c r="I476" s="10">
        <v>7.8813599999999999</v>
      </c>
      <c r="J476" s="10">
        <v>0.91294699999999995</v>
      </c>
      <c r="K476" s="15">
        <v>2.7374999999999997E-2</v>
      </c>
      <c r="L476" s="17">
        <v>8308.6141950000001</v>
      </c>
      <c r="M476" s="4" t="s">
        <v>1639</v>
      </c>
      <c r="N476" s="19">
        <v>4.8202340000000001</v>
      </c>
      <c r="O476" s="19">
        <v>5.2515000000000001</v>
      </c>
      <c r="P476" s="19">
        <v>4.37</v>
      </c>
      <c r="Q476" s="19">
        <v>4.3682999999999996</v>
      </c>
      <c r="R476" s="19">
        <v>3.95</v>
      </c>
      <c r="S476" s="19">
        <v>4.0128000000000004</v>
      </c>
      <c r="T476" s="19">
        <v>3.95</v>
      </c>
      <c r="U476" s="19">
        <v>3.7507999999999999</v>
      </c>
      <c r="V476" s="19">
        <v>1.57</v>
      </c>
      <c r="W476" s="19">
        <v>3.5983999999999998</v>
      </c>
      <c r="X476" s="19">
        <v>1.57</v>
      </c>
      <c r="Y476" s="19">
        <v>3.5983999999999998</v>
      </c>
      <c r="Z476" s="4"/>
      <c r="AA476" s="4"/>
      <c r="AB476" s="4" t="e">
        <f ca="1">_xll.ciqfunctions.udf.CIQ("^SPX", "IQ_PRICEDATE", "11/10/2015")</f>
        <v>#NAME?</v>
      </c>
      <c r="AC476" s="16">
        <v>2081.7171869949998</v>
      </c>
    </row>
    <row r="477" spans="1:29" x14ac:dyDescent="0.35">
      <c r="A477" s="2" t="s">
        <v>487</v>
      </c>
      <c r="B477" s="4" t="s">
        <v>1640</v>
      </c>
      <c r="C477" s="4" t="s">
        <v>559</v>
      </c>
      <c r="D477" s="4" t="s">
        <v>912</v>
      </c>
      <c r="E477" s="4" t="s">
        <v>1097</v>
      </c>
      <c r="F477" s="4" t="s">
        <v>1098</v>
      </c>
      <c r="G477" s="14">
        <v>89.28</v>
      </c>
      <c r="H477" s="10">
        <v>22.716733000000001</v>
      </c>
      <c r="I477" s="10">
        <v>32.698134000000003</v>
      </c>
      <c r="J477" s="10" t="s">
        <v>534</v>
      </c>
      <c r="K477" s="15">
        <v>2.0609000000000002E-2</v>
      </c>
      <c r="L477" s="17">
        <v>35396.040044000001</v>
      </c>
      <c r="M477" s="4" t="s">
        <v>1641</v>
      </c>
      <c r="N477" s="19">
        <v>2.7304309999999998</v>
      </c>
      <c r="O477" s="19">
        <v>3.7210999999999999</v>
      </c>
      <c r="P477" s="19">
        <v>1.79</v>
      </c>
      <c r="Q477" s="19">
        <v>0</v>
      </c>
      <c r="R477" s="19">
        <v>2.56</v>
      </c>
      <c r="S477" s="19">
        <v>3.3176000000000001</v>
      </c>
      <c r="T477" s="19">
        <v>2.56</v>
      </c>
      <c r="U477" s="19">
        <v>3.3953000000000002</v>
      </c>
      <c r="V477" s="19">
        <v>2.9210950000000002</v>
      </c>
      <c r="W477" s="19">
        <v>3.3620999999999999</v>
      </c>
      <c r="X477" s="19">
        <v>2.9210950000000002</v>
      </c>
      <c r="Y477" s="19">
        <v>3.3620999999999999</v>
      </c>
      <c r="Z477" s="4"/>
      <c r="AA477" s="4"/>
      <c r="AB477" s="4" t="e">
        <f ca="1">_xll.ciqfunctions.udf.CIQ("^SPX", "IQ_PRICEDATE", "11/11/2015")</f>
        <v>#NAME?</v>
      </c>
      <c r="AC477" s="16">
        <v>2075.0031674296001</v>
      </c>
    </row>
    <row r="478" spans="1:29" x14ac:dyDescent="0.35">
      <c r="A478" s="2" t="s">
        <v>488</v>
      </c>
      <c r="B478" s="4" t="s">
        <v>1642</v>
      </c>
      <c r="C478" s="4" t="s">
        <v>669</v>
      </c>
      <c r="D478" s="4" t="s">
        <v>669</v>
      </c>
      <c r="E478" s="4" t="s">
        <v>670</v>
      </c>
      <c r="F478" s="4" t="s">
        <v>1126</v>
      </c>
      <c r="G478" s="14">
        <v>103.74</v>
      </c>
      <c r="H478" s="10">
        <v>7.8735460000000002</v>
      </c>
      <c r="I478" s="10">
        <v>9.9935130000000001</v>
      </c>
      <c r="J478" s="10">
        <v>2.0416460000000001</v>
      </c>
      <c r="K478" s="15">
        <v>3.0845999999999998E-2</v>
      </c>
      <c r="L478" s="17">
        <v>44338.271321</v>
      </c>
      <c r="M478" s="4" t="s">
        <v>1643</v>
      </c>
      <c r="N478" s="19">
        <v>10.380732999999999</v>
      </c>
      <c r="O478" s="19">
        <v>7.9870000000000001</v>
      </c>
      <c r="P478" s="19">
        <v>9.155405</v>
      </c>
      <c r="Q478" s="19">
        <v>6.4138000000000002</v>
      </c>
      <c r="R478" s="19">
        <v>4.9331889999999996</v>
      </c>
      <c r="S478" s="19">
        <v>5.3204000000000002</v>
      </c>
      <c r="T478" s="19">
        <v>4.9331889999999996</v>
      </c>
      <c r="U478" s="19">
        <v>7.7972999999999999</v>
      </c>
      <c r="V478" s="19">
        <v>6.969811</v>
      </c>
      <c r="W478" s="19">
        <v>5.5865</v>
      </c>
      <c r="X478" s="19">
        <v>6.969811</v>
      </c>
      <c r="Y478" s="19">
        <v>5.5865</v>
      </c>
      <c r="Z478" s="4"/>
      <c r="AA478" s="4"/>
      <c r="AB478" s="4" t="e">
        <f ca="1">_xll.ciqfunctions.udf.CIQ("^SPX", "IQ_PRICEDATE", "11/12/2015")</f>
        <v>#NAME?</v>
      </c>
      <c r="AC478" s="16">
        <v>2045.9655657082999</v>
      </c>
    </row>
    <row r="479" spans="1:29" x14ac:dyDescent="0.35">
      <c r="A479" s="2" t="s">
        <v>489</v>
      </c>
      <c r="B479" s="4" t="s">
        <v>1644</v>
      </c>
      <c r="C479" s="4" t="s">
        <v>530</v>
      </c>
      <c r="D479" s="4" t="s">
        <v>531</v>
      </c>
      <c r="E479" s="4" t="s">
        <v>532</v>
      </c>
      <c r="F479" s="4" t="s">
        <v>533</v>
      </c>
      <c r="G479" s="14">
        <v>108.65</v>
      </c>
      <c r="H479" s="10">
        <v>15.774485</v>
      </c>
      <c r="I479" s="10">
        <v>70.377876999999998</v>
      </c>
      <c r="J479" s="10">
        <v>8.4399990000000003</v>
      </c>
      <c r="K479" s="15">
        <v>0</v>
      </c>
      <c r="L479" s="17">
        <v>9946.6328329999997</v>
      </c>
      <c r="M479" s="4" t="s">
        <v>1645</v>
      </c>
      <c r="N479" s="19">
        <v>1.543809</v>
      </c>
      <c r="O479" s="19">
        <v>4.6231</v>
      </c>
      <c r="P479" s="19">
        <v>1.4744889999999999</v>
      </c>
      <c r="Q479" s="19">
        <v>4.3349200000000003</v>
      </c>
      <c r="R479" s="19">
        <v>2.7396310000000001</v>
      </c>
      <c r="S479" s="19">
        <v>4.9473099999999999</v>
      </c>
      <c r="T479" s="19">
        <v>2.7396310000000001</v>
      </c>
      <c r="U479" s="19">
        <v>4.4569799999999997</v>
      </c>
      <c r="V479" s="19">
        <v>3.83</v>
      </c>
      <c r="W479" s="19">
        <v>4.28667</v>
      </c>
      <c r="X479" s="19">
        <v>3.83</v>
      </c>
      <c r="Y479" s="19">
        <v>4.28667</v>
      </c>
      <c r="Z479" s="4"/>
      <c r="AA479" s="4"/>
      <c r="AB479" s="4" t="e">
        <f ca="1">_xll.ciqfunctions.udf.CIQ("^SPX", "IQ_PRICEDATE", "11/13/2015")</f>
        <v>#NAME?</v>
      </c>
      <c r="AC479" s="16">
        <v>2023.0394329712001</v>
      </c>
    </row>
    <row r="480" spans="1:29" x14ac:dyDescent="0.35">
      <c r="A480" s="2" t="s">
        <v>490</v>
      </c>
      <c r="B480" s="4" t="s">
        <v>1646</v>
      </c>
      <c r="C480" s="4" t="s">
        <v>601</v>
      </c>
      <c r="D480" s="4" t="s">
        <v>601</v>
      </c>
      <c r="E480" s="4" t="s">
        <v>602</v>
      </c>
      <c r="F480" s="4" t="s">
        <v>1112</v>
      </c>
      <c r="G480" s="14">
        <v>55.34</v>
      </c>
      <c r="H480" s="10">
        <v>16.212135</v>
      </c>
      <c r="I480" s="10">
        <v>15.912929999999999</v>
      </c>
      <c r="J480" s="10">
        <v>2.210531</v>
      </c>
      <c r="K480" s="15">
        <v>5.7100999999999999E-2</v>
      </c>
      <c r="L480" s="17">
        <v>19725.335310999999</v>
      </c>
      <c r="M480" s="4" t="s">
        <v>1647</v>
      </c>
      <c r="N480" s="19">
        <v>3.4776750000000001</v>
      </c>
      <c r="O480" s="19">
        <v>1.458</v>
      </c>
      <c r="P480" s="19">
        <v>3.7803059999999999</v>
      </c>
      <c r="Q480" s="19">
        <v>2.1423999999999999</v>
      </c>
      <c r="R480" s="19">
        <v>1.862646</v>
      </c>
      <c r="S480" s="19">
        <v>1.7329000000000001</v>
      </c>
      <c r="T480" s="19">
        <v>1.862646</v>
      </c>
      <c r="U480" s="19">
        <v>2.2925</v>
      </c>
      <c r="V480" s="19">
        <v>1.26</v>
      </c>
      <c r="W480" s="19">
        <v>1.7635000000000001</v>
      </c>
      <c r="X480" s="19">
        <v>1.26</v>
      </c>
      <c r="Y480" s="19">
        <v>1.7635000000000001</v>
      </c>
      <c r="Z480" s="4"/>
      <c r="AA480" s="4"/>
      <c r="AB480" s="4" t="e">
        <f ca="1">_xll.ciqfunctions.udf.CIQ("^SPX", "IQ_PRICEDATE", "11/16/2015")</f>
        <v>#NAME?</v>
      </c>
      <c r="AC480" s="16">
        <v>2053.1850023665002</v>
      </c>
    </row>
    <row r="481" spans="1:29" x14ac:dyDescent="0.35">
      <c r="A481" s="2" t="s">
        <v>491</v>
      </c>
      <c r="B481" s="4" t="s">
        <v>1648</v>
      </c>
      <c r="C481" s="4" t="s">
        <v>543</v>
      </c>
      <c r="D481" s="4" t="s">
        <v>544</v>
      </c>
      <c r="E481" s="4" t="s">
        <v>545</v>
      </c>
      <c r="F481" s="4" t="s">
        <v>591</v>
      </c>
      <c r="G481" s="14">
        <v>145.88999999999999</v>
      </c>
      <c r="H481" s="10">
        <v>23.443836000000001</v>
      </c>
      <c r="I481" s="10">
        <v>37.612108999999997</v>
      </c>
      <c r="J481" s="10" t="s">
        <v>534</v>
      </c>
      <c r="K481" s="15">
        <v>0</v>
      </c>
      <c r="L481" s="17">
        <v>17786.702219999999</v>
      </c>
      <c r="M481" s="4" t="s">
        <v>1649</v>
      </c>
      <c r="N481" s="19">
        <v>3.8788040000000001</v>
      </c>
      <c r="O481" s="19">
        <v>4.9401999999999999</v>
      </c>
      <c r="P481" s="19">
        <v>3.68</v>
      </c>
      <c r="Q481" s="19">
        <v>4.1257000000000001</v>
      </c>
      <c r="R481" s="19">
        <v>3.42</v>
      </c>
      <c r="S481" s="19">
        <v>3.7134999999999998</v>
      </c>
      <c r="T481" s="19">
        <v>3.42</v>
      </c>
      <c r="U481" s="19">
        <v>3.3492999999999999</v>
      </c>
      <c r="V481" s="19">
        <v>2.52</v>
      </c>
      <c r="W481" s="19">
        <v>2.9845999999999999</v>
      </c>
      <c r="X481" s="19">
        <v>2.52</v>
      </c>
      <c r="Y481" s="19">
        <v>2.9845999999999999</v>
      </c>
      <c r="Z481" s="4"/>
      <c r="AA481" s="4"/>
      <c r="AB481" s="4" t="e">
        <f ca="1">_xll.ciqfunctions.udf.CIQ("^SPX", "IQ_PRICEDATE", "11/17/2015")</f>
        <v>#NAME?</v>
      </c>
      <c r="AC481" s="16">
        <v>2050.4358729730002</v>
      </c>
    </row>
    <row r="482" spans="1:29" x14ac:dyDescent="0.35">
      <c r="A482" s="2" t="s">
        <v>492</v>
      </c>
      <c r="B482" s="4" t="s">
        <v>1650</v>
      </c>
      <c r="C482" s="4" t="s">
        <v>525</v>
      </c>
      <c r="D482" s="4" t="s">
        <v>855</v>
      </c>
      <c r="E482" s="4" t="s">
        <v>990</v>
      </c>
      <c r="F482" s="4" t="s">
        <v>991</v>
      </c>
      <c r="G482" s="14">
        <v>117.08</v>
      </c>
      <c r="H482" s="10">
        <v>20.977004000000001</v>
      </c>
      <c r="I482" s="10">
        <v>32.241213000000002</v>
      </c>
      <c r="J482" s="10" t="s">
        <v>534</v>
      </c>
      <c r="K482" s="15">
        <v>0</v>
      </c>
      <c r="L482" s="17">
        <v>19284.06076</v>
      </c>
      <c r="M482" s="4" t="s">
        <v>1651</v>
      </c>
      <c r="N482" s="19">
        <v>3.6313770000000001</v>
      </c>
      <c r="O482" s="19">
        <v>4.3449</v>
      </c>
      <c r="P482" s="19">
        <v>3.29</v>
      </c>
      <c r="Q482" s="19">
        <v>3.4033000000000002</v>
      </c>
      <c r="R482" s="19">
        <v>2.639999</v>
      </c>
      <c r="S482" s="19">
        <v>3.2696999999999998</v>
      </c>
      <c r="T482" s="19">
        <v>2.639999</v>
      </c>
      <c r="U482" s="19">
        <v>3.1248</v>
      </c>
      <c r="V482" s="19">
        <v>2.0999989999999999</v>
      </c>
      <c r="W482" s="19">
        <v>2.6181999999999999</v>
      </c>
      <c r="X482" s="19">
        <v>2.0999989999999999</v>
      </c>
      <c r="Y482" s="19">
        <v>2.6181999999999999</v>
      </c>
      <c r="Z482" s="4"/>
      <c r="AA482" s="4"/>
      <c r="AB482" s="4" t="e">
        <f ca="1">_xll.ciqfunctions.udf.CIQ("^SPX", "IQ_PRICEDATE", "11/18/2015")</f>
        <v>#NAME?</v>
      </c>
      <c r="AC482" s="16">
        <v>2083.5810116775001</v>
      </c>
    </row>
    <row r="483" spans="1:29" x14ac:dyDescent="0.35">
      <c r="A483" s="2" t="s">
        <v>493</v>
      </c>
      <c r="B483" s="4" t="s">
        <v>1652</v>
      </c>
      <c r="C483" s="4" t="s">
        <v>549</v>
      </c>
      <c r="D483" s="4" t="s">
        <v>713</v>
      </c>
      <c r="E483" s="4" t="s">
        <v>714</v>
      </c>
      <c r="F483" s="4" t="s">
        <v>715</v>
      </c>
      <c r="G483" s="14">
        <v>53.96</v>
      </c>
      <c r="H483" s="10">
        <v>7.2628959999999996</v>
      </c>
      <c r="I483" s="10">
        <v>7.1606040000000002</v>
      </c>
      <c r="J483" s="10" t="s">
        <v>534</v>
      </c>
      <c r="K483" s="15">
        <v>4.4662E-2</v>
      </c>
      <c r="L483" s="17">
        <v>222959.24530000001</v>
      </c>
      <c r="M483" s="4" t="s">
        <v>1653</v>
      </c>
      <c r="N483" s="19">
        <v>7.5356769999999997</v>
      </c>
      <c r="O483" s="19">
        <v>4.6574999999999998</v>
      </c>
      <c r="P483" s="19">
        <v>7.36</v>
      </c>
      <c r="Q483" s="19">
        <v>3.8620000000000001</v>
      </c>
      <c r="R483" s="19">
        <v>3.21</v>
      </c>
      <c r="S483" s="19">
        <v>3.9784000000000002</v>
      </c>
      <c r="T483" s="19">
        <v>3.21</v>
      </c>
      <c r="U483" s="19">
        <v>3.9689999999999999</v>
      </c>
      <c r="V483" s="19">
        <v>2.42</v>
      </c>
      <c r="W483" s="19">
        <v>3.6232000000000002</v>
      </c>
      <c r="X483" s="19">
        <v>2.42</v>
      </c>
      <c r="Y483" s="19">
        <v>3.6232000000000002</v>
      </c>
      <c r="Z483" s="4"/>
      <c r="AA483" s="4"/>
      <c r="AB483" s="4" t="e">
        <f ca="1">_xll.ciqfunctions.udf.CIQ("^SPX", "IQ_PRICEDATE", "11/19/2015")</f>
        <v>#NAME?</v>
      </c>
      <c r="AC483" s="16">
        <v>2081.2376959506</v>
      </c>
    </row>
    <row r="484" spans="1:29" x14ac:dyDescent="0.35">
      <c r="A484" s="2" t="s">
        <v>494</v>
      </c>
      <c r="B484" s="4" t="s">
        <v>1654</v>
      </c>
      <c r="C484" s="4" t="s">
        <v>530</v>
      </c>
      <c r="D484" s="4" t="s">
        <v>537</v>
      </c>
      <c r="E484" s="4" t="s">
        <v>538</v>
      </c>
      <c r="F484" s="4" t="s">
        <v>538</v>
      </c>
      <c r="G484" s="14">
        <v>185.48</v>
      </c>
      <c r="H484" s="10">
        <v>77.546757999999997</v>
      </c>
      <c r="I484" s="10">
        <v>114.964044</v>
      </c>
      <c r="J484" s="10">
        <v>18.135213</v>
      </c>
      <c r="K484" s="15">
        <v>0</v>
      </c>
      <c r="L484" s="17">
        <v>47401.257486000002</v>
      </c>
      <c r="M484" s="4" t="s">
        <v>1655</v>
      </c>
      <c r="N484" s="19">
        <v>1.6133740000000001</v>
      </c>
      <c r="O484" s="19">
        <v>4.2511000000000001</v>
      </c>
      <c r="P484" s="19">
        <v>1.0393760000000001</v>
      </c>
      <c r="Q484" s="19">
        <v>2.4992999999999999</v>
      </c>
      <c r="R484" s="19">
        <v>-0.46</v>
      </c>
      <c r="S484" s="19">
        <v>1.4767999999999999</v>
      </c>
      <c r="T484" s="19">
        <v>-0.46</v>
      </c>
      <c r="U484" s="19">
        <v>2.0221</v>
      </c>
      <c r="V484" s="19">
        <v>-3.14</v>
      </c>
      <c r="W484" s="19">
        <v>-1.1392</v>
      </c>
      <c r="X484" s="19">
        <v>-3.14</v>
      </c>
      <c r="Y484" s="19">
        <v>-1.1392</v>
      </c>
      <c r="Z484" s="4"/>
      <c r="AA484" s="4"/>
      <c r="AB484" s="4" t="e">
        <f ca="1">_xll.ciqfunctions.udf.CIQ("^SPX", "IQ_PRICEDATE", "11/20/2015")</f>
        <v>#NAME?</v>
      </c>
      <c r="AC484" s="16">
        <v>2089.1662231912001</v>
      </c>
    </row>
    <row r="485" spans="1:29" x14ac:dyDescent="0.35">
      <c r="A485" s="2" t="s">
        <v>495</v>
      </c>
      <c r="B485" s="4" t="s">
        <v>1656</v>
      </c>
      <c r="C485" s="4" t="s">
        <v>549</v>
      </c>
      <c r="D485" s="4" t="s">
        <v>550</v>
      </c>
      <c r="E485" s="4" t="s">
        <v>551</v>
      </c>
      <c r="F485" s="4" t="s">
        <v>1319</v>
      </c>
      <c r="G485" s="14">
        <v>33.409999999999997</v>
      </c>
      <c r="H485" s="10">
        <v>7.8846720000000001</v>
      </c>
      <c r="I485" s="10">
        <v>6.8094950000000001</v>
      </c>
      <c r="J485" s="10" t="s">
        <v>534</v>
      </c>
      <c r="K485" s="15">
        <v>2.3944E-2</v>
      </c>
      <c r="L485" s="17">
        <v>13601.552202000001</v>
      </c>
      <c r="M485" s="4" t="s">
        <v>1657</v>
      </c>
      <c r="N485" s="19">
        <v>4.9063840000000001</v>
      </c>
      <c r="O485" s="19">
        <v>4.2169999999999996</v>
      </c>
      <c r="P485" s="19">
        <v>4.9987180000000002</v>
      </c>
      <c r="Q485" s="19">
        <v>3.71123</v>
      </c>
      <c r="R485" s="19">
        <v>3.479705</v>
      </c>
      <c r="S485" s="19">
        <v>3.8408199999999999</v>
      </c>
      <c r="T485" s="19">
        <v>3.479705</v>
      </c>
      <c r="U485" s="19">
        <v>5.8085000000000004</v>
      </c>
      <c r="V485" s="19">
        <v>5.4438579999999996</v>
      </c>
      <c r="W485" s="19">
        <v>5.9686500000000002</v>
      </c>
      <c r="X485" s="19">
        <v>5.4438579999999996</v>
      </c>
      <c r="Y485" s="19">
        <v>5.9686500000000002</v>
      </c>
      <c r="Z485" s="4"/>
      <c r="AA485" s="4"/>
      <c r="AB485" s="4" t="e">
        <f ca="1">_xll.ciqfunctions.udf.CIQ("^SPX", "IQ_PRICEDATE", "11/23/2015")</f>
        <v>#NAME?</v>
      </c>
      <c r="AC485" s="16">
        <v>2086.5899735126</v>
      </c>
    </row>
    <row r="486" spans="1:29" x14ac:dyDescent="0.35">
      <c r="A486" s="2" t="s">
        <v>496</v>
      </c>
      <c r="B486" s="4" t="s">
        <v>1658</v>
      </c>
      <c r="C486" s="4" t="s">
        <v>543</v>
      </c>
      <c r="D486" s="4" t="s">
        <v>544</v>
      </c>
      <c r="E486" s="4" t="s">
        <v>545</v>
      </c>
      <c r="F486" s="4" t="s">
        <v>616</v>
      </c>
      <c r="G486" s="14">
        <v>142.44999999999999</v>
      </c>
      <c r="H486" s="10">
        <v>23.925962999999999</v>
      </c>
      <c r="I486" s="10">
        <v>34.781806000000003</v>
      </c>
      <c r="J486" s="10" t="s">
        <v>534</v>
      </c>
      <c r="K486" s="15">
        <v>5.8960000000000002E-3</v>
      </c>
      <c r="L486" s="17">
        <v>316967.62491200003</v>
      </c>
      <c r="M486" s="4" t="s">
        <v>1659</v>
      </c>
      <c r="N486" s="19">
        <v>4.0955320000000004</v>
      </c>
      <c r="O486" s="19">
        <v>5.0887000000000002</v>
      </c>
      <c r="P486" s="19">
        <v>3.0100920000000002</v>
      </c>
      <c r="Q486" s="19">
        <v>4.0919999999999996</v>
      </c>
      <c r="R486" s="19">
        <v>2.534287</v>
      </c>
      <c r="S486" s="19">
        <v>3.2856100000000001</v>
      </c>
      <c r="T486" s="19">
        <v>2.534287</v>
      </c>
      <c r="U486" s="19">
        <v>2.86551</v>
      </c>
      <c r="V486" s="19">
        <v>2.2663869999999999</v>
      </c>
      <c r="W486" s="19">
        <v>2.6007699999999998</v>
      </c>
      <c r="X486" s="19">
        <v>2.2663869999999999</v>
      </c>
      <c r="Y486" s="19">
        <v>2.6007699999999998</v>
      </c>
      <c r="Z486" s="4"/>
      <c r="AA486" s="4"/>
      <c r="AB486" s="4" t="e">
        <f ca="1">_xll.ciqfunctions.udf.CIQ("^SPX", "IQ_PRICEDATE", "11/24/2015")</f>
        <v>#NAME?</v>
      </c>
      <c r="AC486" s="16">
        <v>2089.1399159965999</v>
      </c>
    </row>
    <row r="487" spans="1:29" x14ac:dyDescent="0.35">
      <c r="A487" s="2" t="s">
        <v>497</v>
      </c>
      <c r="B487" s="4" t="s">
        <v>1660</v>
      </c>
      <c r="C487" s="4" t="s">
        <v>601</v>
      </c>
      <c r="D487" s="4" t="s">
        <v>601</v>
      </c>
      <c r="E487" s="4" t="s">
        <v>602</v>
      </c>
      <c r="F487" s="4" t="s">
        <v>603</v>
      </c>
      <c r="G487" s="14">
        <v>68.349999999999994</v>
      </c>
      <c r="H487" s="10">
        <v>24.936315</v>
      </c>
      <c r="I487" s="10">
        <v>94.639275999999995</v>
      </c>
      <c r="J487" s="10">
        <v>4.0080280000000004</v>
      </c>
      <c r="K487" s="15">
        <v>3.6868999999999999E-2</v>
      </c>
      <c r="L487" s="17">
        <v>13002.764361</v>
      </c>
      <c r="M487" s="4" t="s">
        <v>1661</v>
      </c>
      <c r="N487" s="19">
        <v>0.72221599999999997</v>
      </c>
      <c r="O487" s="19">
        <v>1.8225</v>
      </c>
      <c r="P487" s="19">
        <v>0.91723699999999997</v>
      </c>
      <c r="Q487" s="19">
        <v>0.87250000000000005</v>
      </c>
      <c r="R487" s="19">
        <v>2.2058330000000002</v>
      </c>
      <c r="S487" s="19">
        <v>1.9</v>
      </c>
      <c r="T487" s="19">
        <v>2.2058330000000002</v>
      </c>
      <c r="U487" s="19">
        <v>1.8129</v>
      </c>
      <c r="V487" s="19">
        <v>1.0476650000000001</v>
      </c>
      <c r="W487" s="19">
        <v>2.3056000000000001</v>
      </c>
      <c r="X487" s="19">
        <v>1.0476650000000001</v>
      </c>
      <c r="Y487" s="19">
        <v>2.3056000000000001</v>
      </c>
      <c r="Z487" s="4"/>
      <c r="AA487" s="4"/>
      <c r="AB487" s="4" t="e">
        <f ca="1">_xll.ciqfunctions.udf.CIQ("^SPX", "IQ_PRICEDATE", "11/25/2015")</f>
        <v>#NAME?</v>
      </c>
      <c r="AC487" s="16">
        <v>2088.8725782168999</v>
      </c>
    </row>
    <row r="488" spans="1:29" x14ac:dyDescent="0.35">
      <c r="A488" s="2" t="s">
        <v>498</v>
      </c>
      <c r="B488" s="4" t="s">
        <v>1662</v>
      </c>
      <c r="C488" s="4" t="s">
        <v>586</v>
      </c>
      <c r="D488" s="4" t="s">
        <v>586</v>
      </c>
      <c r="E488" s="4" t="s">
        <v>1255</v>
      </c>
      <c r="F488" s="4" t="s">
        <v>1255</v>
      </c>
      <c r="G488" s="14">
        <v>96.23</v>
      </c>
      <c r="H488" s="10">
        <v>15.757125</v>
      </c>
      <c r="I488" s="10">
        <v>19.865272000000001</v>
      </c>
      <c r="J488" s="10">
        <v>18.188842000000001</v>
      </c>
      <c r="K488" s="15">
        <v>1.1637999999999999E-2</v>
      </c>
      <c r="L488" s="17">
        <v>12728.167826999999</v>
      </c>
      <c r="M488" s="4" t="s">
        <v>1663</v>
      </c>
      <c r="N488" s="19">
        <v>4.8441320000000001</v>
      </c>
      <c r="O488" s="19">
        <v>4.5279999999999996</v>
      </c>
      <c r="P488" s="19">
        <v>4.4000000000000004</v>
      </c>
      <c r="Q488" s="19">
        <v>3.6493000000000002</v>
      </c>
      <c r="R488" s="19">
        <v>3.11</v>
      </c>
      <c r="S488" s="19">
        <v>3.8281000000000001</v>
      </c>
      <c r="T488" s="19">
        <v>3.11</v>
      </c>
      <c r="U488" s="19">
        <v>3.0171999999999999</v>
      </c>
      <c r="V488" s="19">
        <v>1.56</v>
      </c>
      <c r="W488" s="19">
        <v>1.6067</v>
      </c>
      <c r="X488" s="19">
        <v>1.56</v>
      </c>
      <c r="Y488" s="19">
        <v>1.6067</v>
      </c>
      <c r="Z488" s="4"/>
      <c r="AA488" s="4"/>
      <c r="AB488" s="4" t="e">
        <f ca="1">_xll.ciqfunctions.udf.CIQ("^SPX", "IQ_PRICEDATE", "11/27/2015")</f>
        <v>#NAME?</v>
      </c>
      <c r="AC488" s="16">
        <v>2090.1067763177998</v>
      </c>
    </row>
    <row r="489" spans="1:29" x14ac:dyDescent="0.35">
      <c r="A489" s="2" t="s">
        <v>499</v>
      </c>
      <c r="B489" s="4" t="s">
        <v>1664</v>
      </c>
      <c r="C489" s="4" t="s">
        <v>525</v>
      </c>
      <c r="D489" s="4" t="s">
        <v>526</v>
      </c>
      <c r="E489" s="4" t="s">
        <v>1023</v>
      </c>
      <c r="F489" s="4" t="s">
        <v>1023</v>
      </c>
      <c r="G489" s="14">
        <v>279.33999999999997</v>
      </c>
      <c r="H489" s="10">
        <v>11.163596</v>
      </c>
      <c r="I489" s="10">
        <v>22.046399999999998</v>
      </c>
      <c r="J489" s="10">
        <v>13.212698</v>
      </c>
      <c r="K489" s="15">
        <v>1.9474000000000002E-2</v>
      </c>
      <c r="L489" s="17">
        <v>15732.558134000001</v>
      </c>
      <c r="M489" s="4" t="s">
        <v>1665</v>
      </c>
      <c r="N489" s="19">
        <v>12.670548999999999</v>
      </c>
      <c r="O489" s="19">
        <v>16.826599999999999</v>
      </c>
      <c r="P489" s="19">
        <v>10.021217999999999</v>
      </c>
      <c r="Q489" s="19">
        <v>10.725300000000001</v>
      </c>
      <c r="R489" s="19">
        <v>9.8705239999999996</v>
      </c>
      <c r="S489" s="19">
        <v>11.629099999999999</v>
      </c>
      <c r="T489" s="19">
        <v>9.8705239999999996</v>
      </c>
      <c r="U489" s="19">
        <v>11.494400000000001</v>
      </c>
      <c r="V489" s="19">
        <v>11.448254</v>
      </c>
      <c r="W489" s="19">
        <v>13.0946</v>
      </c>
      <c r="X489" s="19">
        <v>11.448254</v>
      </c>
      <c r="Y489" s="19">
        <v>13.0946</v>
      </c>
      <c r="Z489" s="4"/>
      <c r="AA489" s="4"/>
      <c r="AB489" s="4" t="e">
        <f ca="1">_xll.ciqfunctions.udf.CIQ("^SPX", "IQ_PRICEDATE", "11/30/2015")</f>
        <v>#NAME?</v>
      </c>
      <c r="AC489" s="16">
        <v>2080.4068286182001</v>
      </c>
    </row>
    <row r="490" spans="1:29" x14ac:dyDescent="0.35">
      <c r="A490" s="2" t="s">
        <v>500</v>
      </c>
      <c r="B490" s="4" t="s">
        <v>1666</v>
      </c>
      <c r="C490" s="4" t="s">
        <v>626</v>
      </c>
      <c r="D490" s="4" t="s">
        <v>894</v>
      </c>
      <c r="E490" s="4" t="s">
        <v>894</v>
      </c>
      <c r="F490" s="4" t="s">
        <v>1667</v>
      </c>
      <c r="G490" s="14">
        <v>76.98</v>
      </c>
      <c r="H490" s="10">
        <v>10.75353</v>
      </c>
      <c r="I490" s="10">
        <v>15.243563999999999</v>
      </c>
      <c r="J490" s="10" t="s">
        <v>534</v>
      </c>
      <c r="K490" s="15">
        <v>2.2863000000000001E-2</v>
      </c>
      <c r="L490" s="17">
        <v>73066.684288000004</v>
      </c>
      <c r="M490" s="4" t="s">
        <v>1668</v>
      </c>
      <c r="N490" s="19">
        <v>5.05</v>
      </c>
      <c r="O490" s="19">
        <v>6.4755200000000004</v>
      </c>
      <c r="P490" s="19">
        <v>3.6254430000000002</v>
      </c>
      <c r="Q490" s="19">
        <v>5.5603199999999999</v>
      </c>
      <c r="R490" s="19">
        <v>3.779487</v>
      </c>
      <c r="S490" s="19">
        <v>5.0083799999999998</v>
      </c>
      <c r="T490" s="19">
        <v>3.779487</v>
      </c>
      <c r="U490" s="19">
        <v>4.43675</v>
      </c>
      <c r="V490" s="19">
        <v>2.1374249999999999</v>
      </c>
      <c r="W490" s="19">
        <v>3.7660999999999998</v>
      </c>
      <c r="X490" s="19">
        <v>2.1374249999999999</v>
      </c>
      <c r="Y490" s="19">
        <v>3.7660999999999998</v>
      </c>
      <c r="Z490" s="4"/>
      <c r="AA490" s="4"/>
      <c r="AB490" s="4" t="e">
        <f ca="1">_xll.ciqfunctions.udf.CIQ("^SPX", "IQ_PRICEDATE", "12/1/2015")</f>
        <v>#NAME?</v>
      </c>
      <c r="AC490" s="16">
        <v>2102.6326700487998</v>
      </c>
    </row>
    <row r="491" spans="1:29" x14ac:dyDescent="0.35">
      <c r="A491" s="2" t="s">
        <v>501</v>
      </c>
      <c r="B491" s="4" t="s">
        <v>1669</v>
      </c>
      <c r="C491" s="4" t="s">
        <v>626</v>
      </c>
      <c r="D491" s="4" t="s">
        <v>894</v>
      </c>
      <c r="E491" s="4" t="s">
        <v>894</v>
      </c>
      <c r="F491" s="4" t="s">
        <v>895</v>
      </c>
      <c r="G491" s="14">
        <v>96.56</v>
      </c>
      <c r="H491" s="10">
        <v>9.9191029999999998</v>
      </c>
      <c r="I491" s="10">
        <v>55.231521999999998</v>
      </c>
      <c r="J491" s="10">
        <v>5.3126550000000003</v>
      </c>
      <c r="K491" s="15">
        <v>2.1541000000000001E-2</v>
      </c>
      <c r="L491" s="17">
        <v>282798.610659</v>
      </c>
      <c r="M491" s="4" t="s">
        <v>1670</v>
      </c>
      <c r="N491" s="19">
        <v>1.7482770000000001</v>
      </c>
      <c r="O491" s="19">
        <v>4.6669999999999998</v>
      </c>
      <c r="P491" s="19">
        <v>3.7670509999999999</v>
      </c>
      <c r="Q491" s="19">
        <v>4.6426999999999996</v>
      </c>
      <c r="R491" s="19">
        <v>4.6100260000000004</v>
      </c>
      <c r="S491" s="19">
        <v>4.2832999999999997</v>
      </c>
      <c r="T491" s="19">
        <v>4.6100260000000004</v>
      </c>
      <c r="U491" s="19">
        <v>4.2538999999999998</v>
      </c>
      <c r="V491" s="19">
        <v>4.750127</v>
      </c>
      <c r="W491" s="19">
        <v>5.1368999999999998</v>
      </c>
      <c r="X491" s="19">
        <v>4.750127</v>
      </c>
      <c r="Y491" s="19">
        <v>5.1368999999999998</v>
      </c>
      <c r="Z491" s="4"/>
      <c r="AA491" s="4"/>
      <c r="AB491" s="4" t="e">
        <f ca="1">_xll.ciqfunctions.udf.CIQ("^SPX", "IQ_PRICEDATE", "12/2/2015")</f>
        <v>#NAME?</v>
      </c>
      <c r="AC491" s="16">
        <v>2079.5062206969001</v>
      </c>
    </row>
    <row r="492" spans="1:29" x14ac:dyDescent="0.35">
      <c r="A492" s="2" t="s">
        <v>502</v>
      </c>
      <c r="B492" s="4" t="s">
        <v>1671</v>
      </c>
      <c r="C492" s="4" t="s">
        <v>525</v>
      </c>
      <c r="D492" s="4" t="s">
        <v>855</v>
      </c>
      <c r="E492" s="4" t="s">
        <v>856</v>
      </c>
      <c r="F492" s="4" t="s">
        <v>1450</v>
      </c>
      <c r="G492" s="14">
        <v>90.14</v>
      </c>
      <c r="H492" s="10">
        <v>11.949517</v>
      </c>
      <c r="I492" s="10">
        <v>18.051817</v>
      </c>
      <c r="J492" s="10" t="s">
        <v>534</v>
      </c>
      <c r="K492" s="15">
        <v>2.0634E-2</v>
      </c>
      <c r="L492" s="17">
        <v>38644.546774000002</v>
      </c>
      <c r="M492" s="4" t="s">
        <v>1672</v>
      </c>
      <c r="N492" s="19">
        <v>4.9934029999999998</v>
      </c>
      <c r="O492" s="19">
        <v>4.2054999999999998</v>
      </c>
      <c r="P492" s="19">
        <v>4.41</v>
      </c>
      <c r="Q492" s="19">
        <v>3.4104999999999999</v>
      </c>
      <c r="R492" s="19">
        <v>2.65</v>
      </c>
      <c r="S492" s="19">
        <v>3.0979000000000001</v>
      </c>
      <c r="T492" s="19">
        <v>2.65</v>
      </c>
      <c r="U492" s="19">
        <v>2.7223999999999999</v>
      </c>
      <c r="V492" s="19">
        <v>2.79</v>
      </c>
      <c r="W492" s="19">
        <v>2.4539</v>
      </c>
      <c r="X492" s="19">
        <v>2.79</v>
      </c>
      <c r="Y492" s="19">
        <v>2.4539</v>
      </c>
      <c r="Z492" s="4"/>
      <c r="AA492" s="4"/>
      <c r="AB492" s="4" t="e">
        <f ca="1">_xll.ciqfunctions.udf.CIQ("^SPX", "IQ_PRICEDATE", "12/3/2015")</f>
        <v>#NAME?</v>
      </c>
      <c r="AC492" s="16">
        <v>2049.6156274238001</v>
      </c>
    </row>
    <row r="493" spans="1:29" x14ac:dyDescent="0.35">
      <c r="A493" s="2" t="s">
        <v>503</v>
      </c>
      <c r="B493" s="4" t="s">
        <v>1673</v>
      </c>
      <c r="C493" s="4" t="s">
        <v>530</v>
      </c>
      <c r="D493" s="4" t="s">
        <v>537</v>
      </c>
      <c r="E493" s="4" t="s">
        <v>583</v>
      </c>
      <c r="F493" s="4" t="s">
        <v>583</v>
      </c>
      <c r="G493" s="14">
        <v>188.98</v>
      </c>
      <c r="H493" s="10">
        <v>16.346229999999998</v>
      </c>
      <c r="I493" s="10">
        <v>297.58146099999999</v>
      </c>
      <c r="J493" s="10">
        <v>10.402588</v>
      </c>
      <c r="K493" s="15">
        <v>0</v>
      </c>
      <c r="L493" s="17">
        <v>14564.122227</v>
      </c>
      <c r="M493" s="4" t="s">
        <v>1674</v>
      </c>
      <c r="N493" s="19">
        <v>0.63505299999999998</v>
      </c>
      <c r="O493" s="19">
        <v>8.4959000000000007</v>
      </c>
      <c r="P493" s="19">
        <v>0.25</v>
      </c>
      <c r="Q493" s="19">
        <v>7.8643000000000001</v>
      </c>
      <c r="R493" s="19">
        <v>6.41</v>
      </c>
      <c r="S493" s="19">
        <v>6.9462000000000002</v>
      </c>
      <c r="T493" s="19">
        <v>6.41</v>
      </c>
      <c r="U493" s="19">
        <v>6.2279999999999998</v>
      </c>
      <c r="V493" s="19">
        <v>5.07</v>
      </c>
      <c r="W493" s="19">
        <v>5.7339000000000002</v>
      </c>
      <c r="X493" s="19">
        <v>5.07</v>
      </c>
      <c r="Y493" s="19">
        <v>5.7339000000000002</v>
      </c>
      <c r="Z493" s="4"/>
      <c r="AA493" s="4"/>
      <c r="AB493" s="4" t="e">
        <f ca="1">_xll.ciqfunctions.udf.CIQ("^SPX", "IQ_PRICEDATE", "12/4/2015")</f>
        <v>#NAME?</v>
      </c>
      <c r="AC493" s="16">
        <v>2091.6874238329001</v>
      </c>
    </row>
    <row r="494" spans="1:29" x14ac:dyDescent="0.35">
      <c r="A494" s="2" t="s">
        <v>504</v>
      </c>
      <c r="B494" s="4" t="s">
        <v>1675</v>
      </c>
      <c r="C494" s="4" t="s">
        <v>619</v>
      </c>
      <c r="D494" s="4" t="s">
        <v>619</v>
      </c>
      <c r="E494" s="4" t="s">
        <v>634</v>
      </c>
      <c r="F494" s="4" t="s">
        <v>634</v>
      </c>
      <c r="G494" s="14">
        <v>69.260000000000005</v>
      </c>
      <c r="H494" s="10">
        <v>12.406553000000001</v>
      </c>
      <c r="I494" s="10">
        <v>17.314155</v>
      </c>
      <c r="J494" s="10">
        <v>3.2749649999999999</v>
      </c>
      <c r="K494" s="15">
        <v>3.1907999999999999E-2</v>
      </c>
      <c r="L494" s="17">
        <v>21853.846608</v>
      </c>
      <c r="M494" s="4" t="s">
        <v>1676</v>
      </c>
      <c r="N494" s="19">
        <v>4.0001949999999997</v>
      </c>
      <c r="O494" s="19">
        <v>3.1867000000000001</v>
      </c>
      <c r="P494" s="19">
        <v>3.79</v>
      </c>
      <c r="Q494" s="19">
        <v>2.8016999999999999</v>
      </c>
      <c r="R494" s="19">
        <v>2.96</v>
      </c>
      <c r="S494" s="19">
        <v>3.0007999999999999</v>
      </c>
      <c r="T494" s="19">
        <v>2.96</v>
      </c>
      <c r="U494" s="19">
        <v>2.9009999999999998</v>
      </c>
      <c r="V494" s="19">
        <v>2.59</v>
      </c>
      <c r="W494" s="19">
        <v>2.6379999999999999</v>
      </c>
      <c r="X494" s="19">
        <v>2.59</v>
      </c>
      <c r="Y494" s="19">
        <v>2.6379999999999999</v>
      </c>
      <c r="Z494" s="4"/>
      <c r="AA494" s="4"/>
      <c r="AB494" s="4" t="e">
        <f ca="1">_xll.ciqfunctions.udf.CIQ("^SPX", "IQ_PRICEDATE", "12/7/2015")</f>
        <v>#NAME?</v>
      </c>
      <c r="AC494" s="16">
        <v>2077.0715971645</v>
      </c>
    </row>
    <row r="495" spans="1:29" x14ac:dyDescent="0.35">
      <c r="A495" s="2" t="s">
        <v>505</v>
      </c>
      <c r="B495" s="4" t="s">
        <v>1677</v>
      </c>
      <c r="C495" s="4" t="s">
        <v>530</v>
      </c>
      <c r="D495" s="4" t="s">
        <v>531</v>
      </c>
      <c r="E495" s="4" t="s">
        <v>569</v>
      </c>
      <c r="F495" s="4" t="s">
        <v>570</v>
      </c>
      <c r="G495" s="14">
        <v>316.22000000000003</v>
      </c>
      <c r="H495" s="10">
        <v>14.804938999999999</v>
      </c>
      <c r="I495" s="10">
        <v>29.396553999999998</v>
      </c>
      <c r="J495" s="10">
        <v>8.5905140000000006</v>
      </c>
      <c r="K495" s="15">
        <v>0</v>
      </c>
      <c r="L495" s="17">
        <v>15803.066355999999</v>
      </c>
      <c r="M495" s="4" t="s">
        <v>1678</v>
      </c>
      <c r="N495" s="19">
        <v>10.757042999999999</v>
      </c>
      <c r="O495" s="19">
        <v>11.8165</v>
      </c>
      <c r="P495" s="19">
        <v>8.31</v>
      </c>
      <c r="Q495" s="19">
        <v>7.1138000000000003</v>
      </c>
      <c r="R495" s="19">
        <v>5.4299989999999996</v>
      </c>
      <c r="S495" s="19">
        <v>5.7760999999999996</v>
      </c>
      <c r="T495" s="19">
        <v>5.4299989999999996</v>
      </c>
      <c r="U495" s="19">
        <v>4.1718000000000002</v>
      </c>
      <c r="V495" s="19">
        <v>1.439999</v>
      </c>
      <c r="W495" s="19">
        <v>3.2279</v>
      </c>
      <c r="X495" s="19">
        <v>1.439999</v>
      </c>
      <c r="Y495" s="19">
        <v>3.2279</v>
      </c>
      <c r="Z495" s="4"/>
      <c r="AA495" s="4"/>
      <c r="AB495" s="4" t="e">
        <f ca="1">_xll.ciqfunctions.udf.CIQ("^SPX", "IQ_PRICEDATE", "12/8/2015")</f>
        <v>#NAME?</v>
      </c>
      <c r="AC495" s="16">
        <v>2063.5936443579999</v>
      </c>
    </row>
    <row r="496" spans="1:29" x14ac:dyDescent="0.35">
      <c r="A496" s="2" t="s">
        <v>506</v>
      </c>
      <c r="B496" s="4" t="s">
        <v>1679</v>
      </c>
      <c r="C496" s="4" t="s">
        <v>573</v>
      </c>
      <c r="D496" s="4" t="s">
        <v>737</v>
      </c>
      <c r="E496" s="4" t="s">
        <v>737</v>
      </c>
      <c r="F496" s="4" t="s">
        <v>738</v>
      </c>
      <c r="G496" s="14">
        <v>54.46</v>
      </c>
      <c r="H496" s="10">
        <v>0</v>
      </c>
      <c r="I496" s="10">
        <v>12.863689000000001</v>
      </c>
      <c r="J496" s="10">
        <v>1.7036370000000001</v>
      </c>
      <c r="K496" s="15">
        <v>3.1581999999999999E-2</v>
      </c>
      <c r="L496" s="17">
        <v>256591.614565</v>
      </c>
      <c r="M496" s="4" t="s">
        <v>1680</v>
      </c>
      <c r="N496" s="19">
        <v>4.2336220000000004</v>
      </c>
      <c r="O496" s="19">
        <v>4.9833999999999996</v>
      </c>
      <c r="P496" s="19">
        <v>4.0999999999999996</v>
      </c>
      <c r="Q496" s="19">
        <v>4.21</v>
      </c>
      <c r="R496" s="19">
        <v>3.99</v>
      </c>
      <c r="S496" s="19">
        <v>4.0696000000000003</v>
      </c>
      <c r="T496" s="19">
        <v>3.99</v>
      </c>
      <c r="U496" s="19">
        <v>4.3079999999999998</v>
      </c>
      <c r="V496" s="19">
        <v>4.0999999999999996</v>
      </c>
      <c r="W496" s="19">
        <v>4.1635999999999997</v>
      </c>
      <c r="X496" s="19">
        <v>4.0999999999999996</v>
      </c>
      <c r="Y496" s="19">
        <v>4.1635999999999997</v>
      </c>
      <c r="Z496" s="4"/>
      <c r="AA496" s="4"/>
      <c r="AB496" s="4" t="e">
        <f ca="1">_xll.ciqfunctions.udf.CIQ("^SPX", "IQ_PRICEDATE", "12/9/2015")</f>
        <v>#NAME?</v>
      </c>
      <c r="AC496" s="16">
        <v>2047.6231907509</v>
      </c>
    </row>
    <row r="497" spans="1:29" x14ac:dyDescent="0.35">
      <c r="A497" s="2" t="s">
        <v>507</v>
      </c>
      <c r="B497" s="4" t="s">
        <v>1681</v>
      </c>
      <c r="C497" s="4" t="s">
        <v>601</v>
      </c>
      <c r="D497" s="4" t="s">
        <v>601</v>
      </c>
      <c r="E497" s="4" t="s">
        <v>602</v>
      </c>
      <c r="F497" s="4" t="s">
        <v>1112</v>
      </c>
      <c r="G497" s="14">
        <v>63.39</v>
      </c>
      <c r="H497" s="10">
        <v>18.80396</v>
      </c>
      <c r="I497" s="10">
        <v>42.432161000000001</v>
      </c>
      <c r="J497" s="10">
        <v>1.790556</v>
      </c>
      <c r="K497" s="15">
        <v>5.4897999999999995E-2</v>
      </c>
      <c r="L497" s="17">
        <v>23582.841228000001</v>
      </c>
      <c r="M497" s="4" t="s">
        <v>1682</v>
      </c>
      <c r="N497" s="19">
        <v>1.493914</v>
      </c>
      <c r="O497" s="19">
        <v>1.7748999999999999</v>
      </c>
      <c r="P497" s="19">
        <v>1.26</v>
      </c>
      <c r="Q497" s="19">
        <v>1.9384999999999999</v>
      </c>
      <c r="R497" s="19">
        <v>2.81</v>
      </c>
      <c r="S497" s="19">
        <v>2.0253999999999999</v>
      </c>
      <c r="T497" s="19">
        <v>2.81</v>
      </c>
      <c r="U497" s="19">
        <v>2.0743999999999998</v>
      </c>
      <c r="V497" s="19">
        <v>1.43</v>
      </c>
      <c r="W497" s="19">
        <v>1.7971999999999999</v>
      </c>
      <c r="X497" s="19">
        <v>1.43</v>
      </c>
      <c r="Y497" s="19">
        <v>1.7971999999999999</v>
      </c>
      <c r="Z497" s="4"/>
      <c r="AA497" s="4"/>
      <c r="AB497" s="4" t="e">
        <f ca="1">_xll.ciqfunctions.udf.CIQ("^SPX", "IQ_PRICEDATE", "12/10/2015")</f>
        <v>#NAME?</v>
      </c>
      <c r="AC497" s="16">
        <v>2052.2323464843998</v>
      </c>
    </row>
    <row r="498" spans="1:29" x14ac:dyDescent="0.35">
      <c r="A498" s="2" t="s">
        <v>508</v>
      </c>
      <c r="B498" s="4" t="s">
        <v>1683</v>
      </c>
      <c r="C498" s="4" t="s">
        <v>543</v>
      </c>
      <c r="D498" s="4" t="s">
        <v>664</v>
      </c>
      <c r="E498" s="4" t="s">
        <v>688</v>
      </c>
      <c r="F498" s="4" t="s">
        <v>688</v>
      </c>
      <c r="G498" s="14">
        <v>55.76</v>
      </c>
      <c r="H498" s="10">
        <v>3.789034</v>
      </c>
      <c r="I498" s="10">
        <v>25.345454</v>
      </c>
      <c r="J498" s="10" t="s">
        <v>534</v>
      </c>
      <c r="K498" s="15">
        <v>3.5868000000000004E-2</v>
      </c>
      <c r="L498" s="17">
        <v>16181.834591999999</v>
      </c>
      <c r="M498" s="4" t="s">
        <v>1684</v>
      </c>
      <c r="N498" s="19">
        <v>2.2000000000000002</v>
      </c>
      <c r="O498" s="19">
        <v>11.08517</v>
      </c>
      <c r="P498" s="19">
        <v>1.2828569999999999</v>
      </c>
      <c r="Q498" s="19">
        <v>13.1929</v>
      </c>
      <c r="R498" s="19">
        <v>-1.590225</v>
      </c>
      <c r="S498" s="19">
        <v>7.5510000000000002</v>
      </c>
      <c r="T498" s="19">
        <v>-1.590225</v>
      </c>
      <c r="U498" s="19">
        <v>6.4825999999999997</v>
      </c>
      <c r="V498" s="19">
        <v>6.3886539999999998</v>
      </c>
      <c r="W498" s="19">
        <v>8.3619000000000003</v>
      </c>
      <c r="X498" s="19">
        <v>6.3886539999999998</v>
      </c>
      <c r="Y498" s="19">
        <v>8.3619000000000003</v>
      </c>
      <c r="Z498" s="4"/>
      <c r="AA498" s="4"/>
      <c r="AB498" s="4" t="e">
        <f ca="1">_xll.ciqfunctions.udf.CIQ("^SPX", "IQ_PRICEDATE", "12/11/2015")</f>
        <v>#NAME?</v>
      </c>
      <c r="AC498" s="16">
        <v>2012.3736975981999</v>
      </c>
    </row>
    <row r="499" spans="1:29" x14ac:dyDescent="0.35">
      <c r="A499" s="2" t="s">
        <v>509</v>
      </c>
      <c r="B499" s="4" t="s">
        <v>1685</v>
      </c>
      <c r="C499" s="4" t="s">
        <v>586</v>
      </c>
      <c r="D499" s="4" t="s">
        <v>586</v>
      </c>
      <c r="E499" s="4" t="s">
        <v>726</v>
      </c>
      <c r="F499" s="4" t="s">
        <v>727</v>
      </c>
      <c r="G499" s="14">
        <v>43.15</v>
      </c>
      <c r="H499" s="10">
        <v>6.2156349999999998</v>
      </c>
      <c r="I499" s="10">
        <v>6.1487489999999996</v>
      </c>
      <c r="J499" s="10">
        <v>4.1790700000000003</v>
      </c>
      <c r="K499" s="15">
        <v>3.986E-2</v>
      </c>
      <c r="L499" s="17">
        <v>10880.396556</v>
      </c>
      <c r="M499" s="4" t="s">
        <v>1686</v>
      </c>
      <c r="N499" s="19">
        <v>7.0176869999999996</v>
      </c>
      <c r="O499" s="19">
        <v>4.5194000000000001</v>
      </c>
      <c r="P499" s="19">
        <v>6.8642789999999998</v>
      </c>
      <c r="Q499" s="19">
        <v>3.69842</v>
      </c>
      <c r="R499" s="19">
        <v>0.78283700000000001</v>
      </c>
      <c r="S499" s="19">
        <v>2.8839299999999999</v>
      </c>
      <c r="T499" s="19">
        <v>0.78283700000000001</v>
      </c>
      <c r="U499" s="19">
        <v>3.4999799999999999</v>
      </c>
      <c r="V499" s="19">
        <v>3.4198819999999999</v>
      </c>
      <c r="W499" s="19">
        <v>0</v>
      </c>
      <c r="X499" s="19">
        <v>3.4198819999999999</v>
      </c>
      <c r="Y499" s="19">
        <v>0</v>
      </c>
      <c r="Z499" s="4"/>
      <c r="AA499" s="4"/>
      <c r="AB499" s="4" t="e">
        <f ca="1">_xll.ciqfunctions.udf.CIQ("^SPX", "IQ_PRICEDATE", "12/14/2015")</f>
        <v>#NAME?</v>
      </c>
      <c r="AC499" s="16">
        <v>2021.9395528923001</v>
      </c>
    </row>
    <row r="500" spans="1:29" x14ac:dyDescent="0.35">
      <c r="A500" s="2" t="s">
        <v>510</v>
      </c>
      <c r="B500" s="4" t="s">
        <v>1687</v>
      </c>
      <c r="C500" s="4" t="s">
        <v>601</v>
      </c>
      <c r="D500" s="4" t="s">
        <v>601</v>
      </c>
      <c r="E500" s="4" t="s">
        <v>602</v>
      </c>
      <c r="F500" s="4" t="s">
        <v>647</v>
      </c>
      <c r="G500" s="14">
        <v>28.31</v>
      </c>
      <c r="H500" s="10">
        <v>12.434979999999999</v>
      </c>
      <c r="I500" s="10">
        <v>21.777542</v>
      </c>
      <c r="J500" s="10">
        <v>2.3210649999999999</v>
      </c>
      <c r="K500" s="15">
        <v>4.8038999999999998E-2</v>
      </c>
      <c r="L500" s="17">
        <v>21449.908372000002</v>
      </c>
      <c r="M500" s="4" t="s">
        <v>1688</v>
      </c>
      <c r="N500" s="19">
        <v>1.299963</v>
      </c>
      <c r="O500" s="19">
        <v>1.4287000000000001</v>
      </c>
      <c r="P500" s="19">
        <v>0.77</v>
      </c>
      <c r="Q500" s="19">
        <v>1.3319000000000001</v>
      </c>
      <c r="R500" s="19">
        <v>0.54692700000000005</v>
      </c>
      <c r="S500" s="19">
        <v>0.95009999999999994</v>
      </c>
      <c r="T500" s="19">
        <v>0.54692700000000005</v>
      </c>
      <c r="U500" s="19">
        <v>1.3554999999999999</v>
      </c>
      <c r="V500" s="19">
        <v>1.02</v>
      </c>
      <c r="W500" s="19">
        <v>1.5382</v>
      </c>
      <c r="X500" s="19">
        <v>1.02</v>
      </c>
      <c r="Y500" s="19">
        <v>1.5382</v>
      </c>
      <c r="Z500" s="4"/>
      <c r="AA500" s="4"/>
      <c r="AB500" s="4" t="e">
        <f ca="1">_xll.ciqfunctions.udf.CIQ("^SPX", "IQ_PRICEDATE", "12/15/2015")</f>
        <v>#NAME?</v>
      </c>
      <c r="AC500" s="16">
        <v>2043.4090355479</v>
      </c>
    </row>
    <row r="501" spans="1:29" x14ac:dyDescent="0.35">
      <c r="A501" s="2" t="s">
        <v>511</v>
      </c>
      <c r="B501" s="4" t="s">
        <v>1689</v>
      </c>
      <c r="C501" s="4" t="s">
        <v>559</v>
      </c>
      <c r="D501" s="4" t="s">
        <v>912</v>
      </c>
      <c r="E501" s="4" t="s">
        <v>913</v>
      </c>
      <c r="F501" s="4" t="s">
        <v>1690</v>
      </c>
      <c r="G501" s="14">
        <v>108.34</v>
      </c>
      <c r="H501" s="10">
        <v>6.8716980000000003</v>
      </c>
      <c r="I501" s="10" t="s">
        <v>534</v>
      </c>
      <c r="J501" s="10" t="s">
        <v>534</v>
      </c>
      <c r="K501" s="15">
        <v>4.2458000000000003E-2</v>
      </c>
      <c r="L501" s="17">
        <v>6994.7823969999999</v>
      </c>
      <c r="M501" s="4" t="s">
        <v>1691</v>
      </c>
      <c r="N501" s="19">
        <v>-7.8101330000000004</v>
      </c>
      <c r="O501" s="19">
        <v>15.3749</v>
      </c>
      <c r="P501" s="19">
        <v>4.7</v>
      </c>
      <c r="Q501" s="19">
        <v>15.2408</v>
      </c>
      <c r="R501" s="19">
        <v>11.5</v>
      </c>
      <c r="S501" s="19">
        <v>15.3256</v>
      </c>
      <c r="T501" s="19">
        <v>11.5</v>
      </c>
      <c r="U501" s="19">
        <v>13.565</v>
      </c>
      <c r="V501" s="19">
        <v>8.17</v>
      </c>
      <c r="W501" s="19">
        <v>13.270799999999999</v>
      </c>
      <c r="X501" s="19">
        <v>8.17</v>
      </c>
      <c r="Y501" s="19">
        <v>13.270799999999999</v>
      </c>
      <c r="Z501" s="4"/>
      <c r="AA501" s="4"/>
      <c r="AB501" s="4" t="e">
        <f ca="1">_xll.ciqfunctions.udf.CIQ("^SPX", "IQ_PRICEDATE", "12/16/2015")</f>
        <v>#NAME?</v>
      </c>
      <c r="AC501" s="16">
        <v>2073.0661474443</v>
      </c>
    </row>
    <row r="502" spans="1:29" x14ac:dyDescent="0.35">
      <c r="A502" s="2" t="s">
        <v>512</v>
      </c>
      <c r="B502" s="4" t="s">
        <v>1692</v>
      </c>
      <c r="C502" s="4" t="s">
        <v>573</v>
      </c>
      <c r="D502" s="4" t="s">
        <v>579</v>
      </c>
      <c r="E502" s="4" t="s">
        <v>579</v>
      </c>
      <c r="F502" s="4" t="s">
        <v>680</v>
      </c>
      <c r="G502" s="14">
        <v>139.83000000000001</v>
      </c>
      <c r="H502" s="10">
        <v>15.80805</v>
      </c>
      <c r="I502" s="10">
        <v>40.348899000000003</v>
      </c>
      <c r="J502" s="10" t="s">
        <v>534</v>
      </c>
      <c r="K502" s="15">
        <v>1.7162999999999998E-2</v>
      </c>
      <c r="L502" s="17">
        <v>18285.502261000001</v>
      </c>
      <c r="M502" s="4" t="s">
        <v>1693</v>
      </c>
      <c r="N502" s="19">
        <v>3.465522</v>
      </c>
      <c r="O502" s="19">
        <v>9.9396000000000004</v>
      </c>
      <c r="P502" s="19">
        <v>4.18</v>
      </c>
      <c r="Q502" s="19">
        <v>9.4406999999999996</v>
      </c>
      <c r="R502" s="19">
        <v>3.26</v>
      </c>
      <c r="S502" s="19">
        <v>8.0762</v>
      </c>
      <c r="T502" s="19">
        <v>3.26</v>
      </c>
      <c r="U502" s="19">
        <v>0</v>
      </c>
      <c r="V502" s="19">
        <v>5.32</v>
      </c>
      <c r="W502" s="19">
        <v>0</v>
      </c>
      <c r="X502" s="19">
        <v>5.32</v>
      </c>
      <c r="Y502" s="19">
        <v>0</v>
      </c>
      <c r="Z502" s="4"/>
      <c r="AA502" s="4"/>
      <c r="AB502" s="4" t="e">
        <f ca="1">_xll.ciqfunctions.udf.CIQ("^SPX", "IQ_PRICEDATE", "12/17/2015")</f>
        <v>#NAME?</v>
      </c>
      <c r="AC502" s="16">
        <v>2041.887884854</v>
      </c>
    </row>
    <row r="503" spans="1:29" x14ac:dyDescent="0.35">
      <c r="A503" s="2" t="s">
        <v>513</v>
      </c>
      <c r="B503" s="4" t="s">
        <v>1694</v>
      </c>
      <c r="C503" s="4" t="s">
        <v>559</v>
      </c>
      <c r="D503" s="4" t="s">
        <v>798</v>
      </c>
      <c r="E503" s="4" t="s">
        <v>799</v>
      </c>
      <c r="F503" s="4" t="s">
        <v>1278</v>
      </c>
      <c r="G503" s="14">
        <v>118.29</v>
      </c>
      <c r="H503" s="10">
        <v>11.048524</v>
      </c>
      <c r="I503" s="10">
        <v>23.552980999999999</v>
      </c>
      <c r="J503" s="10">
        <v>8.5634069999999998</v>
      </c>
      <c r="K503" s="15">
        <v>2.5360999999999998E-2</v>
      </c>
      <c r="L503" s="17">
        <v>12851.025600000001</v>
      </c>
      <c r="M503" s="4" t="s">
        <v>1695</v>
      </c>
      <c r="N503" s="19">
        <v>5.0222939999999996</v>
      </c>
      <c r="O503" s="19">
        <v>7.5259999999999998</v>
      </c>
      <c r="P503" s="19">
        <v>7.28</v>
      </c>
      <c r="Q503" s="19">
        <v>6.2252000000000001</v>
      </c>
      <c r="R503" s="19">
        <v>2.38</v>
      </c>
      <c r="S503" s="19">
        <v>3.8769999999999998</v>
      </c>
      <c r="T503" s="19">
        <v>2.38</v>
      </c>
      <c r="U503" s="19">
        <v>3.3106</v>
      </c>
      <c r="V503" s="19">
        <v>7.18</v>
      </c>
      <c r="W503" s="19">
        <v>7.8071000000000002</v>
      </c>
      <c r="X503" s="19">
        <v>7.18</v>
      </c>
      <c r="Y503" s="19">
        <v>7.8071000000000002</v>
      </c>
      <c r="Z503" s="4"/>
      <c r="AA503" s="4"/>
      <c r="AB503" s="4" t="e">
        <f ca="1">_xll.ciqfunctions.udf.CIQ("^SPX", "IQ_PRICEDATE", "12/18/2015")</f>
        <v>#NAME?</v>
      </c>
      <c r="AC503" s="16">
        <v>2005.5497169122</v>
      </c>
    </row>
    <row r="504" spans="1:29" x14ac:dyDescent="0.35">
      <c r="A504" s="2" t="s">
        <v>514</v>
      </c>
      <c r="B504" s="4" t="s">
        <v>1696</v>
      </c>
      <c r="C504" s="4" t="s">
        <v>619</v>
      </c>
      <c r="D504" s="4" t="s">
        <v>619</v>
      </c>
      <c r="E504" s="4" t="s">
        <v>620</v>
      </c>
      <c r="F504" s="4" t="s">
        <v>620</v>
      </c>
      <c r="G504" s="14">
        <v>48.24</v>
      </c>
      <c r="H504" s="10">
        <v>10.704734</v>
      </c>
      <c r="I504" s="10">
        <v>19.935523</v>
      </c>
      <c r="J504" s="10">
        <v>2.1072320000000002</v>
      </c>
      <c r="K504" s="15">
        <v>3.1509000000000002E-2</v>
      </c>
      <c r="L504" s="17">
        <v>24558.362042000001</v>
      </c>
      <c r="M504" s="4" t="s">
        <v>1697</v>
      </c>
      <c r="N504" s="19">
        <v>2.4198010000000001</v>
      </c>
      <c r="O504" s="19">
        <v>2.4657</v>
      </c>
      <c r="P504" s="19">
        <v>2.25</v>
      </c>
      <c r="Q504" s="19">
        <v>2.3925000000000001</v>
      </c>
      <c r="R504" s="19">
        <v>2.2071540000000001</v>
      </c>
      <c r="S504" s="19">
        <v>2.3207</v>
      </c>
      <c r="T504" s="19">
        <v>2.2071540000000001</v>
      </c>
      <c r="U504" s="19">
        <v>2.1543999999999999</v>
      </c>
      <c r="V504" s="19">
        <v>2.0270160000000002</v>
      </c>
      <c r="W504" s="19">
        <v>2.1198000000000001</v>
      </c>
      <c r="X504" s="19">
        <v>2.0270160000000002</v>
      </c>
      <c r="Y504" s="19">
        <v>2.1198000000000001</v>
      </c>
      <c r="Z504" s="4"/>
      <c r="AA504" s="4"/>
      <c r="AB504" s="4" t="e">
        <f ca="1">_xll.ciqfunctions.udf.CIQ("^SPX", "IQ_PRICEDATE", "12/21/2015")</f>
        <v>#NAME?</v>
      </c>
      <c r="AC504" s="16">
        <v>2021.149974271</v>
      </c>
    </row>
    <row r="505" spans="1:29" x14ac:dyDescent="0.35">
      <c r="A505" s="2" t="s">
        <v>515</v>
      </c>
      <c r="B505" s="4" t="s">
        <v>1698</v>
      </c>
      <c r="C505" s="4" t="s">
        <v>543</v>
      </c>
      <c r="D505" s="4" t="s">
        <v>664</v>
      </c>
      <c r="E505" s="4" t="s">
        <v>688</v>
      </c>
      <c r="F505" s="4" t="s">
        <v>688</v>
      </c>
      <c r="G505" s="14">
        <v>26.74</v>
      </c>
      <c r="H505" s="10">
        <v>7.9548810000000003</v>
      </c>
      <c r="I505" s="10">
        <v>67.428026000000003</v>
      </c>
      <c r="J505" s="10">
        <v>5.5189490000000001</v>
      </c>
      <c r="K505" s="15">
        <v>3.7397E-2</v>
      </c>
      <c r="L505" s="17">
        <v>6821.4203399999997</v>
      </c>
      <c r="M505" s="4" t="s">
        <v>1699</v>
      </c>
      <c r="N505" s="19">
        <v>0.39657100000000001</v>
      </c>
      <c r="O505" s="19">
        <v>3.3176999999999999</v>
      </c>
      <c r="P505" s="19">
        <v>0.699847</v>
      </c>
      <c r="Q505" s="19">
        <v>3.4445999999999999</v>
      </c>
      <c r="R505" s="19">
        <v>2.33</v>
      </c>
      <c r="S505" s="19">
        <v>4.4778000000000002</v>
      </c>
      <c r="T505" s="19">
        <v>2.33</v>
      </c>
      <c r="U505" s="19">
        <v>3.9329999999999998</v>
      </c>
      <c r="V505" s="19">
        <v>3.44</v>
      </c>
      <c r="W505" s="19">
        <v>4.3785999999999996</v>
      </c>
      <c r="X505" s="19">
        <v>3.44</v>
      </c>
      <c r="Y505" s="19">
        <v>4.3785999999999996</v>
      </c>
      <c r="Z505" s="4"/>
      <c r="AA505" s="4"/>
      <c r="AB505" s="4" t="e">
        <f ca="1">_xll.ciqfunctions.udf.CIQ("^SPX", "IQ_PRICEDATE", "12/22/2015")</f>
        <v>#NAME?</v>
      </c>
      <c r="AC505" s="16">
        <v>2038.9675363017</v>
      </c>
    </row>
    <row r="506" spans="1:29" x14ac:dyDescent="0.35">
      <c r="A506" s="2" t="s">
        <v>516</v>
      </c>
      <c r="B506" s="4" t="s">
        <v>1700</v>
      </c>
      <c r="C506" s="4" t="s">
        <v>543</v>
      </c>
      <c r="D506" s="4" t="s">
        <v>565</v>
      </c>
      <c r="E506" s="4" t="s">
        <v>565</v>
      </c>
      <c r="F506" s="4" t="s">
        <v>566</v>
      </c>
      <c r="G506" s="14">
        <v>77.72</v>
      </c>
      <c r="H506" s="10">
        <v>19.407254999999999</v>
      </c>
      <c r="I506" s="10">
        <v>36.374051000000001</v>
      </c>
      <c r="J506" s="10">
        <v>8.9510799999999993</v>
      </c>
      <c r="K506" s="15">
        <v>1.8527999999999999E-2</v>
      </c>
      <c r="L506" s="17">
        <v>19656.441650000001</v>
      </c>
      <c r="M506" s="4" t="s">
        <v>1701</v>
      </c>
      <c r="N506" s="19">
        <v>2.1366879999999999</v>
      </c>
      <c r="O506" s="19">
        <v>3.0413999999999999</v>
      </c>
      <c r="P506" s="19">
        <v>1.87778</v>
      </c>
      <c r="Q506" s="19">
        <v>2.7130999999999998</v>
      </c>
      <c r="R506" s="19">
        <v>2.2800929999999999</v>
      </c>
      <c r="S506" s="19">
        <v>2.2185000000000001</v>
      </c>
      <c r="T506" s="19">
        <v>2.2800929999999999</v>
      </c>
      <c r="U506" s="19">
        <v>2.0966999999999998</v>
      </c>
      <c r="V506" s="19">
        <v>2.3768690000000001</v>
      </c>
      <c r="W506" s="19">
        <v>2.5421</v>
      </c>
      <c r="X506" s="19">
        <v>2.3768690000000001</v>
      </c>
      <c r="Y506" s="19">
        <v>2.5421</v>
      </c>
      <c r="Z506" s="4"/>
      <c r="AA506" s="4"/>
      <c r="AB506" s="4" t="e">
        <f ca="1">_xll.ciqfunctions.udf.CIQ("^SPX", "IQ_PRICEDATE", "12/23/2015")</f>
        <v>#NAME?</v>
      </c>
      <c r="AC506" s="16">
        <v>2064.2920493832999</v>
      </c>
    </row>
    <row r="507" spans="1:29" x14ac:dyDescent="0.35">
      <c r="A507" s="2" t="s">
        <v>517</v>
      </c>
      <c r="B507" s="4" t="s">
        <v>1702</v>
      </c>
      <c r="C507" s="4" t="s">
        <v>525</v>
      </c>
      <c r="D507" s="4" t="s">
        <v>526</v>
      </c>
      <c r="E507" s="4" t="s">
        <v>803</v>
      </c>
      <c r="F507" s="4" t="s">
        <v>948</v>
      </c>
      <c r="G507" s="14">
        <v>71.34</v>
      </c>
      <c r="H507" s="10">
        <v>17.062275</v>
      </c>
      <c r="I507" s="10">
        <v>34.972456000000001</v>
      </c>
      <c r="J507" s="10" t="s">
        <v>534</v>
      </c>
      <c r="K507" s="15">
        <v>1.1774E-2</v>
      </c>
      <c r="L507" s="17">
        <v>12813.926788999999</v>
      </c>
      <c r="M507" s="4" t="s">
        <v>1703</v>
      </c>
      <c r="N507" s="19">
        <v>2.0398909999999999</v>
      </c>
      <c r="O507" s="19">
        <v>3.1448</v>
      </c>
      <c r="P507" s="19">
        <v>1.83</v>
      </c>
      <c r="Q507" s="19">
        <v>2.7027000000000001</v>
      </c>
      <c r="R507" s="19">
        <v>1.45</v>
      </c>
      <c r="S507" s="19">
        <v>2.2791999999999999</v>
      </c>
      <c r="T507" s="19">
        <v>1.45</v>
      </c>
      <c r="U507" s="19">
        <v>1.9641999999999999</v>
      </c>
      <c r="V507" s="19">
        <v>1.83</v>
      </c>
      <c r="W507" s="19">
        <v>2.0855999999999999</v>
      </c>
      <c r="X507" s="19">
        <v>1.83</v>
      </c>
      <c r="Y507" s="19">
        <v>2.0855999999999999</v>
      </c>
      <c r="Z507" s="4"/>
      <c r="AA507" s="4"/>
      <c r="AB507" s="4" t="e">
        <f ca="1">_xll.ciqfunctions.udf.CIQ("^SPX", "IQ_PRICEDATE", "12/24/2015")</f>
        <v>#NAME?</v>
      </c>
      <c r="AC507" s="16">
        <v>2060.9882998510998</v>
      </c>
    </row>
    <row r="508" spans="1:29" x14ac:dyDescent="0.35">
      <c r="A508" s="2" t="s">
        <v>518</v>
      </c>
      <c r="B508" s="4" t="s">
        <v>1704</v>
      </c>
      <c r="C508" s="4" t="s">
        <v>559</v>
      </c>
      <c r="D508" s="4" t="s">
        <v>798</v>
      </c>
      <c r="E508" s="4" t="s">
        <v>799</v>
      </c>
      <c r="F508" s="4" t="s">
        <v>839</v>
      </c>
      <c r="G508" s="14">
        <v>91.36</v>
      </c>
      <c r="H508" s="10">
        <v>19.761140999999999</v>
      </c>
      <c r="I508" s="10">
        <v>19.427921999999999</v>
      </c>
      <c r="J508" s="10" t="s">
        <v>534</v>
      </c>
      <c r="K508" s="15">
        <v>1.5761000000000001E-2</v>
      </c>
      <c r="L508" s="17">
        <v>28993.615290000002</v>
      </c>
      <c r="M508" s="4" t="s">
        <v>1705</v>
      </c>
      <c r="N508" s="19">
        <v>4.7025100000000002</v>
      </c>
      <c r="O508" s="19">
        <v>3.4847999999999999</v>
      </c>
      <c r="P508" s="19">
        <v>3.77</v>
      </c>
      <c r="Q508" s="19">
        <v>3.0038999999999998</v>
      </c>
      <c r="R508" s="19">
        <v>2.54</v>
      </c>
      <c r="S508" s="19">
        <v>2.6415000000000002</v>
      </c>
      <c r="T508" s="19">
        <v>2.54</v>
      </c>
      <c r="U508" s="19">
        <v>3.3469000000000002</v>
      </c>
      <c r="V508" s="19">
        <v>2.2200000000000002</v>
      </c>
      <c r="W508" s="19">
        <v>3.2593000000000001</v>
      </c>
      <c r="X508" s="19">
        <v>2.2200000000000002</v>
      </c>
      <c r="Y508" s="19">
        <v>3.2593000000000001</v>
      </c>
      <c r="Z508" s="4"/>
      <c r="AA508" s="4"/>
      <c r="AB508" s="4" t="e">
        <f ca="1">_xll.ciqfunctions.udf.CIQ("^SPX", "IQ_PRICEDATE", "12/28/2015")</f>
        <v>#NAME?</v>
      </c>
      <c r="AC508" s="16">
        <v>2056.5007436105002</v>
      </c>
    </row>
    <row r="509" spans="1:29" x14ac:dyDescent="0.35">
      <c r="A509" s="2" t="s">
        <v>519</v>
      </c>
      <c r="B509" s="4" t="s">
        <v>1706</v>
      </c>
      <c r="C509" s="4" t="s">
        <v>530</v>
      </c>
      <c r="D509" s="4" t="s">
        <v>531</v>
      </c>
      <c r="E509" s="4" t="s">
        <v>532</v>
      </c>
      <c r="F509" s="4" t="s">
        <v>533</v>
      </c>
      <c r="G509" s="14">
        <v>128.32</v>
      </c>
      <c r="H509" s="10">
        <v>12.999884</v>
      </c>
      <c r="I509" s="10">
        <v>15.522086</v>
      </c>
      <c r="J509" s="10" t="s">
        <v>534</v>
      </c>
      <c r="K509" s="15">
        <v>7.4809999999999998E-3</v>
      </c>
      <c r="L509" s="17">
        <v>26111.287462</v>
      </c>
      <c r="M509" s="4" t="s">
        <v>1707</v>
      </c>
      <c r="N509" s="19">
        <v>8.2669300000000003</v>
      </c>
      <c r="O509" s="19">
        <v>7.7969999999999997</v>
      </c>
      <c r="P509" s="19">
        <v>8.9</v>
      </c>
      <c r="Q509" s="19">
        <v>8.0152000000000001</v>
      </c>
      <c r="R509" s="19">
        <v>1.51</v>
      </c>
      <c r="S509" s="19">
        <v>8.4641000000000002</v>
      </c>
      <c r="T509" s="19">
        <v>1.51</v>
      </c>
      <c r="U509" s="19">
        <v>7.7148000000000003</v>
      </c>
      <c r="V509" s="19">
        <v>4.2</v>
      </c>
      <c r="W509" s="19">
        <v>6.2442000000000002</v>
      </c>
      <c r="X509" s="19">
        <v>4.2</v>
      </c>
      <c r="Y509" s="19">
        <v>6.2442000000000002</v>
      </c>
      <c r="Z509" s="4"/>
      <c r="AA509" s="4"/>
      <c r="AB509" s="4" t="e">
        <f ca="1">_xll.ciqfunctions.udf.CIQ("^SPX", "IQ_PRICEDATE", "12/29/2015")</f>
        <v>#NAME?</v>
      </c>
      <c r="AC509" s="16">
        <v>2078.3618660811999</v>
      </c>
    </row>
    <row r="510" spans="1:29" x14ac:dyDescent="0.35">
      <c r="A510" s="2" t="s">
        <v>520</v>
      </c>
      <c r="B510" s="4" t="s">
        <v>1708</v>
      </c>
      <c r="C510" s="4" t="s">
        <v>573</v>
      </c>
      <c r="D510" s="4" t="s">
        <v>737</v>
      </c>
      <c r="E510" s="4" t="s">
        <v>737</v>
      </c>
      <c r="F510" s="4" t="s">
        <v>743</v>
      </c>
      <c r="G510" s="14">
        <v>48.44</v>
      </c>
      <c r="H510" s="10">
        <v>0</v>
      </c>
      <c r="I510" s="10">
        <v>14.997112</v>
      </c>
      <c r="J510" s="10">
        <v>1.5670170000000001</v>
      </c>
      <c r="K510" s="15">
        <v>2.4771999999999999E-2</v>
      </c>
      <c r="L510" s="17">
        <v>9416.8721650000007</v>
      </c>
      <c r="M510" s="4" t="s">
        <v>1709</v>
      </c>
      <c r="N510" s="19">
        <v>3.2299549999999999</v>
      </c>
      <c r="O510" s="19">
        <v>3.9287000000000001</v>
      </c>
      <c r="P510" s="19">
        <v>2.6</v>
      </c>
      <c r="Q510" s="19">
        <v>3.0489000000000002</v>
      </c>
      <c r="R510" s="19">
        <v>1.99</v>
      </c>
      <c r="S510" s="19">
        <v>2.2408000000000001</v>
      </c>
      <c r="T510" s="19">
        <v>1.99</v>
      </c>
      <c r="U510" s="19">
        <v>1.8608</v>
      </c>
      <c r="V510" s="19">
        <v>1.68</v>
      </c>
      <c r="W510" s="19">
        <v>1.6911</v>
      </c>
      <c r="X510" s="19">
        <v>1.68</v>
      </c>
      <c r="Y510" s="19">
        <v>1.6911</v>
      </c>
      <c r="Z510" s="4"/>
      <c r="AA510" s="4"/>
      <c r="AB510" s="4" t="e">
        <f ca="1">_xll.ciqfunctions.udf.CIQ("^SPX", "IQ_PRICEDATE", "12/30/2015")</f>
        <v>#NAME?</v>
      </c>
      <c r="AC510" s="16">
        <v>2063.3552153075002</v>
      </c>
    </row>
    <row r="511" spans="1:29" x14ac:dyDescent="0.35">
      <c r="A511" s="2" t="s">
        <v>521</v>
      </c>
      <c r="B511" s="4" t="s">
        <v>1710</v>
      </c>
      <c r="C511" s="4" t="s">
        <v>530</v>
      </c>
      <c r="D511" s="4" t="s">
        <v>537</v>
      </c>
      <c r="E511" s="4" t="s">
        <v>613</v>
      </c>
      <c r="F511" s="4" t="s">
        <v>613</v>
      </c>
      <c r="G511" s="14">
        <v>92.79</v>
      </c>
      <c r="H511" s="10">
        <v>22.173931</v>
      </c>
      <c r="I511" s="10">
        <v>40.750521999999997</v>
      </c>
      <c r="J511" s="10" t="s">
        <v>534</v>
      </c>
      <c r="K511" s="15">
        <v>5.4310000000000001E-3</v>
      </c>
      <c r="L511" s="17">
        <v>44708.430679999998</v>
      </c>
      <c r="M511" s="4" t="s">
        <v>1711</v>
      </c>
      <c r="N511" s="19">
        <v>2.2770260000000002</v>
      </c>
      <c r="O511" s="19">
        <v>3.2164999999999999</v>
      </c>
      <c r="P511" s="19">
        <v>1.75</v>
      </c>
      <c r="Q511" s="19">
        <v>2.6215999999999999</v>
      </c>
      <c r="R511" s="19">
        <v>1.65</v>
      </c>
      <c r="S511" s="19">
        <v>2.1951999999999998</v>
      </c>
      <c r="T511" s="19">
        <v>1.65</v>
      </c>
      <c r="U511" s="19">
        <v>1.8044</v>
      </c>
      <c r="V511" s="19">
        <v>1.1599999999999999</v>
      </c>
      <c r="W511" s="19">
        <v>1.5689</v>
      </c>
      <c r="X511" s="19">
        <v>1.1599999999999999</v>
      </c>
      <c r="Y511" s="19">
        <v>1.5689</v>
      </c>
      <c r="Z511" s="4"/>
      <c r="AA511" s="4"/>
      <c r="AB511" s="4" t="e">
        <f ca="1">_xll.ciqfunctions.udf.CIQ("^SPX", "IQ_PRICEDATE", "12/31/2015")</f>
        <v>#NAME?</v>
      </c>
      <c r="AC511" s="16">
        <v>2043.9368626606999</v>
      </c>
    </row>
    <row r="512" spans="1:29" x14ac:dyDescent="0.35">
      <c r="Z512" s="4"/>
      <c r="AA512" s="4"/>
      <c r="AB512" s="4" t="e">
        <f ca="1">_xll.ciqfunctions.udf.CIQ("^SPX", "IQ_PRICEDATE", "1/4/2016")</f>
        <v>#NAME?</v>
      </c>
      <c r="AC512" s="16">
        <v>2012.6593712480001</v>
      </c>
    </row>
    <row r="513" spans="26:29" x14ac:dyDescent="0.35">
      <c r="Z513" s="4"/>
      <c r="AA513" s="4"/>
      <c r="AB513" s="4" t="e">
        <f ca="1">_xll.ciqfunctions.udf.CIQ("^SPX", "IQ_PRICEDATE", "1/5/2016")</f>
        <v>#NAME?</v>
      </c>
      <c r="AC513" s="16">
        <v>2016.7144265541999</v>
      </c>
    </row>
    <row r="514" spans="26:29" x14ac:dyDescent="0.35">
      <c r="Z514" s="4"/>
      <c r="AA514" s="4"/>
      <c r="AB514" s="4" t="e">
        <f ca="1">_xll.ciqfunctions.udf.CIQ("^SPX", "IQ_PRICEDATE", "1/6/2016")</f>
        <v>#NAME?</v>
      </c>
      <c r="AC514" s="16">
        <v>1990.2622927555001</v>
      </c>
    </row>
    <row r="515" spans="26:29" x14ac:dyDescent="0.35">
      <c r="Z515" s="4"/>
      <c r="AA515" s="4"/>
      <c r="AB515" s="4" t="e">
        <f ca="1">_xll.ciqfunctions.udf.CIQ("^SPX", "IQ_PRICEDATE", "1/7/2016")</f>
        <v>#NAME?</v>
      </c>
      <c r="AC515" s="16">
        <v>1943.0937024861</v>
      </c>
    </row>
    <row r="516" spans="26:29" x14ac:dyDescent="0.35">
      <c r="Z516" s="4"/>
      <c r="AA516" s="4"/>
      <c r="AB516" s="4" t="e">
        <f ca="1">_xll.ciqfunctions.udf.CIQ("^SPX", "IQ_PRICEDATE", "1/8/2016")</f>
        <v>#NAME?</v>
      </c>
      <c r="AC516" s="16">
        <v>1922.0347926740001</v>
      </c>
    </row>
    <row r="517" spans="26:29" x14ac:dyDescent="0.35">
      <c r="Z517" s="4"/>
      <c r="AA517" s="4"/>
      <c r="AB517" s="4" t="e">
        <f ca="1">_xll.ciqfunctions.udf.CIQ("^SPX", "IQ_PRICEDATE", "1/11/2016")</f>
        <v>#NAME?</v>
      </c>
      <c r="AC517" s="16">
        <v>1923.6748213450001</v>
      </c>
    </row>
    <row r="518" spans="26:29" x14ac:dyDescent="0.35">
      <c r="Z518" s="4"/>
      <c r="AA518" s="4"/>
      <c r="AB518" s="4" t="e">
        <f ca="1">_xll.ciqfunctions.udf.CIQ("^SPX", "IQ_PRICEDATE", "1/12/2016")</f>
        <v>#NAME?</v>
      </c>
      <c r="AC518" s="16">
        <v>1938.6789320655</v>
      </c>
    </row>
    <row r="519" spans="26:29" x14ac:dyDescent="0.35">
      <c r="Z519" s="4"/>
      <c r="AA519" s="4"/>
      <c r="AB519" s="4" t="e">
        <f ca="1">_xll.ciqfunctions.udf.CIQ("^SPX", "IQ_PRICEDATE", "1/13/2016")</f>
        <v>#NAME?</v>
      </c>
      <c r="AC519" s="16">
        <v>1890.2789148177999</v>
      </c>
    </row>
    <row r="520" spans="26:29" x14ac:dyDescent="0.35">
      <c r="Z520" s="4"/>
      <c r="AA520" s="4"/>
      <c r="AB520" s="4" t="e">
        <f ca="1">_xll.ciqfunctions.udf.CIQ("^SPX", "IQ_PRICEDATE", "1/14/2016")</f>
        <v>#NAME?</v>
      </c>
      <c r="AC520" s="16">
        <v>1921.8357608706001</v>
      </c>
    </row>
    <row r="521" spans="26:29" x14ac:dyDescent="0.35">
      <c r="Z521" s="4"/>
      <c r="AA521" s="4"/>
      <c r="AB521" s="4" t="e">
        <f ca="1">_xll.ciqfunctions.udf.CIQ("^SPX", "IQ_PRICEDATE", "1/15/2016")</f>
        <v>#NAME?</v>
      </c>
      <c r="AC521" s="16">
        <v>1880.3277963866999</v>
      </c>
    </row>
    <row r="522" spans="26:29" x14ac:dyDescent="0.35">
      <c r="Z522" s="4"/>
      <c r="AA522" s="4"/>
      <c r="AB522" s="4" t="e">
        <f ca="1">_xll.ciqfunctions.udf.CIQ("^SPX", "IQ_PRICEDATE", "1/19/2016")</f>
        <v>#NAME?</v>
      </c>
      <c r="AC522" s="16">
        <v>1881.3332441622999</v>
      </c>
    </row>
    <row r="523" spans="26:29" x14ac:dyDescent="0.35">
      <c r="Z523" s="4"/>
      <c r="AA523" s="4"/>
      <c r="AB523" s="4" t="e">
        <f ca="1">_xll.ciqfunctions.udf.CIQ("^SPX", "IQ_PRICEDATE", "1/20/2016")</f>
        <v>#NAME?</v>
      </c>
      <c r="AC523" s="16">
        <v>1859.3284619461999</v>
      </c>
    </row>
    <row r="524" spans="26:29" x14ac:dyDescent="0.35">
      <c r="Z524" s="4"/>
      <c r="AA524" s="4"/>
      <c r="AB524" s="4" t="e">
        <f ca="1">_xll.ciqfunctions.udf.CIQ("^SPX", "IQ_PRICEDATE", "1/21/2016")</f>
        <v>#NAME?</v>
      </c>
      <c r="AC524" s="16">
        <v>1868.9863167763001</v>
      </c>
    </row>
    <row r="525" spans="26:29" x14ac:dyDescent="0.35">
      <c r="Z525" s="4"/>
      <c r="AA525" s="4"/>
      <c r="AB525" s="4" t="e">
        <f ca="1">_xll.ciqfunctions.udf.CIQ("^SPX", "IQ_PRICEDATE", "1/22/2016")</f>
        <v>#NAME?</v>
      </c>
      <c r="AC525" s="16">
        <v>1906.9040755857</v>
      </c>
    </row>
    <row r="526" spans="26:29" x14ac:dyDescent="0.35">
      <c r="Z526" s="4"/>
      <c r="AA526" s="4"/>
      <c r="AB526" s="4" t="e">
        <f ca="1">_xll.ciqfunctions.udf.CIQ("^SPX", "IQ_PRICEDATE", "1/25/2016")</f>
        <v>#NAME?</v>
      </c>
      <c r="AC526" s="16">
        <v>1877.0775714959</v>
      </c>
    </row>
    <row r="527" spans="26:29" x14ac:dyDescent="0.35">
      <c r="Z527" s="4"/>
      <c r="AA527" s="4"/>
      <c r="AB527" s="4" t="e">
        <f ca="1">_xll.ciqfunctions.udf.CIQ("^SPX", "IQ_PRICEDATE", "1/26/2016")</f>
        <v>#NAME?</v>
      </c>
      <c r="AC527" s="16">
        <v>1903.6306483067999</v>
      </c>
    </row>
    <row r="528" spans="26:29" x14ac:dyDescent="0.35">
      <c r="Z528" s="4"/>
      <c r="AA528" s="4"/>
      <c r="AB528" s="4" t="e">
        <f ca="1">_xll.ciqfunctions.udf.CIQ("^SPX", "IQ_PRICEDATE", "1/27/2016")</f>
        <v>#NAME?</v>
      </c>
      <c r="AC528" s="16">
        <v>1882.9462651834001</v>
      </c>
    </row>
    <row r="529" spans="26:29" x14ac:dyDescent="0.35">
      <c r="Z529" s="4"/>
      <c r="AA529" s="4"/>
      <c r="AB529" s="4" t="e">
        <f ca="1">_xll.ciqfunctions.udf.CIQ("^SPX", "IQ_PRICEDATE", "1/28/2016")</f>
        <v>#NAME?</v>
      </c>
      <c r="AC529" s="16">
        <v>1893.3567082853999</v>
      </c>
    </row>
    <row r="530" spans="26:29" x14ac:dyDescent="0.35">
      <c r="Z530" s="4"/>
      <c r="AA530" s="4"/>
      <c r="AB530" s="4" t="e">
        <f ca="1">_xll.ciqfunctions.udf.CIQ("^SPX", "IQ_PRICEDATE", "1/29/2016")</f>
        <v>#NAME?</v>
      </c>
      <c r="AC530" s="16">
        <v>1940.2396778185</v>
      </c>
    </row>
    <row r="531" spans="26:29" x14ac:dyDescent="0.35">
      <c r="Z531" s="4"/>
      <c r="AA531" s="4"/>
      <c r="AB531" s="4" t="e">
        <f ca="1">_xll.ciqfunctions.udf.CIQ("^SPX", "IQ_PRICEDATE", "2/1/2016")</f>
        <v>#NAME?</v>
      </c>
      <c r="AC531" s="16">
        <v>1939.3793162679001</v>
      </c>
    </row>
    <row r="532" spans="26:29" x14ac:dyDescent="0.35">
      <c r="Z532" s="4"/>
      <c r="AA532" s="4"/>
      <c r="AB532" s="4" t="e">
        <f ca="1">_xll.ciqfunctions.udf.CIQ("^SPX", "IQ_PRICEDATE", "2/2/2016")</f>
        <v>#NAME?</v>
      </c>
      <c r="AC532" s="16">
        <v>1903.0315127425999</v>
      </c>
    </row>
    <row r="533" spans="26:29" x14ac:dyDescent="0.35">
      <c r="Z533" s="4"/>
      <c r="AA533" s="4"/>
      <c r="AB533" s="4" t="e">
        <f ca="1">_xll.ciqfunctions.udf.CIQ("^SPX", "IQ_PRICEDATE", "2/3/2016")</f>
        <v>#NAME?</v>
      </c>
      <c r="AC533" s="16">
        <v>1912.5336076968999</v>
      </c>
    </row>
    <row r="534" spans="26:29" x14ac:dyDescent="0.35">
      <c r="Z534" s="4"/>
      <c r="AA534" s="4"/>
      <c r="AB534" s="4" t="e">
        <f ca="1">_xll.ciqfunctions.udf.CIQ("^SPX", "IQ_PRICEDATE", "2/4/2016")</f>
        <v>#NAME?</v>
      </c>
      <c r="AC534" s="16">
        <v>1915.4467916985</v>
      </c>
    </row>
    <row r="535" spans="26:29" x14ac:dyDescent="0.35">
      <c r="Z535" s="4"/>
      <c r="AA535" s="4"/>
      <c r="AB535" s="4" t="e">
        <f ca="1">_xll.ciqfunctions.udf.CIQ("^SPX", "IQ_PRICEDATE", "2/5/2016")</f>
        <v>#NAME?</v>
      </c>
      <c r="AC535" s="16">
        <v>1880.0539328839</v>
      </c>
    </row>
    <row r="536" spans="26:29" x14ac:dyDescent="0.35">
      <c r="Z536" s="4"/>
      <c r="AA536" s="4"/>
      <c r="AB536" s="4" t="e">
        <f ca="1">_xll.ciqfunctions.udf.CIQ("^SPX", "IQ_PRICEDATE", "2/8/2016")</f>
        <v>#NAME?</v>
      </c>
      <c r="AC536" s="16">
        <v>1853.4350189577001</v>
      </c>
    </row>
    <row r="537" spans="26:29" x14ac:dyDescent="0.35">
      <c r="Z537" s="4"/>
      <c r="AA537" s="4"/>
      <c r="AB537" s="4" t="e">
        <f ca="1">_xll.ciqfunctions.udf.CIQ("^SPX", "IQ_PRICEDATE", "2/9/2016")</f>
        <v>#NAME?</v>
      </c>
      <c r="AC537" s="16">
        <v>1852.209817315</v>
      </c>
    </row>
    <row r="538" spans="26:29" x14ac:dyDescent="0.35">
      <c r="Z538" s="4"/>
      <c r="AA538" s="4"/>
      <c r="AB538" s="4" t="e">
        <f ca="1">_xll.ciqfunctions.udf.CIQ("^SPX", "IQ_PRICEDATE", "2/10/2016")</f>
        <v>#NAME?</v>
      </c>
      <c r="AC538" s="16">
        <v>1851.8630459234</v>
      </c>
    </row>
    <row r="539" spans="26:29" x14ac:dyDescent="0.35">
      <c r="Z539" s="4"/>
      <c r="AA539" s="4"/>
      <c r="AB539" s="4" t="e">
        <f ca="1">_xll.ciqfunctions.udf.CIQ("^SPX", "IQ_PRICEDATE", "2/11/2016")</f>
        <v>#NAME?</v>
      </c>
      <c r="AC539" s="16">
        <v>1829.078345807</v>
      </c>
    </row>
    <row r="540" spans="26:29" x14ac:dyDescent="0.35">
      <c r="Z540" s="4"/>
      <c r="AA540" s="4"/>
      <c r="AB540" s="4" t="e">
        <f ca="1">_xll.ciqfunctions.udf.CIQ("^SPX", "IQ_PRICEDATE", "2/12/2016")</f>
        <v>#NAME?</v>
      </c>
      <c r="AC540" s="16">
        <v>1864.7753300898</v>
      </c>
    </row>
    <row r="541" spans="26:29" x14ac:dyDescent="0.35">
      <c r="Z541" s="4"/>
      <c r="AA541" s="4"/>
      <c r="AB541" s="4" t="e">
        <f ca="1">_xll.ciqfunctions.udf.CIQ("^SPX", "IQ_PRICEDATE", "2/16/2016")</f>
        <v>#NAME?</v>
      </c>
      <c r="AC541" s="16">
        <v>1895.5773700755999</v>
      </c>
    </row>
    <row r="542" spans="26:29" x14ac:dyDescent="0.35">
      <c r="Z542" s="4"/>
      <c r="AA542" s="4"/>
      <c r="AB542" s="4" t="e">
        <f ca="1">_xll.ciqfunctions.udf.CIQ("^SPX", "IQ_PRICEDATE", "2/17/2016")</f>
        <v>#NAME?</v>
      </c>
      <c r="AC542" s="16">
        <v>1926.8249996812001</v>
      </c>
    </row>
    <row r="543" spans="26:29" x14ac:dyDescent="0.35">
      <c r="Z543" s="4"/>
      <c r="AA543" s="4"/>
      <c r="AB543" s="4" t="e">
        <f ca="1">_xll.ciqfunctions.udf.CIQ("^SPX", "IQ_PRICEDATE", "2/18/2016")</f>
        <v>#NAME?</v>
      </c>
      <c r="AC543" s="16">
        <v>1917.8338001633999</v>
      </c>
    </row>
    <row r="544" spans="26:29" x14ac:dyDescent="0.35">
      <c r="Z544" s="4"/>
      <c r="AA544" s="4"/>
      <c r="AB544" s="4" t="e">
        <f ca="1">_xll.ciqfunctions.udf.CIQ("^SPX", "IQ_PRICEDATE", "2/19/2016")</f>
        <v>#NAME?</v>
      </c>
      <c r="AC544" s="16">
        <v>1917.7836117449999</v>
      </c>
    </row>
    <row r="545" spans="26:29" x14ac:dyDescent="0.35">
      <c r="Z545" s="4"/>
      <c r="AA545" s="4"/>
      <c r="AB545" s="4" t="e">
        <f ca="1">_xll.ciqfunctions.udf.CIQ("^SPX", "IQ_PRICEDATE", "2/22/2016")</f>
        <v>#NAME?</v>
      </c>
      <c r="AC545" s="16">
        <v>1945.5000398876</v>
      </c>
    </row>
    <row r="546" spans="26:29" x14ac:dyDescent="0.35">
      <c r="Z546" s="4"/>
      <c r="AA546" s="4"/>
      <c r="AB546" s="4" t="e">
        <f ca="1">_xll.ciqfunctions.udf.CIQ("^SPX", "IQ_PRICEDATE", "2/23/2016")</f>
        <v>#NAME?</v>
      </c>
      <c r="AC546" s="16">
        <v>1921.2684413203999</v>
      </c>
    </row>
    <row r="547" spans="26:29" x14ac:dyDescent="0.35">
      <c r="Z547" s="4"/>
      <c r="AA547" s="4"/>
      <c r="AB547" s="4" t="e">
        <f ca="1">_xll.ciqfunctions.udf.CIQ("^SPX", "IQ_PRICEDATE", "2/24/2016")</f>
        <v>#NAME?</v>
      </c>
      <c r="AC547" s="16">
        <v>1929.7976752719001</v>
      </c>
    </row>
    <row r="548" spans="26:29" x14ac:dyDescent="0.35">
      <c r="Z548" s="4"/>
      <c r="AA548" s="4"/>
      <c r="AB548" s="4" t="e">
        <f ca="1">_xll.ciqfunctions.udf.CIQ("^SPX", "IQ_PRICEDATE", "2/25/2016")</f>
        <v>#NAME?</v>
      </c>
      <c r="AC548" s="16">
        <v>1951.7006648710001</v>
      </c>
    </row>
    <row r="549" spans="26:29" x14ac:dyDescent="0.35">
      <c r="Z549" s="4"/>
      <c r="AA549" s="4"/>
      <c r="AB549" s="4" t="e">
        <f ca="1">_xll.ciqfunctions.udf.CIQ("^SPX", "IQ_PRICEDATE", "2/26/2016")</f>
        <v>#NAME?</v>
      </c>
      <c r="AC549" s="16">
        <v>1948.0538513040001</v>
      </c>
    </row>
    <row r="550" spans="26:29" x14ac:dyDescent="0.35">
      <c r="Z550" s="4"/>
      <c r="AA550" s="4"/>
      <c r="AB550" s="4" t="e">
        <f ca="1">_xll.ciqfunctions.udf.CIQ("^SPX", "IQ_PRICEDATE", "2/29/2016")</f>
        <v>#NAME?</v>
      </c>
      <c r="AC550" s="16">
        <v>1932.2263947971001</v>
      </c>
    </row>
    <row r="551" spans="26:29" x14ac:dyDescent="0.35">
      <c r="Z551" s="4"/>
      <c r="AA551" s="4"/>
      <c r="AB551" s="4" t="e">
        <f ca="1">_xll.ciqfunctions.udf.CIQ("^SPX", "IQ_PRICEDATE", "3/1/2016")</f>
        <v>#NAME?</v>
      </c>
      <c r="AC551" s="16">
        <v>1978.3481163757999</v>
      </c>
    </row>
    <row r="552" spans="26:29" x14ac:dyDescent="0.35">
      <c r="Z552" s="4"/>
      <c r="AA552" s="4"/>
      <c r="AB552" s="4" t="e">
        <f ca="1">_xll.ciqfunctions.udf.CIQ("^SPX", "IQ_PRICEDATE", "3/2/2016")</f>
        <v>#NAME?</v>
      </c>
      <c r="AC552" s="16">
        <v>1986.4547864171</v>
      </c>
    </row>
    <row r="553" spans="26:29" x14ac:dyDescent="0.35">
      <c r="Z553" s="4"/>
      <c r="AA553" s="4"/>
      <c r="AB553" s="4" t="e">
        <f ca="1">_xll.ciqfunctions.udf.CIQ("^SPX", "IQ_PRICEDATE", "3/3/2016")</f>
        <v>#NAME?</v>
      </c>
      <c r="AC553" s="16">
        <v>1993.4021399067999</v>
      </c>
    </row>
    <row r="554" spans="26:29" x14ac:dyDescent="0.35">
      <c r="Z554" s="4"/>
      <c r="AA554" s="4"/>
      <c r="AB554" s="4" t="e">
        <f ca="1">_xll.ciqfunctions.udf.CIQ("^SPX", "IQ_PRICEDATE", "3/4/2016")</f>
        <v>#NAME?</v>
      </c>
      <c r="AC554" s="16">
        <v>1999.9872258588</v>
      </c>
    </row>
    <row r="555" spans="26:29" x14ac:dyDescent="0.35">
      <c r="Z555" s="4"/>
      <c r="AA555" s="4"/>
      <c r="AB555" s="4" t="e">
        <f ca="1">_xll.ciqfunctions.udf.CIQ("^SPX", "IQ_PRICEDATE", "3/7/2016")</f>
        <v>#NAME?</v>
      </c>
      <c r="AC555" s="16">
        <v>2001.7588480310999</v>
      </c>
    </row>
    <row r="556" spans="26:29" x14ac:dyDescent="0.35">
      <c r="Z556" s="4"/>
      <c r="AA556" s="4"/>
      <c r="AB556" s="4" t="e">
        <f ca="1">_xll.ciqfunctions.udf.CIQ("^SPX", "IQ_PRICEDATE", "3/8/2016")</f>
        <v>#NAME?</v>
      </c>
      <c r="AC556" s="16">
        <v>1979.2607182705001</v>
      </c>
    </row>
    <row r="557" spans="26:29" x14ac:dyDescent="0.35">
      <c r="Z557" s="4"/>
      <c r="AA557" s="4"/>
      <c r="AB557" s="4" t="e">
        <f ca="1">_xll.ciqfunctions.udf.CIQ("^SPX", "IQ_PRICEDATE", "3/9/2016")</f>
        <v>#NAME?</v>
      </c>
      <c r="AC557" s="16">
        <v>1989.2649945042999</v>
      </c>
    </row>
    <row r="558" spans="26:29" x14ac:dyDescent="0.35">
      <c r="Z558" s="4"/>
      <c r="AA558" s="4"/>
      <c r="AB558" s="4" t="e">
        <f ca="1">_xll.ciqfunctions.udf.CIQ("^SPX", "IQ_PRICEDATE", "3/10/2016")</f>
        <v>#NAME?</v>
      </c>
      <c r="AC558" s="16">
        <v>1989.5682879162</v>
      </c>
    </row>
    <row r="559" spans="26:29" x14ac:dyDescent="0.35">
      <c r="Z559" s="4"/>
      <c r="AA559" s="4"/>
      <c r="AB559" s="4" t="e">
        <f ca="1">_xll.ciqfunctions.udf.CIQ("^SPX", "IQ_PRICEDATE", "3/11/2016")</f>
        <v>#NAME?</v>
      </c>
      <c r="AC559" s="16">
        <v>2022.1895722387001</v>
      </c>
    </row>
    <row r="560" spans="26:29" x14ac:dyDescent="0.35">
      <c r="Z560" s="4"/>
      <c r="AA560" s="4"/>
      <c r="AB560" s="4" t="e">
        <f ca="1">_xll.ciqfunctions.udf.CIQ("^SPX", "IQ_PRICEDATE", "3/14/2016")</f>
        <v>#NAME?</v>
      </c>
      <c r="AC560" s="16">
        <v>2019.6401297292</v>
      </c>
    </row>
    <row r="561" spans="26:29" x14ac:dyDescent="0.35">
      <c r="Z561" s="4"/>
      <c r="AA561" s="4"/>
      <c r="AB561" s="4" t="e">
        <f ca="1">_xll.ciqfunctions.udf.CIQ("^SPX", "IQ_PRICEDATE", "3/15/2016")</f>
        <v>#NAME?</v>
      </c>
      <c r="AC561" s="16">
        <v>2015.9279249064</v>
      </c>
    </row>
    <row r="562" spans="26:29" x14ac:dyDescent="0.35">
      <c r="Z562" s="4"/>
      <c r="AA562" s="4"/>
      <c r="AB562" s="4" t="e">
        <f ca="1">_xll.ciqfunctions.udf.CIQ("^SPX", "IQ_PRICEDATE", "3/16/2016")</f>
        <v>#NAME?</v>
      </c>
      <c r="AC562" s="16">
        <v>2027.2173933161</v>
      </c>
    </row>
    <row r="563" spans="26:29" x14ac:dyDescent="0.35">
      <c r="Z563" s="4"/>
      <c r="AA563" s="4"/>
      <c r="AB563" s="4" t="e">
        <f ca="1">_xll.ciqfunctions.udf.CIQ("^SPX", "IQ_PRICEDATE", "3/17/2016")</f>
        <v>#NAME?</v>
      </c>
      <c r="AC563" s="16">
        <v>2040.5911529636001</v>
      </c>
    </row>
    <row r="564" spans="26:29" x14ac:dyDescent="0.35">
      <c r="Z564" s="4"/>
      <c r="AA564" s="4"/>
      <c r="AB564" s="4" t="e">
        <f ca="1">_xll.ciqfunctions.udf.CIQ("^SPX", "IQ_PRICEDATE", "3/18/2016")</f>
        <v>#NAME?</v>
      </c>
      <c r="AC564" s="16">
        <v>2049.5767766017998</v>
      </c>
    </row>
    <row r="565" spans="26:29" x14ac:dyDescent="0.35">
      <c r="Z565" s="4"/>
      <c r="AA565" s="4"/>
      <c r="AB565" s="4" t="e">
        <f ca="1">_xll.ciqfunctions.udf.CIQ("^SPX", "IQ_PRICEDATE", "3/21/2016")</f>
        <v>#NAME?</v>
      </c>
      <c r="AC565" s="16">
        <v>2051.6002316302001</v>
      </c>
    </row>
    <row r="566" spans="26:29" x14ac:dyDescent="0.35">
      <c r="Z566" s="4"/>
      <c r="AA566" s="4"/>
      <c r="AB566" s="4" t="e">
        <f ca="1">_xll.ciqfunctions.udf.CIQ("^SPX", "IQ_PRICEDATE", "3/22/2016")</f>
        <v>#NAME?</v>
      </c>
      <c r="AC566" s="16">
        <v>2049.8035026558</v>
      </c>
    </row>
    <row r="567" spans="26:29" x14ac:dyDescent="0.35">
      <c r="Z567" s="4"/>
      <c r="AA567" s="4"/>
      <c r="AB567" s="4" t="e">
        <f ca="1">_xll.ciqfunctions.udf.CIQ("^SPX", "IQ_PRICEDATE", "3/23/2016")</f>
        <v>#NAME?</v>
      </c>
      <c r="AC567" s="16">
        <v>2036.7127614671999</v>
      </c>
    </row>
    <row r="568" spans="26:29" x14ac:dyDescent="0.35">
      <c r="Z568" s="4"/>
      <c r="AA568" s="4"/>
      <c r="AB568" s="4" t="e">
        <f ca="1">_xll.ciqfunctions.udf.CIQ("^SPX", "IQ_PRICEDATE", "3/24/2016")</f>
        <v>#NAME?</v>
      </c>
      <c r="AC568" s="16">
        <v>2035.9359056955</v>
      </c>
    </row>
    <row r="569" spans="26:29" x14ac:dyDescent="0.35">
      <c r="Z569" s="4"/>
      <c r="AA569" s="4"/>
      <c r="AB569" s="4" t="e">
        <f ca="1">_xll.ciqfunctions.udf.CIQ("^SPX", "IQ_PRICEDATE", "3/28/2016")</f>
        <v>#NAME?</v>
      </c>
      <c r="AC569" s="16">
        <v>2037.0494688776</v>
      </c>
    </row>
    <row r="570" spans="26:29" x14ac:dyDescent="0.35">
      <c r="Z570" s="4"/>
      <c r="AA570" s="4"/>
      <c r="AB570" s="4" t="e">
        <f ca="1">_xll.ciqfunctions.udf.CIQ("^SPX", "IQ_PRICEDATE", "3/29/2016")</f>
        <v>#NAME?</v>
      </c>
      <c r="AC570" s="16">
        <v>2055.0136334985</v>
      </c>
    </row>
    <row r="571" spans="26:29" x14ac:dyDescent="0.35">
      <c r="Z571" s="4"/>
      <c r="AA571" s="4"/>
      <c r="AB571" s="4" t="e">
        <f ca="1">_xll.ciqfunctions.udf.CIQ("^SPX", "IQ_PRICEDATE", "3/30/2016")</f>
        <v>#NAME?</v>
      </c>
      <c r="AC571" s="16">
        <v>2063.9455731809999</v>
      </c>
    </row>
    <row r="572" spans="26:29" x14ac:dyDescent="0.35">
      <c r="Z572" s="4"/>
      <c r="AA572" s="4"/>
      <c r="AB572" s="4" t="e">
        <f ca="1">_xll.ciqfunctions.udf.CIQ("^SPX", "IQ_PRICEDATE", "3/31/2016")</f>
        <v>#NAME?</v>
      </c>
      <c r="AC572" s="16">
        <v>2059.7411766012001</v>
      </c>
    </row>
    <row r="573" spans="26:29" x14ac:dyDescent="0.35">
      <c r="Z573" s="4"/>
      <c r="AA573" s="4"/>
      <c r="AB573" s="4" t="e">
        <f ca="1">_xll.ciqfunctions.udf.CIQ("^SPX", "IQ_PRICEDATE", "4/1/2016")</f>
        <v>#NAME?</v>
      </c>
      <c r="AC573" s="16">
        <v>2072.7790722503</v>
      </c>
    </row>
    <row r="574" spans="26:29" x14ac:dyDescent="0.35">
      <c r="Z574" s="4"/>
      <c r="AA574" s="4"/>
      <c r="AB574" s="4" t="e">
        <f ca="1">_xll.ciqfunctions.udf.CIQ("^SPX", "IQ_PRICEDATE", "4/4/2016")</f>
        <v>#NAME?</v>
      </c>
      <c r="AC574" s="16">
        <v>2066.1294033761001</v>
      </c>
    </row>
    <row r="575" spans="26:29" x14ac:dyDescent="0.35">
      <c r="Z575" s="4"/>
      <c r="AA575" s="4"/>
      <c r="AB575" s="4" t="e">
        <f ca="1">_xll.ciqfunctions.udf.CIQ("^SPX", "IQ_PRICEDATE", "4/5/2016")</f>
        <v>#NAME?</v>
      </c>
      <c r="AC575" s="16">
        <v>2045.1667952564001</v>
      </c>
    </row>
    <row r="576" spans="26:29" x14ac:dyDescent="0.35">
      <c r="Z576" s="4"/>
      <c r="AA576" s="4"/>
      <c r="AB576" s="4" t="e">
        <f ca="1">_xll.ciqfunctions.udf.CIQ("^SPX", "IQ_PRICEDATE", "4/6/2016")</f>
        <v>#NAME?</v>
      </c>
      <c r="AC576" s="16">
        <v>2066.6648189460998</v>
      </c>
    </row>
    <row r="577" spans="26:29" x14ac:dyDescent="0.35">
      <c r="Z577" s="4"/>
      <c r="AA577" s="4"/>
      <c r="AB577" s="4" t="e">
        <f ca="1">_xll.ciqfunctions.udf.CIQ("^SPX", "IQ_PRICEDATE", "4/7/2016")</f>
        <v>#NAME?</v>
      </c>
      <c r="AC577" s="16">
        <v>2041.9119416724</v>
      </c>
    </row>
    <row r="578" spans="26:29" x14ac:dyDescent="0.35">
      <c r="Z578" s="4"/>
      <c r="AA578" s="4"/>
      <c r="AB578" s="4" t="e">
        <f ca="1">_xll.ciqfunctions.udf.CIQ("^SPX", "IQ_PRICEDATE", "4/8/2016")</f>
        <v>#NAME?</v>
      </c>
      <c r="AC578" s="16">
        <v>2047.5971324052</v>
      </c>
    </row>
    <row r="579" spans="26:29" x14ac:dyDescent="0.35">
      <c r="Z579" s="4"/>
      <c r="AA579" s="4"/>
      <c r="AB579" s="4" t="e">
        <f ca="1">_xll.ciqfunctions.udf.CIQ("^SPX", "IQ_PRICEDATE", "4/11/2016")</f>
        <v>#NAME?</v>
      </c>
      <c r="AC579" s="16">
        <v>2041.9860446721</v>
      </c>
    </row>
    <row r="580" spans="26:29" x14ac:dyDescent="0.35">
      <c r="Z580" s="4"/>
      <c r="AA580" s="4"/>
      <c r="AB580" s="4" t="e">
        <f ca="1">_xll.ciqfunctions.udf.CIQ("^SPX", "IQ_PRICEDATE", "4/12/2016")</f>
        <v>#NAME?</v>
      </c>
      <c r="AC580" s="16">
        <v>2061.7184466693002</v>
      </c>
    </row>
    <row r="581" spans="26:29" x14ac:dyDescent="0.35">
      <c r="Z581" s="4"/>
      <c r="AA581" s="4"/>
      <c r="AB581" s="4" t="e">
        <f ca="1">_xll.ciqfunctions.udf.CIQ("^SPX", "IQ_PRICEDATE", "4/13/2016")</f>
        <v>#NAME?</v>
      </c>
      <c r="AC581" s="16">
        <v>2082.4206422921998</v>
      </c>
    </row>
    <row r="582" spans="26:29" x14ac:dyDescent="0.35">
      <c r="Z582" s="4"/>
      <c r="AA582" s="4"/>
      <c r="AB582" s="4" t="e">
        <f ca="1">_xll.ciqfunctions.udf.CIQ("^SPX", "IQ_PRICEDATE", "4/14/2016")</f>
        <v>#NAME?</v>
      </c>
      <c r="AC582" s="16">
        <v>2082.7830910424</v>
      </c>
    </row>
    <row r="583" spans="26:29" x14ac:dyDescent="0.35">
      <c r="Z583" s="4"/>
      <c r="AA583" s="4"/>
      <c r="AB583" s="4" t="e">
        <f ca="1">_xll.ciqfunctions.udf.CIQ("^SPX", "IQ_PRICEDATE", "4/15/2016")</f>
        <v>#NAME?</v>
      </c>
      <c r="AC583" s="16">
        <v>2080.7329648233999</v>
      </c>
    </row>
    <row r="584" spans="26:29" x14ac:dyDescent="0.35">
      <c r="Z584" s="4"/>
      <c r="AA584" s="4"/>
      <c r="AB584" s="4" t="e">
        <f ca="1">_xll.ciqfunctions.udf.CIQ("^SPX", "IQ_PRICEDATE", "4/18/2016")</f>
        <v>#NAME?</v>
      </c>
      <c r="AC584" s="16">
        <v>2094.3403310812</v>
      </c>
    </row>
    <row r="585" spans="26:29" x14ac:dyDescent="0.35">
      <c r="Z585" s="4"/>
      <c r="AA585" s="4"/>
      <c r="AB585" s="4" t="e">
        <f ca="1">_xll.ciqfunctions.udf.CIQ("^SPX", "IQ_PRICEDATE", "4/19/2016")</f>
        <v>#NAME?</v>
      </c>
      <c r="AC585" s="16">
        <v>2100.7987332940002</v>
      </c>
    </row>
    <row r="586" spans="26:29" x14ac:dyDescent="0.35">
      <c r="Z586" s="4"/>
      <c r="AA586" s="4"/>
      <c r="AB586" s="4" t="e">
        <f ca="1">_xll.ciqfunctions.udf.CIQ("^SPX", "IQ_PRICEDATE", "4/20/2016")</f>
        <v>#NAME?</v>
      </c>
      <c r="AC586" s="16">
        <v>2102.3966553845999</v>
      </c>
    </row>
    <row r="587" spans="26:29" x14ac:dyDescent="0.35">
      <c r="Z587" s="4"/>
      <c r="AA587" s="4"/>
      <c r="AB587" s="4" t="e">
        <f ca="1">_xll.ciqfunctions.udf.CIQ("^SPX", "IQ_PRICEDATE", "4/21/2016")</f>
        <v>#NAME?</v>
      </c>
      <c r="AC587" s="16">
        <v>2091.4836606396002</v>
      </c>
    </row>
    <row r="588" spans="26:29" x14ac:dyDescent="0.35">
      <c r="Z588" s="4"/>
      <c r="AA588" s="4"/>
      <c r="AB588" s="4" t="e">
        <f ca="1">_xll.ciqfunctions.udf.CIQ("^SPX", "IQ_PRICEDATE", "4/22/2016")</f>
        <v>#NAME?</v>
      </c>
      <c r="AC588" s="16">
        <v>2091.5801018706002</v>
      </c>
    </row>
    <row r="589" spans="26:29" x14ac:dyDescent="0.35">
      <c r="Z589" s="4"/>
      <c r="AA589" s="4"/>
      <c r="AB589" s="4" t="e">
        <f ca="1">_xll.ciqfunctions.udf.CIQ("^SPX", "IQ_PRICEDATE", "4/25/2016")</f>
        <v>#NAME?</v>
      </c>
      <c r="AC589" s="16">
        <v>2087.7944702435002</v>
      </c>
    </row>
    <row r="590" spans="26:29" x14ac:dyDescent="0.35">
      <c r="Z590" s="4"/>
      <c r="AA590" s="4"/>
      <c r="AB590" s="4" t="e">
        <f ca="1">_xll.ciqfunctions.udf.CIQ("^SPX", "IQ_PRICEDATE", "4/26/2016")</f>
        <v>#NAME?</v>
      </c>
      <c r="AC590" s="16">
        <v>2091.6985448183</v>
      </c>
    </row>
    <row r="591" spans="26:29" x14ac:dyDescent="0.35">
      <c r="Z591" s="4"/>
      <c r="AA591" s="4"/>
      <c r="AB591" s="4" t="e">
        <f ca="1">_xll.ciqfunctions.udf.CIQ("^SPX", "IQ_PRICEDATE", "4/27/2016")</f>
        <v>#NAME?</v>
      </c>
      <c r="AC591" s="16">
        <v>2095.1543936148</v>
      </c>
    </row>
    <row r="592" spans="26:29" x14ac:dyDescent="0.35">
      <c r="Z592" s="4"/>
      <c r="AA592" s="4"/>
      <c r="AB592" s="4" t="e">
        <f ca="1">_xll.ciqfunctions.udf.CIQ("^SPX", "IQ_PRICEDATE", "4/28/2016")</f>
        <v>#NAME?</v>
      </c>
      <c r="AC592" s="16">
        <v>2075.8106634737001</v>
      </c>
    </row>
    <row r="593" spans="26:29" x14ac:dyDescent="0.35">
      <c r="Z593" s="4"/>
      <c r="AA593" s="4"/>
      <c r="AB593" s="4" t="e">
        <f ca="1">_xll.ciqfunctions.udf.CIQ("^SPX", "IQ_PRICEDATE", "4/29/2016")</f>
        <v>#NAME?</v>
      </c>
      <c r="AC593" s="16">
        <v>2065.2963010051999</v>
      </c>
    </row>
    <row r="594" spans="26:29" x14ac:dyDescent="0.35">
      <c r="Z594" s="4"/>
      <c r="AA594" s="4"/>
      <c r="AB594" s="4" t="e">
        <f ca="1">_xll.ciqfunctions.udf.CIQ("^SPX", "IQ_PRICEDATE", "5/2/2016")</f>
        <v>#NAME?</v>
      </c>
      <c r="AC594" s="16">
        <v>2081.4302172006001</v>
      </c>
    </row>
    <row r="595" spans="26:29" x14ac:dyDescent="0.35">
      <c r="Z595" s="4"/>
      <c r="AA595" s="4"/>
      <c r="AB595" s="4" t="e">
        <f ca="1">_xll.ciqfunctions.udf.CIQ("^SPX", "IQ_PRICEDATE", "5/3/2016")</f>
        <v>#NAME?</v>
      </c>
      <c r="AC595" s="16">
        <v>2063.3668538899001</v>
      </c>
    </row>
    <row r="596" spans="26:29" x14ac:dyDescent="0.35">
      <c r="Z596" s="4"/>
      <c r="AA596" s="4"/>
      <c r="AB596" s="4" t="e">
        <f ca="1">_xll.ciqfunctions.udf.CIQ("^SPX", "IQ_PRICEDATE", "5/4/2016")</f>
        <v>#NAME?</v>
      </c>
      <c r="AC596" s="16">
        <v>2051.1212619793</v>
      </c>
    </row>
    <row r="597" spans="26:29" x14ac:dyDescent="0.35">
      <c r="Z597" s="4"/>
      <c r="AA597" s="4"/>
      <c r="AB597" s="4" t="e">
        <f ca="1">_xll.ciqfunctions.udf.CIQ("^SPX", "IQ_PRICEDATE", "5/5/2016")</f>
        <v>#NAME?</v>
      </c>
      <c r="AC597" s="16">
        <v>2050.6287420499002</v>
      </c>
    </row>
    <row r="598" spans="26:29" x14ac:dyDescent="0.35">
      <c r="Z598" s="4"/>
      <c r="AA598" s="4"/>
      <c r="AB598" s="4" t="e">
        <f ca="1">_xll.ciqfunctions.udf.CIQ("^SPX", "IQ_PRICEDATE", "5/6/2016")</f>
        <v>#NAME?</v>
      </c>
      <c r="AC598" s="16">
        <v>2057.1424213606001</v>
      </c>
    </row>
    <row r="599" spans="26:29" x14ac:dyDescent="0.35">
      <c r="Z599" s="4"/>
      <c r="AA599" s="4"/>
      <c r="AB599" s="4" t="e">
        <f ca="1">_xll.ciqfunctions.udf.CIQ("^SPX", "IQ_PRICEDATE", "5/9/2016")</f>
        <v>#NAME?</v>
      </c>
      <c r="AC599" s="16">
        <v>2058.6910661584002</v>
      </c>
    </row>
    <row r="600" spans="26:29" x14ac:dyDescent="0.35">
      <c r="Z600" s="4"/>
      <c r="AA600" s="4"/>
      <c r="AB600" s="4" t="e">
        <f ca="1">_xll.ciqfunctions.udf.CIQ("^SPX", "IQ_PRICEDATE", "5/10/2016")</f>
        <v>#NAME?</v>
      </c>
      <c r="AC600" s="16">
        <v>2084.3861226132999</v>
      </c>
    </row>
    <row r="601" spans="26:29" x14ac:dyDescent="0.35">
      <c r="Z601" s="4"/>
      <c r="AA601" s="4"/>
      <c r="AB601" s="4" t="e">
        <f ca="1">_xll.ciqfunctions.udf.CIQ("^SPX", "IQ_PRICEDATE", "5/11/2016")</f>
        <v>#NAME?</v>
      </c>
      <c r="AC601" s="16">
        <v>2064.4619029935998</v>
      </c>
    </row>
    <row r="602" spans="26:29" x14ac:dyDescent="0.35">
      <c r="Z602" s="4"/>
      <c r="AA602" s="4"/>
      <c r="AB602" s="4" t="e">
        <f ca="1">_xll.ciqfunctions.udf.CIQ("^SPX", "IQ_PRICEDATE", "5/12/2016")</f>
        <v>#NAME?</v>
      </c>
      <c r="AC602" s="16">
        <v>2064.1074656146002</v>
      </c>
    </row>
    <row r="603" spans="26:29" x14ac:dyDescent="0.35">
      <c r="Z603" s="4"/>
      <c r="AA603" s="4"/>
      <c r="AB603" s="4" t="e">
        <f ca="1">_xll.ciqfunctions.udf.CIQ("^SPX", "IQ_PRICEDATE", "5/13/2016")</f>
        <v>#NAME?</v>
      </c>
      <c r="AC603" s="16">
        <v>2046.6129226142</v>
      </c>
    </row>
    <row r="604" spans="26:29" x14ac:dyDescent="0.35">
      <c r="Z604" s="4"/>
      <c r="AA604" s="4"/>
      <c r="AB604" s="4" t="e">
        <f ca="1">_xll.ciqfunctions.udf.CIQ("^SPX", "IQ_PRICEDATE", "5/16/2016")</f>
        <v>#NAME?</v>
      </c>
      <c r="AC604" s="16">
        <v>2066.6571610419001</v>
      </c>
    </row>
    <row r="605" spans="26:29" x14ac:dyDescent="0.35">
      <c r="Z605" s="4"/>
      <c r="AA605" s="4"/>
      <c r="AB605" s="4" t="e">
        <f ca="1">_xll.ciqfunctions.udf.CIQ("^SPX", "IQ_PRICEDATE", "5/17/2016")</f>
        <v>#NAME?</v>
      </c>
      <c r="AC605" s="16">
        <v>2047.2058127273999</v>
      </c>
    </row>
    <row r="606" spans="26:29" x14ac:dyDescent="0.35">
      <c r="Z606" s="4"/>
      <c r="AA606" s="4"/>
      <c r="AB606" s="4" t="e">
        <f ca="1">_xll.ciqfunctions.udf.CIQ("^SPX", "IQ_PRICEDATE", "5/18/2016")</f>
        <v>#NAME?</v>
      </c>
      <c r="AC606" s="16">
        <v>2047.6272305970001</v>
      </c>
    </row>
    <row r="607" spans="26:29" x14ac:dyDescent="0.35">
      <c r="Z607" s="4"/>
      <c r="AA607" s="4"/>
      <c r="AB607" s="4" t="e">
        <f ca="1">_xll.ciqfunctions.udf.CIQ("^SPX", "IQ_PRICEDATE", "5/19/2016")</f>
        <v>#NAME?</v>
      </c>
      <c r="AC607" s="16">
        <v>2040.0398896362001</v>
      </c>
    </row>
    <row r="608" spans="26:29" x14ac:dyDescent="0.35">
      <c r="Z608" s="4"/>
      <c r="AA608" s="4"/>
      <c r="AB608" s="4" t="e">
        <f ca="1">_xll.ciqfunctions.udf.CIQ("^SPX", "IQ_PRICEDATE", "5/20/2016")</f>
        <v>#NAME?</v>
      </c>
      <c r="AC608" s="16">
        <v>2052.3180528978</v>
      </c>
    </row>
    <row r="609" spans="26:29" x14ac:dyDescent="0.35">
      <c r="Z609" s="4"/>
      <c r="AA609" s="4"/>
      <c r="AB609" s="4" t="e">
        <f ca="1">_xll.ciqfunctions.udf.CIQ("^SPX", "IQ_PRICEDATE", "5/23/2016")</f>
        <v>#NAME?</v>
      </c>
      <c r="AC609" s="16">
        <v>2048.0432790190998</v>
      </c>
    </row>
    <row r="610" spans="26:29" x14ac:dyDescent="0.35">
      <c r="Z610" s="4"/>
      <c r="AA610" s="4"/>
      <c r="AB610" s="4" t="e">
        <f ca="1">_xll.ciqfunctions.udf.CIQ("^SPX", "IQ_PRICEDATE", "5/24/2016")</f>
        <v>#NAME?</v>
      </c>
      <c r="AC610" s="16">
        <v>2076.0578170170002</v>
      </c>
    </row>
    <row r="611" spans="26:29" x14ac:dyDescent="0.35">
      <c r="Z611" s="4"/>
      <c r="AA611" s="4"/>
      <c r="AB611" s="4" t="e">
        <f ca="1">_xll.ciqfunctions.udf.CIQ("^SPX", "IQ_PRICEDATE", "5/25/2016")</f>
        <v>#NAME?</v>
      </c>
      <c r="AC611" s="16">
        <v>2090.5430039206999</v>
      </c>
    </row>
    <row r="612" spans="26:29" x14ac:dyDescent="0.35">
      <c r="Z612" s="4"/>
      <c r="AA612" s="4"/>
      <c r="AB612" s="4" t="e">
        <f ca="1">_xll.ciqfunctions.udf.CIQ("^SPX", "IQ_PRICEDATE", "5/26/2016")</f>
        <v>#NAME?</v>
      </c>
      <c r="AC612" s="16">
        <v>2090.1009750070002</v>
      </c>
    </row>
    <row r="613" spans="26:29" x14ac:dyDescent="0.35">
      <c r="Z613" s="4"/>
      <c r="AA613" s="4"/>
      <c r="AB613" s="4" t="e">
        <f ca="1">_xll.ciqfunctions.udf.CIQ("^SPX", "IQ_PRICEDATE", "5/27/2016")</f>
        <v>#NAME?</v>
      </c>
      <c r="AC613" s="16">
        <v>2099.0604609477</v>
      </c>
    </row>
    <row r="614" spans="26:29" x14ac:dyDescent="0.35">
      <c r="Z614" s="4"/>
      <c r="AA614" s="4"/>
      <c r="AB614" s="4" t="e">
        <f ca="1">_xll.ciqfunctions.udf.CIQ("^SPX", "IQ_PRICEDATE", "5/31/2016")</f>
        <v>#NAME?</v>
      </c>
      <c r="AC614" s="16">
        <v>2096.9641950705</v>
      </c>
    </row>
    <row r="615" spans="26:29" x14ac:dyDescent="0.35">
      <c r="Z615" s="4"/>
      <c r="AA615" s="4"/>
      <c r="AB615" s="4" t="e">
        <f ca="1">_xll.ciqfunctions.udf.CIQ("^SPX", "IQ_PRICEDATE", "6/1/2016")</f>
        <v>#NAME?</v>
      </c>
      <c r="AC615" s="16">
        <v>2099.3299950290998</v>
      </c>
    </row>
    <row r="616" spans="26:29" x14ac:dyDescent="0.35">
      <c r="Z616" s="4"/>
      <c r="AA616" s="4"/>
      <c r="AB616" s="4" t="e">
        <f ca="1">_xll.ciqfunctions.udf.CIQ("^SPX", "IQ_PRICEDATE", "6/2/2016")</f>
        <v>#NAME?</v>
      </c>
      <c r="AC616" s="16">
        <v>2105.2643409194998</v>
      </c>
    </row>
    <row r="617" spans="26:29" x14ac:dyDescent="0.35">
      <c r="Z617" s="4"/>
      <c r="AA617" s="4"/>
      <c r="AB617" s="4" t="e">
        <f ca="1">_xll.ciqfunctions.udf.CIQ("^SPX", "IQ_PRICEDATE", "6/3/2016")</f>
        <v>#NAME?</v>
      </c>
      <c r="AC617" s="16">
        <v>2099.1285740266999</v>
      </c>
    </row>
    <row r="618" spans="26:29" x14ac:dyDescent="0.35">
      <c r="Z618" s="4"/>
      <c r="AA618" s="4"/>
      <c r="AB618" s="4" t="e">
        <f ca="1">_xll.ciqfunctions.udf.CIQ("^SPX", "IQ_PRICEDATE", "6/6/2016")</f>
        <v>#NAME?</v>
      </c>
      <c r="AC618" s="16">
        <v>2109.4068447715999</v>
      </c>
    </row>
    <row r="619" spans="26:29" x14ac:dyDescent="0.35">
      <c r="Z619" s="4"/>
      <c r="AA619" s="4"/>
      <c r="AB619" s="4" t="e">
        <f ca="1">_xll.ciqfunctions.udf.CIQ("^SPX", "IQ_PRICEDATE", "6/7/2016")</f>
        <v>#NAME?</v>
      </c>
      <c r="AC619" s="16">
        <v>2112.1270716708</v>
      </c>
    </row>
    <row r="620" spans="26:29" x14ac:dyDescent="0.35">
      <c r="Z620" s="4"/>
      <c r="AA620" s="4"/>
      <c r="AB620" s="4" t="e">
        <f ca="1">_xll.ciqfunctions.udf.CIQ("^SPX", "IQ_PRICEDATE", "6/8/2016")</f>
        <v>#NAME?</v>
      </c>
      <c r="AC620" s="16">
        <v>2119.1182685772001</v>
      </c>
    </row>
    <row r="621" spans="26:29" x14ac:dyDescent="0.35">
      <c r="Z621" s="4"/>
      <c r="AA621" s="4"/>
      <c r="AB621" s="4" t="e">
        <f ca="1">_xll.ciqfunctions.udf.CIQ("^SPX", "IQ_PRICEDATE", "6/9/2016")</f>
        <v>#NAME?</v>
      </c>
      <c r="AC621" s="16">
        <v>2115.4777557885</v>
      </c>
    </row>
    <row r="622" spans="26:29" x14ac:dyDescent="0.35">
      <c r="Z622" s="4"/>
      <c r="AA622" s="4"/>
      <c r="AB622" s="4" t="e">
        <f ca="1">_xll.ciqfunctions.udf.CIQ("^SPX", "IQ_PRICEDATE", "6/10/2016")</f>
        <v>#NAME?</v>
      </c>
      <c r="AC622" s="16">
        <v>2096.0710133092002</v>
      </c>
    </row>
    <row r="623" spans="26:29" x14ac:dyDescent="0.35">
      <c r="Z623" s="4"/>
      <c r="AA623" s="4"/>
      <c r="AB623" s="4" t="e">
        <f ca="1">_xll.ciqfunctions.udf.CIQ("^SPX", "IQ_PRICEDATE", "6/13/2016")</f>
        <v>#NAME?</v>
      </c>
      <c r="AC623" s="16">
        <v>2079.0589804432002</v>
      </c>
    </row>
    <row r="624" spans="26:29" x14ac:dyDescent="0.35">
      <c r="Z624" s="4"/>
      <c r="AA624" s="4"/>
      <c r="AB624" s="4" t="e">
        <f ca="1">_xll.ciqfunctions.udf.CIQ("^SPX", "IQ_PRICEDATE", "6/14/2016")</f>
        <v>#NAME?</v>
      </c>
      <c r="AC624" s="16">
        <v>2075.3159582056001</v>
      </c>
    </row>
    <row r="625" spans="26:29" x14ac:dyDescent="0.35">
      <c r="Z625" s="4"/>
      <c r="AA625" s="4"/>
      <c r="AB625" s="4" t="e">
        <f ca="1">_xll.ciqfunctions.udf.CIQ("^SPX", "IQ_PRICEDATE", "6/15/2016")</f>
        <v>#NAME?</v>
      </c>
      <c r="AC625" s="16">
        <v>2071.5022827118</v>
      </c>
    </row>
    <row r="626" spans="26:29" x14ac:dyDescent="0.35">
      <c r="Z626" s="4"/>
      <c r="AA626" s="4"/>
      <c r="AB626" s="4" t="e">
        <f ca="1">_xll.ciqfunctions.udf.CIQ("^SPX", "IQ_PRICEDATE", "6/16/2016")</f>
        <v>#NAME?</v>
      </c>
      <c r="AC626" s="16">
        <v>2077.9938893249</v>
      </c>
    </row>
    <row r="627" spans="26:29" x14ac:dyDescent="0.35">
      <c r="Z627" s="4"/>
      <c r="AA627" s="4"/>
      <c r="AB627" s="4" t="e">
        <f ca="1">_xll.ciqfunctions.udf.CIQ("^SPX", "IQ_PRICEDATE", "6/17/2016")</f>
        <v>#NAME?</v>
      </c>
      <c r="AC627" s="16">
        <v>2071.2196945688002</v>
      </c>
    </row>
    <row r="628" spans="26:29" x14ac:dyDescent="0.35">
      <c r="Z628" s="4"/>
      <c r="AA628" s="4"/>
      <c r="AB628" s="4" t="e">
        <f ca="1">_xll.ciqfunctions.udf.CIQ("^SPX", "IQ_PRICEDATE", "6/20/2016")</f>
        <v>#NAME?</v>
      </c>
      <c r="AC628" s="16">
        <v>2083.2490307027001</v>
      </c>
    </row>
    <row r="629" spans="26:29" x14ac:dyDescent="0.35">
      <c r="Z629" s="4"/>
      <c r="AA629" s="4"/>
      <c r="AB629" s="4" t="e">
        <f ca="1">_xll.ciqfunctions.udf.CIQ("^SPX", "IQ_PRICEDATE", "6/21/2016")</f>
        <v>#NAME?</v>
      </c>
      <c r="AC629" s="16">
        <v>2088.8995479027999</v>
      </c>
    </row>
    <row r="630" spans="26:29" x14ac:dyDescent="0.35">
      <c r="Z630" s="4"/>
      <c r="AA630" s="4"/>
      <c r="AB630" s="4" t="e">
        <f ca="1">_xll.ciqfunctions.udf.CIQ("^SPX", "IQ_PRICEDATE", "6/22/2016")</f>
        <v>#NAME?</v>
      </c>
      <c r="AC630" s="16">
        <v>2085.4497233948</v>
      </c>
    </row>
    <row r="631" spans="26:29" x14ac:dyDescent="0.35">
      <c r="Z631" s="4"/>
      <c r="AA631" s="4"/>
      <c r="AB631" s="4" t="e">
        <f ca="1">_xll.ciqfunctions.udf.CIQ("^SPX", "IQ_PRICEDATE", "6/23/2016")</f>
        <v>#NAME?</v>
      </c>
      <c r="AC631" s="16">
        <v>2113.3206788011998</v>
      </c>
    </row>
    <row r="632" spans="26:29" x14ac:dyDescent="0.35">
      <c r="Z632" s="4"/>
      <c r="AA632" s="4"/>
      <c r="AB632" s="4" t="e">
        <f ca="1">_xll.ciqfunctions.udf.CIQ("^SPX", "IQ_PRICEDATE", "6/24/2016")</f>
        <v>#NAME?</v>
      </c>
      <c r="AC632" s="16">
        <v>2037.4051843633999</v>
      </c>
    </row>
    <row r="633" spans="26:29" x14ac:dyDescent="0.35">
      <c r="Z633" s="4"/>
      <c r="AA633" s="4"/>
      <c r="AB633" s="4" t="e">
        <f ca="1">_xll.ciqfunctions.udf.CIQ("^SPX", "IQ_PRICEDATE", "6/27/2016")</f>
        <v>#NAME?</v>
      </c>
      <c r="AC633" s="16">
        <v>2000.5352536809</v>
      </c>
    </row>
    <row r="634" spans="26:29" x14ac:dyDescent="0.35">
      <c r="Z634" s="4"/>
      <c r="AA634" s="4"/>
      <c r="AB634" s="4" t="e">
        <f ca="1">_xll.ciqfunctions.udf.CIQ("^SPX", "IQ_PRICEDATE", "6/28/2016")</f>
        <v>#NAME?</v>
      </c>
      <c r="AC634" s="16">
        <v>2036.0912294648001</v>
      </c>
    </row>
    <row r="635" spans="26:29" x14ac:dyDescent="0.35">
      <c r="Z635" s="4"/>
      <c r="AA635" s="4"/>
      <c r="AB635" s="4" t="e">
        <f ca="1">_xll.ciqfunctions.udf.CIQ("^SPX", "IQ_PRICEDATE", "6/29/2016")</f>
        <v>#NAME?</v>
      </c>
      <c r="AC635" s="16">
        <v>2070.7713064509999</v>
      </c>
    </row>
    <row r="636" spans="26:29" x14ac:dyDescent="0.35">
      <c r="Z636" s="4"/>
      <c r="AA636" s="4"/>
      <c r="AB636" s="4" t="e">
        <f ca="1">_xll.ciqfunctions.udf.CIQ("^SPX", "IQ_PRICEDATE", "6/30/2016")</f>
        <v>#NAME?</v>
      </c>
      <c r="AC636" s="16">
        <v>2098.8552265056001</v>
      </c>
    </row>
    <row r="637" spans="26:29" x14ac:dyDescent="0.35">
      <c r="Z637" s="4"/>
      <c r="AA637" s="4"/>
      <c r="AB637" s="4" t="e">
        <f ca="1">_xll.ciqfunctions.udf.CIQ("^SPX", "IQ_PRICEDATE", "7/1/2016")</f>
        <v>#NAME?</v>
      </c>
      <c r="AC637" s="16">
        <v>2102.9534922367002</v>
      </c>
    </row>
    <row r="638" spans="26:29" x14ac:dyDescent="0.35">
      <c r="Z638" s="4"/>
      <c r="AA638" s="4"/>
      <c r="AB638" s="4" t="e">
        <f ca="1">_xll.ciqfunctions.udf.CIQ("^SPX", "IQ_PRICEDATE", "7/5/2016")</f>
        <v>#NAME?</v>
      </c>
      <c r="AC638" s="16">
        <v>2088.5460361504001</v>
      </c>
    </row>
    <row r="639" spans="26:29" x14ac:dyDescent="0.35">
      <c r="Z639" s="4"/>
      <c r="AA639" s="4"/>
      <c r="AB639" s="4" t="e">
        <f ca="1">_xll.ciqfunctions.udf.CIQ("^SPX", "IQ_PRICEDATE", "7/6/2016")</f>
        <v>#NAME?</v>
      </c>
      <c r="AC639" s="16">
        <v>2099.7342908189999</v>
      </c>
    </row>
    <row r="640" spans="26:29" x14ac:dyDescent="0.35">
      <c r="Z640" s="4"/>
      <c r="AA640" s="4"/>
      <c r="AB640" s="4" t="e">
        <f ca="1">_xll.ciqfunctions.udf.CIQ("^SPX", "IQ_PRICEDATE", "7/7/2016")</f>
        <v>#NAME?</v>
      </c>
      <c r="AC640" s="16">
        <v>2097.8997750080998</v>
      </c>
    </row>
    <row r="641" spans="26:29" x14ac:dyDescent="0.35">
      <c r="Z641" s="4"/>
      <c r="AA641" s="4"/>
      <c r="AB641" s="4" t="e">
        <f ca="1">_xll.ciqfunctions.udf.CIQ("^SPX", "IQ_PRICEDATE", "7/8/2016")</f>
        <v>#NAME?</v>
      </c>
      <c r="AC641" s="16">
        <v>2129.8979817799</v>
      </c>
    </row>
    <row r="642" spans="26:29" x14ac:dyDescent="0.35">
      <c r="Z642" s="4"/>
      <c r="AA642" s="4"/>
      <c r="AB642" s="4" t="e">
        <f ca="1">_xll.ciqfunctions.udf.CIQ("^SPX", "IQ_PRICEDATE", "7/11/2016")</f>
        <v>#NAME?</v>
      </c>
      <c r="AC642" s="16">
        <v>2137.1597218421002</v>
      </c>
    </row>
    <row r="643" spans="26:29" x14ac:dyDescent="0.35">
      <c r="Z643" s="4"/>
      <c r="AA643" s="4"/>
      <c r="AB643" s="4" t="e">
        <f ca="1">_xll.ciqfunctions.udf.CIQ("^SPX", "IQ_PRICEDATE", "7/12/2016")</f>
        <v>#NAME?</v>
      </c>
      <c r="AC643" s="16">
        <v>2152.1413985821</v>
      </c>
    </row>
    <row r="644" spans="26:29" x14ac:dyDescent="0.35">
      <c r="Z644" s="4"/>
      <c r="AA644" s="4"/>
      <c r="AB644" s="4" t="e">
        <f ca="1">_xll.ciqfunctions.udf.CIQ("^SPX", "IQ_PRICEDATE", "7/13/2016")</f>
        <v>#NAME?</v>
      </c>
      <c r="AC644" s="16">
        <v>2152.4256572170998</v>
      </c>
    </row>
    <row r="645" spans="26:29" x14ac:dyDescent="0.35">
      <c r="Z645" s="4"/>
      <c r="AA645" s="4"/>
      <c r="AB645" s="4" t="e">
        <f ca="1">_xll.ciqfunctions.udf.CIQ("^SPX", "IQ_PRICEDATE", "7/14/2016")</f>
        <v>#NAME?</v>
      </c>
      <c r="AC645" s="16">
        <v>2163.7475359771001</v>
      </c>
    </row>
    <row r="646" spans="26:29" x14ac:dyDescent="0.35">
      <c r="Z646" s="4"/>
      <c r="AA646" s="4"/>
      <c r="AB646" s="4" t="e">
        <f ca="1">_xll.ciqfunctions.udf.CIQ("^SPX", "IQ_PRICEDATE", "7/15/2016")</f>
        <v>#NAME?</v>
      </c>
      <c r="AC646" s="16">
        <v>2161.7413340346002</v>
      </c>
    </row>
    <row r="647" spans="26:29" x14ac:dyDescent="0.35">
      <c r="Z647" s="4"/>
      <c r="AA647" s="4"/>
      <c r="AB647" s="4" t="e">
        <f ca="1">_xll.ciqfunctions.udf.CIQ("^SPX", "IQ_PRICEDATE", "7/18/2016")</f>
        <v>#NAME?</v>
      </c>
      <c r="AC647" s="16">
        <v>2166.8905245819001</v>
      </c>
    </row>
    <row r="648" spans="26:29" x14ac:dyDescent="0.35">
      <c r="Z648" s="4"/>
      <c r="AA648" s="4"/>
      <c r="AB648" s="4" t="e">
        <f ca="1">_xll.ciqfunctions.udf.CIQ("^SPX", "IQ_PRICEDATE", "7/19/2016")</f>
        <v>#NAME?</v>
      </c>
      <c r="AC648" s="16">
        <v>2163.7810993285998</v>
      </c>
    </row>
    <row r="649" spans="26:29" x14ac:dyDescent="0.35">
      <c r="Z649" s="4"/>
      <c r="AA649" s="4"/>
      <c r="AB649" s="4" t="e">
        <f ca="1">_xll.ciqfunctions.udf.CIQ("^SPX", "IQ_PRICEDATE", "7/20/2016")</f>
        <v>#NAME?</v>
      </c>
      <c r="AC649" s="16">
        <v>2173.0172120746001</v>
      </c>
    </row>
    <row r="650" spans="26:29" x14ac:dyDescent="0.35">
      <c r="Z650" s="4"/>
      <c r="AA650" s="4"/>
      <c r="AB650" s="4" t="e">
        <f ca="1">_xll.ciqfunctions.udf.CIQ("^SPX", "IQ_PRICEDATE", "7/21/2016")</f>
        <v>#NAME?</v>
      </c>
      <c r="AC650" s="16">
        <v>2165.1682977928999</v>
      </c>
    </row>
    <row r="651" spans="26:29" x14ac:dyDescent="0.35">
      <c r="Z651" s="4"/>
      <c r="AA651" s="4"/>
      <c r="AB651" s="4" t="e">
        <f ca="1">_xll.ciqfunctions.udf.CIQ("^SPX", "IQ_PRICEDATE", "7/22/2016")</f>
        <v>#NAME?</v>
      </c>
      <c r="AC651" s="16">
        <v>2175.0290623578999</v>
      </c>
    </row>
    <row r="652" spans="26:29" x14ac:dyDescent="0.35">
      <c r="Z652" s="4"/>
      <c r="AA652" s="4"/>
      <c r="AB652" s="4" t="e">
        <f ca="1">_xll.ciqfunctions.udf.CIQ("^SPX", "IQ_PRICEDATE", "7/25/2016")</f>
        <v>#NAME?</v>
      </c>
      <c r="AC652" s="16">
        <v>2168.4790742916002</v>
      </c>
    </row>
    <row r="653" spans="26:29" x14ac:dyDescent="0.35">
      <c r="Z653" s="4"/>
      <c r="AA653" s="4"/>
      <c r="AB653" s="4" t="e">
        <f ca="1">_xll.ciqfunctions.udf.CIQ("^SPX", "IQ_PRICEDATE", "7/26/2016")</f>
        <v>#NAME?</v>
      </c>
      <c r="AC653" s="16">
        <v>2169.1751918772002</v>
      </c>
    </row>
    <row r="654" spans="26:29" x14ac:dyDescent="0.35">
      <c r="Z654" s="4"/>
      <c r="AA654" s="4"/>
      <c r="AB654" s="4" t="e">
        <f ca="1">_xll.ciqfunctions.udf.CIQ("^SPX", "IQ_PRICEDATE", "7/27/2016")</f>
        <v>#NAME?</v>
      </c>
      <c r="AC654" s="16">
        <v>2166.5804205416998</v>
      </c>
    </row>
    <row r="655" spans="26:29" x14ac:dyDescent="0.35">
      <c r="Z655" s="4"/>
      <c r="AA655" s="4"/>
      <c r="AB655" s="4" t="e">
        <f ca="1">_xll.ciqfunctions.udf.CIQ("^SPX", "IQ_PRICEDATE", "7/28/2016")</f>
        <v>#NAME?</v>
      </c>
      <c r="AC655" s="16">
        <v>2170.0562602812001</v>
      </c>
    </row>
    <row r="656" spans="26:29" x14ac:dyDescent="0.35">
      <c r="Z656" s="4"/>
      <c r="AA656" s="4"/>
      <c r="AB656" s="4" t="e">
        <f ca="1">_xll.ciqfunctions.udf.CIQ("^SPX", "IQ_PRICEDATE", "7/29/2016")</f>
        <v>#NAME?</v>
      </c>
      <c r="AC656" s="16">
        <v>2173.6038598884002</v>
      </c>
    </row>
    <row r="657" spans="26:29" x14ac:dyDescent="0.35">
      <c r="Z657" s="4"/>
      <c r="AA657" s="4"/>
      <c r="AB657" s="4" t="e">
        <f ca="1">_xll.ciqfunctions.udf.CIQ("^SPX", "IQ_PRICEDATE", "8/1/2016")</f>
        <v>#NAME?</v>
      </c>
      <c r="AC657" s="16">
        <v>2170.8363912995001</v>
      </c>
    </row>
    <row r="658" spans="26:29" x14ac:dyDescent="0.35">
      <c r="Z658" s="4"/>
      <c r="AA658" s="4"/>
      <c r="AB658" s="4" t="e">
        <f ca="1">_xll.ciqfunctions.udf.CIQ("^SPX", "IQ_PRICEDATE", "8/2/2016")</f>
        <v>#NAME?</v>
      </c>
      <c r="AC658" s="16">
        <v>2157.0286485708002</v>
      </c>
    </row>
    <row r="659" spans="26:29" x14ac:dyDescent="0.35">
      <c r="Z659" s="4"/>
      <c r="AA659" s="4"/>
      <c r="AB659" s="4" t="e">
        <f ca="1">_xll.ciqfunctions.udf.CIQ("^SPX", "IQ_PRICEDATE", "8/3/2016")</f>
        <v>#NAME?</v>
      </c>
      <c r="AC659" s="16">
        <v>2163.7936743816999</v>
      </c>
    </row>
    <row r="660" spans="26:29" x14ac:dyDescent="0.35">
      <c r="Z660" s="4"/>
      <c r="AA660" s="4"/>
      <c r="AB660" s="4" t="e">
        <f ca="1">_xll.ciqfunctions.udf.CIQ("^SPX", "IQ_PRICEDATE", "8/4/2016")</f>
        <v>#NAME?</v>
      </c>
      <c r="AC660" s="16">
        <v>2164.2521154255001</v>
      </c>
    </row>
    <row r="661" spans="26:29" x14ac:dyDescent="0.35">
      <c r="Z661" s="4"/>
      <c r="AA661" s="4"/>
      <c r="AB661" s="4" t="e">
        <f ca="1">_xll.ciqfunctions.udf.CIQ("^SPX", "IQ_PRICEDATE", "8/5/2016")</f>
        <v>#NAME?</v>
      </c>
      <c r="AC661" s="16">
        <v>2182.8683748860999</v>
      </c>
    </row>
    <row r="662" spans="26:29" x14ac:dyDescent="0.35">
      <c r="Z662" s="4"/>
      <c r="AA662" s="4"/>
      <c r="AB662" s="4" t="e">
        <f ca="1">_xll.ciqfunctions.udf.CIQ("^SPX", "IQ_PRICEDATE", "8/8/2016")</f>
        <v>#NAME?</v>
      </c>
      <c r="AC662" s="16">
        <v>2180.8851510447998</v>
      </c>
    </row>
    <row r="663" spans="26:29" x14ac:dyDescent="0.35">
      <c r="Z663" s="4"/>
      <c r="AA663" s="4"/>
      <c r="AB663" s="4" t="e">
        <f ca="1">_xll.ciqfunctions.udf.CIQ("^SPX", "IQ_PRICEDATE", "8/9/2016")</f>
        <v>#NAME?</v>
      </c>
      <c r="AC663" s="16">
        <v>2181.7356761885999</v>
      </c>
    </row>
    <row r="664" spans="26:29" x14ac:dyDescent="0.35">
      <c r="Z664" s="4"/>
      <c r="AA664" s="4"/>
      <c r="AB664" s="4" t="e">
        <f ca="1">_xll.ciqfunctions.udf.CIQ("^SPX", "IQ_PRICEDATE", "8/10/2016")</f>
        <v>#NAME?</v>
      </c>
      <c r="AC664" s="16">
        <v>2175.4865235992002</v>
      </c>
    </row>
    <row r="665" spans="26:29" x14ac:dyDescent="0.35">
      <c r="Z665" s="4"/>
      <c r="AA665" s="4"/>
      <c r="AB665" s="4" t="e">
        <f ca="1">_xll.ciqfunctions.udf.CIQ("^SPX", "IQ_PRICEDATE", "8/11/2016")</f>
        <v>#NAME?</v>
      </c>
      <c r="AC665" s="16">
        <v>2185.7930995977999</v>
      </c>
    </row>
    <row r="666" spans="26:29" x14ac:dyDescent="0.35">
      <c r="Z666" s="4"/>
      <c r="AA666" s="4"/>
      <c r="AB666" s="4" t="e">
        <f ca="1">_xll.ciqfunctions.udf.CIQ("^SPX", "IQ_PRICEDATE", "8/12/2016")</f>
        <v>#NAME?</v>
      </c>
      <c r="AC666" s="16">
        <v>2184.0509398489999</v>
      </c>
    </row>
    <row r="667" spans="26:29" x14ac:dyDescent="0.35">
      <c r="Z667" s="4"/>
      <c r="AA667" s="4"/>
      <c r="AB667" s="4" t="e">
        <f ca="1">_xll.ciqfunctions.udf.CIQ("^SPX", "IQ_PRICEDATE", "8/15/2016")</f>
        <v>#NAME?</v>
      </c>
      <c r="AC667" s="16">
        <v>2190.1494156013</v>
      </c>
    </row>
    <row r="668" spans="26:29" x14ac:dyDescent="0.35">
      <c r="Z668" s="4"/>
      <c r="AA668" s="4"/>
      <c r="AB668" s="4" t="e">
        <f ca="1">_xll.ciqfunctions.udf.CIQ("^SPX", "IQ_PRICEDATE", "8/16/2016")</f>
        <v>#NAME?</v>
      </c>
      <c r="AC668" s="16">
        <v>2178.1494548590999</v>
      </c>
    </row>
    <row r="669" spans="26:29" x14ac:dyDescent="0.35">
      <c r="Z669" s="4"/>
      <c r="AA669" s="4"/>
      <c r="AB669" s="4" t="e">
        <f ca="1">_xll.ciqfunctions.udf.CIQ("^SPX", "IQ_PRICEDATE", "8/17/2016")</f>
        <v>#NAME?</v>
      </c>
      <c r="AC669" s="16">
        <v>2182.2188888493001</v>
      </c>
    </row>
    <row r="670" spans="26:29" x14ac:dyDescent="0.35">
      <c r="Z670" s="4"/>
      <c r="AA670" s="4"/>
      <c r="AB670" s="4" t="e">
        <f ca="1">_xll.ciqfunctions.udf.CIQ("^SPX", "IQ_PRICEDATE", "8/18/2016")</f>
        <v>#NAME?</v>
      </c>
      <c r="AC670" s="16">
        <v>2187.0248849494001</v>
      </c>
    </row>
    <row r="671" spans="26:29" x14ac:dyDescent="0.35">
      <c r="Z671" s="4"/>
      <c r="AA671" s="4"/>
      <c r="AB671" s="4" t="e">
        <f ca="1">_xll.ciqfunctions.udf.CIQ("^SPX", "IQ_PRICEDATE", "8/19/2016")</f>
        <v>#NAME?</v>
      </c>
      <c r="AC671" s="16">
        <v>2183.8681547889</v>
      </c>
    </row>
    <row r="672" spans="26:29" x14ac:dyDescent="0.35">
      <c r="Z672" s="4"/>
      <c r="AA672" s="4"/>
      <c r="AB672" s="4" t="e">
        <f ca="1">_xll.ciqfunctions.udf.CIQ("^SPX", "IQ_PRICEDATE", "8/22/2016")</f>
        <v>#NAME?</v>
      </c>
      <c r="AC672" s="16">
        <v>2182.6395481375998</v>
      </c>
    </row>
    <row r="673" spans="26:29" x14ac:dyDescent="0.35">
      <c r="Z673" s="4"/>
      <c r="AA673" s="4"/>
      <c r="AB673" s="4" t="e">
        <f ca="1">_xll.ciqfunctions.udf.CIQ("^SPX", "IQ_PRICEDATE", "8/23/2016")</f>
        <v>#NAME?</v>
      </c>
      <c r="AC673" s="16">
        <v>2186.9017991116002</v>
      </c>
    </row>
    <row r="674" spans="26:29" x14ac:dyDescent="0.35">
      <c r="Z674" s="4"/>
      <c r="AA674" s="4"/>
      <c r="AB674" s="4" t="e">
        <f ca="1">_xll.ciqfunctions.udf.CIQ("^SPX", "IQ_PRICEDATE", "8/24/2016")</f>
        <v>#NAME?</v>
      </c>
      <c r="AC674" s="16">
        <v>2175.4370105135999</v>
      </c>
    </row>
    <row r="675" spans="26:29" x14ac:dyDescent="0.35">
      <c r="Z675" s="4"/>
      <c r="AA675" s="4"/>
      <c r="AB675" s="4" t="e">
        <f ca="1">_xll.ciqfunctions.udf.CIQ("^SPX", "IQ_PRICEDATE", "8/25/2016")</f>
        <v>#NAME?</v>
      </c>
      <c r="AC675" s="16">
        <v>2172.4656323201002</v>
      </c>
    </row>
    <row r="676" spans="26:29" x14ac:dyDescent="0.35">
      <c r="Z676" s="4"/>
      <c r="AA676" s="4"/>
      <c r="AB676" s="4" t="e">
        <f ca="1">_xll.ciqfunctions.udf.CIQ("^SPX", "IQ_PRICEDATE", "8/26/2016")</f>
        <v>#NAME?</v>
      </c>
      <c r="AC676" s="16">
        <v>2169.0402322675</v>
      </c>
    </row>
    <row r="677" spans="26:29" x14ac:dyDescent="0.35">
      <c r="Z677" s="4"/>
      <c r="AA677" s="4"/>
      <c r="AB677" s="4" t="e">
        <f ca="1">_xll.ciqfunctions.udf.CIQ("^SPX", "IQ_PRICEDATE", "8/29/2016")</f>
        <v>#NAME?</v>
      </c>
      <c r="AC677" s="16">
        <v>2180.3774091741002</v>
      </c>
    </row>
    <row r="678" spans="26:29" x14ac:dyDescent="0.35">
      <c r="Z678" s="4"/>
      <c r="AA678" s="4"/>
      <c r="AB678" s="4" t="e">
        <f ca="1">_xll.ciqfunctions.udf.CIQ("^SPX", "IQ_PRICEDATE", "8/30/2016")</f>
        <v>#NAME?</v>
      </c>
      <c r="AC678" s="16">
        <v>2176.1226464445999</v>
      </c>
    </row>
    <row r="679" spans="26:29" x14ac:dyDescent="0.35">
      <c r="Z679" s="4"/>
      <c r="AA679" s="4"/>
      <c r="AB679" s="4" t="e">
        <f ca="1">_xll.ciqfunctions.udf.CIQ("^SPX", "IQ_PRICEDATE", "8/31/2016")</f>
        <v>#NAME?</v>
      </c>
      <c r="AC679" s="16">
        <v>2170.9469576924998</v>
      </c>
    </row>
    <row r="680" spans="26:29" x14ac:dyDescent="0.35">
      <c r="Z680" s="4"/>
      <c r="AA680" s="4"/>
      <c r="AB680" s="4" t="e">
        <f ca="1">_xll.ciqfunctions.udf.CIQ("^SPX", "IQ_PRICEDATE", "9/1/2016")</f>
        <v>#NAME?</v>
      </c>
      <c r="AC680" s="16">
        <v>2170.8632592590002</v>
      </c>
    </row>
    <row r="681" spans="26:29" x14ac:dyDescent="0.35">
      <c r="Z681" s="4"/>
      <c r="AA681" s="4"/>
      <c r="AB681" s="4" t="e">
        <f ca="1">_xll.ciqfunctions.udf.CIQ("^SPX", "IQ_PRICEDATE", "9/2/2016")</f>
        <v>#NAME?</v>
      </c>
      <c r="AC681" s="16">
        <v>2179.9842025792</v>
      </c>
    </row>
    <row r="682" spans="26:29" x14ac:dyDescent="0.35">
      <c r="Z682" s="4"/>
      <c r="AA682" s="4"/>
      <c r="AB682" s="4" t="e">
        <f ca="1">_xll.ciqfunctions.udf.CIQ("^SPX", "IQ_PRICEDATE", "9/6/2016")</f>
        <v>#NAME?</v>
      </c>
      <c r="AC682" s="16">
        <v>2186.4767390838001</v>
      </c>
    </row>
    <row r="683" spans="26:29" x14ac:dyDescent="0.35">
      <c r="Z683" s="4"/>
      <c r="AA683" s="4"/>
      <c r="AB683" s="4" t="e">
        <f ca="1">_xll.ciqfunctions.udf.CIQ("^SPX", "IQ_PRICEDATE", "9/7/2016")</f>
        <v>#NAME?</v>
      </c>
      <c r="AC683" s="16">
        <v>2186.1587276337</v>
      </c>
    </row>
    <row r="684" spans="26:29" x14ac:dyDescent="0.35">
      <c r="Z684" s="4"/>
      <c r="AA684" s="4"/>
      <c r="AB684" s="4" t="e">
        <f ca="1">_xll.ciqfunctions.udf.CIQ("^SPX", "IQ_PRICEDATE", "9/8/2016")</f>
        <v>#NAME?</v>
      </c>
      <c r="AC684" s="16">
        <v>2181.2995503214001</v>
      </c>
    </row>
    <row r="685" spans="26:29" x14ac:dyDescent="0.35">
      <c r="Z685" s="4"/>
      <c r="AA685" s="4"/>
      <c r="AB685" s="4" t="e">
        <f ca="1">_xll.ciqfunctions.udf.CIQ("^SPX", "IQ_PRICEDATE", "9/9/2016")</f>
        <v>#NAME?</v>
      </c>
      <c r="AC685" s="16">
        <v>2127.8055738488001</v>
      </c>
    </row>
    <row r="686" spans="26:29" x14ac:dyDescent="0.35">
      <c r="Z686" s="4"/>
      <c r="AA686" s="4"/>
      <c r="AB686" s="4" t="e">
        <f ca="1">_xll.ciqfunctions.udf.CIQ("^SPX", "IQ_PRICEDATE", "9/12/2016")</f>
        <v>#NAME?</v>
      </c>
      <c r="AC686" s="16">
        <v>2159.0397160826001</v>
      </c>
    </row>
    <row r="687" spans="26:29" x14ac:dyDescent="0.35">
      <c r="Z687" s="4"/>
      <c r="AA687" s="4"/>
      <c r="AB687" s="4" t="e">
        <f ca="1">_xll.ciqfunctions.udf.CIQ("^SPX", "IQ_PRICEDATE", "9/13/2016")</f>
        <v>#NAME?</v>
      </c>
      <c r="AC687" s="16">
        <v>2127.0203746730999</v>
      </c>
    </row>
    <row r="688" spans="26:29" x14ac:dyDescent="0.35">
      <c r="Z688" s="4"/>
      <c r="AA688" s="4"/>
      <c r="AB688" s="4" t="e">
        <f ca="1">_xll.ciqfunctions.udf.CIQ("^SPX", "IQ_PRICEDATE", "9/14/2016")</f>
        <v>#NAME?</v>
      </c>
      <c r="AC688" s="16">
        <v>2125.7695405924001</v>
      </c>
    </row>
    <row r="689" spans="26:29" x14ac:dyDescent="0.35">
      <c r="Z689" s="4"/>
      <c r="AA689" s="4"/>
      <c r="AB689" s="4" t="e">
        <f ca="1">_xll.ciqfunctions.udf.CIQ("^SPX", "IQ_PRICEDATE", "9/15/2016")</f>
        <v>#NAME?</v>
      </c>
      <c r="AC689" s="16">
        <v>2147.2620362114999</v>
      </c>
    </row>
    <row r="690" spans="26:29" x14ac:dyDescent="0.35">
      <c r="Z690" s="4"/>
      <c r="AA690" s="4"/>
      <c r="AB690" s="4" t="e">
        <f ca="1">_xll.ciqfunctions.udf.CIQ("^SPX", "IQ_PRICEDATE", "9/16/2016")</f>
        <v>#NAME?</v>
      </c>
      <c r="AC690" s="16">
        <v>2139.1646030154002</v>
      </c>
    </row>
    <row r="691" spans="26:29" x14ac:dyDescent="0.35">
      <c r="Z691" s="4"/>
      <c r="AA691" s="4"/>
      <c r="AB691" s="4" t="e">
        <f ca="1">_xll.ciqfunctions.udf.CIQ("^SPX", "IQ_PRICEDATE", "9/19/2016")</f>
        <v>#NAME?</v>
      </c>
      <c r="AC691" s="16">
        <v>2139.1153606972998</v>
      </c>
    </row>
    <row r="692" spans="26:29" x14ac:dyDescent="0.35">
      <c r="Z692" s="4"/>
      <c r="AA692" s="4"/>
      <c r="AB692" s="4" t="e">
        <f ca="1">_xll.ciqfunctions.udf.CIQ("^SPX", "IQ_PRICEDATE", "9/20/2016")</f>
        <v>#NAME?</v>
      </c>
      <c r="AC692" s="16">
        <v>2139.7568144288998</v>
      </c>
    </row>
    <row r="693" spans="26:29" x14ac:dyDescent="0.35">
      <c r="Z693" s="4"/>
      <c r="AA693" s="4"/>
      <c r="AB693" s="4" t="e">
        <f ca="1">_xll.ciqfunctions.udf.CIQ("^SPX", "IQ_PRICEDATE", "9/21/2016")</f>
        <v>#NAME?</v>
      </c>
      <c r="AC693" s="16">
        <v>2163.1175907881998</v>
      </c>
    </row>
    <row r="694" spans="26:29" x14ac:dyDescent="0.35">
      <c r="Z694" s="4"/>
      <c r="AA694" s="4"/>
      <c r="AB694" s="4" t="e">
        <f ca="1">_xll.ciqfunctions.udf.CIQ("^SPX", "IQ_PRICEDATE", "9/22/2016")</f>
        <v>#NAME?</v>
      </c>
      <c r="AC694" s="16">
        <v>2177.1822491823</v>
      </c>
    </row>
    <row r="695" spans="26:29" x14ac:dyDescent="0.35">
      <c r="Z695" s="4"/>
      <c r="AA695" s="4"/>
      <c r="AB695" s="4" t="e">
        <f ca="1">_xll.ciqfunctions.udf.CIQ("^SPX", "IQ_PRICEDATE", "9/23/2016")</f>
        <v>#NAME?</v>
      </c>
      <c r="AC695" s="16">
        <v>2164.6948076179001</v>
      </c>
    </row>
    <row r="696" spans="26:29" x14ac:dyDescent="0.35">
      <c r="Z696" s="4"/>
      <c r="AA696" s="4"/>
      <c r="AB696" s="4" t="e">
        <f ca="1">_xll.ciqfunctions.udf.CIQ("^SPX", "IQ_PRICEDATE", "9/26/2016")</f>
        <v>#NAME?</v>
      </c>
      <c r="AC696" s="16">
        <v>2146.0973667349999</v>
      </c>
    </row>
    <row r="697" spans="26:29" x14ac:dyDescent="0.35">
      <c r="Z697" s="4"/>
      <c r="AA697" s="4"/>
      <c r="AB697" s="4" t="e">
        <f ca="1">_xll.ciqfunctions.udf.CIQ("^SPX", "IQ_PRICEDATE", "9/27/2016")</f>
        <v>#NAME?</v>
      </c>
      <c r="AC697" s="16">
        <v>2159.9280234305002</v>
      </c>
    </row>
    <row r="698" spans="26:29" x14ac:dyDescent="0.35">
      <c r="Z698" s="4"/>
      <c r="AA698" s="4"/>
      <c r="AB698" s="4" t="e">
        <f ca="1">_xll.ciqfunctions.udf.CIQ("^SPX", "IQ_PRICEDATE", "9/28/2016")</f>
        <v>#NAME?</v>
      </c>
      <c r="AC698" s="16">
        <v>2171.3693316110998</v>
      </c>
    </row>
    <row r="699" spans="26:29" x14ac:dyDescent="0.35">
      <c r="Z699" s="4"/>
      <c r="AA699" s="4"/>
      <c r="AB699" s="4" t="e">
        <f ca="1">_xll.ciqfunctions.udf.CIQ("^SPX", "IQ_PRICEDATE", "9/29/2016")</f>
        <v>#NAME?</v>
      </c>
      <c r="AC699" s="16">
        <v>2151.1314851124998</v>
      </c>
    </row>
    <row r="700" spans="26:29" x14ac:dyDescent="0.35">
      <c r="Z700" s="4"/>
      <c r="AA700" s="4"/>
      <c r="AB700" s="4" t="e">
        <f ca="1">_xll.ciqfunctions.udf.CIQ("^SPX", "IQ_PRICEDATE", "9/30/2016")</f>
        <v>#NAME?</v>
      </c>
      <c r="AC700" s="16">
        <v>2168.2720896372998</v>
      </c>
    </row>
    <row r="701" spans="26:29" x14ac:dyDescent="0.35">
      <c r="Z701" s="4"/>
      <c r="AA701" s="4"/>
      <c r="AB701" s="4" t="e">
        <f ca="1">_xll.ciqfunctions.udf.CIQ("^SPX", "IQ_PRICEDATE", "10/3/2016")</f>
        <v>#NAME?</v>
      </c>
      <c r="AC701" s="16">
        <v>2161.1966867189999</v>
      </c>
    </row>
    <row r="702" spans="26:29" x14ac:dyDescent="0.35">
      <c r="Z702" s="4"/>
      <c r="AA702" s="4"/>
      <c r="AB702" s="4" t="e">
        <f ca="1">_xll.ciqfunctions.udf.CIQ("^SPX", "IQ_PRICEDATE", "10/4/2016")</f>
        <v>#NAME?</v>
      </c>
      <c r="AC702" s="16">
        <v>2150.4896004998</v>
      </c>
    </row>
    <row r="703" spans="26:29" x14ac:dyDescent="0.35">
      <c r="Z703" s="4"/>
      <c r="AA703" s="4"/>
      <c r="AB703" s="4" t="e">
        <f ca="1">_xll.ciqfunctions.udf.CIQ("^SPX", "IQ_PRICEDATE", "10/5/2016")</f>
        <v>#NAME?</v>
      </c>
      <c r="AC703" s="16">
        <v>2159.7279982</v>
      </c>
    </row>
    <row r="704" spans="26:29" x14ac:dyDescent="0.35">
      <c r="Z704" s="4"/>
      <c r="AA704" s="4"/>
      <c r="AB704" s="4" t="e">
        <f ca="1">_xll.ciqfunctions.udf.CIQ("^SPX", "IQ_PRICEDATE", "10/6/2016")</f>
        <v>#NAME?</v>
      </c>
      <c r="AC704" s="16">
        <v>2160.7718256122998</v>
      </c>
    </row>
    <row r="705" spans="26:29" x14ac:dyDescent="0.35">
      <c r="Z705" s="4"/>
      <c r="AA705" s="4"/>
      <c r="AB705" s="4" t="e">
        <f ca="1">_xll.ciqfunctions.udf.CIQ("^SPX", "IQ_PRICEDATE", "10/7/2016")</f>
        <v>#NAME?</v>
      </c>
      <c r="AC705" s="16">
        <v>2153.7393634283999</v>
      </c>
    </row>
    <row r="706" spans="26:29" x14ac:dyDescent="0.35">
      <c r="Z706" s="4"/>
      <c r="AA706" s="4"/>
      <c r="AB706" s="4" t="e">
        <f ca="1">_xll.ciqfunctions.udf.CIQ("^SPX", "IQ_PRICEDATE", "10/10/2016")</f>
        <v>#NAME?</v>
      </c>
      <c r="AC706" s="16">
        <v>2163.6606952522998</v>
      </c>
    </row>
    <row r="707" spans="26:29" x14ac:dyDescent="0.35">
      <c r="Z707" s="4"/>
      <c r="AA707" s="4"/>
      <c r="AB707" s="4" t="e">
        <f ca="1">_xll.ciqfunctions.udf.CIQ("^SPX", "IQ_PRICEDATE", "10/11/2016")</f>
        <v>#NAME?</v>
      </c>
      <c r="AC707" s="16">
        <v>2136.7261901291999</v>
      </c>
    </row>
    <row r="708" spans="26:29" x14ac:dyDescent="0.35">
      <c r="Z708" s="4"/>
      <c r="AA708" s="4"/>
      <c r="AB708" s="4" t="e">
        <f ca="1">_xll.ciqfunctions.udf.CIQ("^SPX", "IQ_PRICEDATE", "10/12/2016")</f>
        <v>#NAME?</v>
      </c>
      <c r="AC708" s="16">
        <v>2139.1764014525002</v>
      </c>
    </row>
    <row r="709" spans="26:29" x14ac:dyDescent="0.35">
      <c r="Z709" s="4"/>
      <c r="AA709" s="4"/>
      <c r="AB709" s="4" t="e">
        <f ca="1">_xll.ciqfunctions.udf.CIQ("^SPX", "IQ_PRICEDATE", "10/13/2016")</f>
        <v>#NAME?</v>
      </c>
      <c r="AC709" s="16">
        <v>2132.5464922646001</v>
      </c>
    </row>
    <row r="710" spans="26:29" x14ac:dyDescent="0.35">
      <c r="Z710" s="4"/>
      <c r="AA710" s="4"/>
      <c r="AB710" s="4" t="e">
        <f ca="1">_xll.ciqfunctions.udf.CIQ("^SPX", "IQ_PRICEDATE", "10/14/2016")</f>
        <v>#NAME?</v>
      </c>
      <c r="AC710" s="16">
        <v>2132.9784650791999</v>
      </c>
    </row>
    <row r="711" spans="26:29" x14ac:dyDescent="0.35">
      <c r="Z711" s="4"/>
      <c r="AA711" s="4"/>
      <c r="AB711" s="4" t="e">
        <f ca="1">_xll.ciqfunctions.udf.CIQ("^SPX", "IQ_PRICEDATE", "10/17/2016")</f>
        <v>#NAME?</v>
      </c>
      <c r="AC711" s="16">
        <v>2126.5033388248999</v>
      </c>
    </row>
    <row r="712" spans="26:29" x14ac:dyDescent="0.35">
      <c r="Z712" s="4"/>
      <c r="AA712" s="4"/>
      <c r="AB712" s="4" t="e">
        <f ca="1">_xll.ciqfunctions.udf.CIQ("^SPX", "IQ_PRICEDATE", "10/18/2016")</f>
        <v>#NAME?</v>
      </c>
      <c r="AC712" s="16">
        <v>2139.6040838805998</v>
      </c>
    </row>
    <row r="713" spans="26:29" x14ac:dyDescent="0.35">
      <c r="Z713" s="4"/>
      <c r="AA713" s="4"/>
      <c r="AB713" s="4" t="e">
        <f ca="1">_xll.ciqfunctions.udf.CIQ("^SPX", "IQ_PRICEDATE", "10/19/2016")</f>
        <v>#NAME?</v>
      </c>
      <c r="AC713" s="16">
        <v>2144.29028913</v>
      </c>
    </row>
    <row r="714" spans="26:29" x14ac:dyDescent="0.35">
      <c r="Z714" s="4"/>
      <c r="AA714" s="4"/>
      <c r="AB714" s="4" t="e">
        <f ca="1">_xll.ciqfunctions.udf.CIQ("^SPX", "IQ_PRICEDATE", "10/20/2016")</f>
        <v>#NAME?</v>
      </c>
      <c r="AC714" s="16">
        <v>2141.3439113742002</v>
      </c>
    </row>
    <row r="715" spans="26:29" x14ac:dyDescent="0.35">
      <c r="Z715" s="4"/>
      <c r="AA715" s="4"/>
      <c r="AB715" s="4" t="e">
        <f ca="1">_xll.ciqfunctions.udf.CIQ("^SPX", "IQ_PRICEDATE", "10/21/2016")</f>
        <v>#NAME?</v>
      </c>
      <c r="AC715" s="16">
        <v>2141.1619114369</v>
      </c>
    </row>
    <row r="716" spans="26:29" x14ac:dyDescent="0.35">
      <c r="Z716" s="4"/>
      <c r="AA716" s="4"/>
      <c r="AB716" s="4" t="e">
        <f ca="1">_xll.ciqfunctions.udf.CIQ("^SPX", "IQ_PRICEDATE", "10/24/2016")</f>
        <v>#NAME?</v>
      </c>
      <c r="AC716" s="16">
        <v>2151.3326381175002</v>
      </c>
    </row>
    <row r="717" spans="26:29" x14ac:dyDescent="0.35">
      <c r="Z717" s="4"/>
      <c r="AA717" s="4"/>
      <c r="AB717" s="4" t="e">
        <f ca="1">_xll.ciqfunctions.udf.CIQ("^SPX", "IQ_PRICEDATE", "10/25/2016")</f>
        <v>#NAME?</v>
      </c>
      <c r="AC717" s="16">
        <v>2143.1597105159999</v>
      </c>
    </row>
    <row r="718" spans="26:29" x14ac:dyDescent="0.35">
      <c r="Z718" s="4"/>
      <c r="AA718" s="4"/>
      <c r="AB718" s="4" t="e">
        <f ca="1">_xll.ciqfunctions.udf.CIQ("^SPX", "IQ_PRICEDATE", "10/26/2016")</f>
        <v>#NAME?</v>
      </c>
      <c r="AC718" s="16">
        <v>2139.4269739450001</v>
      </c>
    </row>
    <row r="719" spans="26:29" x14ac:dyDescent="0.35">
      <c r="Z719" s="4"/>
      <c r="AA719" s="4"/>
      <c r="AB719" s="4" t="e">
        <f ca="1">_xll.ciqfunctions.udf.CIQ("^SPX", "IQ_PRICEDATE", "10/27/2016")</f>
        <v>#NAME?</v>
      </c>
      <c r="AC719" s="16">
        <v>2133.0354951606</v>
      </c>
    </row>
    <row r="720" spans="26:29" x14ac:dyDescent="0.35">
      <c r="Z720" s="4"/>
      <c r="AA720" s="4"/>
      <c r="AB720" s="4" t="e">
        <f ca="1">_xll.ciqfunctions.udf.CIQ("^SPX", "IQ_PRICEDATE", "10/28/2016")</f>
        <v>#NAME?</v>
      </c>
      <c r="AC720" s="16">
        <v>2126.4075651100002</v>
      </c>
    </row>
    <row r="721" spans="26:29" x14ac:dyDescent="0.35">
      <c r="Z721" s="4"/>
      <c r="AA721" s="4"/>
      <c r="AB721" s="4" t="e">
        <f ca="1">_xll.ciqfunctions.udf.CIQ("^SPX", "IQ_PRICEDATE", "10/31/2016")</f>
        <v>#NAME?</v>
      </c>
      <c r="AC721" s="16">
        <v>2126.1532970297999</v>
      </c>
    </row>
    <row r="722" spans="26:29" x14ac:dyDescent="0.35">
      <c r="Z722" s="4"/>
      <c r="AA722" s="4"/>
      <c r="AB722" s="4" t="e">
        <f ca="1">_xll.ciqfunctions.udf.CIQ("^SPX", "IQ_PRICEDATE", "11/1/2016")</f>
        <v>#NAME?</v>
      </c>
      <c r="AC722" s="16">
        <v>2111.7225883933002</v>
      </c>
    </row>
    <row r="723" spans="26:29" x14ac:dyDescent="0.35">
      <c r="Z723" s="4"/>
      <c r="AA723" s="4"/>
      <c r="AB723" s="4" t="e">
        <f ca="1">_xll.ciqfunctions.udf.CIQ("^SPX", "IQ_PRICEDATE", "11/2/2016")</f>
        <v>#NAME?</v>
      </c>
      <c r="AC723" s="16">
        <v>2097.9437710837001</v>
      </c>
    </row>
    <row r="724" spans="26:29" x14ac:dyDescent="0.35">
      <c r="Z724" s="4"/>
      <c r="AA724" s="4"/>
      <c r="AB724" s="4" t="e">
        <f ca="1">_xll.ciqfunctions.udf.CIQ("^SPX", "IQ_PRICEDATE", "11/3/2016")</f>
        <v>#NAME?</v>
      </c>
      <c r="AC724" s="16">
        <v>2088.6635939239</v>
      </c>
    </row>
    <row r="725" spans="26:29" x14ac:dyDescent="0.35">
      <c r="Z725" s="4"/>
      <c r="AA725" s="4"/>
      <c r="AB725" s="4" t="e">
        <f ca="1">_xll.ciqfunctions.udf.CIQ("^SPX", "IQ_PRICEDATE", "11/4/2016")</f>
        <v>#NAME?</v>
      </c>
      <c r="AC725" s="16">
        <v>2085.1763769763002</v>
      </c>
    </row>
    <row r="726" spans="26:29" x14ac:dyDescent="0.35">
      <c r="Z726" s="4"/>
      <c r="AA726" s="4"/>
      <c r="AB726" s="4" t="e">
        <f ca="1">_xll.ciqfunctions.udf.CIQ("^SPX", "IQ_PRICEDATE", "11/7/2016")</f>
        <v>#NAME?</v>
      </c>
      <c r="AC726" s="16">
        <v>2131.5235684473</v>
      </c>
    </row>
    <row r="727" spans="26:29" x14ac:dyDescent="0.35">
      <c r="Z727" s="4"/>
      <c r="AA727" s="4"/>
      <c r="AB727" s="4" t="e">
        <f ca="1">_xll.ciqfunctions.udf.CIQ("^SPX", "IQ_PRICEDATE", "11/8/2016")</f>
        <v>#NAME?</v>
      </c>
      <c r="AC727" s="16">
        <v>2139.5630090412001</v>
      </c>
    </row>
    <row r="728" spans="26:29" x14ac:dyDescent="0.35">
      <c r="Z728" s="4"/>
      <c r="AA728" s="4"/>
      <c r="AB728" s="4" t="e">
        <f ca="1">_xll.ciqfunctions.udf.CIQ("^SPX", "IQ_PRICEDATE", "11/9/2016")</f>
        <v>#NAME?</v>
      </c>
      <c r="AC728" s="16">
        <v>2163.2579034201999</v>
      </c>
    </row>
    <row r="729" spans="26:29" x14ac:dyDescent="0.35">
      <c r="Z729" s="4"/>
      <c r="AA729" s="4"/>
      <c r="AB729" s="4" t="e">
        <f ca="1">_xll.ciqfunctions.udf.CIQ("^SPX", "IQ_PRICEDATE", "11/10/2016")</f>
        <v>#NAME?</v>
      </c>
      <c r="AC729" s="16">
        <v>2167.4781297492</v>
      </c>
    </row>
    <row r="730" spans="26:29" x14ac:dyDescent="0.35">
      <c r="Z730" s="4"/>
      <c r="AA730" s="4"/>
      <c r="AB730" s="4" t="e">
        <f ca="1">_xll.ciqfunctions.udf.CIQ("^SPX", "IQ_PRICEDATE", "11/11/2016")</f>
        <v>#NAME?</v>
      </c>
      <c r="AC730" s="16">
        <v>2164.4507501910002</v>
      </c>
    </row>
    <row r="731" spans="26:29" x14ac:dyDescent="0.35">
      <c r="Z731" s="4"/>
      <c r="AA731" s="4"/>
      <c r="AB731" s="4" t="e">
        <f ca="1">_xll.ciqfunctions.udf.CIQ("^SPX", "IQ_PRICEDATE", "11/14/2016")</f>
        <v>#NAME?</v>
      </c>
      <c r="AC731" s="16">
        <v>2164.2033007483001</v>
      </c>
    </row>
    <row r="732" spans="26:29" x14ac:dyDescent="0.35">
      <c r="Z732" s="4"/>
      <c r="AA732" s="4"/>
      <c r="AB732" s="4" t="e">
        <f ca="1">_xll.ciqfunctions.udf.CIQ("^SPX", "IQ_PRICEDATE", "11/15/2016")</f>
        <v>#NAME?</v>
      </c>
      <c r="AC732" s="16">
        <v>2180.3888273936</v>
      </c>
    </row>
    <row r="733" spans="26:29" x14ac:dyDescent="0.35">
      <c r="Z733" s="4"/>
      <c r="AA733" s="4"/>
      <c r="AB733" s="4" t="e">
        <f ca="1">_xll.ciqfunctions.udf.CIQ("^SPX", "IQ_PRICEDATE", "11/16/2016")</f>
        <v>#NAME?</v>
      </c>
      <c r="AC733" s="16">
        <v>2176.9409032715998</v>
      </c>
    </row>
    <row r="734" spans="26:29" x14ac:dyDescent="0.35">
      <c r="Z734" s="4"/>
      <c r="AA734" s="4"/>
      <c r="AB734" s="4" t="e">
        <f ca="1">_xll.ciqfunctions.udf.CIQ("^SPX", "IQ_PRICEDATE", "11/17/2016")</f>
        <v>#NAME?</v>
      </c>
      <c r="AC734" s="16">
        <v>2187.1210897609999</v>
      </c>
    </row>
    <row r="735" spans="26:29" x14ac:dyDescent="0.35">
      <c r="Z735" s="4"/>
      <c r="AA735" s="4"/>
      <c r="AB735" s="4" t="e">
        <f ca="1">_xll.ciqfunctions.udf.CIQ("^SPX", "IQ_PRICEDATE", "11/18/2016")</f>
        <v>#NAME?</v>
      </c>
      <c r="AC735" s="16">
        <v>2181.9017869641998</v>
      </c>
    </row>
    <row r="736" spans="26:29" x14ac:dyDescent="0.35">
      <c r="Z736" s="4"/>
      <c r="AA736" s="4"/>
      <c r="AB736" s="4" t="e">
        <f ca="1">_xll.ciqfunctions.udf.CIQ("^SPX", "IQ_PRICEDATE", "11/21/2016")</f>
        <v>#NAME?</v>
      </c>
      <c r="AC736" s="16">
        <v>2198.1827069851001</v>
      </c>
    </row>
    <row r="737" spans="26:29" x14ac:dyDescent="0.35">
      <c r="Z737" s="4"/>
      <c r="AA737" s="4"/>
      <c r="AB737" s="4" t="e">
        <f ca="1">_xll.ciqfunctions.udf.CIQ("^SPX", "IQ_PRICEDATE", "11/22/2016")</f>
        <v>#NAME?</v>
      </c>
      <c r="AC737" s="16">
        <v>2202.9368195779002</v>
      </c>
    </row>
    <row r="738" spans="26:29" x14ac:dyDescent="0.35">
      <c r="Z738" s="4"/>
      <c r="AA738" s="4"/>
      <c r="AB738" s="4" t="e">
        <f ca="1">_xll.ciqfunctions.udf.CIQ("^SPX", "IQ_PRICEDATE", "11/23/2016")</f>
        <v>#NAME?</v>
      </c>
      <c r="AC738" s="16">
        <v>2204.7229400811002</v>
      </c>
    </row>
    <row r="739" spans="26:29" x14ac:dyDescent="0.35">
      <c r="Z739" s="4"/>
      <c r="AA739" s="4"/>
      <c r="AB739" s="4" t="e">
        <f ca="1">_xll.ciqfunctions.udf.CIQ("^SPX", "IQ_PRICEDATE", "11/25/2016")</f>
        <v>#NAME?</v>
      </c>
      <c r="AC739" s="16">
        <v>2213.3485684312</v>
      </c>
    </row>
    <row r="740" spans="26:29" x14ac:dyDescent="0.35">
      <c r="Z740" s="4"/>
      <c r="AA740" s="4"/>
      <c r="AB740" s="4" t="e">
        <f ca="1">_xll.ciqfunctions.udf.CIQ("^SPX", "IQ_PRICEDATE", "11/28/2016")</f>
        <v>#NAME?</v>
      </c>
      <c r="AC740" s="16">
        <v>2201.7204991551998</v>
      </c>
    </row>
    <row r="741" spans="26:29" x14ac:dyDescent="0.35">
      <c r="Z741" s="4"/>
      <c r="AA741" s="4"/>
      <c r="AB741" s="4" t="e">
        <f ca="1">_xll.ciqfunctions.udf.CIQ("^SPX", "IQ_PRICEDATE", "11/29/2016")</f>
        <v>#NAME?</v>
      </c>
      <c r="AC741" s="16">
        <v>2204.6616627014</v>
      </c>
    </row>
    <row r="742" spans="26:29" x14ac:dyDescent="0.35">
      <c r="Z742" s="4"/>
      <c r="AA742" s="4"/>
      <c r="AB742" s="4" t="e">
        <f ca="1">_xll.ciqfunctions.udf.CIQ("^SPX", "IQ_PRICEDATE", "11/30/2016")</f>
        <v>#NAME?</v>
      </c>
      <c r="AC742" s="16">
        <v>2198.810449088</v>
      </c>
    </row>
    <row r="743" spans="26:29" x14ac:dyDescent="0.35">
      <c r="Z743" s="4"/>
      <c r="AA743" s="4"/>
      <c r="AB743" s="4" t="e">
        <f ca="1">_xll.ciqfunctions.udf.CIQ("^SPX", "IQ_PRICEDATE", "12/1/2016")</f>
        <v>#NAME?</v>
      </c>
      <c r="AC743" s="16">
        <v>2191.0829567188998</v>
      </c>
    </row>
    <row r="744" spans="26:29" x14ac:dyDescent="0.35">
      <c r="Z744" s="4"/>
      <c r="AA744" s="4"/>
      <c r="AB744" s="4" t="e">
        <f ca="1">_xll.ciqfunctions.udf.CIQ("^SPX", "IQ_PRICEDATE", "12/2/2016")</f>
        <v>#NAME?</v>
      </c>
      <c r="AC744" s="16">
        <v>2191.9536671015999</v>
      </c>
    </row>
    <row r="745" spans="26:29" x14ac:dyDescent="0.35">
      <c r="Z745" s="4"/>
      <c r="AA745" s="4"/>
      <c r="AB745" s="4" t="e">
        <f ca="1">_xll.ciqfunctions.udf.CIQ("^SPX", "IQ_PRICEDATE", "12/5/2016")</f>
        <v>#NAME?</v>
      </c>
      <c r="AC745" s="16">
        <v>2204.7053873538998</v>
      </c>
    </row>
    <row r="746" spans="26:29" x14ac:dyDescent="0.35">
      <c r="Z746" s="4"/>
      <c r="AA746" s="4"/>
      <c r="AB746" s="4" t="e">
        <f ca="1">_xll.ciqfunctions.udf.CIQ("^SPX", "IQ_PRICEDATE", "12/6/2016")</f>
        <v>#NAME?</v>
      </c>
      <c r="AC746" s="16">
        <v>2212.2307766723002</v>
      </c>
    </row>
    <row r="747" spans="26:29" x14ac:dyDescent="0.35">
      <c r="Z747" s="4"/>
      <c r="AA747" s="4"/>
      <c r="AB747" s="4" t="e">
        <f ca="1">_xll.ciqfunctions.udf.CIQ("^SPX", "IQ_PRICEDATE", "12/7/2016")</f>
        <v>#NAME?</v>
      </c>
      <c r="AC747" s="16">
        <v>2241.3546435787998</v>
      </c>
    </row>
    <row r="748" spans="26:29" x14ac:dyDescent="0.35">
      <c r="Z748" s="4"/>
      <c r="AA748" s="4"/>
      <c r="AB748" s="4" t="e">
        <f ca="1">_xll.ciqfunctions.udf.CIQ("^SPX", "IQ_PRICEDATE", "12/8/2016")</f>
        <v>#NAME?</v>
      </c>
      <c r="AC748" s="16">
        <v>2246.1878043501001</v>
      </c>
    </row>
    <row r="749" spans="26:29" x14ac:dyDescent="0.35">
      <c r="Z749" s="4"/>
      <c r="AA749" s="4"/>
      <c r="AB749" s="4" t="e">
        <f ca="1">_xll.ciqfunctions.udf.CIQ("^SPX", "IQ_PRICEDATE", "12/9/2016")</f>
        <v>#NAME?</v>
      </c>
      <c r="AC749" s="16">
        <v>2259.5286768649999</v>
      </c>
    </row>
    <row r="750" spans="26:29" x14ac:dyDescent="0.35">
      <c r="Z750" s="4"/>
      <c r="AA750" s="4"/>
      <c r="AB750" s="4" t="e">
        <f ca="1">_xll.ciqfunctions.udf.CIQ("^SPX", "IQ_PRICEDATE", "12/12/2016")</f>
        <v>#NAME?</v>
      </c>
      <c r="AC750" s="16">
        <v>2256.9632050081</v>
      </c>
    </row>
    <row r="751" spans="26:29" x14ac:dyDescent="0.35">
      <c r="Z751" s="4"/>
      <c r="AA751" s="4"/>
      <c r="AB751" s="4" t="e">
        <f ca="1">_xll.ciqfunctions.udf.CIQ("^SPX", "IQ_PRICEDATE", "12/13/2016")</f>
        <v>#NAME?</v>
      </c>
      <c r="AC751" s="16">
        <v>2271.7208298142</v>
      </c>
    </row>
    <row r="752" spans="26:29" x14ac:dyDescent="0.35">
      <c r="Z752" s="4"/>
      <c r="AA752" s="4"/>
      <c r="AB752" s="4" t="e">
        <f ca="1">_xll.ciqfunctions.udf.CIQ("^SPX", "IQ_PRICEDATE", "12/14/2016")</f>
        <v>#NAME?</v>
      </c>
      <c r="AC752" s="16">
        <v>2253.2786260766002</v>
      </c>
    </row>
    <row r="753" spans="26:29" x14ac:dyDescent="0.35">
      <c r="Z753" s="4"/>
      <c r="AA753" s="4"/>
      <c r="AB753" s="4" t="e">
        <f ca="1">_xll.ciqfunctions.udf.CIQ("^SPX", "IQ_PRICEDATE", "12/15/2016")</f>
        <v>#NAME?</v>
      </c>
      <c r="AC753" s="16">
        <v>2262.0311726028999</v>
      </c>
    </row>
    <row r="754" spans="26:29" x14ac:dyDescent="0.35">
      <c r="Z754" s="4"/>
      <c r="AA754" s="4"/>
      <c r="AB754" s="4" t="e">
        <f ca="1">_xll.ciqfunctions.udf.CIQ("^SPX", "IQ_PRICEDATE", "12/16/2016")</f>
        <v>#NAME?</v>
      </c>
      <c r="AC754" s="16">
        <v>2258.0724023327998</v>
      </c>
    </row>
    <row r="755" spans="26:29" x14ac:dyDescent="0.35">
      <c r="Z755" s="4"/>
      <c r="AA755" s="4"/>
      <c r="AB755" s="4" t="e">
        <f ca="1">_xll.ciqfunctions.udf.CIQ("^SPX", "IQ_PRICEDATE", "12/19/2016")</f>
        <v>#NAME?</v>
      </c>
      <c r="AC755" s="16">
        <v>2262.5322334957</v>
      </c>
    </row>
    <row r="756" spans="26:29" x14ac:dyDescent="0.35">
      <c r="Z756" s="4"/>
      <c r="AA756" s="4"/>
      <c r="AB756" s="4" t="e">
        <f ca="1">_xll.ciqfunctions.udf.CIQ("^SPX", "IQ_PRICEDATE", "12/20/2016")</f>
        <v>#NAME?</v>
      </c>
      <c r="AC756" s="16">
        <v>2270.7616665307</v>
      </c>
    </row>
    <row r="757" spans="26:29" x14ac:dyDescent="0.35">
      <c r="Z757" s="4"/>
      <c r="AA757" s="4"/>
      <c r="AB757" s="4" t="e">
        <f ca="1">_xll.ciqfunctions.udf.CIQ("^SPX", "IQ_PRICEDATE", "12/21/2016")</f>
        <v>#NAME?</v>
      </c>
      <c r="AC757" s="16">
        <v>2265.1799185451</v>
      </c>
    </row>
    <row r="758" spans="26:29" x14ac:dyDescent="0.35">
      <c r="Z758" s="4"/>
      <c r="AA758" s="4"/>
      <c r="AB758" s="4" t="e">
        <f ca="1">_xll.ciqfunctions.udf.CIQ("^SPX", "IQ_PRICEDATE", "12/22/2016")</f>
        <v>#NAME?</v>
      </c>
      <c r="AC758" s="16">
        <v>2260.9571890423999</v>
      </c>
    </row>
    <row r="759" spans="26:29" x14ac:dyDescent="0.35">
      <c r="Z759" s="4"/>
      <c r="AA759" s="4"/>
      <c r="AB759" s="4" t="e">
        <f ca="1">_xll.ciqfunctions.udf.CIQ("^SPX", "IQ_PRICEDATE", "12/23/2016")</f>
        <v>#NAME?</v>
      </c>
      <c r="AC759" s="16">
        <v>2263.7886585509</v>
      </c>
    </row>
    <row r="760" spans="26:29" x14ac:dyDescent="0.35">
      <c r="Z760" s="4"/>
      <c r="AA760" s="4"/>
      <c r="AB760" s="4" t="e">
        <f ca="1">_xll.ciqfunctions.udf.CIQ("^SPX", "IQ_PRICEDATE", "12/27/2016")</f>
        <v>#NAME?</v>
      </c>
      <c r="AC760" s="16">
        <v>2268.8754977453</v>
      </c>
    </row>
    <row r="761" spans="26:29" x14ac:dyDescent="0.35">
      <c r="Z761" s="4"/>
      <c r="AA761" s="4"/>
      <c r="AB761" s="4" t="e">
        <f ca="1">_xll.ciqfunctions.udf.CIQ("^SPX", "IQ_PRICEDATE", "12/28/2016")</f>
        <v>#NAME?</v>
      </c>
      <c r="AC761" s="16">
        <v>2249.9226157214998</v>
      </c>
    </row>
    <row r="762" spans="26:29" x14ac:dyDescent="0.35">
      <c r="Z762" s="4"/>
      <c r="AA762" s="4"/>
      <c r="AB762" s="4" t="e">
        <f ca="1">_xll.ciqfunctions.udf.CIQ("^SPX", "IQ_PRICEDATE", "12/29/2016")</f>
        <v>#NAME?</v>
      </c>
      <c r="AC762" s="16">
        <v>2249.2567692778998</v>
      </c>
    </row>
    <row r="763" spans="26:29" x14ac:dyDescent="0.35">
      <c r="Z763" s="4"/>
      <c r="AA763" s="4"/>
      <c r="AB763" s="4" t="e">
        <f ca="1">_xll.ciqfunctions.udf.CIQ("^SPX", "IQ_PRICEDATE", "12/30/2016")</f>
        <v>#NAME?</v>
      </c>
      <c r="AC763" s="16">
        <v>2238.8266817076001</v>
      </c>
    </row>
    <row r="764" spans="26:29" x14ac:dyDescent="0.35">
      <c r="Z764" s="4"/>
      <c r="AA764" s="4"/>
      <c r="AB764" s="4" t="e">
        <f ca="1">_xll.ciqfunctions.udf.CIQ("^SPX", "IQ_PRICEDATE", "1/3/2017")</f>
        <v>#NAME?</v>
      </c>
      <c r="AC764" s="16">
        <v>2257.8280264107998</v>
      </c>
    </row>
    <row r="765" spans="26:29" x14ac:dyDescent="0.35">
      <c r="Z765" s="4"/>
      <c r="AA765" s="4"/>
      <c r="AB765" s="4" t="e">
        <f ca="1">_xll.ciqfunctions.udf.CIQ("^SPX", "IQ_PRICEDATE", "1/4/2017")</f>
        <v>#NAME?</v>
      </c>
      <c r="AC765" s="16">
        <v>2270.7525300621</v>
      </c>
    </row>
    <row r="766" spans="26:29" x14ac:dyDescent="0.35">
      <c r="Z766" s="4"/>
      <c r="AA766" s="4"/>
      <c r="AB766" s="4" t="e">
        <f ca="1">_xll.ciqfunctions.udf.CIQ("^SPX", "IQ_PRICEDATE", "1/5/2017")</f>
        <v>#NAME?</v>
      </c>
      <c r="AC766" s="16">
        <v>2268.9985049367001</v>
      </c>
    </row>
    <row r="767" spans="26:29" x14ac:dyDescent="0.35">
      <c r="Z767" s="4"/>
      <c r="AA767" s="4"/>
      <c r="AB767" s="4" t="e">
        <f ca="1">_xll.ciqfunctions.udf.CIQ("^SPX", "IQ_PRICEDATE", "1/6/2017")</f>
        <v>#NAME?</v>
      </c>
      <c r="AC767" s="16">
        <v>2276.9814445621</v>
      </c>
    </row>
    <row r="768" spans="26:29" x14ac:dyDescent="0.35">
      <c r="Z768" s="4"/>
      <c r="AA768" s="4"/>
      <c r="AB768" s="4" t="e">
        <f ca="1">_xll.ciqfunctions.udf.CIQ("^SPX", "IQ_PRICEDATE", "1/9/2017")</f>
        <v>#NAME?</v>
      </c>
      <c r="AC768" s="16">
        <v>2268.9042127008001</v>
      </c>
    </row>
    <row r="769" spans="26:29" x14ac:dyDescent="0.35">
      <c r="Z769" s="4"/>
      <c r="AA769" s="4"/>
      <c r="AB769" s="4" t="e">
        <f ca="1">_xll.ciqfunctions.udf.CIQ("^SPX", "IQ_PRICEDATE", "1/10/2017")</f>
        <v>#NAME?</v>
      </c>
      <c r="AC769" s="16">
        <v>2268.8994521366999</v>
      </c>
    </row>
    <row r="770" spans="26:29" x14ac:dyDescent="0.35">
      <c r="Z770" s="4"/>
      <c r="AA770" s="4"/>
      <c r="AB770" s="4" t="e">
        <f ca="1">_xll.ciqfunctions.udf.CIQ("^SPX", "IQ_PRICEDATE", "1/11/2017")</f>
        <v>#NAME?</v>
      </c>
      <c r="AC770" s="16">
        <v>2275.3158782679998</v>
      </c>
    </row>
    <row r="771" spans="26:29" x14ac:dyDescent="0.35">
      <c r="Z771" s="4"/>
      <c r="AA771" s="4"/>
      <c r="AB771" s="4" t="e">
        <f ca="1">_xll.ciqfunctions.udf.CIQ("^SPX", "IQ_PRICEDATE", "1/12/2017")</f>
        <v>#NAME?</v>
      </c>
      <c r="AC771" s="16">
        <v>2270.4428671565001</v>
      </c>
    </row>
    <row r="772" spans="26:29" x14ac:dyDescent="0.35">
      <c r="Z772" s="4"/>
      <c r="AA772" s="4"/>
      <c r="AB772" s="4" t="e">
        <f ca="1">_xll.ciqfunctions.udf.CIQ("^SPX", "IQ_PRICEDATE", "1/13/2017")</f>
        <v>#NAME?</v>
      </c>
      <c r="AC772" s="16">
        <v>2274.6377428952001</v>
      </c>
    </row>
    <row r="773" spans="26:29" x14ac:dyDescent="0.35">
      <c r="Z773" s="4"/>
      <c r="AA773" s="4"/>
      <c r="AB773" s="4" t="e">
        <f ca="1">_xll.ciqfunctions.udf.CIQ("^SPX", "IQ_PRICEDATE", "1/17/2017")</f>
        <v>#NAME?</v>
      </c>
      <c r="AC773" s="16">
        <v>2267.8886336767</v>
      </c>
    </row>
    <row r="774" spans="26:29" x14ac:dyDescent="0.35">
      <c r="Z774" s="4"/>
      <c r="AA774" s="4"/>
      <c r="AB774" s="4" t="e">
        <f ca="1">_xll.ciqfunctions.udf.CIQ("^SPX", "IQ_PRICEDATE", "1/18/2017")</f>
        <v>#NAME?</v>
      </c>
      <c r="AC774" s="16">
        <v>2271.889368823</v>
      </c>
    </row>
    <row r="775" spans="26:29" x14ac:dyDescent="0.35">
      <c r="Z775" s="4"/>
      <c r="AA775" s="4"/>
      <c r="AB775" s="4" t="e">
        <f ca="1">_xll.ciqfunctions.udf.CIQ("^SPX", "IQ_PRICEDATE", "1/19/2017")</f>
        <v>#NAME?</v>
      </c>
      <c r="AC775" s="16">
        <v>2263.6867803261998</v>
      </c>
    </row>
    <row r="776" spans="26:29" x14ac:dyDescent="0.35">
      <c r="Z776" s="4"/>
      <c r="AA776" s="4"/>
      <c r="AB776" s="4" t="e">
        <f ca="1">_xll.ciqfunctions.udf.CIQ("^SPX", "IQ_PRICEDATE", "1/20/2017")</f>
        <v>#NAME?</v>
      </c>
      <c r="AC776" s="16">
        <v>2271.3147292376998</v>
      </c>
    </row>
    <row r="777" spans="26:29" x14ac:dyDescent="0.35">
      <c r="Z777" s="4"/>
      <c r="AA777" s="4"/>
      <c r="AB777" s="4" t="e">
        <f ca="1">_xll.ciqfunctions.udf.CIQ("^SPX", "IQ_PRICEDATE", "1/23/2017")</f>
        <v>#NAME?</v>
      </c>
      <c r="AC777" s="16">
        <v>2265.2002060514001</v>
      </c>
    </row>
    <row r="778" spans="26:29" x14ac:dyDescent="0.35">
      <c r="Z778" s="4"/>
      <c r="AA778" s="4"/>
      <c r="AB778" s="4" t="e">
        <f ca="1">_xll.ciqfunctions.udf.CIQ("^SPX", "IQ_PRICEDATE", "1/24/2017")</f>
        <v>#NAME?</v>
      </c>
      <c r="AC778" s="16">
        <v>2280.0741724414002</v>
      </c>
    </row>
    <row r="779" spans="26:29" x14ac:dyDescent="0.35">
      <c r="Z779" s="4"/>
      <c r="AA779" s="4"/>
      <c r="AB779" s="4" t="e">
        <f ca="1">_xll.ciqfunctions.udf.CIQ("^SPX", "IQ_PRICEDATE", "1/25/2017")</f>
        <v>#NAME?</v>
      </c>
      <c r="AC779" s="16">
        <v>2298.3674030979</v>
      </c>
    </row>
    <row r="780" spans="26:29" x14ac:dyDescent="0.35">
      <c r="Z780" s="4"/>
      <c r="AA780" s="4"/>
      <c r="AB780" s="4" t="e">
        <f ca="1">_xll.ciqfunctions.udf.CIQ("^SPX", "IQ_PRICEDATE", "1/26/2017")</f>
        <v>#NAME?</v>
      </c>
      <c r="AC780" s="16">
        <v>2296.680835659</v>
      </c>
    </row>
    <row r="781" spans="26:29" x14ac:dyDescent="0.35">
      <c r="Z781" s="4"/>
      <c r="AA781" s="4"/>
      <c r="AB781" s="4" t="e">
        <f ca="1">_xll.ciqfunctions.udf.CIQ("^SPX", "IQ_PRICEDATE", "1/27/2017")</f>
        <v>#NAME?</v>
      </c>
      <c r="AC781" s="16">
        <v>2294.6897289069002</v>
      </c>
    </row>
    <row r="782" spans="26:29" x14ac:dyDescent="0.35">
      <c r="Z782" s="4"/>
      <c r="AA782" s="4"/>
      <c r="AB782" s="4" t="e">
        <f ca="1">_xll.ciqfunctions.udf.CIQ("^SPX", "IQ_PRICEDATE", "1/30/2017")</f>
        <v>#NAME?</v>
      </c>
      <c r="AC782" s="16">
        <v>2280.896292119</v>
      </c>
    </row>
    <row r="783" spans="26:29" x14ac:dyDescent="0.35">
      <c r="Z783" s="4"/>
      <c r="AA783" s="4"/>
      <c r="AB783" s="4" t="e">
        <f ca="1">_xll.ciqfunctions.udf.CIQ("^SPX", "IQ_PRICEDATE", "1/31/2017")</f>
        <v>#NAME?</v>
      </c>
      <c r="AC783" s="16">
        <v>2278.8668906139001</v>
      </c>
    </row>
    <row r="784" spans="26:29" x14ac:dyDescent="0.35">
      <c r="Z784" s="4"/>
      <c r="AA784" s="4"/>
      <c r="AB784" s="4" t="e">
        <f ca="1">_xll.ciqfunctions.udf.CIQ("^SPX", "IQ_PRICEDATE", "2/1/2017")</f>
        <v>#NAME?</v>
      </c>
      <c r="AC784" s="16">
        <v>2279.5542905152001</v>
      </c>
    </row>
    <row r="785" spans="26:29" x14ac:dyDescent="0.35">
      <c r="Z785" s="4"/>
      <c r="AA785" s="4"/>
      <c r="AB785" s="4" t="e">
        <f ca="1">_xll.ciqfunctions.udf.CIQ("^SPX", "IQ_PRICEDATE", "2/2/2017")</f>
        <v>#NAME?</v>
      </c>
      <c r="AC785" s="16">
        <v>2280.8503539918001</v>
      </c>
    </row>
    <row r="786" spans="26:29" x14ac:dyDescent="0.35">
      <c r="Z786" s="4"/>
      <c r="AA786" s="4"/>
      <c r="AB786" s="4" t="e">
        <f ca="1">_xll.ciqfunctions.udf.CIQ("^SPX", "IQ_PRICEDATE", "2/3/2017")</f>
        <v>#NAME?</v>
      </c>
      <c r="AC786" s="16">
        <v>2297.4158570560999</v>
      </c>
    </row>
    <row r="787" spans="26:29" x14ac:dyDescent="0.35">
      <c r="Z787" s="4"/>
      <c r="AA787" s="4"/>
      <c r="AB787" s="4" t="e">
        <f ca="1">_xll.ciqfunctions.udf.CIQ("^SPX", "IQ_PRICEDATE", "2/6/2017")</f>
        <v>#NAME?</v>
      </c>
      <c r="AC787" s="16">
        <v>2292.5583856443</v>
      </c>
    </row>
    <row r="788" spans="26:29" x14ac:dyDescent="0.35">
      <c r="Z788" s="4"/>
      <c r="AA788" s="4"/>
      <c r="AB788" s="4" t="e">
        <f ca="1">_xll.ciqfunctions.udf.CIQ("^SPX", "IQ_PRICEDATE", "2/7/2017")</f>
        <v>#NAME?</v>
      </c>
      <c r="AC788" s="16">
        <v>2293.0810794510999</v>
      </c>
    </row>
    <row r="789" spans="26:29" x14ac:dyDescent="0.35">
      <c r="Z789" s="4"/>
      <c r="AA789" s="4"/>
      <c r="AB789" s="4" t="e">
        <f ca="1">_xll.ciqfunctions.udf.CIQ("^SPX", "IQ_PRICEDATE", "2/8/2017")</f>
        <v>#NAME?</v>
      </c>
      <c r="AC789" s="16">
        <v>2294.6686139671001</v>
      </c>
    </row>
    <row r="790" spans="26:29" x14ac:dyDescent="0.35">
      <c r="Z790" s="4"/>
      <c r="AA790" s="4"/>
      <c r="AB790" s="4" t="e">
        <f ca="1">_xll.ciqfunctions.udf.CIQ("^SPX", "IQ_PRICEDATE", "2/9/2017")</f>
        <v>#NAME?</v>
      </c>
      <c r="AC790" s="16">
        <v>2307.8746485800002</v>
      </c>
    </row>
    <row r="791" spans="26:29" x14ac:dyDescent="0.35">
      <c r="Z791" s="4"/>
      <c r="AA791" s="4"/>
      <c r="AB791" s="4" t="e">
        <f ca="1">_xll.ciqfunctions.udf.CIQ("^SPX", "IQ_PRICEDATE", "2/10/2017")</f>
        <v>#NAME?</v>
      </c>
      <c r="AC791" s="16">
        <v>2316.0970695871001</v>
      </c>
    </row>
    <row r="792" spans="26:29" x14ac:dyDescent="0.35">
      <c r="Z792" s="4"/>
      <c r="AA792" s="4"/>
      <c r="AB792" s="4" t="e">
        <f ca="1">_xll.ciqfunctions.udf.CIQ("^SPX", "IQ_PRICEDATE", "2/13/2017")</f>
        <v>#NAME?</v>
      </c>
      <c r="AC792" s="16">
        <v>2328.2532652969999</v>
      </c>
    </row>
    <row r="793" spans="26:29" x14ac:dyDescent="0.35">
      <c r="Z793" s="4"/>
      <c r="AA793" s="4"/>
      <c r="AB793" s="4" t="e">
        <f ca="1">_xll.ciqfunctions.udf.CIQ("^SPX", "IQ_PRICEDATE", "2/14/2017")</f>
        <v>#NAME?</v>
      </c>
      <c r="AC793" s="16">
        <v>2337.5845739169999</v>
      </c>
    </row>
    <row r="794" spans="26:29" x14ac:dyDescent="0.35">
      <c r="Z794" s="4"/>
      <c r="AA794" s="4"/>
      <c r="AB794" s="4" t="e">
        <f ca="1">_xll.ciqfunctions.udf.CIQ("^SPX", "IQ_PRICEDATE", "2/15/2017")</f>
        <v>#NAME?</v>
      </c>
      <c r="AC794" s="16">
        <v>2349.2474085381</v>
      </c>
    </row>
    <row r="795" spans="26:29" x14ac:dyDescent="0.35">
      <c r="Z795" s="4"/>
      <c r="AA795" s="4"/>
      <c r="AB795" s="4" t="e">
        <f ca="1">_xll.ciqfunctions.udf.CIQ("^SPX", "IQ_PRICEDATE", "2/16/2017")</f>
        <v>#NAME?</v>
      </c>
      <c r="AC795" s="16">
        <v>2347.2235385903</v>
      </c>
    </row>
    <row r="796" spans="26:29" x14ac:dyDescent="0.35">
      <c r="Z796" s="4"/>
      <c r="AA796" s="4"/>
      <c r="AB796" s="4" t="e">
        <f ca="1">_xll.ciqfunctions.udf.CIQ("^SPX", "IQ_PRICEDATE", "2/17/2017")</f>
        <v>#NAME?</v>
      </c>
      <c r="AC796" s="16">
        <v>2351.1616992230001</v>
      </c>
    </row>
    <row r="797" spans="26:29" x14ac:dyDescent="0.35">
      <c r="Z797" s="4"/>
      <c r="AA797" s="4"/>
      <c r="AB797" s="4" t="e">
        <f ca="1">_xll.ciqfunctions.udf.CIQ("^SPX", "IQ_PRICEDATE", "2/21/2017")</f>
        <v>#NAME?</v>
      </c>
      <c r="AC797" s="16">
        <v>2365.3827239303</v>
      </c>
    </row>
    <row r="798" spans="26:29" x14ac:dyDescent="0.35">
      <c r="Z798" s="4"/>
      <c r="AA798" s="4"/>
      <c r="AB798" s="4" t="e">
        <f ca="1">_xll.ciqfunctions.udf.CIQ("^SPX", "IQ_PRICEDATE", "2/22/2017")</f>
        <v>#NAME?</v>
      </c>
      <c r="AC798" s="16">
        <v>2362.8215256018998</v>
      </c>
    </row>
    <row r="799" spans="26:29" x14ac:dyDescent="0.35">
      <c r="Z799" s="4"/>
      <c r="AA799" s="4"/>
      <c r="AB799" s="4" t="e">
        <f ca="1">_xll.ciqfunctions.udf.CIQ("^SPX", "IQ_PRICEDATE", "2/23/2017")</f>
        <v>#NAME?</v>
      </c>
      <c r="AC799" s="16">
        <v>2363.8066507957001</v>
      </c>
    </row>
    <row r="800" spans="26:29" x14ac:dyDescent="0.35">
      <c r="Z800" s="4"/>
      <c r="AA800" s="4"/>
      <c r="AB800" s="4" t="e">
        <f ca="1">_xll.ciqfunctions.udf.CIQ("^SPX", "IQ_PRICEDATE", "2/24/2017")</f>
        <v>#NAME?</v>
      </c>
      <c r="AC800" s="16">
        <v>2367.3442469725001</v>
      </c>
    </row>
    <row r="801" spans="26:29" x14ac:dyDescent="0.35">
      <c r="Z801" s="4"/>
      <c r="AA801" s="4"/>
      <c r="AB801" s="4" t="e">
        <f ca="1">_xll.ciqfunctions.udf.CIQ("^SPX", "IQ_PRICEDATE", "2/27/2017")</f>
        <v>#NAME?</v>
      </c>
      <c r="AC801" s="16">
        <v>2369.7502934271001</v>
      </c>
    </row>
    <row r="802" spans="26:29" x14ac:dyDescent="0.35">
      <c r="Z802" s="4"/>
      <c r="AA802" s="4"/>
      <c r="AB802" s="4" t="e">
        <f ca="1">_xll.ciqfunctions.udf.CIQ("^SPX", "IQ_PRICEDATE", "2/28/2017")</f>
        <v>#NAME?</v>
      </c>
      <c r="AC802" s="16">
        <v>2363.6381971289002</v>
      </c>
    </row>
    <row r="803" spans="26:29" x14ac:dyDescent="0.35">
      <c r="Z803" s="4"/>
      <c r="AA803" s="4"/>
      <c r="AB803" s="4" t="e">
        <f ca="1">_xll.ciqfunctions.udf.CIQ("^SPX", "IQ_PRICEDATE", "3/1/2017")</f>
        <v>#NAME?</v>
      </c>
      <c r="AC803" s="16">
        <v>2395.9571420635998</v>
      </c>
    </row>
    <row r="804" spans="26:29" x14ac:dyDescent="0.35">
      <c r="Z804" s="4"/>
      <c r="AA804" s="4"/>
      <c r="AB804" s="4" t="e">
        <f ca="1">_xll.ciqfunctions.udf.CIQ("^SPX", "IQ_PRICEDATE", "3/2/2017")</f>
        <v>#NAME?</v>
      </c>
      <c r="AC804" s="16">
        <v>2381.9182073411998</v>
      </c>
    </row>
    <row r="805" spans="26:29" x14ac:dyDescent="0.35">
      <c r="Z805" s="4"/>
      <c r="AA805" s="4"/>
      <c r="AB805" s="4" t="e">
        <f ca="1">_xll.ciqfunctions.udf.CIQ("^SPX", "IQ_PRICEDATE", "3/3/2017")</f>
        <v>#NAME?</v>
      </c>
      <c r="AC805" s="16">
        <v>2383.1170365799999</v>
      </c>
    </row>
    <row r="806" spans="26:29" x14ac:dyDescent="0.35">
      <c r="Z806" s="4"/>
      <c r="AA806" s="4"/>
      <c r="AB806" s="4" t="e">
        <f ca="1">_xll.ciqfunctions.udf.CIQ("^SPX", "IQ_PRICEDATE", "3/6/2017")</f>
        <v>#NAME?</v>
      </c>
      <c r="AC806" s="16">
        <v>2375.3111240962999</v>
      </c>
    </row>
    <row r="807" spans="26:29" x14ac:dyDescent="0.35">
      <c r="Z807" s="4"/>
      <c r="AA807" s="4"/>
      <c r="AB807" s="4" t="e">
        <f ca="1">_xll.ciqfunctions.udf.CIQ("^SPX", "IQ_PRICEDATE", "3/7/2017")</f>
        <v>#NAME?</v>
      </c>
      <c r="AC807" s="16">
        <v>2368.3942101840998</v>
      </c>
    </row>
    <row r="808" spans="26:29" x14ac:dyDescent="0.35">
      <c r="Z808" s="4"/>
      <c r="AA808" s="4"/>
      <c r="AB808" s="4" t="e">
        <f ca="1">_xll.ciqfunctions.udf.CIQ("^SPX", "IQ_PRICEDATE", "3/8/2017")</f>
        <v>#NAME?</v>
      </c>
      <c r="AC808" s="16">
        <v>2362.9769963468998</v>
      </c>
    </row>
    <row r="809" spans="26:29" x14ac:dyDescent="0.35">
      <c r="Z809" s="4"/>
      <c r="AA809" s="4"/>
      <c r="AB809" s="4" t="e">
        <f ca="1">_xll.ciqfunctions.udf.CIQ("^SPX", "IQ_PRICEDATE", "3/9/2017")</f>
        <v>#NAME?</v>
      </c>
      <c r="AC809" s="16">
        <v>2364.8697868442</v>
      </c>
    </row>
    <row r="810" spans="26:29" x14ac:dyDescent="0.35">
      <c r="Z810" s="4"/>
      <c r="AA810" s="4"/>
      <c r="AB810" s="4" t="e">
        <f ca="1">_xll.ciqfunctions.udf.CIQ("^SPX", "IQ_PRICEDATE", "3/10/2017")</f>
        <v>#NAME?</v>
      </c>
      <c r="AC810" s="16">
        <v>2372.5977517652</v>
      </c>
    </row>
    <row r="811" spans="26:29" x14ac:dyDescent="0.35">
      <c r="Z811" s="4"/>
      <c r="AA811" s="4"/>
      <c r="AB811" s="4" t="e">
        <f ca="1">_xll.ciqfunctions.udf.CIQ("^SPX", "IQ_PRICEDATE", "3/13/2017")</f>
        <v>#NAME?</v>
      </c>
      <c r="AC811" s="16">
        <v>2373.4729821412002</v>
      </c>
    </row>
    <row r="812" spans="26:29" x14ac:dyDescent="0.35">
      <c r="Z812" s="4"/>
      <c r="AA812" s="4"/>
      <c r="AB812" s="4" t="e">
        <f ca="1">_xll.ciqfunctions.udf.CIQ("^SPX", "IQ_PRICEDATE", "3/14/2017")</f>
        <v>#NAME?</v>
      </c>
      <c r="AC812" s="16">
        <v>2365.4548960461002</v>
      </c>
    </row>
    <row r="813" spans="26:29" x14ac:dyDescent="0.35">
      <c r="Z813" s="4"/>
      <c r="AA813" s="4"/>
      <c r="AB813" s="4" t="e">
        <f ca="1">_xll.ciqfunctions.udf.CIQ("^SPX", "IQ_PRICEDATE", "3/15/2017")</f>
        <v>#NAME?</v>
      </c>
      <c r="AC813" s="16">
        <v>2385.2644650697998</v>
      </c>
    </row>
    <row r="814" spans="26:29" x14ac:dyDescent="0.35">
      <c r="Z814" s="4"/>
      <c r="AA814" s="4"/>
      <c r="AB814" s="4" t="e">
        <f ca="1">_xll.ciqfunctions.udf.CIQ("^SPX", "IQ_PRICEDATE", "3/16/2017")</f>
        <v>#NAME?</v>
      </c>
      <c r="AC814" s="16">
        <v>2381.3822478676002</v>
      </c>
    </row>
    <row r="815" spans="26:29" x14ac:dyDescent="0.35">
      <c r="Z815" s="4"/>
      <c r="AA815" s="4"/>
      <c r="AB815" s="4" t="e">
        <f ca="1">_xll.ciqfunctions.udf.CIQ("^SPX", "IQ_PRICEDATE", "3/17/2017")</f>
        <v>#NAME?</v>
      </c>
      <c r="AC815" s="16">
        <v>2378.2530512992998</v>
      </c>
    </row>
    <row r="816" spans="26:29" x14ac:dyDescent="0.35">
      <c r="Z816" s="4"/>
      <c r="AA816" s="4"/>
      <c r="AB816" s="4" t="e">
        <f ca="1">_xll.ciqfunctions.udf.CIQ("^SPX", "IQ_PRICEDATE", "3/20/2017")</f>
        <v>#NAME?</v>
      </c>
      <c r="AC816" s="16">
        <v>2373.4716089251001</v>
      </c>
    </row>
    <row r="817" spans="26:29" x14ac:dyDescent="0.35">
      <c r="Z817" s="4"/>
      <c r="AA817" s="4"/>
      <c r="AB817" s="4" t="e">
        <f ca="1">_xll.ciqfunctions.udf.CIQ("^SPX", "IQ_PRICEDATE", "3/21/2017")</f>
        <v>#NAME?</v>
      </c>
      <c r="AC817" s="16">
        <v>2344.0171188897998</v>
      </c>
    </row>
    <row r="818" spans="26:29" x14ac:dyDescent="0.35">
      <c r="Z818" s="4"/>
      <c r="AA818" s="4"/>
      <c r="AB818" s="4" t="e">
        <f ca="1">_xll.ciqfunctions.udf.CIQ("^SPX", "IQ_PRICEDATE", "3/22/2017")</f>
        <v>#NAME?</v>
      </c>
      <c r="AC818" s="16">
        <v>2348.4488358253998</v>
      </c>
    </row>
    <row r="819" spans="26:29" x14ac:dyDescent="0.35">
      <c r="Z819" s="4"/>
      <c r="AA819" s="4"/>
      <c r="AB819" s="4" t="e">
        <f ca="1">_xll.ciqfunctions.udf.CIQ("^SPX", "IQ_PRICEDATE", "3/23/2017")</f>
        <v>#NAME?</v>
      </c>
      <c r="AC819" s="16">
        <v>2345.9621629387998</v>
      </c>
    </row>
    <row r="820" spans="26:29" x14ac:dyDescent="0.35">
      <c r="Z820" s="4"/>
      <c r="AA820" s="4"/>
      <c r="AB820" s="4" t="e">
        <f ca="1">_xll.ciqfunctions.udf.CIQ("^SPX", "IQ_PRICEDATE", "3/24/2017")</f>
        <v>#NAME?</v>
      </c>
      <c r="AC820" s="16">
        <v>2343.9781399113999</v>
      </c>
    </row>
    <row r="821" spans="26:29" x14ac:dyDescent="0.35">
      <c r="Z821" s="4"/>
      <c r="AA821" s="4"/>
      <c r="AB821" s="4" t="e">
        <f ca="1">_xll.ciqfunctions.udf.CIQ("^SPX", "IQ_PRICEDATE", "3/27/2017")</f>
        <v>#NAME?</v>
      </c>
      <c r="AC821" s="16">
        <v>2341.5905947084002</v>
      </c>
    </row>
    <row r="822" spans="26:29" x14ac:dyDescent="0.35">
      <c r="Z822" s="4"/>
      <c r="AA822" s="4"/>
      <c r="AB822" s="4" t="e">
        <f ca="1">_xll.ciqfunctions.udf.CIQ("^SPX", "IQ_PRICEDATE", "3/28/2017")</f>
        <v>#NAME?</v>
      </c>
      <c r="AC822" s="16">
        <v>2358.5664621082001</v>
      </c>
    </row>
    <row r="823" spans="26:29" x14ac:dyDescent="0.35">
      <c r="Z823" s="4"/>
      <c r="AA823" s="4"/>
      <c r="AB823" s="4" t="e">
        <f ca="1">_xll.ciqfunctions.udf.CIQ("^SPX", "IQ_PRICEDATE", "3/29/2017")</f>
        <v>#NAME?</v>
      </c>
      <c r="AC823" s="16">
        <v>2361.1329611063002</v>
      </c>
    </row>
    <row r="824" spans="26:29" x14ac:dyDescent="0.35">
      <c r="Z824" s="4"/>
      <c r="AA824" s="4"/>
      <c r="AB824" s="4" t="e">
        <f ca="1">_xll.ciqfunctions.udf.CIQ("^SPX", "IQ_PRICEDATE", "3/30/2017")</f>
        <v>#NAME?</v>
      </c>
      <c r="AC824" s="16">
        <v>2368.0605682130999</v>
      </c>
    </row>
    <row r="825" spans="26:29" x14ac:dyDescent="0.35">
      <c r="Z825" s="4"/>
      <c r="AA825" s="4"/>
      <c r="AB825" s="4" t="e">
        <f ca="1">_xll.ciqfunctions.udf.CIQ("^SPX", "IQ_PRICEDATE", "3/31/2017")</f>
        <v>#NAME?</v>
      </c>
      <c r="AC825" s="16">
        <v>2362.7182203972998</v>
      </c>
    </row>
    <row r="826" spans="26:29" x14ac:dyDescent="0.35">
      <c r="Z826" s="4"/>
      <c r="AA826" s="4"/>
      <c r="AB826" s="4" t="e">
        <f ca="1">_xll.ciqfunctions.udf.CIQ("^SPX", "IQ_PRICEDATE", "4/3/2017")</f>
        <v>#NAME?</v>
      </c>
      <c r="AC826" s="16">
        <v>2358.8350901079998</v>
      </c>
    </row>
    <row r="827" spans="26:29" x14ac:dyDescent="0.35">
      <c r="Z827" s="4"/>
      <c r="AA827" s="4"/>
      <c r="AB827" s="4" t="e">
        <f ca="1">_xll.ciqfunctions.udf.CIQ("^SPX", "IQ_PRICEDATE", "4/4/2017")</f>
        <v>#NAME?</v>
      </c>
      <c r="AC827" s="16">
        <v>2360.1556906116998</v>
      </c>
    </row>
    <row r="828" spans="26:29" x14ac:dyDescent="0.35">
      <c r="Z828" s="4"/>
      <c r="AA828" s="4"/>
      <c r="AB828" s="4" t="e">
        <f ca="1">_xll.ciqfunctions.udf.CIQ("^SPX", "IQ_PRICEDATE", "4/5/2017")</f>
        <v>#NAME?</v>
      </c>
      <c r="AC828" s="16">
        <v>2352.9481905326002</v>
      </c>
    </row>
    <row r="829" spans="26:29" x14ac:dyDescent="0.35">
      <c r="Z829" s="4"/>
      <c r="AA829" s="4"/>
      <c r="AB829" s="4" t="e">
        <f ca="1">_xll.ciqfunctions.udf.CIQ("^SPX", "IQ_PRICEDATE", "4/6/2017")</f>
        <v>#NAME?</v>
      </c>
      <c r="AC829" s="16">
        <v>2357.4890699420998</v>
      </c>
    </row>
    <row r="830" spans="26:29" x14ac:dyDescent="0.35">
      <c r="Z830" s="4"/>
      <c r="AA830" s="4"/>
      <c r="AB830" s="4" t="e">
        <f ca="1">_xll.ciqfunctions.udf.CIQ("^SPX", "IQ_PRICEDATE", "4/7/2017")</f>
        <v>#NAME?</v>
      </c>
      <c r="AC830" s="16">
        <v>2355.5449917134001</v>
      </c>
    </row>
    <row r="831" spans="26:29" x14ac:dyDescent="0.35">
      <c r="Z831" s="4"/>
      <c r="AA831" s="4"/>
      <c r="AB831" s="4" t="e">
        <f ca="1">_xll.ciqfunctions.udf.CIQ("^SPX", "IQ_PRICEDATE", "4/10/2017")</f>
        <v>#NAME?</v>
      </c>
      <c r="AC831" s="16">
        <v>2357.1633808413999</v>
      </c>
    </row>
    <row r="832" spans="26:29" x14ac:dyDescent="0.35">
      <c r="Z832" s="4"/>
      <c r="AA832" s="4"/>
      <c r="AB832" s="4" t="e">
        <f ca="1">_xll.ciqfunctions.udf.CIQ("^SPX", "IQ_PRICEDATE", "4/11/2017")</f>
        <v>#NAME?</v>
      </c>
      <c r="AC832" s="16">
        <v>2353.7769915017998</v>
      </c>
    </row>
    <row r="833" spans="26:29" x14ac:dyDescent="0.35">
      <c r="Z833" s="4"/>
      <c r="AA833" s="4"/>
      <c r="AB833" s="4" t="e">
        <f ca="1">_xll.ciqfunctions.udf.CIQ("^SPX", "IQ_PRICEDATE", "4/12/2017")</f>
        <v>#NAME?</v>
      </c>
      <c r="AC833" s="16">
        <v>2344.926332342</v>
      </c>
    </row>
    <row r="834" spans="26:29" x14ac:dyDescent="0.35">
      <c r="Z834" s="4"/>
      <c r="AA834" s="4"/>
      <c r="AB834" s="4" t="e">
        <f ca="1">_xll.ciqfunctions.udf.CIQ("^SPX", "IQ_PRICEDATE", "4/13/2017")</f>
        <v>#NAME?</v>
      </c>
      <c r="AC834" s="16">
        <v>2328.9533474916002</v>
      </c>
    </row>
    <row r="835" spans="26:29" x14ac:dyDescent="0.35">
      <c r="Z835" s="4"/>
      <c r="AA835" s="4"/>
      <c r="AB835" s="4" t="e">
        <f ca="1">_xll.ciqfunctions.udf.CIQ("^SPX", "IQ_PRICEDATE", "4/17/2017")</f>
        <v>#NAME?</v>
      </c>
      <c r="AC835" s="16">
        <v>2349.0102206680999</v>
      </c>
    </row>
    <row r="836" spans="26:29" x14ac:dyDescent="0.35">
      <c r="Z836" s="4"/>
      <c r="AA836" s="4"/>
      <c r="AB836" s="4" t="e">
        <f ca="1">_xll.ciqfunctions.udf.CIQ("^SPX", "IQ_PRICEDATE", "4/18/2017")</f>
        <v>#NAME?</v>
      </c>
      <c r="AC836" s="16">
        <v>2342.1878312869999</v>
      </c>
    </row>
    <row r="837" spans="26:29" x14ac:dyDescent="0.35">
      <c r="Z837" s="4"/>
      <c r="AA837" s="4"/>
      <c r="AB837" s="4" t="e">
        <f ca="1">_xll.ciqfunctions.udf.CIQ("^SPX", "IQ_PRICEDATE", "4/19/2017")</f>
        <v>#NAME?</v>
      </c>
      <c r="AC837" s="16">
        <v>2338.16598759</v>
      </c>
    </row>
    <row r="838" spans="26:29" x14ac:dyDescent="0.35">
      <c r="Z838" s="4"/>
      <c r="AA838" s="4"/>
      <c r="AB838" s="4" t="e">
        <f ca="1">_xll.ciqfunctions.udf.CIQ("^SPX", "IQ_PRICEDATE", "4/20/2017")</f>
        <v>#NAME?</v>
      </c>
      <c r="AC838" s="16">
        <v>2355.8440804402999</v>
      </c>
    </row>
    <row r="839" spans="26:29" x14ac:dyDescent="0.35">
      <c r="Z839" s="4"/>
      <c r="AA839" s="4"/>
      <c r="AB839" s="4" t="e">
        <f ca="1">_xll.ciqfunctions.udf.CIQ("^SPX", "IQ_PRICEDATE", "4/21/2017")</f>
        <v>#NAME?</v>
      </c>
      <c r="AC839" s="16">
        <v>2348.6949580619998</v>
      </c>
    </row>
    <row r="840" spans="26:29" x14ac:dyDescent="0.35">
      <c r="Z840" s="4"/>
      <c r="AA840" s="4"/>
      <c r="AB840" s="4" t="e">
        <f ca="1">_xll.ciqfunctions.udf.CIQ("^SPX", "IQ_PRICEDATE", "4/24/2017")</f>
        <v>#NAME?</v>
      </c>
      <c r="AC840" s="16">
        <v>2374.1506911319002</v>
      </c>
    </row>
    <row r="841" spans="26:29" x14ac:dyDescent="0.35">
      <c r="Z841" s="4"/>
      <c r="AA841" s="4"/>
      <c r="AB841" s="4" t="e">
        <f ca="1">_xll.ciqfunctions.udf.CIQ("^SPX", "IQ_PRICEDATE", "4/25/2017")</f>
        <v>#NAME?</v>
      </c>
      <c r="AC841" s="16">
        <v>2388.6149249553</v>
      </c>
    </row>
    <row r="842" spans="26:29" x14ac:dyDescent="0.35">
      <c r="Z842" s="4"/>
      <c r="AA842" s="4"/>
      <c r="AB842" s="4" t="e">
        <f ca="1">_xll.ciqfunctions.udf.CIQ("^SPX", "IQ_PRICEDATE", "4/26/2017")</f>
        <v>#NAME?</v>
      </c>
      <c r="AC842" s="16">
        <v>2387.4479308863001</v>
      </c>
    </row>
    <row r="843" spans="26:29" x14ac:dyDescent="0.35">
      <c r="Z843" s="4"/>
      <c r="AA843" s="4"/>
      <c r="AB843" s="4" t="e">
        <f ca="1">_xll.ciqfunctions.udf.CIQ("^SPX", "IQ_PRICEDATE", "4/27/2017")</f>
        <v>#NAME?</v>
      </c>
      <c r="AC843" s="16">
        <v>2388.7688361317</v>
      </c>
    </row>
    <row r="844" spans="26:29" x14ac:dyDescent="0.35">
      <c r="Z844" s="4"/>
      <c r="AA844" s="4"/>
      <c r="AB844" s="4" t="e">
        <f ca="1">_xll.ciqfunctions.udf.CIQ("^SPX", "IQ_PRICEDATE", "4/28/2017")</f>
        <v>#NAME?</v>
      </c>
      <c r="AC844" s="16">
        <v>2384.1955178138001</v>
      </c>
    </row>
    <row r="845" spans="26:29" x14ac:dyDescent="0.35">
      <c r="Z845" s="4"/>
      <c r="AA845" s="4"/>
      <c r="AB845" s="4" t="e">
        <f ca="1">_xll.ciqfunctions.udf.CIQ("^SPX", "IQ_PRICEDATE", "5/1/2017")</f>
        <v>#NAME?</v>
      </c>
      <c r="AC845" s="16">
        <v>2388.3271850824999</v>
      </c>
    </row>
    <row r="846" spans="26:29" x14ac:dyDescent="0.35">
      <c r="Z846" s="4"/>
      <c r="AA846" s="4"/>
      <c r="AB846" s="4" t="e">
        <f ca="1">_xll.ciqfunctions.udf.CIQ("^SPX", "IQ_PRICEDATE", "5/2/2017")</f>
        <v>#NAME?</v>
      </c>
      <c r="AC846" s="16">
        <v>2391.1659415048998</v>
      </c>
    </row>
    <row r="847" spans="26:29" x14ac:dyDescent="0.35">
      <c r="Z847" s="4"/>
      <c r="AA847" s="4"/>
      <c r="AB847" s="4" t="e">
        <f ca="1">_xll.ciqfunctions.udf.CIQ("^SPX", "IQ_PRICEDATE", "5/3/2017")</f>
        <v>#NAME?</v>
      </c>
      <c r="AC847" s="16">
        <v>2388.1348932934002</v>
      </c>
    </row>
    <row r="848" spans="26:29" x14ac:dyDescent="0.35">
      <c r="Z848" s="4"/>
      <c r="AA848" s="4"/>
      <c r="AB848" s="4" t="e">
        <f ca="1">_xll.ciqfunctions.udf.CIQ("^SPX", "IQ_PRICEDATE", "5/4/2017")</f>
        <v>#NAME?</v>
      </c>
      <c r="AC848" s="16">
        <v>2389.5216607773</v>
      </c>
    </row>
    <row r="849" spans="26:29" x14ac:dyDescent="0.35">
      <c r="Z849" s="4"/>
      <c r="AA849" s="4"/>
      <c r="AB849" s="4" t="e">
        <f ca="1">_xll.ciqfunctions.udf.CIQ("^SPX", "IQ_PRICEDATE", "5/5/2017")</f>
        <v>#NAME?</v>
      </c>
      <c r="AC849" s="16">
        <v>2399.2857104250002</v>
      </c>
    </row>
    <row r="850" spans="26:29" x14ac:dyDescent="0.35">
      <c r="Z850" s="4"/>
      <c r="AA850" s="4"/>
      <c r="AB850" s="4" t="e">
        <f ca="1">_xll.ciqfunctions.udf.CIQ("^SPX", "IQ_PRICEDATE", "5/8/2017")</f>
        <v>#NAME?</v>
      </c>
      <c r="AC850" s="16">
        <v>2399.3773292577998</v>
      </c>
    </row>
    <row r="851" spans="26:29" x14ac:dyDescent="0.35">
      <c r="Z851" s="4"/>
      <c r="AA851" s="4"/>
      <c r="AB851" s="4" t="e">
        <f ca="1">_xll.ciqfunctions.udf.CIQ("^SPX", "IQ_PRICEDATE", "5/9/2017")</f>
        <v>#NAME?</v>
      </c>
      <c r="AC851" s="16">
        <v>2396.9194242874</v>
      </c>
    </row>
    <row r="852" spans="26:29" x14ac:dyDescent="0.35">
      <c r="Z852" s="4"/>
      <c r="AA852" s="4"/>
      <c r="AB852" s="4" t="e">
        <f ca="1">_xll.ciqfunctions.udf.CIQ("^SPX", "IQ_PRICEDATE", "5/10/2017")</f>
        <v>#NAME?</v>
      </c>
      <c r="AC852" s="16">
        <v>2399.6299593671001</v>
      </c>
    </row>
    <row r="853" spans="26:29" x14ac:dyDescent="0.35">
      <c r="Z853" s="4"/>
      <c r="AA853" s="4"/>
      <c r="AB853" s="4" t="e">
        <f ca="1">_xll.ciqfunctions.udf.CIQ("^SPX", "IQ_PRICEDATE", "5/11/2017")</f>
        <v>#NAME?</v>
      </c>
      <c r="AC853" s="16">
        <v>2394.4397979863002</v>
      </c>
    </row>
    <row r="854" spans="26:29" x14ac:dyDescent="0.35">
      <c r="Z854" s="4"/>
      <c r="AA854" s="4"/>
      <c r="AB854" s="4" t="e">
        <f ca="1">_xll.ciqfunctions.udf.CIQ("^SPX", "IQ_PRICEDATE", "5/12/2017")</f>
        <v>#NAME?</v>
      </c>
      <c r="AC854" s="16">
        <v>2390.8972261383001</v>
      </c>
    </row>
    <row r="855" spans="26:29" x14ac:dyDescent="0.35">
      <c r="Z855" s="4"/>
      <c r="AA855" s="4"/>
      <c r="AB855" s="4" t="e">
        <f ca="1">_xll.ciqfunctions.udf.CIQ("^SPX", "IQ_PRICEDATE", "5/15/2017")</f>
        <v>#NAME?</v>
      </c>
      <c r="AC855" s="16">
        <v>2402.3202821682999</v>
      </c>
    </row>
    <row r="856" spans="26:29" x14ac:dyDescent="0.35">
      <c r="Z856" s="4"/>
      <c r="AA856" s="4"/>
      <c r="AB856" s="4" t="e">
        <f ca="1">_xll.ciqfunctions.udf.CIQ("^SPX", "IQ_PRICEDATE", "5/16/2017")</f>
        <v>#NAME?</v>
      </c>
      <c r="AC856" s="16">
        <v>2400.6741690949998</v>
      </c>
    </row>
    <row r="857" spans="26:29" x14ac:dyDescent="0.35">
      <c r="Z857" s="4"/>
      <c r="AA857" s="4"/>
      <c r="AB857" s="4" t="e">
        <f ca="1">_xll.ciqfunctions.udf.CIQ("^SPX", "IQ_PRICEDATE", "5/17/2017")</f>
        <v>#NAME?</v>
      </c>
      <c r="AC857" s="16">
        <v>2357.0321672037999</v>
      </c>
    </row>
    <row r="858" spans="26:29" x14ac:dyDescent="0.35">
      <c r="Z858" s="4"/>
      <c r="AA858" s="4"/>
      <c r="AB858" s="4" t="e">
        <f ca="1">_xll.ciqfunctions.udf.CIQ("^SPX", "IQ_PRICEDATE", "5/18/2017")</f>
        <v>#NAME?</v>
      </c>
      <c r="AC858" s="16">
        <v>2365.7239626676001</v>
      </c>
    </row>
    <row r="859" spans="26:29" x14ac:dyDescent="0.35">
      <c r="Z859" s="4"/>
      <c r="AA859" s="4"/>
      <c r="AB859" s="4" t="e">
        <f ca="1">_xll.ciqfunctions.udf.CIQ("^SPX", "IQ_PRICEDATE", "5/19/2017")</f>
        <v>#NAME?</v>
      </c>
      <c r="AC859" s="16">
        <v>2381.7267041675</v>
      </c>
    </row>
    <row r="860" spans="26:29" x14ac:dyDescent="0.35">
      <c r="Z860" s="4"/>
      <c r="AA860" s="4"/>
      <c r="AB860" s="4" t="e">
        <f ca="1">_xll.ciqfunctions.udf.CIQ("^SPX", "IQ_PRICEDATE", "5/22/2017")</f>
        <v>#NAME?</v>
      </c>
      <c r="AC860" s="16">
        <v>2394.0240765692001</v>
      </c>
    </row>
    <row r="861" spans="26:29" x14ac:dyDescent="0.35">
      <c r="Z861" s="4"/>
      <c r="AA861" s="4"/>
      <c r="AB861" s="4" t="e">
        <f ca="1">_xll.ciqfunctions.udf.CIQ("^SPX", "IQ_PRICEDATE", "5/23/2017")</f>
        <v>#NAME?</v>
      </c>
      <c r="AC861" s="16">
        <v>2398.4186023841999</v>
      </c>
    </row>
    <row r="862" spans="26:29" x14ac:dyDescent="0.35">
      <c r="Z862" s="4"/>
      <c r="AA862" s="4"/>
      <c r="AB862" s="4" t="e">
        <f ca="1">_xll.ciqfunctions.udf.CIQ("^SPX", "IQ_PRICEDATE", "5/24/2017")</f>
        <v>#NAME?</v>
      </c>
      <c r="AC862" s="16">
        <v>2404.3870216977998</v>
      </c>
    </row>
    <row r="863" spans="26:29" x14ac:dyDescent="0.35">
      <c r="Z863" s="4"/>
      <c r="AA863" s="4"/>
      <c r="AB863" s="4" t="e">
        <f ca="1">_xll.ciqfunctions.udf.CIQ("^SPX", "IQ_PRICEDATE", "5/25/2017")</f>
        <v>#NAME?</v>
      </c>
      <c r="AC863" s="16">
        <v>2415.0657027404</v>
      </c>
    </row>
    <row r="864" spans="26:29" x14ac:dyDescent="0.35">
      <c r="Z864" s="4"/>
      <c r="AA864" s="4"/>
      <c r="AB864" s="4" t="e">
        <f ca="1">_xll.ciqfunctions.udf.CIQ("^SPX", "IQ_PRICEDATE", "5/26/2017")</f>
        <v>#NAME?</v>
      </c>
      <c r="AC864" s="16">
        <v>2415.8224803902999</v>
      </c>
    </row>
    <row r="865" spans="26:29" x14ac:dyDescent="0.35">
      <c r="Z865" s="4"/>
      <c r="AA865" s="4"/>
      <c r="AB865" s="4" t="e">
        <f ca="1">_xll.ciqfunctions.udf.CIQ("^SPX", "IQ_PRICEDATE", "5/30/2017")</f>
        <v>#NAME?</v>
      </c>
      <c r="AC865" s="16">
        <v>2412.9065671479998</v>
      </c>
    </row>
    <row r="866" spans="26:29" x14ac:dyDescent="0.35">
      <c r="Z866" s="4"/>
      <c r="AA866" s="4"/>
      <c r="AB866" s="4" t="e">
        <f ca="1">_xll.ciqfunctions.udf.CIQ("^SPX", "IQ_PRICEDATE", "5/31/2017")</f>
        <v>#NAME?</v>
      </c>
      <c r="AC866" s="16">
        <v>2411.7973242573999</v>
      </c>
    </row>
    <row r="867" spans="26:29" x14ac:dyDescent="0.35">
      <c r="Z867" s="4"/>
      <c r="AA867" s="4"/>
      <c r="AB867" s="4" t="e">
        <f ca="1">_xll.ciqfunctions.udf.CIQ("^SPX", "IQ_PRICEDATE", "6/1/2017")</f>
        <v>#NAME?</v>
      </c>
      <c r="AC867" s="16">
        <v>2430.0610709493999</v>
      </c>
    </row>
    <row r="868" spans="26:29" x14ac:dyDescent="0.35">
      <c r="Z868" s="4"/>
      <c r="AA868" s="4"/>
      <c r="AB868" s="4" t="e">
        <f ca="1">_xll.ciqfunctions.udf.CIQ("^SPX", "IQ_PRICEDATE", "6/2/2017")</f>
        <v>#NAME?</v>
      </c>
      <c r="AC868" s="16">
        <v>2439.0702499803001</v>
      </c>
    </row>
    <row r="869" spans="26:29" x14ac:dyDescent="0.35">
      <c r="Z869" s="4"/>
      <c r="AA869" s="4"/>
      <c r="AB869" s="4" t="e">
        <f ca="1">_xll.ciqfunctions.udf.CIQ("^SPX", "IQ_PRICEDATE", "6/5/2017")</f>
        <v>#NAME?</v>
      </c>
      <c r="AC869" s="16">
        <v>2436.0961957703998</v>
      </c>
    </row>
    <row r="870" spans="26:29" x14ac:dyDescent="0.35">
      <c r="Z870" s="4"/>
      <c r="AA870" s="4"/>
      <c r="AB870" s="4" t="e">
        <f ca="1">_xll.ciqfunctions.udf.CIQ("^SPX", "IQ_PRICEDATE", "6/6/2017")</f>
        <v>#NAME?</v>
      </c>
      <c r="AC870" s="16">
        <v>2429.3272573536001</v>
      </c>
    </row>
    <row r="871" spans="26:29" x14ac:dyDescent="0.35">
      <c r="Z871" s="4"/>
      <c r="AA871" s="4"/>
      <c r="AB871" s="4" t="e">
        <f ca="1">_xll.ciqfunctions.udf.CIQ("^SPX", "IQ_PRICEDATE", "6/7/2017")</f>
        <v>#NAME?</v>
      </c>
      <c r="AC871" s="16">
        <v>2433.1374300828002</v>
      </c>
    </row>
    <row r="872" spans="26:29" x14ac:dyDescent="0.35">
      <c r="Z872" s="4"/>
      <c r="AA872" s="4"/>
      <c r="AB872" s="4" t="e">
        <f ca="1">_xll.ciqfunctions.udf.CIQ("^SPX", "IQ_PRICEDATE", "6/8/2017")</f>
        <v>#NAME?</v>
      </c>
      <c r="AC872" s="16">
        <v>2433.7906309395999</v>
      </c>
    </row>
    <row r="873" spans="26:29" x14ac:dyDescent="0.35">
      <c r="Z873" s="4"/>
      <c r="AA873" s="4"/>
      <c r="AB873" s="4" t="e">
        <f ca="1">_xll.ciqfunctions.udf.CIQ("^SPX", "IQ_PRICEDATE", "6/9/2017")</f>
        <v>#NAME?</v>
      </c>
      <c r="AC873" s="16">
        <v>2431.7723650030998</v>
      </c>
    </row>
    <row r="874" spans="26:29" x14ac:dyDescent="0.35">
      <c r="Z874" s="4"/>
      <c r="AA874" s="4"/>
      <c r="AB874" s="4" t="e">
        <f ca="1">_xll.ciqfunctions.udf.CIQ("^SPX", "IQ_PRICEDATE", "6/12/2017")</f>
        <v>#NAME?</v>
      </c>
      <c r="AC874" s="16">
        <v>2429.3912557921999</v>
      </c>
    </row>
    <row r="875" spans="26:29" x14ac:dyDescent="0.35">
      <c r="Z875" s="4"/>
      <c r="AA875" s="4"/>
      <c r="AB875" s="4" t="e">
        <f ca="1">_xll.ciqfunctions.udf.CIQ("^SPX", "IQ_PRICEDATE", "6/13/2017")</f>
        <v>#NAME?</v>
      </c>
      <c r="AC875" s="16">
        <v>2440.3474964374</v>
      </c>
    </row>
    <row r="876" spans="26:29" x14ac:dyDescent="0.35">
      <c r="Z876" s="4"/>
      <c r="AA876" s="4"/>
      <c r="AB876" s="4" t="e">
        <f ca="1">_xll.ciqfunctions.udf.CIQ("^SPX", "IQ_PRICEDATE", "6/14/2017")</f>
        <v>#NAME?</v>
      </c>
      <c r="AC876" s="16">
        <v>2437.9204812496</v>
      </c>
    </row>
    <row r="877" spans="26:29" x14ac:dyDescent="0.35">
      <c r="Z877" s="4"/>
      <c r="AA877" s="4"/>
      <c r="AB877" s="4" t="e">
        <f ca="1">_xll.ciqfunctions.udf.CIQ("^SPX", "IQ_PRICEDATE", "6/15/2017")</f>
        <v>#NAME?</v>
      </c>
      <c r="AC877" s="16">
        <v>2432.4591271283002</v>
      </c>
    </row>
    <row r="878" spans="26:29" x14ac:dyDescent="0.35">
      <c r="Z878" s="4"/>
      <c r="AA878" s="4"/>
      <c r="AB878" s="4" t="e">
        <f ca="1">_xll.ciqfunctions.udf.CIQ("^SPX", "IQ_PRICEDATE", "6/16/2017")</f>
        <v>#NAME?</v>
      </c>
      <c r="AC878" s="16">
        <v>2433.1508288614</v>
      </c>
    </row>
    <row r="879" spans="26:29" x14ac:dyDescent="0.35">
      <c r="Z879" s="4"/>
      <c r="AA879" s="4"/>
      <c r="AB879" s="4" t="e">
        <f ca="1">_xll.ciqfunctions.udf.CIQ("^SPX", "IQ_PRICEDATE", "6/19/2017")</f>
        <v>#NAME?</v>
      </c>
      <c r="AC879" s="16">
        <v>2453.4586037494</v>
      </c>
    </row>
    <row r="880" spans="26:29" x14ac:dyDescent="0.35">
      <c r="Z880" s="4"/>
      <c r="AA880" s="4"/>
      <c r="AB880" s="4" t="e">
        <f ca="1">_xll.ciqfunctions.udf.CIQ("^SPX", "IQ_PRICEDATE", "6/20/2017")</f>
        <v>#NAME?</v>
      </c>
      <c r="AC880" s="16">
        <v>2437.0281337665001</v>
      </c>
    </row>
    <row r="881" spans="26:29" x14ac:dyDescent="0.35">
      <c r="Z881" s="4"/>
      <c r="AA881" s="4"/>
      <c r="AB881" s="4" t="e">
        <f ca="1">_xll.ciqfunctions.udf.CIQ("^SPX", "IQ_PRICEDATE", "6/21/2017")</f>
        <v>#NAME?</v>
      </c>
      <c r="AC881" s="16">
        <v>2435.6116850599001</v>
      </c>
    </row>
    <row r="882" spans="26:29" x14ac:dyDescent="0.35">
      <c r="Z882" s="4"/>
      <c r="AA882" s="4"/>
      <c r="AB882" s="4" t="e">
        <f ca="1">_xll.ciqfunctions.udf.CIQ("^SPX", "IQ_PRICEDATE", "6/22/2017")</f>
        <v>#NAME?</v>
      </c>
      <c r="AC882" s="16">
        <v>2434.4974087685</v>
      </c>
    </row>
    <row r="883" spans="26:29" x14ac:dyDescent="0.35">
      <c r="Z883" s="4"/>
      <c r="AA883" s="4"/>
      <c r="AB883" s="4" t="e">
        <f ca="1">_xll.ciqfunctions.udf.CIQ("^SPX", "IQ_PRICEDATE", "6/23/2017")</f>
        <v>#NAME?</v>
      </c>
      <c r="AC883" s="16">
        <v>2438.2969118630999</v>
      </c>
    </row>
    <row r="884" spans="26:29" x14ac:dyDescent="0.35">
      <c r="Z884" s="4"/>
      <c r="AA884" s="4"/>
      <c r="AB884" s="4" t="e">
        <f ca="1">_xll.ciqfunctions.udf.CIQ("^SPX", "IQ_PRICEDATE", "6/26/2017")</f>
        <v>#NAME?</v>
      </c>
      <c r="AC884" s="16">
        <v>2439.0654771775999</v>
      </c>
    </row>
    <row r="885" spans="26:29" x14ac:dyDescent="0.35">
      <c r="Z885" s="4"/>
      <c r="AA885" s="4"/>
      <c r="AB885" s="4" t="e">
        <f ca="1">_xll.ciqfunctions.udf.CIQ("^SPX", "IQ_PRICEDATE", "6/27/2017")</f>
        <v>#NAME?</v>
      </c>
      <c r="AC885" s="16">
        <v>2419.3758615268998</v>
      </c>
    </row>
    <row r="886" spans="26:29" x14ac:dyDescent="0.35">
      <c r="Z886" s="4"/>
      <c r="AA886" s="4"/>
      <c r="AB886" s="4" t="e">
        <f ca="1">_xll.ciqfunctions.udf.CIQ("^SPX", "IQ_PRICEDATE", "6/28/2017")</f>
        <v>#NAME?</v>
      </c>
      <c r="AC886" s="16">
        <v>2440.6903289911002</v>
      </c>
    </row>
    <row r="887" spans="26:29" x14ac:dyDescent="0.35">
      <c r="Z887" s="4"/>
      <c r="AA887" s="4"/>
      <c r="AB887" s="4" t="e">
        <f ca="1">_xll.ciqfunctions.udf.CIQ("^SPX", "IQ_PRICEDATE", "6/29/2017")</f>
        <v>#NAME?</v>
      </c>
      <c r="AC887" s="16">
        <v>2419.6971113274999</v>
      </c>
    </row>
    <row r="888" spans="26:29" x14ac:dyDescent="0.35">
      <c r="Z888" s="4"/>
      <c r="AA888" s="4"/>
      <c r="AB888" s="4" t="e">
        <f ca="1">_xll.ciqfunctions.udf.CIQ("^SPX", "IQ_PRICEDATE", "6/30/2017")</f>
        <v>#NAME?</v>
      </c>
      <c r="AC888" s="16">
        <v>2423.4088910629998</v>
      </c>
    </row>
    <row r="889" spans="26:29" x14ac:dyDescent="0.35">
      <c r="Z889" s="4"/>
      <c r="AA889" s="4"/>
      <c r="AB889" s="4" t="e">
        <f ca="1">_xll.ciqfunctions.udf.CIQ("^SPX", "IQ_PRICEDATE", "7/3/2017")</f>
        <v>#NAME?</v>
      </c>
      <c r="AC889" s="16">
        <v>2429.0148792035002</v>
      </c>
    </row>
    <row r="890" spans="26:29" x14ac:dyDescent="0.35">
      <c r="Z890" s="4"/>
      <c r="AA890" s="4"/>
      <c r="AB890" s="4" t="e">
        <f ca="1">_xll.ciqfunctions.udf.CIQ("^SPX", "IQ_PRICEDATE", "7/5/2017")</f>
        <v>#NAME?</v>
      </c>
      <c r="AC890" s="16">
        <v>2432.5423402270999</v>
      </c>
    </row>
    <row r="891" spans="26:29" x14ac:dyDescent="0.35">
      <c r="Z891" s="4"/>
      <c r="AA891" s="4"/>
      <c r="AB891" s="4" t="e">
        <f ca="1">_xll.ciqfunctions.udf.CIQ("^SPX", "IQ_PRICEDATE", "7/6/2017")</f>
        <v>#NAME?</v>
      </c>
      <c r="AC891" s="16">
        <v>2409.7497799244002</v>
      </c>
    </row>
    <row r="892" spans="26:29" x14ac:dyDescent="0.35">
      <c r="Z892" s="4"/>
      <c r="AA892" s="4"/>
      <c r="AB892" s="4" t="e">
        <f ca="1">_xll.ciqfunctions.udf.CIQ("^SPX", "IQ_PRICEDATE", "7/7/2017")</f>
        <v>#NAME?</v>
      </c>
      <c r="AC892" s="16">
        <v>2425.1769614262998</v>
      </c>
    </row>
    <row r="893" spans="26:29" x14ac:dyDescent="0.35">
      <c r="Z893" s="4"/>
      <c r="AA893" s="4"/>
      <c r="AB893" s="4" t="e">
        <f ca="1">_xll.ciqfunctions.udf.CIQ("^SPX", "IQ_PRICEDATE", "7/10/2017")</f>
        <v>#NAME?</v>
      </c>
      <c r="AC893" s="16">
        <v>2427.4344884965999</v>
      </c>
    </row>
    <row r="894" spans="26:29" x14ac:dyDescent="0.35">
      <c r="Z894" s="4"/>
      <c r="AA894" s="4"/>
      <c r="AB894" s="4" t="e">
        <f ca="1">_xll.ciqfunctions.udf.CIQ("^SPX", "IQ_PRICEDATE", "7/11/2017")</f>
        <v>#NAME?</v>
      </c>
      <c r="AC894" s="16">
        <v>2425.5262141653998</v>
      </c>
    </row>
    <row r="895" spans="26:29" x14ac:dyDescent="0.35">
      <c r="Z895" s="4"/>
      <c r="AA895" s="4"/>
      <c r="AB895" s="4" t="e">
        <f ca="1">_xll.ciqfunctions.udf.CIQ("^SPX", "IQ_PRICEDATE", "7/12/2017")</f>
        <v>#NAME?</v>
      </c>
      <c r="AC895" s="16">
        <v>2443.2511766420998</v>
      </c>
    </row>
    <row r="896" spans="26:29" x14ac:dyDescent="0.35">
      <c r="Z896" s="4"/>
      <c r="AA896" s="4"/>
      <c r="AB896" s="4" t="e">
        <f ca="1">_xll.ciqfunctions.udf.CIQ("^SPX", "IQ_PRICEDATE", "7/13/2017")</f>
        <v>#NAME?</v>
      </c>
      <c r="AC896" s="16">
        <v>2447.8342759661</v>
      </c>
    </row>
    <row r="897" spans="26:29" x14ac:dyDescent="0.35">
      <c r="Z897" s="4"/>
      <c r="AA897" s="4"/>
      <c r="AB897" s="4" t="e">
        <f ca="1">_xll.ciqfunctions.udf.CIQ("^SPX", "IQ_PRICEDATE", "7/14/2017")</f>
        <v>#NAME?</v>
      </c>
      <c r="AC897" s="16">
        <v>2459.2709908214001</v>
      </c>
    </row>
    <row r="898" spans="26:29" x14ac:dyDescent="0.35">
      <c r="Z898" s="4"/>
      <c r="AA898" s="4"/>
      <c r="AB898" s="4" t="e">
        <f ca="1">_xll.ciqfunctions.udf.CIQ("^SPX", "IQ_PRICEDATE", "7/17/2017")</f>
        <v>#NAME?</v>
      </c>
      <c r="AC898" s="16">
        <v>2459.1407192176998</v>
      </c>
    </row>
    <row r="899" spans="26:29" x14ac:dyDescent="0.35">
      <c r="Z899" s="4"/>
      <c r="AA899" s="4"/>
      <c r="AB899" s="4" t="e">
        <f ca="1">_xll.ciqfunctions.udf.CIQ("^SPX", "IQ_PRICEDATE", "7/18/2017")</f>
        <v>#NAME?</v>
      </c>
      <c r="AC899" s="16">
        <v>2460.6104434094</v>
      </c>
    </row>
    <row r="900" spans="26:29" x14ac:dyDescent="0.35">
      <c r="Z900" s="4"/>
      <c r="AA900" s="4"/>
      <c r="AB900" s="4" t="e">
        <f ca="1">_xll.ciqfunctions.udf.CIQ("^SPX", "IQ_PRICEDATE", "7/19/2017")</f>
        <v>#NAME?</v>
      </c>
      <c r="AC900" s="16">
        <v>2473.8277852738001</v>
      </c>
    </row>
    <row r="901" spans="26:29" x14ac:dyDescent="0.35">
      <c r="Z901" s="4"/>
      <c r="AA901" s="4"/>
      <c r="AB901" s="4" t="e">
        <f ca="1">_xll.ciqfunctions.udf.CIQ("^SPX", "IQ_PRICEDATE", "7/20/2017")</f>
        <v>#NAME?</v>
      </c>
      <c r="AC901" s="16">
        <v>2473.4493827199999</v>
      </c>
    </row>
    <row r="902" spans="26:29" x14ac:dyDescent="0.35">
      <c r="Z902" s="4"/>
      <c r="AA902" s="4"/>
      <c r="AB902" s="4" t="e">
        <f ca="1">_xll.ciqfunctions.udf.CIQ("^SPX", "IQ_PRICEDATE", "7/21/2017")</f>
        <v>#NAME?</v>
      </c>
      <c r="AC902" s="16">
        <v>2472.5358544521</v>
      </c>
    </row>
    <row r="903" spans="26:29" x14ac:dyDescent="0.35">
      <c r="Z903" s="4"/>
      <c r="AA903" s="4"/>
      <c r="AB903" s="4" t="e">
        <f ca="1">_xll.ciqfunctions.udf.CIQ("^SPX", "IQ_PRICEDATE", "7/24/2017")</f>
        <v>#NAME?</v>
      </c>
      <c r="AC903" s="16">
        <v>2469.9119171232001</v>
      </c>
    </row>
    <row r="904" spans="26:29" x14ac:dyDescent="0.35">
      <c r="Z904" s="4"/>
      <c r="AA904" s="4"/>
      <c r="AB904" s="4" t="e">
        <f ca="1">_xll.ciqfunctions.udf.CIQ("^SPX", "IQ_PRICEDATE", "7/25/2017")</f>
        <v>#NAME?</v>
      </c>
      <c r="AC904" s="16">
        <v>2477.1253697525999</v>
      </c>
    </row>
    <row r="905" spans="26:29" x14ac:dyDescent="0.35">
      <c r="Z905" s="4"/>
      <c r="AA905" s="4"/>
      <c r="AB905" s="4" t="e">
        <f ca="1">_xll.ciqfunctions.udf.CIQ("^SPX", "IQ_PRICEDATE", "7/26/2017")</f>
        <v>#NAME?</v>
      </c>
      <c r="AC905" s="16">
        <v>2477.8305107064998</v>
      </c>
    </row>
    <row r="906" spans="26:29" x14ac:dyDescent="0.35">
      <c r="Z906" s="4"/>
      <c r="AA906" s="4"/>
      <c r="AB906" s="4" t="e">
        <f ca="1">_xll.ciqfunctions.udf.CIQ("^SPX", "IQ_PRICEDATE", "7/27/2017")</f>
        <v>#NAME?</v>
      </c>
      <c r="AC906" s="16">
        <v>2475.420890931</v>
      </c>
    </row>
    <row r="907" spans="26:29" x14ac:dyDescent="0.35">
      <c r="Z907" s="4"/>
      <c r="AA907" s="4"/>
      <c r="AB907" s="4" t="e">
        <f ca="1">_xll.ciqfunctions.udf.CIQ("^SPX", "IQ_PRICEDATE", "7/28/2017")</f>
        <v>#NAME?</v>
      </c>
      <c r="AC907" s="16">
        <v>2472.0985372059999</v>
      </c>
    </row>
    <row r="908" spans="26:29" x14ac:dyDescent="0.35">
      <c r="Z908" s="4"/>
      <c r="AA908" s="4"/>
      <c r="AB908" s="4" t="e">
        <f ca="1">_xll.ciqfunctions.udf.CIQ("^SPX", "IQ_PRICEDATE", "7/31/2017")</f>
        <v>#NAME?</v>
      </c>
      <c r="AC908" s="16">
        <v>2470.3000252602001</v>
      </c>
    </row>
    <row r="909" spans="26:29" x14ac:dyDescent="0.35">
      <c r="Z909" s="4"/>
      <c r="AA909" s="4"/>
      <c r="AB909" s="4" t="e">
        <f ca="1">_xll.ciqfunctions.udf.CIQ("^SPX", "IQ_PRICEDATE", "8/1/2017")</f>
        <v>#NAME?</v>
      </c>
      <c r="AC909" s="16">
        <v>2476.3472099536002</v>
      </c>
    </row>
    <row r="910" spans="26:29" x14ac:dyDescent="0.35">
      <c r="Z910" s="4"/>
      <c r="AA910" s="4"/>
      <c r="AB910" s="4" t="e">
        <f ca="1">_xll.ciqfunctions.udf.CIQ("^SPX", "IQ_PRICEDATE", "8/2/2017")</f>
        <v>#NAME?</v>
      </c>
      <c r="AC910" s="16">
        <v>2477.5680969176001</v>
      </c>
    </row>
    <row r="911" spans="26:29" x14ac:dyDescent="0.35">
      <c r="Z911" s="4"/>
      <c r="AA911" s="4"/>
      <c r="AB911" s="4" t="e">
        <f ca="1">_xll.ciqfunctions.udf.CIQ("^SPX", "IQ_PRICEDATE", "8/3/2017")</f>
        <v>#NAME?</v>
      </c>
      <c r="AC911" s="16">
        <v>2472.1576280376999</v>
      </c>
    </row>
    <row r="912" spans="26:29" x14ac:dyDescent="0.35">
      <c r="Z912" s="4"/>
      <c r="AA912" s="4"/>
      <c r="AB912" s="4" t="e">
        <f ca="1">_xll.ciqfunctions.udf.CIQ("^SPX", "IQ_PRICEDATE", "8/4/2017")</f>
        <v>#NAME?</v>
      </c>
      <c r="AC912" s="16">
        <v>2476.8309965460999</v>
      </c>
    </row>
    <row r="913" spans="26:29" x14ac:dyDescent="0.35">
      <c r="Z913" s="4"/>
      <c r="AA913" s="4"/>
      <c r="AB913" s="4" t="e">
        <f ca="1">_xll.ciqfunctions.udf.CIQ("^SPX", "IQ_PRICEDATE", "8/7/2017")</f>
        <v>#NAME?</v>
      </c>
      <c r="AC913" s="16">
        <v>2480.9120213837</v>
      </c>
    </row>
    <row r="914" spans="26:29" x14ac:dyDescent="0.35">
      <c r="Z914" s="4"/>
      <c r="AA914" s="4"/>
      <c r="AB914" s="4" t="e">
        <f ca="1">_xll.ciqfunctions.udf.CIQ("^SPX", "IQ_PRICEDATE", "8/8/2017")</f>
        <v>#NAME?</v>
      </c>
      <c r="AC914" s="16">
        <v>2474.9188409218</v>
      </c>
    </row>
    <row r="915" spans="26:29" x14ac:dyDescent="0.35">
      <c r="Z915" s="4"/>
      <c r="AA915" s="4"/>
      <c r="AB915" s="4" t="e">
        <f ca="1">_xll.ciqfunctions.udf.CIQ("^SPX", "IQ_PRICEDATE", "8/9/2017")</f>
        <v>#NAME?</v>
      </c>
      <c r="AC915" s="16">
        <v>2474.0170798125</v>
      </c>
    </row>
    <row r="916" spans="26:29" x14ac:dyDescent="0.35">
      <c r="Z916" s="4"/>
      <c r="AA916" s="4"/>
      <c r="AB916" s="4" t="e">
        <f ca="1">_xll.ciqfunctions.udf.CIQ("^SPX", "IQ_PRICEDATE", "8/10/2017")</f>
        <v>#NAME?</v>
      </c>
      <c r="AC916" s="16">
        <v>2438.2097100884998</v>
      </c>
    </row>
    <row r="917" spans="26:29" x14ac:dyDescent="0.35">
      <c r="Z917" s="4"/>
      <c r="AA917" s="4"/>
      <c r="AB917" s="4" t="e">
        <f ca="1">_xll.ciqfunctions.udf.CIQ("^SPX", "IQ_PRICEDATE", "8/11/2017")</f>
        <v>#NAME?</v>
      </c>
      <c r="AC917" s="16">
        <v>2441.3202405644001</v>
      </c>
    </row>
    <row r="918" spans="26:29" x14ac:dyDescent="0.35">
      <c r="Z918" s="4"/>
      <c r="AA918" s="4"/>
      <c r="AB918" s="4" t="e">
        <f ca="1">_xll.ciqfunctions.udf.CIQ("^SPX", "IQ_PRICEDATE", "8/14/2017")</f>
        <v>#NAME?</v>
      </c>
      <c r="AC918" s="16">
        <v>2465.8358122222999</v>
      </c>
    </row>
    <row r="919" spans="26:29" x14ac:dyDescent="0.35">
      <c r="Z919" s="4"/>
      <c r="AA919" s="4"/>
      <c r="AB919" s="4" t="e">
        <f ca="1">_xll.ciqfunctions.udf.CIQ("^SPX", "IQ_PRICEDATE", "8/15/2017")</f>
        <v>#NAME?</v>
      </c>
      <c r="AC919" s="16">
        <v>2464.6099933352998</v>
      </c>
    </row>
    <row r="920" spans="26:29" x14ac:dyDescent="0.35">
      <c r="Z920" s="4"/>
      <c r="AA920" s="4"/>
      <c r="AB920" s="4" t="e">
        <f ca="1">_xll.ciqfunctions.udf.CIQ("^SPX", "IQ_PRICEDATE", "8/16/2017")</f>
        <v>#NAME?</v>
      </c>
      <c r="AC920" s="16">
        <v>2468.1072601102001</v>
      </c>
    </row>
    <row r="921" spans="26:29" x14ac:dyDescent="0.35">
      <c r="Z921" s="4"/>
      <c r="AA921" s="4"/>
      <c r="AB921" s="4" t="e">
        <f ca="1">_xll.ciqfunctions.udf.CIQ("^SPX", "IQ_PRICEDATE", "8/17/2017")</f>
        <v>#NAME?</v>
      </c>
      <c r="AC921" s="16">
        <v>2430.0078784775001</v>
      </c>
    </row>
    <row r="922" spans="26:29" x14ac:dyDescent="0.35">
      <c r="Z922" s="4"/>
      <c r="AA922" s="4"/>
      <c r="AB922" s="4" t="e">
        <f ca="1">_xll.ciqfunctions.udf.CIQ("^SPX", "IQ_PRICEDATE", "8/18/2017")</f>
        <v>#NAME?</v>
      </c>
      <c r="AC922" s="16">
        <v>2425.5521696646001</v>
      </c>
    </row>
    <row r="923" spans="26:29" x14ac:dyDescent="0.35">
      <c r="Z923" s="4"/>
      <c r="AA923" s="4"/>
      <c r="AB923" s="4" t="e">
        <f ca="1">_xll.ciqfunctions.udf.CIQ("^SPX", "IQ_PRICEDATE", "8/21/2017")</f>
        <v>#NAME?</v>
      </c>
      <c r="AC923" s="16">
        <v>2428.3679855597002</v>
      </c>
    </row>
    <row r="924" spans="26:29" x14ac:dyDescent="0.35">
      <c r="Z924" s="4"/>
      <c r="AA924" s="4"/>
      <c r="AB924" s="4" t="e">
        <f ca="1">_xll.ciqfunctions.udf.CIQ("^SPX", "IQ_PRICEDATE", "8/22/2017")</f>
        <v>#NAME?</v>
      </c>
      <c r="AC924" s="16">
        <v>2452.5102728912998</v>
      </c>
    </row>
    <row r="925" spans="26:29" x14ac:dyDescent="0.35">
      <c r="Z925" s="4"/>
      <c r="AA925" s="4"/>
      <c r="AB925" s="4" t="e">
        <f ca="1">_xll.ciqfunctions.udf.CIQ("^SPX", "IQ_PRICEDATE", "8/23/2017")</f>
        <v>#NAME?</v>
      </c>
      <c r="AC925" s="16">
        <v>2444.0432453390999</v>
      </c>
    </row>
    <row r="926" spans="26:29" x14ac:dyDescent="0.35">
      <c r="Z926" s="4"/>
      <c r="AA926" s="4"/>
      <c r="AB926" s="4" t="e">
        <f ca="1">_xll.ciqfunctions.udf.CIQ("^SPX", "IQ_PRICEDATE", "8/24/2017")</f>
        <v>#NAME?</v>
      </c>
      <c r="AC926" s="16">
        <v>2438.9681198158</v>
      </c>
    </row>
    <row r="927" spans="26:29" x14ac:dyDescent="0.35">
      <c r="Z927" s="4"/>
      <c r="AA927" s="4"/>
      <c r="AB927" s="4" t="e">
        <f ca="1">_xll.ciqfunctions.udf.CIQ("^SPX", "IQ_PRICEDATE", "8/25/2017")</f>
        <v>#NAME?</v>
      </c>
      <c r="AC927" s="16">
        <v>2443.0457983411002</v>
      </c>
    </row>
    <row r="928" spans="26:29" x14ac:dyDescent="0.35">
      <c r="Z928" s="4"/>
      <c r="AA928" s="4"/>
      <c r="AB928" s="4" t="e">
        <f ca="1">_xll.ciqfunctions.udf.CIQ("^SPX", "IQ_PRICEDATE", "8/28/2017")</f>
        <v>#NAME?</v>
      </c>
      <c r="AC928" s="16">
        <v>2444.2403151729</v>
      </c>
    </row>
    <row r="929" spans="26:29" x14ac:dyDescent="0.35">
      <c r="Z929" s="4"/>
      <c r="AA929" s="4"/>
      <c r="AB929" s="4" t="e">
        <f ca="1">_xll.ciqfunctions.udf.CIQ("^SPX", "IQ_PRICEDATE", "8/29/2017")</f>
        <v>#NAME?</v>
      </c>
      <c r="AC929" s="16">
        <v>2446.2955235941999</v>
      </c>
    </row>
    <row r="930" spans="26:29" x14ac:dyDescent="0.35">
      <c r="Z930" s="4"/>
      <c r="AA930" s="4"/>
      <c r="AB930" s="4" t="e">
        <f ca="1">_xll.ciqfunctions.udf.CIQ("^SPX", "IQ_PRICEDATE", "8/30/2017")</f>
        <v>#NAME?</v>
      </c>
      <c r="AC930" s="16">
        <v>2457.5858115205001</v>
      </c>
    </row>
    <row r="931" spans="26:29" x14ac:dyDescent="0.35">
      <c r="Z931" s="4"/>
      <c r="AA931" s="4"/>
      <c r="AB931" s="4" t="e">
        <f ca="1">_xll.ciqfunctions.udf.CIQ("^SPX", "IQ_PRICEDATE", "8/31/2017")</f>
        <v>#NAME?</v>
      </c>
      <c r="AC931" s="16">
        <v>2471.6502079420002</v>
      </c>
    </row>
    <row r="932" spans="26:29" x14ac:dyDescent="0.35">
      <c r="Z932" s="4"/>
      <c r="AA932" s="4"/>
      <c r="AB932" s="4" t="e">
        <f ca="1">_xll.ciqfunctions.udf.CIQ("^SPX", "IQ_PRICEDATE", "9/1/2017")</f>
        <v>#NAME?</v>
      </c>
      <c r="AC932" s="16">
        <v>2476.5523893887998</v>
      </c>
    </row>
    <row r="933" spans="26:29" x14ac:dyDescent="0.35">
      <c r="Z933" s="4"/>
      <c r="AA933" s="4"/>
      <c r="AB933" s="4" t="e">
        <f ca="1">_xll.ciqfunctions.udf.CIQ("^SPX", "IQ_PRICEDATE", "9/5/2017")</f>
        <v>#NAME?</v>
      </c>
      <c r="AC933" s="16">
        <v>2457.8498705637999</v>
      </c>
    </row>
    <row r="934" spans="26:29" x14ac:dyDescent="0.35">
      <c r="Z934" s="4"/>
      <c r="AA934" s="4"/>
      <c r="AB934" s="4" t="e">
        <f ca="1">_xll.ciqfunctions.udf.CIQ("^SPX", "IQ_PRICEDATE", "9/6/2017")</f>
        <v>#NAME?</v>
      </c>
      <c r="AC934" s="16">
        <v>2465.5436228673002</v>
      </c>
    </row>
    <row r="935" spans="26:29" x14ac:dyDescent="0.35">
      <c r="Z935" s="4"/>
      <c r="AA935" s="4"/>
      <c r="AB935" s="4" t="e">
        <f ca="1">_xll.ciqfunctions.udf.CIQ("^SPX", "IQ_PRICEDATE", "9/7/2017")</f>
        <v>#NAME?</v>
      </c>
      <c r="AC935" s="16">
        <v>2465.1021359574002</v>
      </c>
    </row>
    <row r="936" spans="26:29" x14ac:dyDescent="0.35">
      <c r="Z936" s="4"/>
      <c r="AA936" s="4"/>
      <c r="AB936" s="4" t="e">
        <f ca="1">_xll.ciqfunctions.udf.CIQ("^SPX", "IQ_PRICEDATE", "9/8/2017")</f>
        <v>#NAME?</v>
      </c>
      <c r="AC936" s="16">
        <v>2461.4336439222002</v>
      </c>
    </row>
    <row r="937" spans="26:29" x14ac:dyDescent="0.35">
      <c r="Z937" s="4"/>
      <c r="AA937" s="4"/>
      <c r="AB937" s="4" t="e">
        <f ca="1">_xll.ciqfunctions.udf.CIQ("^SPX", "IQ_PRICEDATE", "9/11/2017")</f>
        <v>#NAME?</v>
      </c>
      <c r="AC937" s="16">
        <v>2488.1079650554002</v>
      </c>
    </row>
    <row r="938" spans="26:29" x14ac:dyDescent="0.35">
      <c r="Z938" s="4"/>
      <c r="AA938" s="4"/>
      <c r="AB938" s="4" t="e">
        <f ca="1">_xll.ciqfunctions.udf.CIQ("^SPX", "IQ_PRICEDATE", "9/12/2017")</f>
        <v>#NAME?</v>
      </c>
      <c r="AC938" s="16">
        <v>2496.4836195681</v>
      </c>
    </row>
    <row r="939" spans="26:29" x14ac:dyDescent="0.35">
      <c r="Z939" s="4"/>
      <c r="AA939" s="4"/>
      <c r="AB939" s="4" t="e">
        <f ca="1">_xll.ciqfunctions.udf.CIQ("^SPX", "IQ_PRICEDATE", "9/13/2017")</f>
        <v>#NAME?</v>
      </c>
      <c r="AC939" s="16">
        <v>2498.3708154599999</v>
      </c>
    </row>
    <row r="940" spans="26:29" x14ac:dyDescent="0.35">
      <c r="Z940" s="4"/>
      <c r="AA940" s="4"/>
      <c r="AB940" s="4" t="e">
        <f ca="1">_xll.ciqfunctions.udf.CIQ("^SPX", "IQ_PRICEDATE", "9/14/2017")</f>
        <v>#NAME?</v>
      </c>
      <c r="AC940" s="16">
        <v>2495.6191538507001</v>
      </c>
    </row>
    <row r="941" spans="26:29" x14ac:dyDescent="0.35">
      <c r="Z941" s="4"/>
      <c r="AA941" s="4"/>
      <c r="AB941" s="4" t="e">
        <f ca="1">_xll.ciqfunctions.udf.CIQ("^SPX", "IQ_PRICEDATE", "9/15/2017")</f>
        <v>#NAME?</v>
      </c>
      <c r="AC941" s="16">
        <v>2500.2258576201998</v>
      </c>
    </row>
    <row r="942" spans="26:29" x14ac:dyDescent="0.35">
      <c r="Z942" s="4"/>
      <c r="AA942" s="4"/>
      <c r="AB942" s="4" t="e">
        <f ca="1">_xll.ciqfunctions.udf.CIQ("^SPX", "IQ_PRICEDATE", "9/18/2017")</f>
        <v>#NAME?</v>
      </c>
      <c r="AC942" s="16">
        <v>2503.8695562620001</v>
      </c>
    </row>
    <row r="943" spans="26:29" x14ac:dyDescent="0.35">
      <c r="Z943" s="4"/>
      <c r="AA943" s="4"/>
      <c r="AB943" s="4" t="e">
        <f ca="1">_xll.ciqfunctions.udf.CIQ("^SPX", "IQ_PRICEDATE", "9/19/2017")</f>
        <v>#NAME?</v>
      </c>
      <c r="AC943" s="16">
        <v>2506.6479354336002</v>
      </c>
    </row>
    <row r="944" spans="26:29" x14ac:dyDescent="0.35">
      <c r="Z944" s="4"/>
      <c r="AA944" s="4"/>
      <c r="AB944" s="4" t="e">
        <f ca="1">_xll.ciqfunctions.udf.CIQ("^SPX", "IQ_PRICEDATE", "9/20/2017")</f>
        <v>#NAME?</v>
      </c>
      <c r="AC944" s="16">
        <v>2508.2360483629</v>
      </c>
    </row>
    <row r="945" spans="26:29" x14ac:dyDescent="0.35">
      <c r="Z945" s="4"/>
      <c r="AA945" s="4"/>
      <c r="AB945" s="4" t="e">
        <f ca="1">_xll.ciqfunctions.udf.CIQ("^SPX", "IQ_PRICEDATE", "9/21/2017")</f>
        <v>#NAME?</v>
      </c>
      <c r="AC945" s="16">
        <v>2500.6026174977001</v>
      </c>
    </row>
    <row r="946" spans="26:29" x14ac:dyDescent="0.35">
      <c r="Z946" s="4"/>
      <c r="AA946" s="4"/>
      <c r="AB946" s="4" t="e">
        <f ca="1">_xll.ciqfunctions.udf.CIQ("^SPX", "IQ_PRICEDATE", "9/22/2017")</f>
        <v>#NAME?</v>
      </c>
      <c r="AC946" s="16">
        <v>2502.2222245405001</v>
      </c>
    </row>
    <row r="947" spans="26:29" x14ac:dyDescent="0.35">
      <c r="Z947" s="4"/>
      <c r="AA947" s="4"/>
      <c r="AB947" s="4" t="e">
        <f ca="1">_xll.ciqfunctions.udf.CIQ("^SPX", "IQ_PRICEDATE", "9/25/2017")</f>
        <v>#NAME?</v>
      </c>
      <c r="AC947" s="16">
        <v>2496.6605903076002</v>
      </c>
    </row>
    <row r="948" spans="26:29" x14ac:dyDescent="0.35">
      <c r="Z948" s="4"/>
      <c r="AA948" s="4"/>
      <c r="AB948" s="4" t="e">
        <f ca="1">_xll.ciqfunctions.udf.CIQ("^SPX", "IQ_PRICEDATE", "9/26/2017")</f>
        <v>#NAME?</v>
      </c>
      <c r="AC948" s="16">
        <v>2496.8408940905001</v>
      </c>
    </row>
    <row r="949" spans="26:29" x14ac:dyDescent="0.35">
      <c r="Z949" s="4"/>
      <c r="AA949" s="4"/>
      <c r="AB949" s="4" t="e">
        <f ca="1">_xll.ciqfunctions.udf.CIQ("^SPX", "IQ_PRICEDATE", "9/27/2017")</f>
        <v>#NAME?</v>
      </c>
      <c r="AC949" s="16">
        <v>2507.0432811582</v>
      </c>
    </row>
    <row r="950" spans="26:29" x14ac:dyDescent="0.35">
      <c r="Z950" s="4"/>
      <c r="AA950" s="4"/>
      <c r="AB950" s="4" t="e">
        <f ca="1">_xll.ciqfunctions.udf.CIQ("^SPX", "IQ_PRICEDATE", "9/28/2017")</f>
        <v>#NAME?</v>
      </c>
      <c r="AC950" s="16">
        <v>2510.0619918303</v>
      </c>
    </row>
    <row r="951" spans="26:29" x14ac:dyDescent="0.35">
      <c r="Z951" s="4"/>
      <c r="AA951" s="4"/>
      <c r="AB951" s="4" t="e">
        <f ca="1">_xll.ciqfunctions.udf.CIQ("^SPX", "IQ_PRICEDATE", "9/29/2017")</f>
        <v>#NAME?</v>
      </c>
      <c r="AC951" s="16">
        <v>2519.3596719061002</v>
      </c>
    </row>
    <row r="952" spans="26:29" x14ac:dyDescent="0.35">
      <c r="Z952" s="4"/>
      <c r="AA952" s="4"/>
      <c r="AB952" s="4" t="e">
        <f ca="1">_xll.ciqfunctions.udf.CIQ("^SPX", "IQ_PRICEDATE", "10/2/2017")</f>
        <v>#NAME?</v>
      </c>
      <c r="AC952" s="16">
        <v>2529.1152990602</v>
      </c>
    </row>
    <row r="953" spans="26:29" x14ac:dyDescent="0.35">
      <c r="Z953" s="4"/>
      <c r="AA953" s="4"/>
      <c r="AB953" s="4" t="e">
        <f ca="1">_xll.ciqfunctions.udf.CIQ("^SPX", "IQ_PRICEDATE", "10/3/2017")</f>
        <v>#NAME?</v>
      </c>
      <c r="AC953" s="16">
        <v>2534.5796830441</v>
      </c>
    </row>
    <row r="954" spans="26:29" x14ac:dyDescent="0.35">
      <c r="Z954" s="4"/>
      <c r="AA954" s="4"/>
      <c r="AB954" s="4" t="e">
        <f ca="1">_xll.ciqfunctions.udf.CIQ("^SPX", "IQ_PRICEDATE", "10/4/2017")</f>
        <v>#NAME?</v>
      </c>
      <c r="AC954" s="16">
        <v>2537.7412400060002</v>
      </c>
    </row>
    <row r="955" spans="26:29" x14ac:dyDescent="0.35">
      <c r="Z955" s="4"/>
      <c r="AA955" s="4"/>
      <c r="AB955" s="4" t="e">
        <f ca="1">_xll.ciqfunctions.udf.CIQ("^SPX", "IQ_PRICEDATE", "10/5/2017")</f>
        <v>#NAME?</v>
      </c>
      <c r="AC955" s="16">
        <v>2552.0653990719002</v>
      </c>
    </row>
    <row r="956" spans="26:29" x14ac:dyDescent="0.35">
      <c r="Z956" s="4"/>
      <c r="AA956" s="4"/>
      <c r="AB956" s="4" t="e">
        <f ca="1">_xll.ciqfunctions.udf.CIQ("^SPX", "IQ_PRICEDATE", "10/6/2017")</f>
        <v>#NAME?</v>
      </c>
      <c r="AC956" s="16">
        <v>2549.3315089020998</v>
      </c>
    </row>
    <row r="957" spans="26:29" x14ac:dyDescent="0.35">
      <c r="Z957" s="4"/>
      <c r="AA957" s="4"/>
      <c r="AB957" s="4" t="e">
        <f ca="1">_xll.ciqfunctions.udf.CIQ("^SPX", "IQ_PRICEDATE", "10/9/2017")</f>
        <v>#NAME?</v>
      </c>
      <c r="AC957" s="16">
        <v>2544.7285771562001</v>
      </c>
    </row>
    <row r="958" spans="26:29" x14ac:dyDescent="0.35">
      <c r="Z958" s="4"/>
      <c r="AA958" s="4"/>
      <c r="AB958" s="4" t="e">
        <f ca="1">_xll.ciqfunctions.udf.CIQ("^SPX", "IQ_PRICEDATE", "10/10/2017")</f>
        <v>#NAME?</v>
      </c>
      <c r="AC958" s="16">
        <v>2550.6424334051999</v>
      </c>
    </row>
    <row r="959" spans="26:29" x14ac:dyDescent="0.35">
      <c r="Z959" s="4"/>
      <c r="AA959" s="4"/>
      <c r="AB959" s="4" t="e">
        <f ca="1">_xll.ciqfunctions.udf.CIQ("^SPX", "IQ_PRICEDATE", "10/11/2017")</f>
        <v>#NAME?</v>
      </c>
      <c r="AC959" s="16">
        <v>2555.2407886845999</v>
      </c>
    </row>
    <row r="960" spans="26:29" x14ac:dyDescent="0.35">
      <c r="Z960" s="4"/>
      <c r="AA960" s="4"/>
      <c r="AB960" s="4" t="e">
        <f ca="1">_xll.ciqfunctions.udf.CIQ("^SPX", "IQ_PRICEDATE", "10/12/2017")</f>
        <v>#NAME?</v>
      </c>
      <c r="AC960" s="16">
        <v>2550.9330093848998</v>
      </c>
    </row>
    <row r="961" spans="26:29" x14ac:dyDescent="0.35">
      <c r="Z961" s="4"/>
      <c r="AA961" s="4"/>
      <c r="AB961" s="4" t="e">
        <f ca="1">_xll.ciqfunctions.udf.CIQ("^SPX", "IQ_PRICEDATE", "10/13/2017")</f>
        <v>#NAME?</v>
      </c>
      <c r="AC961" s="16">
        <v>2553.1693728503001</v>
      </c>
    </row>
    <row r="962" spans="26:29" x14ac:dyDescent="0.35">
      <c r="Z962" s="4"/>
      <c r="AA962" s="4"/>
      <c r="AB962" s="4" t="e">
        <f ca="1">_xll.ciqfunctions.udf.CIQ("^SPX", "IQ_PRICEDATE", "10/16/2017")</f>
        <v>#NAME?</v>
      </c>
      <c r="AC962" s="16">
        <v>2557.6397377800999</v>
      </c>
    </row>
    <row r="963" spans="26:29" x14ac:dyDescent="0.35">
      <c r="Z963" s="4"/>
      <c r="AA963" s="4"/>
      <c r="AB963" s="4" t="e">
        <f ca="1">_xll.ciqfunctions.udf.CIQ("^SPX", "IQ_PRICEDATE", "10/17/2017")</f>
        <v>#NAME?</v>
      </c>
      <c r="AC963" s="16">
        <v>2559.3563108588</v>
      </c>
    </row>
    <row r="964" spans="26:29" x14ac:dyDescent="0.35">
      <c r="Z964" s="4"/>
      <c r="AA964" s="4"/>
      <c r="AB964" s="4" t="e">
        <f ca="1">_xll.ciqfunctions.udf.CIQ("^SPX", "IQ_PRICEDATE", "10/18/2017")</f>
        <v>#NAME?</v>
      </c>
      <c r="AC964" s="16">
        <v>2561.2644527327998</v>
      </c>
    </row>
    <row r="965" spans="26:29" x14ac:dyDescent="0.35">
      <c r="Z965" s="4"/>
      <c r="AA965" s="4"/>
      <c r="AB965" s="4" t="e">
        <f ca="1">_xll.ciqfunctions.udf.CIQ("^SPX", "IQ_PRICEDATE", "10/19/2017")</f>
        <v>#NAME?</v>
      </c>
      <c r="AC965" s="16">
        <v>2562.1037547780002</v>
      </c>
    </row>
    <row r="966" spans="26:29" x14ac:dyDescent="0.35">
      <c r="Z966" s="4"/>
      <c r="AA966" s="4"/>
      <c r="AB966" s="4" t="e">
        <f ca="1">_xll.ciqfunctions.udf.CIQ("^SPX", "IQ_PRICEDATE", "10/20/2017")</f>
        <v>#NAME?</v>
      </c>
      <c r="AC966" s="16">
        <v>2575.2058778891001</v>
      </c>
    </row>
    <row r="967" spans="26:29" x14ac:dyDescent="0.35">
      <c r="Z967" s="4"/>
      <c r="AA967" s="4"/>
      <c r="AB967" s="4" t="e">
        <f ca="1">_xll.ciqfunctions.udf.CIQ("^SPX", "IQ_PRICEDATE", "10/23/2017")</f>
        <v>#NAME?</v>
      </c>
      <c r="AC967" s="16">
        <v>2564.9785238794998</v>
      </c>
    </row>
    <row r="968" spans="26:29" x14ac:dyDescent="0.35">
      <c r="Z968" s="4"/>
      <c r="AA968" s="4"/>
      <c r="AB968" s="4" t="e">
        <f ca="1">_xll.ciqfunctions.udf.CIQ("^SPX", "IQ_PRICEDATE", "10/24/2017")</f>
        <v>#NAME?</v>
      </c>
      <c r="AC968" s="16">
        <v>2569.1342599453001</v>
      </c>
    </row>
    <row r="969" spans="26:29" x14ac:dyDescent="0.35">
      <c r="Z969" s="4"/>
      <c r="AA969" s="4"/>
      <c r="AB969" s="4" t="e">
        <f ca="1">_xll.ciqfunctions.udf.CIQ("^SPX", "IQ_PRICEDATE", "10/25/2017")</f>
        <v>#NAME?</v>
      </c>
      <c r="AC969" s="16">
        <v>2557.1509845873002</v>
      </c>
    </row>
    <row r="970" spans="26:29" x14ac:dyDescent="0.35">
      <c r="Z970" s="4"/>
      <c r="AA970" s="4"/>
      <c r="AB970" s="4" t="e">
        <f ca="1">_xll.ciqfunctions.udf.CIQ("^SPX", "IQ_PRICEDATE", "10/26/2017")</f>
        <v>#NAME?</v>
      </c>
      <c r="AC970" s="16">
        <v>2560.3991945194002</v>
      </c>
    </row>
    <row r="971" spans="26:29" x14ac:dyDescent="0.35">
      <c r="Z971" s="4"/>
      <c r="AA971" s="4"/>
      <c r="AB971" s="4" t="e">
        <f ca="1">_xll.ciqfunctions.udf.CIQ("^SPX", "IQ_PRICEDATE", "10/27/2017")</f>
        <v>#NAME?</v>
      </c>
      <c r="AC971" s="16">
        <v>2581.0657031342998</v>
      </c>
    </row>
    <row r="972" spans="26:29" x14ac:dyDescent="0.35">
      <c r="Z972" s="4"/>
      <c r="AA972" s="4"/>
      <c r="AB972" s="4" t="e">
        <f ca="1">_xll.ciqfunctions.udf.CIQ("^SPX", "IQ_PRICEDATE", "10/30/2017")</f>
        <v>#NAME?</v>
      </c>
      <c r="AC972" s="16">
        <v>2572.8336032472998</v>
      </c>
    </row>
    <row r="973" spans="26:29" x14ac:dyDescent="0.35">
      <c r="Z973" s="4"/>
      <c r="AA973" s="4"/>
      <c r="AB973" s="4" t="e">
        <f ca="1">_xll.ciqfunctions.udf.CIQ("^SPX", "IQ_PRICEDATE", "10/31/2017")</f>
        <v>#NAME?</v>
      </c>
      <c r="AC973" s="16">
        <v>2575.2638304521001</v>
      </c>
    </row>
    <row r="974" spans="26:29" x14ac:dyDescent="0.35">
      <c r="Z974" s="4"/>
      <c r="AA974" s="4"/>
      <c r="AB974" s="4" t="e">
        <f ca="1">_xll.ciqfunctions.udf.CIQ("^SPX", "IQ_PRICEDATE", "11/1/2017")</f>
        <v>#NAME?</v>
      </c>
      <c r="AC974" s="16">
        <v>2579.3558498933999</v>
      </c>
    </row>
    <row r="975" spans="26:29" x14ac:dyDescent="0.35">
      <c r="Z975" s="4"/>
      <c r="AA975" s="4"/>
      <c r="AB975" s="4" t="e">
        <f ca="1">_xll.ciqfunctions.udf.CIQ("^SPX", "IQ_PRICEDATE", "11/2/2017")</f>
        <v>#NAME?</v>
      </c>
      <c r="AC975" s="16">
        <v>2579.8516516144</v>
      </c>
    </row>
    <row r="976" spans="26:29" x14ac:dyDescent="0.35">
      <c r="Z976" s="4"/>
      <c r="AA976" s="4"/>
      <c r="AB976" s="4" t="e">
        <f ca="1">_xll.ciqfunctions.udf.CIQ("^SPX", "IQ_PRICEDATE", "11/3/2017")</f>
        <v>#NAME?</v>
      </c>
      <c r="AC976" s="16">
        <v>2587.8360570379</v>
      </c>
    </row>
    <row r="977" spans="26:29" x14ac:dyDescent="0.35">
      <c r="Z977" s="4"/>
      <c r="AA977" s="4"/>
      <c r="AB977" s="4" t="e">
        <f ca="1">_xll.ciqfunctions.udf.CIQ("^SPX", "IQ_PRICEDATE", "11/6/2017")</f>
        <v>#NAME?</v>
      </c>
      <c r="AC977" s="16">
        <v>2591.1284424032001</v>
      </c>
    </row>
    <row r="978" spans="26:29" x14ac:dyDescent="0.35">
      <c r="Z978" s="4"/>
      <c r="AA978" s="4"/>
      <c r="AB978" s="4" t="e">
        <f ca="1">_xll.ciqfunctions.udf.CIQ("^SPX", "IQ_PRICEDATE", "11/7/2017")</f>
        <v>#NAME?</v>
      </c>
      <c r="AC978" s="16">
        <v>2590.6417566441</v>
      </c>
    </row>
    <row r="979" spans="26:29" x14ac:dyDescent="0.35">
      <c r="Z979" s="4"/>
      <c r="AA979" s="4"/>
      <c r="AB979" s="4" t="e">
        <f ca="1">_xll.ciqfunctions.udf.CIQ("^SPX", "IQ_PRICEDATE", "11/8/2017")</f>
        <v>#NAME?</v>
      </c>
      <c r="AC979" s="16">
        <v>2594.3752091488</v>
      </c>
    </row>
    <row r="980" spans="26:29" x14ac:dyDescent="0.35">
      <c r="Z980" s="4"/>
      <c r="AA980" s="4"/>
      <c r="AB980" s="4" t="e">
        <f ca="1">_xll.ciqfunctions.udf.CIQ("^SPX", "IQ_PRICEDATE", "11/9/2017")</f>
        <v>#NAME?</v>
      </c>
      <c r="AC980" s="16">
        <v>2584.6212738756999</v>
      </c>
    </row>
    <row r="981" spans="26:29" x14ac:dyDescent="0.35">
      <c r="Z981" s="4"/>
      <c r="AA981" s="4"/>
      <c r="AB981" s="4" t="e">
        <f ca="1">_xll.ciqfunctions.udf.CIQ("^SPX", "IQ_PRICEDATE", "11/10/2017")</f>
        <v>#NAME?</v>
      </c>
      <c r="AC981" s="16">
        <v>2582.3000392549002</v>
      </c>
    </row>
    <row r="982" spans="26:29" x14ac:dyDescent="0.35">
      <c r="Z982" s="4"/>
      <c r="AA982" s="4"/>
      <c r="AB982" s="4" t="e">
        <f ca="1">_xll.ciqfunctions.udf.CIQ("^SPX", "IQ_PRICEDATE", "11/13/2017")</f>
        <v>#NAME?</v>
      </c>
      <c r="AC982" s="16">
        <v>2584.844826306</v>
      </c>
    </row>
    <row r="983" spans="26:29" x14ac:dyDescent="0.35">
      <c r="Z983" s="4"/>
      <c r="AA983" s="4"/>
      <c r="AB983" s="4" t="e">
        <f ca="1">_xll.ciqfunctions.udf.CIQ("^SPX", "IQ_PRICEDATE", "11/14/2017")</f>
        <v>#NAME?</v>
      </c>
      <c r="AC983" s="16">
        <v>2578.8718241124998</v>
      </c>
    </row>
    <row r="984" spans="26:29" x14ac:dyDescent="0.35">
      <c r="Z984" s="4"/>
      <c r="AA984" s="4"/>
      <c r="AB984" s="4" t="e">
        <f ca="1">_xll.ciqfunctions.udf.CIQ("^SPX", "IQ_PRICEDATE", "11/15/2017")</f>
        <v>#NAME?</v>
      </c>
      <c r="AC984" s="16">
        <v>2564.6205095055998</v>
      </c>
    </row>
    <row r="985" spans="26:29" x14ac:dyDescent="0.35">
      <c r="Z985" s="4"/>
      <c r="AA985" s="4"/>
      <c r="AB985" s="4" t="e">
        <f ca="1">_xll.ciqfunctions.udf.CIQ("^SPX", "IQ_PRICEDATE", "11/16/2017")</f>
        <v>#NAME?</v>
      </c>
      <c r="AC985" s="16">
        <v>2585.6431638326999</v>
      </c>
    </row>
    <row r="986" spans="26:29" x14ac:dyDescent="0.35">
      <c r="Z986" s="4"/>
      <c r="AA986" s="4"/>
      <c r="AB986" s="4" t="e">
        <f ca="1">_xll.ciqfunctions.udf.CIQ("^SPX", "IQ_PRICEDATE", "11/17/2017")</f>
        <v>#NAME?</v>
      </c>
      <c r="AC986" s="16">
        <v>2578.8543239638002</v>
      </c>
    </row>
    <row r="987" spans="26:29" x14ac:dyDescent="0.35">
      <c r="Z987" s="4"/>
      <c r="AA987" s="4"/>
      <c r="AB987" s="4" t="e">
        <f ca="1">_xll.ciqfunctions.udf.CIQ("^SPX", "IQ_PRICEDATE", "11/20/2017")</f>
        <v>#NAME?</v>
      </c>
      <c r="AC987" s="16">
        <v>2582.1415887037001</v>
      </c>
    </row>
    <row r="988" spans="26:29" x14ac:dyDescent="0.35">
      <c r="Z988" s="4"/>
      <c r="AA988" s="4"/>
      <c r="AB988" s="4" t="e">
        <f ca="1">_xll.ciqfunctions.udf.CIQ("^SPX", "IQ_PRICEDATE", "11/21/2017")</f>
        <v>#NAME?</v>
      </c>
      <c r="AC988" s="16">
        <v>2599.0291929053001</v>
      </c>
    </row>
    <row r="989" spans="26:29" x14ac:dyDescent="0.35">
      <c r="Z989" s="4"/>
      <c r="AA989" s="4"/>
      <c r="AB989" s="4" t="e">
        <f ca="1">_xll.ciqfunctions.udf.CIQ("^SPX", "IQ_PRICEDATE", "11/22/2017")</f>
        <v>#NAME?</v>
      </c>
      <c r="AC989" s="16">
        <v>2597.0772026103</v>
      </c>
    </row>
    <row r="990" spans="26:29" x14ac:dyDescent="0.35">
      <c r="Z990" s="4"/>
      <c r="AA990" s="4"/>
      <c r="AB990" s="4" t="e">
        <f ca="1">_xll.ciqfunctions.udf.CIQ("^SPX", "IQ_PRICEDATE", "11/24/2017")</f>
        <v>#NAME?</v>
      </c>
      <c r="AC990" s="16">
        <v>2602.4247078124999</v>
      </c>
    </row>
    <row r="991" spans="26:29" x14ac:dyDescent="0.35">
      <c r="Z991" s="4"/>
      <c r="AA991" s="4"/>
      <c r="AB991" s="4" t="e">
        <f ca="1">_xll.ciqfunctions.udf.CIQ("^SPX", "IQ_PRICEDATE", "11/27/2017")</f>
        <v>#NAME?</v>
      </c>
      <c r="AC991" s="16">
        <v>2601.4238908288999</v>
      </c>
    </row>
    <row r="992" spans="26:29" x14ac:dyDescent="0.35">
      <c r="Z992" s="4"/>
      <c r="AA992" s="4"/>
      <c r="AB992" s="4" t="e">
        <f ca="1">_xll.ciqfunctions.udf.CIQ("^SPX", "IQ_PRICEDATE", "11/28/2017")</f>
        <v>#NAME?</v>
      </c>
      <c r="AC992" s="16">
        <v>2627.0440254405999</v>
      </c>
    </row>
    <row r="993" spans="26:29" x14ac:dyDescent="0.35">
      <c r="Z993" s="4"/>
      <c r="AA993" s="4"/>
      <c r="AB993" s="4" t="e">
        <f ca="1">_xll.ciqfunctions.udf.CIQ("^SPX", "IQ_PRICEDATE", "11/29/2017")</f>
        <v>#NAME?</v>
      </c>
      <c r="AC993" s="16">
        <v>2626.0661946542</v>
      </c>
    </row>
    <row r="994" spans="26:29" x14ac:dyDescent="0.35">
      <c r="Z994" s="4"/>
      <c r="AA994" s="4"/>
      <c r="AB994" s="4" t="e">
        <f ca="1">_xll.ciqfunctions.udf.CIQ("^SPX", "IQ_PRICEDATE", "11/30/2017")</f>
        <v>#NAME?</v>
      </c>
      <c r="AC994" s="16">
        <v>2647.5799274831002</v>
      </c>
    </row>
    <row r="995" spans="26:29" x14ac:dyDescent="0.35">
      <c r="Z995" s="4"/>
      <c r="AA995" s="4"/>
      <c r="AB995" s="4" t="e">
        <f ca="1">_xll.ciqfunctions.udf.CIQ("^SPX", "IQ_PRICEDATE", "12/1/2017")</f>
        <v>#NAME?</v>
      </c>
      <c r="AC995" s="16">
        <v>2642.2157647466001</v>
      </c>
    </row>
    <row r="996" spans="26:29" x14ac:dyDescent="0.35">
      <c r="Z996" s="4"/>
      <c r="AA996" s="4"/>
      <c r="AB996" s="4" t="e">
        <f ca="1">_xll.ciqfunctions.udf.CIQ("^SPX", "IQ_PRICEDATE", "12/4/2017")</f>
        <v>#NAME?</v>
      </c>
      <c r="AC996" s="16">
        <v>2639.4370480450002</v>
      </c>
    </row>
    <row r="997" spans="26:29" x14ac:dyDescent="0.35">
      <c r="Z997" s="4"/>
      <c r="AA997" s="4"/>
      <c r="AB997" s="4" t="e">
        <f ca="1">_xll.ciqfunctions.udf.CIQ("^SPX", "IQ_PRICEDATE", "12/5/2017")</f>
        <v>#NAME?</v>
      </c>
      <c r="AC997" s="16">
        <v>2629.5708449898002</v>
      </c>
    </row>
    <row r="998" spans="26:29" x14ac:dyDescent="0.35">
      <c r="Z998" s="4"/>
      <c r="AA998" s="4"/>
      <c r="AB998" s="4" t="e">
        <f ca="1">_xll.ciqfunctions.udf.CIQ("^SPX", "IQ_PRICEDATE", "12/6/2017")</f>
        <v>#NAME?</v>
      </c>
      <c r="AC998" s="16">
        <v>2629.2669138668002</v>
      </c>
    </row>
    <row r="999" spans="26:29" x14ac:dyDescent="0.35">
      <c r="Z999" s="4"/>
      <c r="AA999" s="4"/>
      <c r="AB999" s="4" t="e">
        <f ca="1">_xll.ciqfunctions.udf.CIQ("^SPX", "IQ_PRICEDATE", "12/7/2017")</f>
        <v>#NAME?</v>
      </c>
      <c r="AC999" s="16">
        <v>2636.9764936510001</v>
      </c>
    </row>
    <row r="1000" spans="26:29" x14ac:dyDescent="0.35">
      <c r="Z1000" s="4"/>
      <c r="AA1000" s="4"/>
      <c r="AB1000" s="4" t="e">
        <f ca="1">_xll.ciqfunctions.udf.CIQ("^SPX", "IQ_PRICEDATE", "12/8/2017")</f>
        <v>#NAME?</v>
      </c>
      <c r="AC1000" s="16">
        <v>2651.5010002734002</v>
      </c>
    </row>
    <row r="1001" spans="26:29" x14ac:dyDescent="0.35">
      <c r="Z1001" s="4"/>
      <c r="AA1001" s="4"/>
      <c r="AB1001" s="4" t="e">
        <f ca="1">_xll.ciqfunctions.udf.CIQ("^SPX", "IQ_PRICEDATE", "12/11/2017")</f>
        <v>#NAME?</v>
      </c>
      <c r="AC1001" s="16">
        <v>2659.9896497108002</v>
      </c>
    </row>
    <row r="1002" spans="26:29" x14ac:dyDescent="0.35">
      <c r="Z1002" s="4"/>
      <c r="AA1002" s="4"/>
      <c r="AB1002" s="4" t="e">
        <f ca="1">_xll.ciqfunctions.udf.CIQ("^SPX", "IQ_PRICEDATE", "12/12/2017")</f>
        <v>#NAME?</v>
      </c>
      <c r="AC1002" s="16">
        <v>2664.1057286303999</v>
      </c>
    </row>
    <row r="1003" spans="26:29" x14ac:dyDescent="0.35">
      <c r="Z1003" s="4"/>
      <c r="AA1003" s="4"/>
      <c r="AB1003" s="4" t="e">
        <f ca="1">_xll.ciqfunctions.udf.CIQ("^SPX", "IQ_PRICEDATE", "12/13/2017")</f>
        <v>#NAME?</v>
      </c>
      <c r="AC1003" s="16">
        <v>2662.8451882638001</v>
      </c>
    </row>
    <row r="1004" spans="26:29" x14ac:dyDescent="0.35">
      <c r="Z1004" s="4"/>
      <c r="AA1004" s="4"/>
      <c r="AB1004" s="4" t="e">
        <f ca="1">_xll.ciqfunctions.udf.CIQ("^SPX", "IQ_PRICEDATE", "12/14/2017")</f>
        <v>#NAME?</v>
      </c>
      <c r="AC1004" s="16">
        <v>2652.0124436092001</v>
      </c>
    </row>
    <row r="1005" spans="26:29" x14ac:dyDescent="0.35">
      <c r="Z1005" s="4"/>
      <c r="AA1005" s="4"/>
      <c r="AB1005" s="4" t="e">
        <f ca="1">_xll.ciqfunctions.udf.CIQ("^SPX", "IQ_PRICEDATE", "12/15/2017")</f>
        <v>#NAME?</v>
      </c>
      <c r="AC1005" s="16">
        <v>2675.8079812269998</v>
      </c>
    </row>
    <row r="1006" spans="26:29" x14ac:dyDescent="0.35">
      <c r="Z1006" s="4"/>
      <c r="AA1006" s="4"/>
      <c r="AB1006" s="4" t="e">
        <f ca="1">_xll.ciqfunctions.udf.CIQ("^SPX", "IQ_PRICEDATE", "12/18/2017")</f>
        <v>#NAME?</v>
      </c>
      <c r="AC1006" s="16">
        <v>2690.1582514102001</v>
      </c>
    </row>
    <row r="1007" spans="26:29" x14ac:dyDescent="0.35">
      <c r="Z1007" s="4"/>
      <c r="AA1007" s="4"/>
      <c r="AB1007" s="4" t="e">
        <f ca="1">_xll.ciqfunctions.udf.CIQ("^SPX", "IQ_PRICEDATE", "12/19/2017")</f>
        <v>#NAME?</v>
      </c>
      <c r="AC1007" s="16">
        <v>2681.4736294856998</v>
      </c>
    </row>
    <row r="1008" spans="26:29" x14ac:dyDescent="0.35">
      <c r="Z1008" s="4"/>
      <c r="AA1008" s="4"/>
      <c r="AB1008" s="4" t="e">
        <f ca="1">_xll.ciqfunctions.udf.CIQ("^SPX", "IQ_PRICEDATE", "12/20/2017")</f>
        <v>#NAME?</v>
      </c>
      <c r="AC1008" s="16">
        <v>2679.2480845041</v>
      </c>
    </row>
    <row r="1009" spans="26:29" x14ac:dyDescent="0.35">
      <c r="Z1009" s="4"/>
      <c r="AA1009" s="4"/>
      <c r="AB1009" s="4" t="e">
        <f ca="1">_xll.ciqfunctions.udf.CIQ("^SPX", "IQ_PRICEDATE", "12/21/2017")</f>
        <v>#NAME?</v>
      </c>
      <c r="AC1009" s="16">
        <v>2684.5691760676</v>
      </c>
    </row>
    <row r="1010" spans="26:29" x14ac:dyDescent="0.35">
      <c r="Z1010" s="4"/>
      <c r="AA1010" s="4"/>
      <c r="AB1010" s="4" t="e">
        <f ca="1">_xll.ciqfunctions.udf.CIQ("^SPX", "IQ_PRICEDATE", "12/22/2017")</f>
        <v>#NAME?</v>
      </c>
      <c r="AC1010" s="16">
        <v>2683.3372743313998</v>
      </c>
    </row>
    <row r="1011" spans="26:29" x14ac:dyDescent="0.35">
      <c r="Z1011" s="4"/>
      <c r="AA1011" s="4"/>
      <c r="AB1011" s="4" t="e">
        <f ca="1">_xll.ciqfunctions.udf.CIQ("^SPX", "IQ_PRICEDATE", "12/26/2017")</f>
        <v>#NAME?</v>
      </c>
      <c r="AC1011" s="16">
        <v>2680.5044863251001</v>
      </c>
    </row>
    <row r="1012" spans="26:29" x14ac:dyDescent="0.35">
      <c r="Z1012" s="4"/>
      <c r="AA1012" s="4"/>
      <c r="AB1012" s="4" t="e">
        <f ca="1">_xll.ciqfunctions.udf.CIQ("^SPX", "IQ_PRICEDATE", "12/27/2017")</f>
        <v>#NAME?</v>
      </c>
      <c r="AC1012" s="16">
        <v>2682.6199232041999</v>
      </c>
    </row>
    <row r="1013" spans="26:29" x14ac:dyDescent="0.35">
      <c r="Z1013" s="4"/>
      <c r="AA1013" s="4"/>
      <c r="AB1013" s="4" t="e">
        <f ca="1">_xll.ciqfunctions.udf.CIQ("^SPX", "IQ_PRICEDATE", "12/28/2017")</f>
        <v>#NAME?</v>
      </c>
      <c r="AC1013" s="16">
        <v>2687.5378291884999</v>
      </c>
    </row>
    <row r="1014" spans="26:29" x14ac:dyDescent="0.35">
      <c r="Z1014" s="4"/>
      <c r="AA1014" s="4"/>
      <c r="AB1014" s="4" t="e">
        <f ca="1">_xll.ciqfunctions.udf.CIQ("^SPX", "IQ_PRICEDATE", "12/29/2017")</f>
        <v>#NAME?</v>
      </c>
      <c r="AC1014" s="16">
        <v>2673.6105231516999</v>
      </c>
    </row>
    <row r="1015" spans="26:29" x14ac:dyDescent="0.35">
      <c r="Z1015" s="4"/>
      <c r="AA1015" s="4"/>
      <c r="AB1015" s="4" t="e">
        <f ca="1">_xll.ciqfunctions.udf.CIQ("^SPX", "IQ_PRICEDATE", "1/2/2018")</f>
        <v>#NAME?</v>
      </c>
      <c r="AC1015" s="16">
        <v>2695.8097718087001</v>
      </c>
    </row>
    <row r="1016" spans="26:29" x14ac:dyDescent="0.35">
      <c r="Z1016" s="4"/>
      <c r="AA1016" s="4"/>
      <c r="AB1016" s="4" t="e">
        <f ca="1">_xll.ciqfunctions.udf.CIQ("^SPX", "IQ_PRICEDATE", "1/3/2018")</f>
        <v>#NAME?</v>
      </c>
      <c r="AC1016" s="16">
        <v>2713.0610059947999</v>
      </c>
    </row>
    <row r="1017" spans="26:29" x14ac:dyDescent="0.35">
      <c r="Z1017" s="4"/>
      <c r="AA1017" s="4"/>
      <c r="AB1017" s="4" t="e">
        <f ca="1">_xll.ciqfunctions.udf.CIQ("^SPX", "IQ_PRICEDATE", "1/4/2018")</f>
        <v>#NAME?</v>
      </c>
      <c r="AC1017" s="16">
        <v>2723.9925953636998</v>
      </c>
    </row>
    <row r="1018" spans="26:29" x14ac:dyDescent="0.35">
      <c r="Z1018" s="4"/>
      <c r="AA1018" s="4"/>
      <c r="AB1018" s="4" t="e">
        <f ca="1">_xll.ciqfunctions.udf.CIQ("^SPX", "IQ_PRICEDATE", "1/5/2018")</f>
        <v>#NAME?</v>
      </c>
      <c r="AC1018" s="16">
        <v>2743.1477732975</v>
      </c>
    </row>
    <row r="1019" spans="26:29" x14ac:dyDescent="0.35">
      <c r="Z1019" s="4"/>
      <c r="AA1019" s="4"/>
      <c r="AB1019" s="4" t="e">
        <f ca="1">_xll.ciqfunctions.udf.CIQ("^SPX", "IQ_PRICEDATE", "1/8/2018")</f>
        <v>#NAME?</v>
      </c>
      <c r="AC1019" s="16">
        <v>2747.7102333489001</v>
      </c>
    </row>
    <row r="1020" spans="26:29" x14ac:dyDescent="0.35">
      <c r="Z1020" s="4"/>
      <c r="AA1020" s="4"/>
      <c r="AB1020" s="4" t="e">
        <f ca="1">_xll.ciqfunctions.udf.CIQ("^SPX", "IQ_PRICEDATE", "1/9/2018")</f>
        <v>#NAME?</v>
      </c>
      <c r="AC1020" s="16">
        <v>2751.2852488919998</v>
      </c>
    </row>
    <row r="1021" spans="26:29" x14ac:dyDescent="0.35">
      <c r="Z1021" s="4"/>
      <c r="AA1021" s="4"/>
      <c r="AB1021" s="4" t="e">
        <f ca="1">_xll.ciqfunctions.udf.CIQ("^SPX", "IQ_PRICEDATE", "1/10/2018")</f>
        <v>#NAME?</v>
      </c>
      <c r="AC1021" s="16">
        <v>2748.2254899627001</v>
      </c>
    </row>
    <row r="1022" spans="26:29" x14ac:dyDescent="0.35">
      <c r="Z1022" s="4"/>
      <c r="AA1022" s="4"/>
      <c r="AB1022" s="4" t="e">
        <f ca="1">_xll.ciqfunctions.udf.CIQ("^SPX", "IQ_PRICEDATE", "1/11/2018")</f>
        <v>#NAME?</v>
      </c>
      <c r="AC1022" s="16">
        <v>2767.5581418168999</v>
      </c>
    </row>
    <row r="1023" spans="26:29" x14ac:dyDescent="0.35">
      <c r="Z1023" s="4"/>
      <c r="AA1023" s="4"/>
      <c r="AB1023" s="4" t="e">
        <f ca="1">_xll.ciqfunctions.udf.CIQ("^SPX", "IQ_PRICEDATE", "1/12/2018")</f>
        <v>#NAME?</v>
      </c>
      <c r="AC1023" s="16">
        <v>2786.2441431866</v>
      </c>
    </row>
    <row r="1024" spans="26:29" x14ac:dyDescent="0.35">
      <c r="Z1024" s="4"/>
      <c r="AA1024" s="4"/>
      <c r="AB1024" s="4" t="e">
        <f ca="1">_xll.ciqfunctions.udf.CIQ("^SPX", "IQ_PRICEDATE", "1/16/2018")</f>
        <v>#NAME?</v>
      </c>
      <c r="AC1024" s="16">
        <v>2776.4200235751</v>
      </c>
    </row>
    <row r="1025" spans="26:29" x14ac:dyDescent="0.35">
      <c r="Z1025" s="4"/>
      <c r="AA1025" s="4"/>
      <c r="AB1025" s="4" t="e">
        <f ca="1">_xll.ciqfunctions.udf.CIQ("^SPX", "IQ_PRICEDATE", "1/17/2018")</f>
        <v>#NAME?</v>
      </c>
      <c r="AC1025" s="16">
        <v>2802.5555741929002</v>
      </c>
    </row>
    <row r="1026" spans="26:29" x14ac:dyDescent="0.35">
      <c r="Z1026" s="4"/>
      <c r="AA1026" s="4"/>
      <c r="AB1026" s="4" t="e">
        <f ca="1">_xll.ciqfunctions.udf.CIQ("^SPX", "IQ_PRICEDATE", "1/18/2018")</f>
        <v>#NAME?</v>
      </c>
      <c r="AC1026" s="16">
        <v>2798.0302570590002</v>
      </c>
    </row>
    <row r="1027" spans="26:29" x14ac:dyDescent="0.35">
      <c r="Z1027" s="4"/>
      <c r="AA1027" s="4"/>
      <c r="AB1027" s="4" t="e">
        <f ca="1">_xll.ciqfunctions.udf.CIQ("^SPX", "IQ_PRICEDATE", "1/19/2018")</f>
        <v>#NAME?</v>
      </c>
      <c r="AC1027" s="16">
        <v>2810.3026834920001</v>
      </c>
    </row>
    <row r="1028" spans="26:29" x14ac:dyDescent="0.35">
      <c r="Z1028" s="4"/>
      <c r="AA1028" s="4"/>
      <c r="AB1028" s="4" t="e">
        <f ca="1">_xll.ciqfunctions.udf.CIQ("^SPX", "IQ_PRICEDATE", "1/22/2018")</f>
        <v>#NAME?</v>
      </c>
      <c r="AC1028" s="16">
        <v>2832.9740997724998</v>
      </c>
    </row>
    <row r="1029" spans="26:29" x14ac:dyDescent="0.35">
      <c r="Z1029" s="4"/>
      <c r="AA1029" s="4"/>
      <c r="AB1029" s="4" t="e">
        <f ca="1">_xll.ciqfunctions.udf.CIQ("^SPX", "IQ_PRICEDATE", "1/23/2018")</f>
        <v>#NAME?</v>
      </c>
      <c r="AC1029" s="16">
        <v>2839.1303619554001</v>
      </c>
    </row>
    <row r="1030" spans="26:29" x14ac:dyDescent="0.35">
      <c r="Z1030" s="4"/>
      <c r="AA1030" s="4"/>
      <c r="AB1030" s="4" t="e">
        <f ca="1">_xll.ciqfunctions.udf.CIQ("^SPX", "IQ_PRICEDATE", "1/24/2018")</f>
        <v>#NAME?</v>
      </c>
      <c r="AC1030" s="16">
        <v>2837.5440076131999</v>
      </c>
    </row>
    <row r="1031" spans="26:29" x14ac:dyDescent="0.35">
      <c r="Z1031" s="4"/>
      <c r="AA1031" s="4"/>
      <c r="AB1031" s="4" t="e">
        <f ca="1">_xll.ciqfunctions.udf.CIQ("^SPX", "IQ_PRICEDATE", "1/25/2018")</f>
        <v>#NAME?</v>
      </c>
      <c r="AC1031" s="16">
        <v>2839.2530312105</v>
      </c>
    </row>
    <row r="1032" spans="26:29" x14ac:dyDescent="0.35">
      <c r="Z1032" s="4"/>
      <c r="AA1032" s="4"/>
      <c r="AB1032" s="4" t="e">
        <f ca="1">_xll.ciqfunctions.udf.CIQ("^SPX", "IQ_PRICEDATE", "1/26/2018")</f>
        <v>#NAME?</v>
      </c>
      <c r="AC1032" s="16">
        <v>2872.8678392431002</v>
      </c>
    </row>
    <row r="1033" spans="26:29" x14ac:dyDescent="0.35">
      <c r="Z1033" s="4"/>
      <c r="AA1033" s="4"/>
      <c r="AB1033" s="4" t="e">
        <f ca="1">_xll.ciqfunctions.udf.CIQ("^SPX", "IQ_PRICEDATE", "1/29/2018")</f>
        <v>#NAME?</v>
      </c>
      <c r="AC1033" s="16">
        <v>2853.5284110404</v>
      </c>
    </row>
    <row r="1034" spans="26:29" x14ac:dyDescent="0.35">
      <c r="Z1034" s="4"/>
      <c r="AA1034" s="4"/>
      <c r="AB1034" s="4" t="e">
        <f ca="1">_xll.ciqfunctions.udf.CIQ("^SPX", "IQ_PRICEDATE", "1/30/2018")</f>
        <v>#NAME?</v>
      </c>
      <c r="AC1034" s="16">
        <v>2822.4339480164999</v>
      </c>
    </row>
    <row r="1035" spans="26:29" x14ac:dyDescent="0.35">
      <c r="Z1035" s="4"/>
      <c r="AA1035" s="4"/>
      <c r="AB1035" s="4" t="e">
        <f ca="1">_xll.ciqfunctions.udf.CIQ("^SPX", "IQ_PRICEDATE", "1/31/2018")</f>
        <v>#NAME?</v>
      </c>
      <c r="AC1035" s="16">
        <v>2823.8099373554001</v>
      </c>
    </row>
    <row r="1036" spans="26:29" x14ac:dyDescent="0.35">
      <c r="Z1036" s="4"/>
      <c r="AA1036" s="4"/>
      <c r="AB1036" s="4" t="e">
        <f ca="1">_xll.ciqfunctions.udf.CIQ("^SPX", "IQ_PRICEDATE", "2/1/2018")</f>
        <v>#NAME?</v>
      </c>
      <c r="AC1036" s="16">
        <v>2821.975892767</v>
      </c>
    </row>
    <row r="1037" spans="26:29" x14ac:dyDescent="0.35">
      <c r="Z1037" s="4"/>
      <c r="AA1037" s="4"/>
      <c r="AB1037" s="4" t="e">
        <f ca="1">_xll.ciqfunctions.udf.CIQ("^SPX", "IQ_PRICEDATE", "2/2/2018")</f>
        <v>#NAME?</v>
      </c>
      <c r="AC1037" s="16">
        <v>2762.1253342727</v>
      </c>
    </row>
    <row r="1038" spans="26:29" x14ac:dyDescent="0.35">
      <c r="Z1038" s="4"/>
      <c r="AA1038" s="4"/>
      <c r="AB1038" s="4" t="e">
        <f ca="1">_xll.ciqfunctions.udf.CIQ("^SPX", "IQ_PRICEDATE", "2/5/2018")</f>
        <v>#NAME?</v>
      </c>
      <c r="AC1038" s="16">
        <v>2648.9390824826</v>
      </c>
    </row>
    <row r="1039" spans="26:29" x14ac:dyDescent="0.35">
      <c r="Z1039" s="4"/>
      <c r="AA1039" s="4"/>
      <c r="AB1039" s="4" t="e">
        <f ca="1">_xll.ciqfunctions.udf.CIQ("^SPX", "IQ_PRICEDATE", "2/6/2018")</f>
        <v>#NAME?</v>
      </c>
      <c r="AC1039" s="16">
        <v>2695.1442389796998</v>
      </c>
    </row>
    <row r="1040" spans="26:29" x14ac:dyDescent="0.35">
      <c r="Z1040" s="4"/>
      <c r="AA1040" s="4"/>
      <c r="AB1040" s="4" t="e">
        <f ca="1">_xll.ciqfunctions.udf.CIQ("^SPX", "IQ_PRICEDATE", "2/7/2018")</f>
        <v>#NAME?</v>
      </c>
      <c r="AC1040" s="16">
        <v>2681.6601351724998</v>
      </c>
    </row>
    <row r="1041" spans="26:29" x14ac:dyDescent="0.35">
      <c r="Z1041" s="4"/>
      <c r="AA1041" s="4"/>
      <c r="AB1041" s="4" t="e">
        <f ca="1">_xll.ciqfunctions.udf.CIQ("^SPX", "IQ_PRICEDATE", "2/8/2018")</f>
        <v>#NAME?</v>
      </c>
      <c r="AC1041" s="16">
        <v>2580.9994808281999</v>
      </c>
    </row>
    <row r="1042" spans="26:29" x14ac:dyDescent="0.35">
      <c r="Z1042" s="4"/>
      <c r="AA1042" s="4"/>
      <c r="AB1042" s="4" t="e">
        <f ca="1">_xll.ciqfunctions.udf.CIQ("^SPX", "IQ_PRICEDATE", "2/9/2018")</f>
        <v>#NAME?</v>
      </c>
      <c r="AC1042" s="16">
        <v>2619.5455949231</v>
      </c>
    </row>
    <row r="1043" spans="26:29" x14ac:dyDescent="0.35">
      <c r="Z1043" s="4"/>
      <c r="AA1043" s="4"/>
      <c r="AB1043" s="4" t="e">
        <f ca="1">_xll.ciqfunctions.udf.CIQ("^SPX", "IQ_PRICEDATE", "2/12/2018")</f>
        <v>#NAME?</v>
      </c>
      <c r="AC1043" s="16">
        <v>2655.9975272689999</v>
      </c>
    </row>
    <row r="1044" spans="26:29" x14ac:dyDescent="0.35">
      <c r="Z1044" s="4"/>
      <c r="AA1044" s="4"/>
      <c r="AB1044" s="4" t="e">
        <f ca="1">_xll.ciqfunctions.udf.CIQ("^SPX", "IQ_PRICEDATE", "2/13/2018")</f>
        <v>#NAME?</v>
      </c>
      <c r="AC1044" s="16">
        <v>2662.9429033240999</v>
      </c>
    </row>
    <row r="1045" spans="26:29" x14ac:dyDescent="0.35">
      <c r="Z1045" s="4"/>
      <c r="AA1045" s="4"/>
      <c r="AB1045" s="4" t="e">
        <f ca="1">_xll.ciqfunctions.udf.CIQ("^SPX", "IQ_PRICEDATE", "2/14/2018")</f>
        <v>#NAME?</v>
      </c>
      <c r="AC1045" s="16">
        <v>2698.6336625295999</v>
      </c>
    </row>
    <row r="1046" spans="26:29" x14ac:dyDescent="0.35">
      <c r="Z1046" s="4"/>
      <c r="AA1046" s="4"/>
      <c r="AB1046" s="4" t="e">
        <f ca="1">_xll.ciqfunctions.udf.CIQ("^SPX", "IQ_PRICEDATE", "2/15/2018")</f>
        <v>#NAME?</v>
      </c>
      <c r="AC1046" s="16">
        <v>2731.2041407155002</v>
      </c>
    </row>
    <row r="1047" spans="26:29" x14ac:dyDescent="0.35">
      <c r="Z1047" s="4"/>
      <c r="AA1047" s="4"/>
      <c r="AB1047" s="4" t="e">
        <f ca="1">_xll.ciqfunctions.udf.CIQ("^SPX", "IQ_PRICEDATE", "2/16/2018")</f>
        <v>#NAME?</v>
      </c>
      <c r="AC1047" s="16">
        <v>2732.2198367972001</v>
      </c>
    </row>
    <row r="1048" spans="26:29" x14ac:dyDescent="0.35">
      <c r="Z1048" s="4"/>
      <c r="AA1048" s="4"/>
      <c r="AB1048" s="4" t="e">
        <f ca="1">_xll.ciqfunctions.udf.CIQ("^SPX", "IQ_PRICEDATE", "2/20/2018")</f>
        <v>#NAME?</v>
      </c>
      <c r="AC1048" s="16">
        <v>2716.2555424986999</v>
      </c>
    </row>
    <row r="1049" spans="26:29" x14ac:dyDescent="0.35">
      <c r="Z1049" s="4"/>
      <c r="AA1049" s="4"/>
      <c r="AB1049" s="4" t="e">
        <f ca="1">_xll.ciqfunctions.udf.CIQ("^SPX", "IQ_PRICEDATE", "2/21/2018")</f>
        <v>#NAME?</v>
      </c>
      <c r="AC1049" s="16">
        <v>2701.328793314</v>
      </c>
    </row>
    <row r="1050" spans="26:29" x14ac:dyDescent="0.35">
      <c r="Z1050" s="4"/>
      <c r="AA1050" s="4"/>
      <c r="AB1050" s="4" t="e">
        <f ca="1">_xll.ciqfunctions.udf.CIQ("^SPX", "IQ_PRICEDATE", "2/22/2018")</f>
        <v>#NAME?</v>
      </c>
      <c r="AC1050" s="16">
        <v>2703.9612574600001</v>
      </c>
    </row>
    <row r="1051" spans="26:29" x14ac:dyDescent="0.35">
      <c r="Z1051" s="4"/>
      <c r="AA1051" s="4"/>
      <c r="AB1051" s="4" t="e">
        <f ca="1">_xll.ciqfunctions.udf.CIQ("^SPX", "IQ_PRICEDATE", "2/23/2018")</f>
        <v>#NAME?</v>
      </c>
      <c r="AC1051" s="16">
        <v>2747.2985491692998</v>
      </c>
    </row>
    <row r="1052" spans="26:29" x14ac:dyDescent="0.35">
      <c r="Z1052" s="4"/>
      <c r="AA1052" s="4"/>
      <c r="AB1052" s="4" t="e">
        <f ca="1">_xll.ciqfunctions.udf.CIQ("^SPX", "IQ_PRICEDATE", "2/26/2018")</f>
        <v>#NAME?</v>
      </c>
      <c r="AC1052" s="16">
        <v>2779.5959744897</v>
      </c>
    </row>
    <row r="1053" spans="26:29" x14ac:dyDescent="0.35">
      <c r="Z1053" s="4"/>
      <c r="AA1053" s="4"/>
      <c r="AB1053" s="4" t="e">
        <f ca="1">_xll.ciqfunctions.udf.CIQ("^SPX", "IQ_PRICEDATE", "2/27/2018")</f>
        <v>#NAME?</v>
      </c>
      <c r="AC1053" s="16">
        <v>2744.2806905071002</v>
      </c>
    </row>
    <row r="1054" spans="26:29" x14ac:dyDescent="0.35">
      <c r="Z1054" s="4"/>
      <c r="AA1054" s="4"/>
      <c r="AB1054" s="4" t="e">
        <f ca="1">_xll.ciqfunctions.udf.CIQ("^SPX", "IQ_PRICEDATE", "2/28/2018")</f>
        <v>#NAME?</v>
      </c>
      <c r="AC1054" s="16">
        <v>2713.8305387238001</v>
      </c>
    </row>
    <row r="1055" spans="26:29" x14ac:dyDescent="0.35">
      <c r="Z1055" s="4"/>
      <c r="AA1055" s="4"/>
      <c r="AB1055" s="4" t="e">
        <f ca="1">_xll.ciqfunctions.udf.CIQ("^SPX", "IQ_PRICEDATE", "3/1/2018")</f>
        <v>#NAME?</v>
      </c>
      <c r="AC1055" s="16">
        <v>2677.6709360935001</v>
      </c>
    </row>
    <row r="1056" spans="26:29" x14ac:dyDescent="0.35">
      <c r="Z1056" s="4"/>
      <c r="AA1056" s="4"/>
      <c r="AB1056" s="4" t="e">
        <f ca="1">_xll.ciqfunctions.udf.CIQ("^SPX", "IQ_PRICEDATE", "3/2/2018")</f>
        <v>#NAME?</v>
      </c>
      <c r="AC1056" s="16">
        <v>2691.2527686766002</v>
      </c>
    </row>
    <row r="1057" spans="26:29" x14ac:dyDescent="0.35">
      <c r="Z1057" s="4"/>
      <c r="AA1057" s="4"/>
      <c r="AB1057" s="4" t="e">
        <f ca="1">_xll.ciqfunctions.udf.CIQ("^SPX", "IQ_PRICEDATE", "3/5/2018")</f>
        <v>#NAME?</v>
      </c>
      <c r="AC1057" s="16">
        <v>2720.9408972913998</v>
      </c>
    </row>
    <row r="1058" spans="26:29" x14ac:dyDescent="0.35">
      <c r="Z1058" s="4"/>
      <c r="AA1058" s="4"/>
      <c r="AB1058" s="4" t="e">
        <f ca="1">_xll.ciqfunctions.udf.CIQ("^SPX", "IQ_PRICEDATE", "3/6/2018")</f>
        <v>#NAME?</v>
      </c>
      <c r="AC1058" s="16">
        <v>2728.1219997834</v>
      </c>
    </row>
    <row r="1059" spans="26:29" x14ac:dyDescent="0.35">
      <c r="Z1059" s="4"/>
      <c r="AA1059" s="4"/>
      <c r="AB1059" s="4" t="e">
        <f ca="1">_xll.ciqfunctions.udf.CIQ("^SPX", "IQ_PRICEDATE", "3/7/2018")</f>
        <v>#NAME?</v>
      </c>
      <c r="AC1059" s="16">
        <v>2726.8013692489999</v>
      </c>
    </row>
    <row r="1060" spans="26:29" x14ac:dyDescent="0.35">
      <c r="Z1060" s="4"/>
      <c r="AA1060" s="4"/>
      <c r="AB1060" s="4" t="e">
        <f ca="1">_xll.ciqfunctions.udf.CIQ("^SPX", "IQ_PRICEDATE", "3/8/2018")</f>
        <v>#NAME?</v>
      </c>
      <c r="AC1060" s="16">
        <v>2738.9694301486002</v>
      </c>
    </row>
    <row r="1061" spans="26:29" x14ac:dyDescent="0.35">
      <c r="Z1061" s="4"/>
      <c r="AA1061" s="4"/>
      <c r="AB1061" s="4" t="e">
        <f ca="1">_xll.ciqfunctions.udf.CIQ("^SPX", "IQ_PRICEDATE", "3/9/2018")</f>
        <v>#NAME?</v>
      </c>
      <c r="AC1061" s="16">
        <v>2786.5651027531999</v>
      </c>
    </row>
    <row r="1062" spans="26:29" x14ac:dyDescent="0.35">
      <c r="Z1062" s="4"/>
      <c r="AA1062" s="4"/>
      <c r="AB1062" s="4" t="e">
        <f ca="1">_xll.ciqfunctions.udf.CIQ("^SPX", "IQ_PRICEDATE", "3/12/2018")</f>
        <v>#NAME?</v>
      </c>
      <c r="AC1062" s="16">
        <v>2783.0192629327998</v>
      </c>
    </row>
    <row r="1063" spans="26:29" x14ac:dyDescent="0.35">
      <c r="Z1063" s="4"/>
      <c r="AA1063" s="4"/>
      <c r="AB1063" s="4" t="e">
        <f ca="1">_xll.ciqfunctions.udf.CIQ("^SPX", "IQ_PRICEDATE", "3/13/2018")</f>
        <v>#NAME?</v>
      </c>
      <c r="AC1063" s="16">
        <v>2765.3094530812</v>
      </c>
    </row>
    <row r="1064" spans="26:29" x14ac:dyDescent="0.35">
      <c r="Z1064" s="4"/>
      <c r="AA1064" s="4"/>
      <c r="AB1064" s="4" t="e">
        <f ca="1">_xll.ciqfunctions.udf.CIQ("^SPX", "IQ_PRICEDATE", "3/14/2018")</f>
        <v>#NAME?</v>
      </c>
      <c r="AC1064" s="16">
        <v>2749.4822693171</v>
      </c>
    </row>
    <row r="1065" spans="26:29" x14ac:dyDescent="0.35">
      <c r="Z1065" s="4"/>
      <c r="AA1065" s="4"/>
      <c r="AB1065" s="4" t="e">
        <f ca="1">_xll.ciqfunctions.udf.CIQ("^SPX", "IQ_PRICEDATE", "3/15/2018")</f>
        <v>#NAME?</v>
      </c>
      <c r="AC1065" s="16">
        <v>2747.3298499872999</v>
      </c>
    </row>
    <row r="1066" spans="26:29" x14ac:dyDescent="0.35">
      <c r="Z1066" s="4"/>
      <c r="AA1066" s="4"/>
      <c r="AB1066" s="4" t="e">
        <f ca="1">_xll.ciqfunctions.udf.CIQ("^SPX", "IQ_PRICEDATE", "3/16/2018")</f>
        <v>#NAME?</v>
      </c>
      <c r="AC1066" s="16">
        <v>2752.0117875495998</v>
      </c>
    </row>
    <row r="1067" spans="26:29" x14ac:dyDescent="0.35">
      <c r="Z1067" s="4"/>
      <c r="AA1067" s="4"/>
      <c r="AB1067" s="4" t="e">
        <f ca="1">_xll.ciqfunctions.udf.CIQ("^SPX", "IQ_PRICEDATE", "3/19/2018")</f>
        <v>#NAME?</v>
      </c>
      <c r="AC1067" s="16">
        <v>2712.9173684696998</v>
      </c>
    </row>
    <row r="1068" spans="26:29" x14ac:dyDescent="0.35">
      <c r="Z1068" s="4"/>
      <c r="AA1068" s="4"/>
      <c r="AB1068" s="4" t="e">
        <f ca="1">_xll.ciqfunctions.udf.CIQ("^SPX", "IQ_PRICEDATE", "3/20/2018")</f>
        <v>#NAME?</v>
      </c>
      <c r="AC1068" s="16">
        <v>2716.9422346931001</v>
      </c>
    </row>
    <row r="1069" spans="26:29" x14ac:dyDescent="0.35">
      <c r="Z1069" s="4"/>
      <c r="AA1069" s="4"/>
      <c r="AB1069" s="4" t="e">
        <f ca="1">_xll.ciqfunctions.udf.CIQ("^SPX", "IQ_PRICEDATE", "3/21/2018")</f>
        <v>#NAME?</v>
      </c>
      <c r="AC1069" s="16">
        <v>2711.9280882306998</v>
      </c>
    </row>
    <row r="1070" spans="26:29" x14ac:dyDescent="0.35">
      <c r="Z1070" s="4"/>
      <c r="AA1070" s="4"/>
      <c r="AB1070" s="4" t="e">
        <f ca="1">_xll.ciqfunctions.udf.CIQ("^SPX", "IQ_PRICEDATE", "3/22/2018")</f>
        <v>#NAME?</v>
      </c>
      <c r="AC1070" s="16">
        <v>2643.6921823736002</v>
      </c>
    </row>
    <row r="1071" spans="26:29" x14ac:dyDescent="0.35">
      <c r="Z1071" s="4"/>
      <c r="AA1071" s="4"/>
      <c r="AB1071" s="4" t="e">
        <f ca="1">_xll.ciqfunctions.udf.CIQ("^SPX", "IQ_PRICEDATE", "3/23/2018")</f>
        <v>#NAME?</v>
      </c>
      <c r="AC1071" s="16">
        <v>2588.2627920513</v>
      </c>
    </row>
    <row r="1072" spans="26:29" x14ac:dyDescent="0.35">
      <c r="Z1072" s="4"/>
      <c r="AA1072" s="4"/>
      <c r="AB1072" s="4" t="e">
        <f ca="1">_xll.ciqfunctions.udf.CIQ("^SPX", "IQ_PRICEDATE", "3/26/2018")</f>
        <v>#NAME?</v>
      </c>
      <c r="AC1072" s="16">
        <v>2658.5541823533999</v>
      </c>
    </row>
    <row r="1073" spans="26:29" x14ac:dyDescent="0.35">
      <c r="Z1073" s="4"/>
      <c r="AA1073" s="4"/>
      <c r="AB1073" s="4" t="e">
        <f ca="1">_xll.ciqfunctions.udf.CIQ("^SPX", "IQ_PRICEDATE", "3/27/2018")</f>
        <v>#NAME?</v>
      </c>
      <c r="AC1073" s="16">
        <v>2612.6245972403999</v>
      </c>
    </row>
    <row r="1074" spans="26:29" x14ac:dyDescent="0.35">
      <c r="Z1074" s="4"/>
      <c r="AA1074" s="4"/>
      <c r="AB1074" s="4" t="e">
        <f ca="1">_xll.ciqfunctions.udf.CIQ("^SPX", "IQ_PRICEDATE", "3/28/2018")</f>
        <v>#NAME?</v>
      </c>
      <c r="AC1074" s="16">
        <v>2604.9974974954998</v>
      </c>
    </row>
    <row r="1075" spans="26:29" x14ac:dyDescent="0.35">
      <c r="Z1075" s="4"/>
      <c r="AA1075" s="4"/>
      <c r="AB1075" s="4" t="e">
        <f ca="1">_xll.ciqfunctions.udf.CIQ("^SPX", "IQ_PRICEDATE", "3/29/2018")</f>
        <v>#NAME?</v>
      </c>
      <c r="AC1075" s="16">
        <v>2640.8659903293001</v>
      </c>
    </row>
    <row r="1076" spans="26:29" x14ac:dyDescent="0.35">
      <c r="Z1076" s="4"/>
      <c r="AA1076" s="4"/>
      <c r="AB1076" s="4" t="e">
        <f ca="1">_xll.ciqfunctions.udf.CIQ("^SPX", "IQ_PRICEDATE", "4/2/2018")</f>
        <v>#NAME?</v>
      </c>
      <c r="AC1076" s="16">
        <v>2581.881609651</v>
      </c>
    </row>
    <row r="1077" spans="26:29" x14ac:dyDescent="0.35">
      <c r="Z1077" s="4"/>
      <c r="AA1077" s="4"/>
      <c r="AB1077" s="4" t="e">
        <f ca="1">_xll.ciqfunctions.udf.CIQ("^SPX", "IQ_PRICEDATE", "4/3/2018")</f>
        <v>#NAME?</v>
      </c>
      <c r="AC1077" s="16">
        <v>2614.4456710448999</v>
      </c>
    </row>
    <row r="1078" spans="26:29" x14ac:dyDescent="0.35">
      <c r="Z1078" s="4"/>
      <c r="AA1078" s="4"/>
      <c r="AB1078" s="4" t="e">
        <f ca="1">_xll.ciqfunctions.udf.CIQ("^SPX", "IQ_PRICEDATE", "4/4/2018")</f>
        <v>#NAME?</v>
      </c>
      <c r="AC1078" s="16">
        <v>2644.6879610989999</v>
      </c>
    </row>
    <row r="1079" spans="26:29" x14ac:dyDescent="0.35">
      <c r="Z1079" s="4"/>
      <c r="AA1079" s="4"/>
      <c r="AB1079" s="4" t="e">
        <f ca="1">_xll.ciqfunctions.udf.CIQ("^SPX", "IQ_PRICEDATE", "4/5/2018")</f>
        <v>#NAME?</v>
      </c>
      <c r="AC1079" s="16">
        <v>2662.8362421788001</v>
      </c>
    </row>
    <row r="1080" spans="26:29" x14ac:dyDescent="0.35">
      <c r="Z1080" s="4"/>
      <c r="AA1080" s="4"/>
      <c r="AB1080" s="4" t="e">
        <f ca="1">_xll.ciqfunctions.udf.CIQ("^SPX", "IQ_PRICEDATE", "4/6/2018")</f>
        <v>#NAME?</v>
      </c>
      <c r="AC1080" s="16">
        <v>2604.4693845293</v>
      </c>
    </row>
    <row r="1081" spans="26:29" x14ac:dyDescent="0.35">
      <c r="Z1081" s="4"/>
      <c r="AA1081" s="4"/>
      <c r="AB1081" s="4" t="e">
        <f ca="1">_xll.ciqfunctions.udf.CIQ("^SPX", "IQ_PRICEDATE", "4/9/2018")</f>
        <v>#NAME?</v>
      </c>
      <c r="AC1081" s="16">
        <v>2613.158838761</v>
      </c>
    </row>
    <row r="1082" spans="26:29" x14ac:dyDescent="0.35">
      <c r="Z1082" s="4"/>
      <c r="AA1082" s="4"/>
      <c r="AB1082" s="4" t="e">
        <f ca="1">_xll.ciqfunctions.udf.CIQ("^SPX", "IQ_PRICEDATE", "4/10/2018")</f>
        <v>#NAME?</v>
      </c>
      <c r="AC1082" s="16">
        <v>2656.8679807192998</v>
      </c>
    </row>
    <row r="1083" spans="26:29" x14ac:dyDescent="0.35">
      <c r="Z1083" s="4"/>
      <c r="AA1083" s="4"/>
      <c r="AB1083" s="4" t="e">
        <f ca="1">_xll.ciqfunctions.udf.CIQ("^SPX", "IQ_PRICEDATE", "4/11/2018")</f>
        <v>#NAME?</v>
      </c>
      <c r="AC1083" s="16">
        <v>2642.1902114466002</v>
      </c>
    </row>
    <row r="1084" spans="26:29" x14ac:dyDescent="0.35">
      <c r="Z1084" s="4"/>
      <c r="AA1084" s="4"/>
      <c r="AB1084" s="4" t="e">
        <f ca="1">_xll.ciqfunctions.udf.CIQ("^SPX", "IQ_PRICEDATE", "4/12/2018")</f>
        <v>#NAME?</v>
      </c>
      <c r="AC1084" s="16">
        <v>2663.9948004537</v>
      </c>
    </row>
    <row r="1085" spans="26:29" x14ac:dyDescent="0.35">
      <c r="Z1085" s="4"/>
      <c r="AA1085" s="4"/>
      <c r="AB1085" s="4" t="e">
        <f ca="1">_xll.ciqfunctions.udf.CIQ("^SPX", "IQ_PRICEDATE", "4/13/2018")</f>
        <v>#NAME?</v>
      </c>
      <c r="AC1085" s="16">
        <v>2656.2969056536999</v>
      </c>
    </row>
    <row r="1086" spans="26:29" x14ac:dyDescent="0.35">
      <c r="Z1086" s="4"/>
      <c r="AA1086" s="4"/>
      <c r="AB1086" s="4" t="e">
        <f ca="1">_xll.ciqfunctions.udf.CIQ("^SPX", "IQ_PRICEDATE", "4/16/2018")</f>
        <v>#NAME?</v>
      </c>
      <c r="AC1086" s="16">
        <v>2677.8395628404</v>
      </c>
    </row>
    <row r="1087" spans="26:29" x14ac:dyDescent="0.35">
      <c r="Z1087" s="4"/>
      <c r="AA1087" s="4"/>
      <c r="AB1087" s="4" t="e">
        <f ca="1">_xll.ciqfunctions.udf.CIQ("^SPX", "IQ_PRICEDATE", "4/17/2018")</f>
        <v>#NAME?</v>
      </c>
      <c r="AC1087" s="16">
        <v>2706.3850873186998</v>
      </c>
    </row>
    <row r="1088" spans="26:29" x14ac:dyDescent="0.35">
      <c r="Z1088" s="4"/>
      <c r="AA1088" s="4"/>
      <c r="AB1088" s="4" t="e">
        <f ca="1">_xll.ciqfunctions.udf.CIQ("^SPX", "IQ_PRICEDATE", "4/18/2018")</f>
        <v>#NAME?</v>
      </c>
      <c r="AC1088" s="16">
        <v>2708.6389528643999</v>
      </c>
    </row>
    <row r="1089" spans="26:29" x14ac:dyDescent="0.35">
      <c r="Z1089" s="4"/>
      <c r="AA1089" s="4"/>
      <c r="AB1089" s="4" t="e">
        <f ca="1">_xll.ciqfunctions.udf.CIQ("^SPX", "IQ_PRICEDATE", "4/19/2018")</f>
        <v>#NAME?</v>
      </c>
      <c r="AC1089" s="16">
        <v>2693.1257302322001</v>
      </c>
    </row>
    <row r="1090" spans="26:29" x14ac:dyDescent="0.35">
      <c r="Z1090" s="4"/>
      <c r="AA1090" s="4"/>
      <c r="AB1090" s="4" t="e">
        <f ca="1">_xll.ciqfunctions.udf.CIQ("^SPX", "IQ_PRICEDATE", "4/20/2018")</f>
        <v>#NAME?</v>
      </c>
      <c r="AC1090" s="16">
        <v>2670.1417556473998</v>
      </c>
    </row>
    <row r="1091" spans="26:29" x14ac:dyDescent="0.35">
      <c r="Z1091" s="4"/>
      <c r="AA1091" s="4"/>
      <c r="AB1091" s="4" t="e">
        <f ca="1">_xll.ciqfunctions.udf.CIQ("^SPX", "IQ_PRICEDATE", "4/23/2018")</f>
        <v>#NAME?</v>
      </c>
      <c r="AC1091" s="16">
        <v>2670.2904815958</v>
      </c>
    </row>
    <row r="1092" spans="26:29" x14ac:dyDescent="0.35">
      <c r="Z1092" s="4"/>
      <c r="AA1092" s="4"/>
      <c r="AB1092" s="4" t="e">
        <f ca="1">_xll.ciqfunctions.udf.CIQ("^SPX", "IQ_PRICEDATE", "4/24/2018")</f>
        <v>#NAME?</v>
      </c>
      <c r="AC1092" s="16">
        <v>2634.5564523615999</v>
      </c>
    </row>
    <row r="1093" spans="26:29" x14ac:dyDescent="0.35">
      <c r="Z1093" s="4"/>
      <c r="AA1093" s="4"/>
      <c r="AB1093" s="4" t="e">
        <f ca="1">_xll.ciqfunctions.udf.CIQ("^SPX", "IQ_PRICEDATE", "4/25/2018")</f>
        <v>#NAME?</v>
      </c>
      <c r="AC1093" s="16">
        <v>2639.3950272385</v>
      </c>
    </row>
    <row r="1094" spans="26:29" x14ac:dyDescent="0.35">
      <c r="Z1094" s="4"/>
      <c r="AA1094" s="4"/>
      <c r="AB1094" s="4" t="e">
        <f ca="1">_xll.ciqfunctions.udf.CIQ("^SPX", "IQ_PRICEDATE", "4/26/2018")</f>
        <v>#NAME?</v>
      </c>
      <c r="AC1094" s="16">
        <v>2666.9427838322999</v>
      </c>
    </row>
    <row r="1095" spans="26:29" x14ac:dyDescent="0.35">
      <c r="Z1095" s="4"/>
      <c r="AA1095" s="4"/>
      <c r="AB1095" s="4" t="e">
        <f ca="1">_xll.ciqfunctions.udf.CIQ("^SPX", "IQ_PRICEDATE", "4/27/2018")</f>
        <v>#NAME?</v>
      </c>
      <c r="AC1095" s="16">
        <v>2669.906271715</v>
      </c>
    </row>
    <row r="1096" spans="26:29" x14ac:dyDescent="0.35">
      <c r="Z1096" s="4"/>
      <c r="AA1096" s="4"/>
      <c r="AB1096" s="4" t="e">
        <f ca="1">_xll.ciqfunctions.udf.CIQ("^SPX", "IQ_PRICEDATE", "4/30/2018")</f>
        <v>#NAME?</v>
      </c>
      <c r="AC1096" s="16">
        <v>2648.0493647087001</v>
      </c>
    </row>
    <row r="1097" spans="26:29" x14ac:dyDescent="0.35">
      <c r="Z1097" s="4"/>
      <c r="AA1097" s="4"/>
      <c r="AB1097" s="4" t="e">
        <f ca="1">_xll.ciqfunctions.udf.CIQ("^SPX", "IQ_PRICEDATE", "5/1/2018")</f>
        <v>#NAME?</v>
      </c>
      <c r="AC1097" s="16">
        <v>2654.8006518471998</v>
      </c>
    </row>
    <row r="1098" spans="26:29" x14ac:dyDescent="0.35">
      <c r="Z1098" s="4"/>
      <c r="AA1098" s="4"/>
      <c r="AB1098" s="4" t="e">
        <f ca="1">_xll.ciqfunctions.udf.CIQ("^SPX", "IQ_PRICEDATE", "5/2/2018")</f>
        <v>#NAME?</v>
      </c>
      <c r="AC1098" s="16">
        <v>2635.6685473995999</v>
      </c>
    </row>
    <row r="1099" spans="26:29" x14ac:dyDescent="0.35">
      <c r="Z1099" s="4"/>
      <c r="AA1099" s="4"/>
      <c r="AB1099" s="4" t="e">
        <f ca="1">_xll.ciqfunctions.udf.CIQ("^SPX", "IQ_PRICEDATE", "5/3/2018")</f>
        <v>#NAME?</v>
      </c>
      <c r="AC1099" s="16">
        <v>2629.7256154840002</v>
      </c>
    </row>
    <row r="1100" spans="26:29" x14ac:dyDescent="0.35">
      <c r="Z1100" s="4"/>
      <c r="AA1100" s="4"/>
      <c r="AB1100" s="4" t="e">
        <f ca="1">_xll.ciqfunctions.udf.CIQ("^SPX", "IQ_PRICEDATE", "5/4/2018")</f>
        <v>#NAME?</v>
      </c>
      <c r="AC1100" s="16">
        <v>2663.4203373004002</v>
      </c>
    </row>
    <row r="1101" spans="26:29" x14ac:dyDescent="0.35">
      <c r="Z1101" s="4"/>
      <c r="AA1101" s="4"/>
      <c r="AB1101" s="4" t="e">
        <f ca="1">_xll.ciqfunctions.udf.CIQ("^SPX", "IQ_PRICEDATE", "5/7/2018")</f>
        <v>#NAME?</v>
      </c>
      <c r="AC1101" s="16">
        <v>2672.6284981829999</v>
      </c>
    </row>
    <row r="1102" spans="26:29" x14ac:dyDescent="0.35">
      <c r="Z1102" s="4"/>
      <c r="AA1102" s="4"/>
      <c r="AB1102" s="4" t="e">
        <f ca="1">_xll.ciqfunctions.udf.CIQ("^SPX", "IQ_PRICEDATE", "5/8/2018")</f>
        <v>#NAME?</v>
      </c>
      <c r="AC1102" s="16">
        <v>2671.9182617050001</v>
      </c>
    </row>
    <row r="1103" spans="26:29" x14ac:dyDescent="0.35">
      <c r="Z1103" s="4"/>
      <c r="AA1103" s="4"/>
      <c r="AB1103" s="4" t="e">
        <f ca="1">_xll.ciqfunctions.udf.CIQ("^SPX", "IQ_PRICEDATE", "5/9/2018")</f>
        <v>#NAME?</v>
      </c>
      <c r="AC1103" s="16">
        <v>2697.7915487847999</v>
      </c>
    </row>
    <row r="1104" spans="26:29" x14ac:dyDescent="0.35">
      <c r="Z1104" s="4"/>
      <c r="AA1104" s="4"/>
      <c r="AB1104" s="4" t="e">
        <f ca="1">_xll.ciqfunctions.udf.CIQ("^SPX", "IQ_PRICEDATE", "5/10/2018")</f>
        <v>#NAME?</v>
      </c>
      <c r="AC1104" s="16">
        <v>2723.0689028173001</v>
      </c>
    </row>
    <row r="1105" spans="26:29" x14ac:dyDescent="0.35">
      <c r="Z1105" s="4"/>
      <c r="AA1105" s="4"/>
      <c r="AB1105" s="4" t="e">
        <f ca="1">_xll.ciqfunctions.udf.CIQ("^SPX", "IQ_PRICEDATE", "5/11/2018")</f>
        <v>#NAME?</v>
      </c>
      <c r="AC1105" s="16">
        <v>2727.7159275558001</v>
      </c>
    </row>
    <row r="1106" spans="26:29" x14ac:dyDescent="0.35">
      <c r="Z1106" s="4"/>
      <c r="AA1106" s="4"/>
      <c r="AB1106" s="4" t="e">
        <f ca="1">_xll.ciqfunctions.udf.CIQ("^SPX", "IQ_PRICEDATE", "5/14/2018")</f>
        <v>#NAME?</v>
      </c>
      <c r="AC1106" s="16">
        <v>2730.1324574028999</v>
      </c>
    </row>
    <row r="1107" spans="26:29" x14ac:dyDescent="0.35">
      <c r="Z1107" s="4"/>
      <c r="AA1107" s="4"/>
      <c r="AB1107" s="4" t="e">
        <f ca="1">_xll.ciqfunctions.udf.CIQ("^SPX", "IQ_PRICEDATE", "5/15/2018")</f>
        <v>#NAME?</v>
      </c>
      <c r="AC1107" s="16">
        <v>2711.4455236237</v>
      </c>
    </row>
    <row r="1108" spans="26:29" x14ac:dyDescent="0.35">
      <c r="Z1108" s="4"/>
      <c r="AA1108" s="4"/>
      <c r="AB1108" s="4" t="e">
        <f ca="1">_xll.ciqfunctions.udf.CIQ("^SPX", "IQ_PRICEDATE", "5/16/2018")</f>
        <v>#NAME?</v>
      </c>
      <c r="AC1108" s="16">
        <v>2722.4622972534999</v>
      </c>
    </row>
    <row r="1109" spans="26:29" x14ac:dyDescent="0.35">
      <c r="Z1109" s="4"/>
      <c r="AA1109" s="4"/>
      <c r="AB1109" s="4" t="e">
        <f ca="1">_xll.ciqfunctions.udf.CIQ("^SPX", "IQ_PRICEDATE", "5/17/2018")</f>
        <v>#NAME?</v>
      </c>
      <c r="AC1109" s="16">
        <v>2720.1272067587001</v>
      </c>
    </row>
    <row r="1110" spans="26:29" x14ac:dyDescent="0.35">
      <c r="Z1110" s="4"/>
      <c r="AA1110" s="4"/>
      <c r="AB1110" s="4" t="e">
        <f ca="1">_xll.ciqfunctions.udf.CIQ("^SPX", "IQ_PRICEDATE", "5/18/2018")</f>
        <v>#NAME?</v>
      </c>
      <c r="AC1110" s="16">
        <v>2712.9747135605999</v>
      </c>
    </row>
    <row r="1111" spans="26:29" x14ac:dyDescent="0.35">
      <c r="Z1111" s="4"/>
      <c r="AA1111" s="4"/>
      <c r="AB1111" s="4" t="e">
        <f ca="1">_xll.ciqfunctions.udf.CIQ("^SPX", "IQ_PRICEDATE", "5/21/2018")</f>
        <v>#NAME?</v>
      </c>
      <c r="AC1111" s="16">
        <v>2733.0108196046999</v>
      </c>
    </row>
    <row r="1112" spans="26:29" x14ac:dyDescent="0.35">
      <c r="Z1112" s="4"/>
      <c r="AA1112" s="4"/>
      <c r="AB1112" s="4" t="e">
        <f ca="1">_xll.ciqfunctions.udf.CIQ("^SPX", "IQ_PRICEDATE", "5/22/2018")</f>
        <v>#NAME?</v>
      </c>
      <c r="AC1112" s="16">
        <v>2724.4440411118999</v>
      </c>
    </row>
    <row r="1113" spans="26:29" x14ac:dyDescent="0.35">
      <c r="Z1113" s="4"/>
      <c r="AA1113" s="4"/>
      <c r="AB1113" s="4" t="e">
        <f ca="1">_xll.ciqfunctions.udf.CIQ("^SPX", "IQ_PRICEDATE", "5/23/2018")</f>
        <v>#NAME?</v>
      </c>
      <c r="AC1113" s="16">
        <v>2733.2892688342999</v>
      </c>
    </row>
    <row r="1114" spans="26:29" x14ac:dyDescent="0.35">
      <c r="Z1114" s="4"/>
      <c r="AA1114" s="4"/>
      <c r="AB1114" s="4" t="e">
        <f ca="1">_xll.ciqfunctions.udf.CIQ("^SPX", "IQ_PRICEDATE", "5/24/2018")</f>
        <v>#NAME?</v>
      </c>
      <c r="AC1114" s="16">
        <v>2727.7631947084001</v>
      </c>
    </row>
    <row r="1115" spans="26:29" x14ac:dyDescent="0.35">
      <c r="Z1115" s="4"/>
      <c r="AA1115" s="4"/>
      <c r="AB1115" s="4" t="e">
        <f ca="1">_xll.ciqfunctions.udf.CIQ("^SPX", "IQ_PRICEDATE", "5/25/2018")</f>
        <v>#NAME?</v>
      </c>
      <c r="AC1115" s="16">
        <v>2721.3279562726002</v>
      </c>
    </row>
    <row r="1116" spans="26:29" x14ac:dyDescent="0.35">
      <c r="Z1116" s="4"/>
      <c r="AA1116" s="4"/>
      <c r="AB1116" s="4" t="e">
        <f ca="1">_xll.ciqfunctions.udf.CIQ("^SPX", "IQ_PRICEDATE", "5/29/2018")</f>
        <v>#NAME?</v>
      </c>
      <c r="AC1116" s="16">
        <v>2689.8572489476001</v>
      </c>
    </row>
    <row r="1117" spans="26:29" x14ac:dyDescent="0.35">
      <c r="Z1117" s="4"/>
      <c r="AA1117" s="4"/>
      <c r="AB1117" s="4" t="e">
        <f ca="1">_xll.ciqfunctions.udf.CIQ("^SPX", "IQ_PRICEDATE", "5/30/2018")</f>
        <v>#NAME?</v>
      </c>
      <c r="AC1117" s="16">
        <v>2724.0099112322</v>
      </c>
    </row>
    <row r="1118" spans="26:29" x14ac:dyDescent="0.35">
      <c r="Z1118" s="4"/>
      <c r="AA1118" s="4"/>
      <c r="AB1118" s="4" t="e">
        <f ca="1">_xll.ciqfunctions.udf.CIQ("^SPX", "IQ_PRICEDATE", "5/31/2018")</f>
        <v>#NAME?</v>
      </c>
      <c r="AC1118" s="16">
        <v>2705.2747516248</v>
      </c>
    </row>
    <row r="1119" spans="26:29" x14ac:dyDescent="0.35">
      <c r="Z1119" s="4"/>
      <c r="AA1119" s="4"/>
      <c r="AB1119" s="4" t="e">
        <f ca="1">_xll.ciqfunctions.udf.CIQ("^SPX", "IQ_PRICEDATE", "6/1/2018")</f>
        <v>#NAME?</v>
      </c>
      <c r="AC1119" s="16">
        <v>2734.6188550041002</v>
      </c>
    </row>
    <row r="1120" spans="26:29" x14ac:dyDescent="0.35">
      <c r="Z1120" s="4"/>
      <c r="AA1120" s="4"/>
      <c r="AB1120" s="4" t="e">
        <f ca="1">_xll.ciqfunctions.udf.CIQ("^SPX", "IQ_PRICEDATE", "6/4/2018")</f>
        <v>#NAME?</v>
      </c>
      <c r="AC1120" s="16">
        <v>2746.8711136748998</v>
      </c>
    </row>
    <row r="1121" spans="26:29" x14ac:dyDescent="0.35">
      <c r="Z1121" s="4"/>
      <c r="AA1121" s="4"/>
      <c r="AB1121" s="4" t="e">
        <f ca="1">_xll.ciqfunctions.udf.CIQ("^SPX", "IQ_PRICEDATE", "6/5/2018")</f>
        <v>#NAME?</v>
      </c>
      <c r="AC1121" s="16">
        <v>2748.7951858796</v>
      </c>
    </row>
    <row r="1122" spans="26:29" x14ac:dyDescent="0.35">
      <c r="Z1122" s="4"/>
      <c r="AA1122" s="4"/>
      <c r="AB1122" s="4" t="e">
        <f ca="1">_xll.ciqfunctions.udf.CIQ("^SPX", "IQ_PRICEDATE", "6/6/2018")</f>
        <v>#NAME?</v>
      </c>
      <c r="AC1122" s="16">
        <v>2772.3457853834002</v>
      </c>
    </row>
    <row r="1123" spans="26:29" x14ac:dyDescent="0.35">
      <c r="Z1123" s="4"/>
      <c r="AA1123" s="4"/>
      <c r="AB1123" s="4" t="e">
        <f ca="1">_xll.ciqfunctions.udf.CIQ("^SPX", "IQ_PRICEDATE", "6/7/2018")</f>
        <v>#NAME?</v>
      </c>
      <c r="AC1123" s="16">
        <v>2770.3720468904999</v>
      </c>
    </row>
    <row r="1124" spans="26:29" x14ac:dyDescent="0.35">
      <c r="Z1124" s="4"/>
      <c r="AA1124" s="4"/>
      <c r="AB1124" s="4" t="e">
        <f ca="1">_xll.ciqfunctions.udf.CIQ("^SPX", "IQ_PRICEDATE", "6/8/2018")</f>
        <v>#NAME?</v>
      </c>
      <c r="AC1124" s="16">
        <v>2779.0285906191002</v>
      </c>
    </row>
    <row r="1125" spans="26:29" x14ac:dyDescent="0.35">
      <c r="Z1125" s="4"/>
      <c r="AA1125" s="4"/>
      <c r="AB1125" s="4" t="e">
        <f ca="1">_xll.ciqfunctions.udf.CIQ("^SPX", "IQ_PRICEDATE", "6/11/2018")</f>
        <v>#NAME?</v>
      </c>
      <c r="AC1125" s="16">
        <v>2782.0048600648001</v>
      </c>
    </row>
    <row r="1126" spans="26:29" x14ac:dyDescent="0.35">
      <c r="Z1126" s="4"/>
      <c r="AA1126" s="4"/>
      <c r="AB1126" s="4" t="e">
        <f ca="1">_xll.ciqfunctions.udf.CIQ("^SPX", "IQ_PRICEDATE", "6/12/2018")</f>
        <v>#NAME?</v>
      </c>
      <c r="AC1126" s="16">
        <v>2786.8524730265999</v>
      </c>
    </row>
    <row r="1127" spans="26:29" x14ac:dyDescent="0.35">
      <c r="Z1127" s="4"/>
      <c r="AA1127" s="4"/>
      <c r="AB1127" s="4" t="e">
        <f ca="1">_xll.ciqfunctions.udf.CIQ("^SPX", "IQ_PRICEDATE", "6/13/2018")</f>
        <v>#NAME?</v>
      </c>
      <c r="AC1127" s="16">
        <v>2775.6267511489</v>
      </c>
    </row>
    <row r="1128" spans="26:29" x14ac:dyDescent="0.35">
      <c r="Z1128" s="4"/>
      <c r="AA1128" s="4"/>
      <c r="AB1128" s="4" t="e">
        <f ca="1">_xll.ciqfunctions.udf.CIQ("^SPX", "IQ_PRICEDATE", "6/14/2018")</f>
        <v>#NAME?</v>
      </c>
      <c r="AC1128" s="16">
        <v>2782.4894063784</v>
      </c>
    </row>
    <row r="1129" spans="26:29" x14ac:dyDescent="0.35">
      <c r="Z1129" s="4"/>
      <c r="AA1129" s="4"/>
      <c r="AB1129" s="4" t="e">
        <f ca="1">_xll.ciqfunctions.udf.CIQ("^SPX", "IQ_PRICEDATE", "6/15/2018")</f>
        <v>#NAME?</v>
      </c>
      <c r="AC1129" s="16">
        <v>2779.6630272875</v>
      </c>
    </row>
    <row r="1130" spans="26:29" x14ac:dyDescent="0.35">
      <c r="Z1130" s="4"/>
      <c r="AA1130" s="4"/>
      <c r="AB1130" s="4" t="e">
        <f ca="1">_xll.ciqfunctions.udf.CIQ("^SPX", "IQ_PRICEDATE", "6/18/2018")</f>
        <v>#NAME?</v>
      </c>
      <c r="AC1130" s="16">
        <v>2773.7450408555001</v>
      </c>
    </row>
    <row r="1131" spans="26:29" x14ac:dyDescent="0.35">
      <c r="Z1131" s="4"/>
      <c r="AA1131" s="4"/>
      <c r="AB1131" s="4" t="e">
        <f ca="1">_xll.ciqfunctions.udf.CIQ("^SPX", "IQ_PRICEDATE", "6/19/2018")</f>
        <v>#NAME?</v>
      </c>
      <c r="AC1131" s="16">
        <v>2762.5946469127998</v>
      </c>
    </row>
    <row r="1132" spans="26:29" x14ac:dyDescent="0.35">
      <c r="Z1132" s="4"/>
      <c r="AA1132" s="4"/>
      <c r="AB1132" s="4" t="e">
        <f ca="1">_xll.ciqfunctions.udf.CIQ("^SPX", "IQ_PRICEDATE", "6/20/2018")</f>
        <v>#NAME?</v>
      </c>
      <c r="AC1132" s="16">
        <v>2767.3179049554001</v>
      </c>
    </row>
    <row r="1133" spans="26:29" x14ac:dyDescent="0.35">
      <c r="Z1133" s="4"/>
      <c r="AA1133" s="4"/>
      <c r="AB1133" s="4" t="e">
        <f ca="1">_xll.ciqfunctions.udf.CIQ("^SPX", "IQ_PRICEDATE", "6/21/2018")</f>
        <v>#NAME?</v>
      </c>
      <c r="AC1133" s="16">
        <v>2749.7579690309999</v>
      </c>
    </row>
    <row r="1134" spans="26:29" x14ac:dyDescent="0.35">
      <c r="Z1134" s="4"/>
      <c r="AA1134" s="4"/>
      <c r="AB1134" s="4" t="e">
        <f ca="1">_xll.ciqfunctions.udf.CIQ("^SPX", "IQ_PRICEDATE", "6/22/2018")</f>
        <v>#NAME?</v>
      </c>
      <c r="AC1134" s="16">
        <v>2754.8769951096001</v>
      </c>
    </row>
    <row r="1135" spans="26:29" x14ac:dyDescent="0.35">
      <c r="Z1135" s="4"/>
      <c r="AA1135" s="4"/>
      <c r="AB1135" s="4" t="e">
        <f ca="1">_xll.ciqfunctions.udf.CIQ("^SPX", "IQ_PRICEDATE", "6/25/2018")</f>
        <v>#NAME?</v>
      </c>
      <c r="AC1135" s="16">
        <v>2717.0742184511</v>
      </c>
    </row>
    <row r="1136" spans="26:29" x14ac:dyDescent="0.35">
      <c r="Z1136" s="4"/>
      <c r="AA1136" s="4"/>
      <c r="AB1136" s="4" t="e">
        <f ca="1">_xll.ciqfunctions.udf.CIQ("^SPX", "IQ_PRICEDATE", "6/26/2018")</f>
        <v>#NAME?</v>
      </c>
      <c r="AC1136" s="16">
        <v>2723.0588856282002</v>
      </c>
    </row>
    <row r="1137" spans="26:29" x14ac:dyDescent="0.35">
      <c r="Z1137" s="4"/>
      <c r="AA1137" s="4"/>
      <c r="AB1137" s="4" t="e">
        <f ca="1">_xll.ciqfunctions.udf.CIQ("^SPX", "IQ_PRICEDATE", "6/27/2018")</f>
        <v>#NAME?</v>
      </c>
      <c r="AC1137" s="16">
        <v>2699.6262029689001</v>
      </c>
    </row>
    <row r="1138" spans="26:29" x14ac:dyDescent="0.35">
      <c r="Z1138" s="4"/>
      <c r="AA1138" s="4"/>
      <c r="AB1138" s="4" t="e">
        <f ca="1">_xll.ciqfunctions.udf.CIQ("^SPX", "IQ_PRICEDATE", "6/28/2018")</f>
        <v>#NAME?</v>
      </c>
      <c r="AC1138" s="16">
        <v>2716.3099359139001</v>
      </c>
    </row>
    <row r="1139" spans="26:29" x14ac:dyDescent="0.35">
      <c r="Z1139" s="4"/>
      <c r="AA1139" s="4"/>
      <c r="AB1139" s="4" t="e">
        <f ca="1">_xll.ciqfunctions.udf.CIQ("^SPX", "IQ_PRICEDATE", "6/29/2018")</f>
        <v>#NAME?</v>
      </c>
      <c r="AC1139" s="16">
        <v>2718.3734650222</v>
      </c>
    </row>
    <row r="1140" spans="26:29" x14ac:dyDescent="0.35">
      <c r="Z1140" s="4"/>
      <c r="AA1140" s="4"/>
      <c r="AB1140" s="4" t="e">
        <f ca="1">_xll.ciqfunctions.udf.CIQ("^SPX", "IQ_PRICEDATE", "7/2/2018")</f>
        <v>#NAME?</v>
      </c>
      <c r="AC1140" s="16">
        <v>2726.7137643404999</v>
      </c>
    </row>
    <row r="1141" spans="26:29" x14ac:dyDescent="0.35">
      <c r="Z1141" s="4"/>
      <c r="AA1141" s="4"/>
      <c r="AB1141" s="4" t="e">
        <f ca="1">_xll.ciqfunctions.udf.CIQ("^SPX", "IQ_PRICEDATE", "7/3/2018")</f>
        <v>#NAME?</v>
      </c>
      <c r="AC1141" s="16">
        <v>2713.220886397</v>
      </c>
    </row>
    <row r="1142" spans="26:29" x14ac:dyDescent="0.35">
      <c r="Z1142" s="4"/>
      <c r="AA1142" s="4"/>
      <c r="AB1142" s="4" t="e">
        <f ca="1">_xll.ciqfunctions.udf.CIQ("^SPX", "IQ_PRICEDATE", "7/5/2018")</f>
        <v>#NAME?</v>
      </c>
      <c r="AC1142" s="16">
        <v>2736.612571228</v>
      </c>
    </row>
    <row r="1143" spans="26:29" x14ac:dyDescent="0.35">
      <c r="Z1143" s="4"/>
      <c r="AA1143" s="4"/>
      <c r="AB1143" s="4" t="e">
        <f ca="1">_xll.ciqfunctions.udf.CIQ("^SPX", "IQ_PRICEDATE", "7/6/2018")</f>
        <v>#NAME?</v>
      </c>
      <c r="AC1143" s="16">
        <v>2759.8219158252</v>
      </c>
    </row>
    <row r="1144" spans="26:29" x14ac:dyDescent="0.35">
      <c r="Z1144" s="4"/>
      <c r="AA1144" s="4"/>
      <c r="AB1144" s="4" t="e">
        <f ca="1">_xll.ciqfunctions.udf.CIQ("^SPX", "IQ_PRICEDATE", "7/9/2018")</f>
        <v>#NAME?</v>
      </c>
      <c r="AC1144" s="16">
        <v>2784.1732403668998</v>
      </c>
    </row>
    <row r="1145" spans="26:29" x14ac:dyDescent="0.35">
      <c r="Z1145" s="4"/>
      <c r="AA1145" s="4"/>
      <c r="AB1145" s="4" t="e">
        <f ca="1">_xll.ciqfunctions.udf.CIQ("^SPX", "IQ_PRICEDATE", "7/10/2018")</f>
        <v>#NAME?</v>
      </c>
      <c r="AC1145" s="16">
        <v>2793.8391511653999</v>
      </c>
    </row>
    <row r="1146" spans="26:29" x14ac:dyDescent="0.35">
      <c r="Z1146" s="4"/>
      <c r="AA1146" s="4"/>
      <c r="AB1146" s="4" t="e">
        <f ca="1">_xll.ciqfunctions.udf.CIQ("^SPX", "IQ_PRICEDATE", "7/11/2018")</f>
        <v>#NAME?</v>
      </c>
      <c r="AC1146" s="16">
        <v>2774.0174783796001</v>
      </c>
    </row>
    <row r="1147" spans="26:29" x14ac:dyDescent="0.35">
      <c r="Z1147" s="4"/>
      <c r="AA1147" s="4"/>
      <c r="AB1147" s="4" t="e">
        <f ca="1">_xll.ciqfunctions.udf.CIQ("^SPX", "IQ_PRICEDATE", "7/12/2018")</f>
        <v>#NAME?</v>
      </c>
      <c r="AC1147" s="16">
        <v>2798.2869223869002</v>
      </c>
    </row>
    <row r="1148" spans="26:29" x14ac:dyDescent="0.35">
      <c r="Z1148" s="4"/>
      <c r="AA1148" s="4"/>
      <c r="AB1148" s="4" t="e">
        <f ca="1">_xll.ciqfunctions.udf.CIQ("^SPX", "IQ_PRICEDATE", "7/13/2018")</f>
        <v>#NAME?</v>
      </c>
      <c r="AC1148" s="16">
        <v>2801.3113726616998</v>
      </c>
    </row>
    <row r="1149" spans="26:29" x14ac:dyDescent="0.35">
      <c r="Z1149" s="4"/>
      <c r="AA1149" s="4"/>
      <c r="AB1149" s="4" t="e">
        <f ca="1">_xll.ciqfunctions.udf.CIQ("^SPX", "IQ_PRICEDATE", "7/16/2018")</f>
        <v>#NAME?</v>
      </c>
      <c r="AC1149" s="16">
        <v>2798.4346041356998</v>
      </c>
    </row>
    <row r="1150" spans="26:29" x14ac:dyDescent="0.35">
      <c r="Z1150" s="4"/>
      <c r="AA1150" s="4"/>
      <c r="AB1150" s="4" t="e">
        <f ca="1">_xll.ciqfunctions.udf.CIQ("^SPX", "IQ_PRICEDATE", "7/17/2018")</f>
        <v>#NAME?</v>
      </c>
      <c r="AC1150" s="16">
        <v>2809.5516223514001</v>
      </c>
    </row>
    <row r="1151" spans="26:29" x14ac:dyDescent="0.35">
      <c r="Z1151" s="4"/>
      <c r="AA1151" s="4"/>
      <c r="AB1151" s="4" t="e">
        <f ca="1">_xll.ciqfunctions.udf.CIQ("^SPX", "IQ_PRICEDATE", "7/18/2018")</f>
        <v>#NAME?</v>
      </c>
      <c r="AC1151" s="16">
        <v>2815.6197843404002</v>
      </c>
    </row>
    <row r="1152" spans="26:29" x14ac:dyDescent="0.35">
      <c r="Z1152" s="4"/>
      <c r="AA1152" s="4"/>
      <c r="AB1152" s="4" t="e">
        <f ca="1">_xll.ciqfunctions.udf.CIQ("^SPX", "IQ_PRICEDATE", "7/19/2018")</f>
        <v>#NAME?</v>
      </c>
      <c r="AC1152" s="16">
        <v>2804.4934139565999</v>
      </c>
    </row>
    <row r="1153" spans="26:29" x14ac:dyDescent="0.35">
      <c r="Z1153" s="4"/>
      <c r="AA1153" s="4"/>
      <c r="AB1153" s="4" t="e">
        <f ca="1">_xll.ciqfunctions.udf.CIQ("^SPX", "IQ_PRICEDATE", "7/20/2018")</f>
        <v>#NAME?</v>
      </c>
      <c r="AC1153" s="16">
        <v>2801.8280880917</v>
      </c>
    </row>
    <row r="1154" spans="26:29" x14ac:dyDescent="0.35">
      <c r="Z1154" s="4"/>
      <c r="AA1154" s="4"/>
      <c r="AB1154" s="4" t="e">
        <f ca="1">_xll.ciqfunctions.udf.CIQ("^SPX", "IQ_PRICEDATE", "7/23/2018")</f>
        <v>#NAME?</v>
      </c>
      <c r="AC1154" s="16">
        <v>2806.9828988651002</v>
      </c>
    </row>
    <row r="1155" spans="26:29" x14ac:dyDescent="0.35">
      <c r="Z1155" s="4"/>
      <c r="AA1155" s="4"/>
      <c r="AB1155" s="4" t="e">
        <f ca="1">_xll.ciqfunctions.udf.CIQ("^SPX", "IQ_PRICEDATE", "7/24/2018")</f>
        <v>#NAME?</v>
      </c>
      <c r="AC1155" s="16">
        <v>2820.4041297202998</v>
      </c>
    </row>
    <row r="1156" spans="26:29" x14ac:dyDescent="0.35">
      <c r="Z1156" s="4"/>
      <c r="AA1156" s="4"/>
      <c r="AB1156" s="4" t="e">
        <f ca="1">_xll.ciqfunctions.udf.CIQ("^SPX", "IQ_PRICEDATE", "7/25/2018")</f>
        <v>#NAME?</v>
      </c>
      <c r="AC1156" s="16">
        <v>2846.0670433640998</v>
      </c>
    </row>
    <row r="1157" spans="26:29" x14ac:dyDescent="0.35">
      <c r="Z1157" s="4"/>
      <c r="AA1157" s="4"/>
      <c r="AB1157" s="4" t="e">
        <f ca="1">_xll.ciqfunctions.udf.CIQ("^SPX", "IQ_PRICEDATE", "7/26/2018")</f>
        <v>#NAME?</v>
      </c>
      <c r="AC1157" s="16">
        <v>2837.4399856340001</v>
      </c>
    </row>
    <row r="1158" spans="26:29" x14ac:dyDescent="0.35">
      <c r="Z1158" s="4"/>
      <c r="AA1158" s="4"/>
      <c r="AB1158" s="4" t="e">
        <f ca="1">_xll.ciqfunctions.udf.CIQ("^SPX", "IQ_PRICEDATE", "7/27/2018")</f>
        <v>#NAME?</v>
      </c>
      <c r="AC1158" s="16">
        <v>2818.8176262962002</v>
      </c>
    </row>
    <row r="1159" spans="26:29" x14ac:dyDescent="0.35">
      <c r="Z1159" s="4"/>
      <c r="AA1159" s="4"/>
      <c r="AB1159" s="4" t="e">
        <f ca="1">_xll.ciqfunctions.udf.CIQ("^SPX", "IQ_PRICEDATE", "7/30/2018")</f>
        <v>#NAME?</v>
      </c>
      <c r="AC1159" s="16">
        <v>2802.601445843</v>
      </c>
    </row>
    <row r="1160" spans="26:29" x14ac:dyDescent="0.35">
      <c r="Z1160" s="4"/>
      <c r="AA1160" s="4"/>
      <c r="AB1160" s="4" t="e">
        <f ca="1">_xll.ciqfunctions.udf.CIQ("^SPX", "IQ_PRICEDATE", "7/31/2018")</f>
        <v>#NAME?</v>
      </c>
      <c r="AC1160" s="16">
        <v>2816.2886310910999</v>
      </c>
    </row>
    <row r="1161" spans="26:29" x14ac:dyDescent="0.35">
      <c r="Z1161" s="4"/>
      <c r="AA1161" s="4"/>
      <c r="AB1161" s="4" t="e">
        <f ca="1">_xll.ciqfunctions.udf.CIQ("^SPX", "IQ_PRICEDATE", "8/1/2018")</f>
        <v>#NAME?</v>
      </c>
      <c r="AC1161" s="16">
        <v>2813.3649089529999</v>
      </c>
    </row>
    <row r="1162" spans="26:29" x14ac:dyDescent="0.35">
      <c r="Z1162" s="4"/>
      <c r="AA1162" s="4"/>
      <c r="AB1162" s="4" t="e">
        <f ca="1">_xll.ciqfunctions.udf.CIQ("^SPX", "IQ_PRICEDATE", "8/2/2018")</f>
        <v>#NAME?</v>
      </c>
      <c r="AC1162" s="16">
        <v>2827.2182583862</v>
      </c>
    </row>
    <row r="1163" spans="26:29" x14ac:dyDescent="0.35">
      <c r="Z1163" s="4"/>
      <c r="AA1163" s="4"/>
      <c r="AB1163" s="4" t="e">
        <f ca="1">_xll.ciqfunctions.udf.CIQ("^SPX", "IQ_PRICEDATE", "8/3/2018")</f>
        <v>#NAME?</v>
      </c>
      <c r="AC1163" s="16">
        <v>2840.3535543807998</v>
      </c>
    </row>
    <row r="1164" spans="26:29" x14ac:dyDescent="0.35">
      <c r="Z1164" s="4"/>
      <c r="AA1164" s="4"/>
      <c r="AB1164" s="4" t="e">
        <f ca="1">_xll.ciqfunctions.udf.CIQ("^SPX", "IQ_PRICEDATE", "8/6/2018")</f>
        <v>#NAME?</v>
      </c>
      <c r="AC1164" s="16">
        <v>2850.3965780045</v>
      </c>
    </row>
    <row r="1165" spans="26:29" x14ac:dyDescent="0.35">
      <c r="Z1165" s="4"/>
      <c r="AA1165" s="4"/>
      <c r="AB1165" s="4" t="e">
        <f ca="1">_xll.ciqfunctions.udf.CIQ("^SPX", "IQ_PRICEDATE", "8/7/2018")</f>
        <v>#NAME?</v>
      </c>
      <c r="AC1165" s="16">
        <v>2858.4515094494</v>
      </c>
    </row>
    <row r="1166" spans="26:29" x14ac:dyDescent="0.35">
      <c r="Z1166" s="4"/>
      <c r="AA1166" s="4"/>
      <c r="AB1166" s="4" t="e">
        <f ca="1">_xll.ciqfunctions.udf.CIQ("^SPX", "IQ_PRICEDATE", "8/8/2018")</f>
        <v>#NAME?</v>
      </c>
      <c r="AC1166" s="16">
        <v>2857.7044950281002</v>
      </c>
    </row>
    <row r="1167" spans="26:29" x14ac:dyDescent="0.35">
      <c r="Z1167" s="4"/>
      <c r="AA1167" s="4"/>
      <c r="AB1167" s="4" t="e">
        <f ca="1">_xll.ciqfunctions.udf.CIQ("^SPX", "IQ_PRICEDATE", "8/9/2018")</f>
        <v>#NAME?</v>
      </c>
      <c r="AC1167" s="16">
        <v>2853.5839477989998</v>
      </c>
    </row>
    <row r="1168" spans="26:29" x14ac:dyDescent="0.35">
      <c r="Z1168" s="4"/>
      <c r="AA1168" s="4"/>
      <c r="AB1168" s="4" t="e">
        <f ca="1">_xll.ciqfunctions.udf.CIQ("^SPX", "IQ_PRICEDATE", "8/10/2018")</f>
        <v>#NAME?</v>
      </c>
      <c r="AC1168" s="16">
        <v>2833.2836316821999</v>
      </c>
    </row>
    <row r="1169" spans="26:29" x14ac:dyDescent="0.35">
      <c r="Z1169" s="4"/>
      <c r="AA1169" s="4"/>
      <c r="AB1169" s="4" t="e">
        <f ca="1">_xll.ciqfunctions.udf.CIQ("^SPX", "IQ_PRICEDATE", "8/13/2018")</f>
        <v>#NAME?</v>
      </c>
      <c r="AC1169" s="16">
        <v>2821.9282342060001</v>
      </c>
    </row>
    <row r="1170" spans="26:29" x14ac:dyDescent="0.35">
      <c r="Z1170" s="4"/>
      <c r="AA1170" s="4"/>
      <c r="AB1170" s="4" t="e">
        <f ca="1">_xll.ciqfunctions.udf.CIQ("^SPX", "IQ_PRICEDATE", "8/14/2018")</f>
        <v>#NAME?</v>
      </c>
      <c r="AC1170" s="16">
        <v>2839.955390868</v>
      </c>
    </row>
    <row r="1171" spans="26:29" x14ac:dyDescent="0.35">
      <c r="Z1171" s="4"/>
      <c r="AA1171" s="4"/>
      <c r="AB1171" s="4" t="e">
        <f ca="1">_xll.ciqfunctions.udf.CIQ("^SPX", "IQ_PRICEDATE", "8/15/2018")</f>
        <v>#NAME?</v>
      </c>
      <c r="AC1171" s="16">
        <v>2818.3730198970002</v>
      </c>
    </row>
    <row r="1172" spans="26:29" x14ac:dyDescent="0.35">
      <c r="Z1172" s="4"/>
      <c r="AA1172" s="4"/>
      <c r="AB1172" s="4" t="e">
        <f ca="1">_xll.ciqfunctions.udf.CIQ("^SPX", "IQ_PRICEDATE", "8/16/2018")</f>
        <v>#NAME?</v>
      </c>
      <c r="AC1172" s="16">
        <v>2840.6879724707001</v>
      </c>
    </row>
    <row r="1173" spans="26:29" x14ac:dyDescent="0.35">
      <c r="Z1173" s="4"/>
      <c r="AA1173" s="4"/>
      <c r="AB1173" s="4" t="e">
        <f ca="1">_xll.ciqfunctions.udf.CIQ("^SPX", "IQ_PRICEDATE", "8/17/2018")</f>
        <v>#NAME?</v>
      </c>
      <c r="AC1173" s="16">
        <v>2850.1316116040998</v>
      </c>
    </row>
    <row r="1174" spans="26:29" x14ac:dyDescent="0.35">
      <c r="Z1174" s="4"/>
      <c r="AA1174" s="4"/>
      <c r="AB1174" s="4" t="e">
        <f ca="1">_xll.ciqfunctions.udf.CIQ("^SPX", "IQ_PRICEDATE", "8/20/2018")</f>
        <v>#NAME?</v>
      </c>
      <c r="AC1174" s="16">
        <v>2857.0540072342001</v>
      </c>
    </row>
    <row r="1175" spans="26:29" x14ac:dyDescent="0.35">
      <c r="Z1175" s="4"/>
      <c r="AA1175" s="4"/>
      <c r="AB1175" s="4" t="e">
        <f ca="1">_xll.ciqfunctions.udf.CIQ("^SPX", "IQ_PRICEDATE", "8/21/2018")</f>
        <v>#NAME?</v>
      </c>
      <c r="AC1175" s="16">
        <v>2862.9569880949002</v>
      </c>
    </row>
    <row r="1176" spans="26:29" x14ac:dyDescent="0.35">
      <c r="Z1176" s="4"/>
      <c r="AA1176" s="4"/>
      <c r="AB1176" s="4" t="e">
        <f ca="1">_xll.ciqfunctions.udf.CIQ("^SPX", "IQ_PRICEDATE", "8/22/2018")</f>
        <v>#NAME?</v>
      </c>
      <c r="AC1176" s="16">
        <v>2861.8246299142002</v>
      </c>
    </row>
    <row r="1177" spans="26:29" x14ac:dyDescent="0.35">
      <c r="Z1177" s="4"/>
      <c r="AA1177" s="4"/>
      <c r="AB1177" s="4" t="e">
        <f ca="1">_xll.ciqfunctions.udf.CIQ("^SPX", "IQ_PRICEDATE", "8/23/2018")</f>
        <v>#NAME?</v>
      </c>
      <c r="AC1177" s="16">
        <v>2856.9805412893002</v>
      </c>
    </row>
    <row r="1178" spans="26:29" x14ac:dyDescent="0.35">
      <c r="Z1178" s="4"/>
      <c r="AA1178" s="4"/>
      <c r="AB1178" s="4" t="e">
        <f ca="1">_xll.ciqfunctions.udf.CIQ("^SPX", "IQ_PRICEDATE", "8/24/2018")</f>
        <v>#NAME?</v>
      </c>
      <c r="AC1178" s="16">
        <v>2874.6891438910998</v>
      </c>
    </row>
    <row r="1179" spans="26:29" x14ac:dyDescent="0.35">
      <c r="Z1179" s="4"/>
      <c r="AA1179" s="4"/>
      <c r="AB1179" s="4" t="e">
        <f ca="1">_xll.ciqfunctions.udf.CIQ("^SPX", "IQ_PRICEDATE", "8/27/2018")</f>
        <v>#NAME?</v>
      </c>
      <c r="AC1179" s="16">
        <v>2896.7356353035002</v>
      </c>
    </row>
    <row r="1180" spans="26:29" x14ac:dyDescent="0.35">
      <c r="Z1180" s="4"/>
      <c r="AA1180" s="4"/>
      <c r="AB1180" s="4" t="e">
        <f ca="1">_xll.ciqfunctions.udf.CIQ("^SPX", "IQ_PRICEDATE", "8/28/2018")</f>
        <v>#NAME?</v>
      </c>
      <c r="AC1180" s="16">
        <v>2897.5220448636001</v>
      </c>
    </row>
    <row r="1181" spans="26:29" x14ac:dyDescent="0.35">
      <c r="Z1181" s="4"/>
      <c r="AA1181" s="4"/>
      <c r="AB1181" s="4" t="e">
        <f ca="1">_xll.ciqfunctions.udf.CIQ("^SPX", "IQ_PRICEDATE", "8/29/2018")</f>
        <v>#NAME?</v>
      </c>
      <c r="AC1181" s="16">
        <v>2914.0413654341</v>
      </c>
    </row>
    <row r="1182" spans="26:29" x14ac:dyDescent="0.35">
      <c r="Z1182" s="4"/>
      <c r="AA1182" s="4"/>
      <c r="AB1182" s="4" t="e">
        <f ca="1">_xll.ciqfunctions.udf.CIQ("^SPX", "IQ_PRICEDATE", "8/30/2018")</f>
        <v>#NAME?</v>
      </c>
      <c r="AC1182" s="16">
        <v>2901.1265962030002</v>
      </c>
    </row>
    <row r="1183" spans="26:29" x14ac:dyDescent="0.35">
      <c r="Z1183" s="4"/>
      <c r="AA1183" s="4"/>
      <c r="AB1183" s="4" t="e">
        <f ca="1">_xll.ciqfunctions.udf.CIQ("^SPX", "IQ_PRICEDATE", "8/31/2018")</f>
        <v>#NAME?</v>
      </c>
      <c r="AC1183" s="16">
        <v>2901.5176770405001</v>
      </c>
    </row>
    <row r="1184" spans="26:29" x14ac:dyDescent="0.35">
      <c r="Z1184" s="4"/>
      <c r="AA1184" s="4"/>
      <c r="AB1184" s="4" t="e">
        <f ca="1">_xll.ciqfunctions.udf.CIQ("^SPX", "IQ_PRICEDATE", "9/4/2018")</f>
        <v>#NAME?</v>
      </c>
      <c r="AC1184" s="16">
        <v>2896.7232861861999</v>
      </c>
    </row>
    <row r="1185" spans="26:29" x14ac:dyDescent="0.35">
      <c r="Z1185" s="4"/>
      <c r="AA1185" s="4"/>
      <c r="AB1185" s="4" t="e">
        <f ca="1">_xll.ciqfunctions.udf.CIQ("^SPX", "IQ_PRICEDATE", "9/5/2018")</f>
        <v>#NAME?</v>
      </c>
      <c r="AC1185" s="16">
        <v>2888.6017988977001</v>
      </c>
    </row>
    <row r="1186" spans="26:29" x14ac:dyDescent="0.35">
      <c r="Z1186" s="4"/>
      <c r="AA1186" s="4"/>
      <c r="AB1186" s="4" t="e">
        <f ca="1">_xll.ciqfunctions.udf.CIQ("^SPX", "IQ_PRICEDATE", "9/6/2018")</f>
        <v>#NAME?</v>
      </c>
      <c r="AC1186" s="16">
        <v>2878.0524329330001</v>
      </c>
    </row>
    <row r="1187" spans="26:29" x14ac:dyDescent="0.35">
      <c r="Z1187" s="4"/>
      <c r="AA1187" s="4"/>
      <c r="AB1187" s="4" t="e">
        <f ca="1">_xll.ciqfunctions.udf.CIQ("^SPX", "IQ_PRICEDATE", "9/7/2018")</f>
        <v>#NAME?</v>
      </c>
      <c r="AC1187" s="16">
        <v>2871.6815283021001</v>
      </c>
    </row>
    <row r="1188" spans="26:29" x14ac:dyDescent="0.35">
      <c r="Z1188" s="4"/>
      <c r="AA1188" s="4"/>
      <c r="AB1188" s="4" t="e">
        <f ca="1">_xll.ciqfunctions.udf.CIQ("^SPX", "IQ_PRICEDATE", "9/10/2018")</f>
        <v>#NAME?</v>
      </c>
      <c r="AC1188" s="16">
        <v>2877.1261459303</v>
      </c>
    </row>
    <row r="1189" spans="26:29" x14ac:dyDescent="0.35">
      <c r="Z1189" s="4"/>
      <c r="AA1189" s="4"/>
      <c r="AB1189" s="4" t="e">
        <f ca="1">_xll.ciqfunctions.udf.CIQ("^SPX", "IQ_PRICEDATE", "9/11/2018")</f>
        <v>#NAME?</v>
      </c>
      <c r="AC1189" s="16">
        <v>2887.8937973604002</v>
      </c>
    </row>
    <row r="1190" spans="26:29" x14ac:dyDescent="0.35">
      <c r="Z1190" s="4"/>
      <c r="AA1190" s="4"/>
      <c r="AB1190" s="4" t="e">
        <f ca="1">_xll.ciqfunctions.udf.CIQ("^SPX", "IQ_PRICEDATE", "9/12/2018")</f>
        <v>#NAME?</v>
      </c>
      <c r="AC1190" s="16">
        <v>2888.9166550290001</v>
      </c>
    </row>
    <row r="1191" spans="26:29" x14ac:dyDescent="0.35">
      <c r="Z1191" s="4"/>
      <c r="AA1191" s="4"/>
      <c r="AB1191" s="4" t="e">
        <f ca="1">_xll.ciqfunctions.udf.CIQ("^SPX", "IQ_PRICEDATE", "9/13/2018")</f>
        <v>#NAME?</v>
      </c>
      <c r="AC1191" s="16">
        <v>2904.183860264</v>
      </c>
    </row>
    <row r="1192" spans="26:29" x14ac:dyDescent="0.35">
      <c r="Z1192" s="4"/>
      <c r="AA1192" s="4"/>
      <c r="AB1192" s="4" t="e">
        <f ca="1">_xll.ciqfunctions.udf.CIQ("^SPX", "IQ_PRICEDATE", "9/14/2018")</f>
        <v>#NAME?</v>
      </c>
      <c r="AC1192" s="16">
        <v>2904.9753853013999</v>
      </c>
    </row>
    <row r="1193" spans="26:29" x14ac:dyDescent="0.35">
      <c r="Z1193" s="4"/>
      <c r="AA1193" s="4"/>
      <c r="AB1193" s="4" t="e">
        <f ca="1">_xll.ciqfunctions.udf.CIQ("^SPX", "IQ_PRICEDATE", "9/17/2018")</f>
        <v>#NAME?</v>
      </c>
      <c r="AC1193" s="16">
        <v>2888.8011449655</v>
      </c>
    </row>
    <row r="1194" spans="26:29" x14ac:dyDescent="0.35">
      <c r="Z1194" s="4"/>
      <c r="AA1194" s="4"/>
      <c r="AB1194" s="4" t="e">
        <f ca="1">_xll.ciqfunctions.udf.CIQ("^SPX", "IQ_PRICEDATE", "9/18/2018")</f>
        <v>#NAME?</v>
      </c>
      <c r="AC1194" s="16">
        <v>2904.3106462578999</v>
      </c>
    </row>
    <row r="1195" spans="26:29" x14ac:dyDescent="0.35">
      <c r="Z1195" s="4"/>
      <c r="AA1195" s="4"/>
      <c r="AB1195" s="4" t="e">
        <f ca="1">_xll.ciqfunctions.udf.CIQ("^SPX", "IQ_PRICEDATE", "9/19/2018")</f>
        <v>#NAME?</v>
      </c>
      <c r="AC1195" s="16">
        <v>2907.9453942373002</v>
      </c>
    </row>
    <row r="1196" spans="26:29" x14ac:dyDescent="0.35">
      <c r="Z1196" s="4"/>
      <c r="AA1196" s="4"/>
      <c r="AB1196" s="4" t="e">
        <f ca="1">_xll.ciqfunctions.udf.CIQ("^SPX", "IQ_PRICEDATE", "9/20/2018")</f>
        <v>#NAME?</v>
      </c>
      <c r="AC1196" s="16">
        <v>2930.7461520994998</v>
      </c>
    </row>
    <row r="1197" spans="26:29" x14ac:dyDescent="0.35">
      <c r="Z1197" s="4"/>
      <c r="AA1197" s="4"/>
      <c r="AB1197" s="4" t="e">
        <f ca="1">_xll.ciqfunctions.udf.CIQ("^SPX", "IQ_PRICEDATE", "9/21/2018")</f>
        <v>#NAME?</v>
      </c>
      <c r="AC1197" s="16">
        <v>2929.6671956252999</v>
      </c>
    </row>
    <row r="1198" spans="26:29" x14ac:dyDescent="0.35">
      <c r="Z1198" s="4"/>
      <c r="AA1198" s="4"/>
      <c r="AB1198" s="4" t="e">
        <f ca="1">_xll.ciqfunctions.udf.CIQ("^SPX", "IQ_PRICEDATE", "9/24/2018")</f>
        <v>#NAME?</v>
      </c>
      <c r="AC1198" s="16">
        <v>2919.3731493785999</v>
      </c>
    </row>
    <row r="1199" spans="26:29" x14ac:dyDescent="0.35">
      <c r="Z1199" s="4"/>
      <c r="AA1199" s="4"/>
      <c r="AB1199" s="4" t="e">
        <f ca="1">_xll.ciqfunctions.udf.CIQ("^SPX", "IQ_PRICEDATE", "9/25/2018")</f>
        <v>#NAME?</v>
      </c>
      <c r="AC1199" s="16">
        <v>2915.5642837762998</v>
      </c>
    </row>
    <row r="1200" spans="26:29" x14ac:dyDescent="0.35">
      <c r="Z1200" s="4"/>
      <c r="AA1200" s="4"/>
      <c r="AB1200" s="4" t="e">
        <f ca="1">_xll.ciqfunctions.udf.CIQ("^SPX", "IQ_PRICEDATE", "9/26/2018")</f>
        <v>#NAME?</v>
      </c>
      <c r="AC1200" s="16">
        <v>2905.9655876406</v>
      </c>
    </row>
    <row r="1201" spans="26:29" x14ac:dyDescent="0.35">
      <c r="Z1201" s="4"/>
      <c r="AA1201" s="4"/>
      <c r="AB1201" s="4" t="e">
        <f ca="1">_xll.ciqfunctions.udf.CIQ("^SPX", "IQ_PRICEDATE", "9/27/2018")</f>
        <v>#NAME?</v>
      </c>
      <c r="AC1201" s="16">
        <v>2913.9981861058</v>
      </c>
    </row>
    <row r="1202" spans="26:29" x14ac:dyDescent="0.35">
      <c r="Z1202" s="4"/>
      <c r="AA1202" s="4"/>
      <c r="AB1202" s="4" t="e">
        <f ca="1">_xll.ciqfunctions.udf.CIQ("^SPX", "IQ_PRICEDATE", "9/28/2018")</f>
        <v>#NAME?</v>
      </c>
      <c r="AC1202" s="16">
        <v>2913.978139886</v>
      </c>
    </row>
    <row r="1203" spans="26:29" x14ac:dyDescent="0.35">
      <c r="Z1203" s="4"/>
      <c r="AA1203" s="4"/>
      <c r="AB1203" s="4" t="e">
        <f ca="1">_xll.ciqfunctions.udf.CIQ("^SPX", "IQ_PRICEDATE", "10/1/2018")</f>
        <v>#NAME?</v>
      </c>
      <c r="AC1203" s="16">
        <v>2924.5909370456002</v>
      </c>
    </row>
    <row r="1204" spans="26:29" x14ac:dyDescent="0.35">
      <c r="Z1204" s="4"/>
      <c r="AA1204" s="4"/>
      <c r="AB1204" s="4" t="e">
        <f ca="1">_xll.ciqfunctions.udf.CIQ("^SPX", "IQ_PRICEDATE", "10/2/2018")</f>
        <v>#NAME?</v>
      </c>
      <c r="AC1204" s="16">
        <v>2923.4334526643001</v>
      </c>
    </row>
    <row r="1205" spans="26:29" x14ac:dyDescent="0.35">
      <c r="Z1205" s="4"/>
      <c r="AA1205" s="4"/>
      <c r="AB1205" s="4" t="e">
        <f ca="1">_xll.ciqfunctions.udf.CIQ("^SPX", "IQ_PRICEDATE", "10/3/2018")</f>
        <v>#NAME?</v>
      </c>
      <c r="AC1205" s="16">
        <v>2925.5130376727998</v>
      </c>
    </row>
    <row r="1206" spans="26:29" x14ac:dyDescent="0.35">
      <c r="Z1206" s="4"/>
      <c r="AA1206" s="4"/>
      <c r="AB1206" s="4" t="e">
        <f ca="1">_xll.ciqfunctions.udf.CIQ("^SPX", "IQ_PRICEDATE", "10/4/2018")</f>
        <v>#NAME?</v>
      </c>
      <c r="AC1206" s="16">
        <v>2901.6114880516998</v>
      </c>
    </row>
    <row r="1207" spans="26:29" x14ac:dyDescent="0.35">
      <c r="Z1207" s="4"/>
      <c r="AA1207" s="4"/>
      <c r="AB1207" s="4" t="e">
        <f ca="1">_xll.ciqfunctions.udf.CIQ("^SPX", "IQ_PRICEDATE", "10/5/2018")</f>
        <v>#NAME?</v>
      </c>
      <c r="AC1207" s="16">
        <v>2885.5662522712</v>
      </c>
    </row>
    <row r="1208" spans="26:29" x14ac:dyDescent="0.35">
      <c r="Z1208" s="4"/>
      <c r="AA1208" s="4"/>
      <c r="AB1208" s="4" t="e">
        <f ca="1">_xll.ciqfunctions.udf.CIQ("^SPX", "IQ_PRICEDATE", "10/8/2018")</f>
        <v>#NAME?</v>
      </c>
      <c r="AC1208" s="16">
        <v>2884.4326743419001</v>
      </c>
    </row>
    <row r="1209" spans="26:29" x14ac:dyDescent="0.35">
      <c r="Z1209" s="4"/>
      <c r="AA1209" s="4"/>
      <c r="AB1209" s="4" t="e">
        <f ca="1">_xll.ciqfunctions.udf.CIQ("^SPX", "IQ_PRICEDATE", "10/9/2018")</f>
        <v>#NAME?</v>
      </c>
      <c r="AC1209" s="16">
        <v>2880.3437116677001</v>
      </c>
    </row>
    <row r="1210" spans="26:29" x14ac:dyDescent="0.35">
      <c r="Z1210" s="4"/>
      <c r="AA1210" s="4"/>
      <c r="AB1210" s="4" t="e">
        <f ca="1">_xll.ciqfunctions.udf.CIQ("^SPX", "IQ_PRICEDATE", "10/10/2018")</f>
        <v>#NAME?</v>
      </c>
      <c r="AC1210" s="16">
        <v>2785.6791790991001</v>
      </c>
    </row>
    <row r="1211" spans="26:29" x14ac:dyDescent="0.35">
      <c r="Z1211" s="4"/>
      <c r="AA1211" s="4"/>
      <c r="AB1211" s="4" t="e">
        <f ca="1">_xll.ciqfunctions.udf.CIQ("^SPX", "IQ_PRICEDATE", "10/11/2018")</f>
        <v>#NAME?</v>
      </c>
      <c r="AC1211" s="16">
        <v>2728.3662914993001</v>
      </c>
    </row>
    <row r="1212" spans="26:29" x14ac:dyDescent="0.35">
      <c r="Z1212" s="4"/>
      <c r="AA1212" s="4"/>
      <c r="AB1212" s="4" t="e">
        <f ca="1">_xll.ciqfunctions.udf.CIQ("^SPX", "IQ_PRICEDATE", "10/12/2018")</f>
        <v>#NAME?</v>
      </c>
      <c r="AC1212" s="16">
        <v>2767.1260181809998</v>
      </c>
    </row>
    <row r="1213" spans="26:29" x14ac:dyDescent="0.35">
      <c r="Z1213" s="4"/>
      <c r="AA1213" s="4"/>
      <c r="AB1213" s="4" t="e">
        <f ca="1">_xll.ciqfunctions.udf.CIQ("^SPX", "IQ_PRICEDATE", "10/15/2018")</f>
        <v>#NAME?</v>
      </c>
      <c r="AC1213" s="16">
        <v>2750.7860409097998</v>
      </c>
    </row>
    <row r="1214" spans="26:29" x14ac:dyDescent="0.35">
      <c r="AB1214" s="4" t="e">
        <f ca="1">_xll.ciqfunctions.udf.CIQ("^SPX", "IQ_PRICEDATE", "10/16/2018")</f>
        <v>#NAME?</v>
      </c>
      <c r="AC1214" s="16">
        <v>2809.9156707527</v>
      </c>
    </row>
    <row r="1215" spans="26:29" x14ac:dyDescent="0.35">
      <c r="AB1215" s="4" t="e">
        <f ca="1">_xll.ciqfunctions.udf.CIQ("^SPX", "IQ_PRICEDATE", "10/17/2018")</f>
        <v>#NAME?</v>
      </c>
      <c r="AC1215" s="16">
        <v>2809.2090822675</v>
      </c>
    </row>
  </sheetData>
  <mergeCells count="8">
    <mergeCell ref="D1:F1"/>
    <mergeCell ref="N4:Y4"/>
    <mergeCell ref="N5:O5"/>
    <mergeCell ref="P5:Q5"/>
    <mergeCell ref="R5:S5"/>
    <mergeCell ref="T5:U5"/>
    <mergeCell ref="V5:W5"/>
    <mergeCell ref="X5:Y5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Macro_Verti1">
                <anchor moveWithCells="1" sizeWithCells="1">
                  <from>
                    <xdr:col>4</xdr:col>
                    <xdr:colOff>400050</xdr:colOff>
                    <xdr:row>2</xdr:row>
                    <xdr:rowOff>76200</xdr:rowOff>
                  </from>
                  <to>
                    <xdr:col>5</xdr:col>
                    <xdr:colOff>279400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C1215"/>
  <sheetViews>
    <sheetView tabSelected="1" topLeftCell="A10" zoomScale="90" zoomScaleNormal="90" workbookViewId="0">
      <selection activeCell="A11" sqref="A11"/>
    </sheetView>
  </sheetViews>
  <sheetFormatPr defaultRowHeight="14.5" x14ac:dyDescent="0.35"/>
  <cols>
    <col min="1" max="1" width="26.54296875" bestFit="1" customWidth="1"/>
    <col min="2" max="2" width="15.54296875" bestFit="1" customWidth="1"/>
    <col min="3" max="3" width="23.1796875" bestFit="1" customWidth="1"/>
    <col min="4" max="4" width="14.7265625" bestFit="1" customWidth="1"/>
    <col min="5" max="5" width="23.7265625" bestFit="1" customWidth="1"/>
    <col min="6" max="6" width="22.26953125" customWidth="1"/>
    <col min="7" max="7" width="19.453125" customWidth="1"/>
    <col min="8" max="8" width="21.1796875" bestFit="1" customWidth="1"/>
    <col min="9" max="9" width="23.453125" bestFit="1" customWidth="1"/>
    <col min="10" max="10" width="19.81640625" bestFit="1" customWidth="1"/>
    <col min="11" max="11" width="14.453125" bestFit="1" customWidth="1"/>
    <col min="12" max="12" width="20.26953125" bestFit="1" customWidth="1"/>
    <col min="13" max="13" width="20.453125" bestFit="1" customWidth="1"/>
    <col min="14" max="17" width="13.453125" customWidth="1"/>
    <col min="18" max="18" width="10.453125" bestFit="1" customWidth="1"/>
    <col min="19" max="25" width="13.453125" customWidth="1"/>
    <col min="28" max="28" width="11.54296875" bestFit="1" customWidth="1"/>
    <col min="29" max="29" width="11.81640625" bestFit="1" customWidth="1"/>
  </cols>
  <sheetData>
    <row r="1" spans="1:29" ht="23.5" x14ac:dyDescent="0.55000000000000004">
      <c r="A1" t="s">
        <v>0</v>
      </c>
      <c r="B1" s="1" t="s">
        <v>1</v>
      </c>
      <c r="D1" s="21" t="e">
        <f ca="1">IF($B$1="","",_xll.ciqfunctions.udf.CIQ($B$1,"iq_company_name"))</f>
        <v>#NAME?</v>
      </c>
      <c r="E1" s="21"/>
      <c r="F1" s="21"/>
    </row>
    <row r="2" spans="1:29" x14ac:dyDescent="0.35">
      <c r="A2" t="s">
        <v>3</v>
      </c>
      <c r="B2" s="1" t="s">
        <v>4</v>
      </c>
    </row>
    <row r="3" spans="1:29" x14ac:dyDescent="0.35">
      <c r="A3" t="s">
        <v>2</v>
      </c>
      <c r="B3" s="13" t="e">
        <f ca="1">_xll.ciqfunctions.udf.CIQGETDATE(IQ_TODAY)</f>
        <v>#NAME?</v>
      </c>
      <c r="AB3" s="12"/>
      <c r="AC3" s="13"/>
    </row>
    <row r="4" spans="1:29" x14ac:dyDescent="0.35">
      <c r="A4" t="s">
        <v>1715</v>
      </c>
      <c r="B4" s="13">
        <v>41639</v>
      </c>
      <c r="G4" s="11">
        <f>IQ_LTM</f>
        <v>2000</v>
      </c>
      <c r="H4" s="11">
        <f>IQ_NTM</f>
        <v>6000</v>
      </c>
      <c r="N4" s="22" t="s">
        <v>1712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AB4" s="12"/>
    </row>
    <row r="5" spans="1:29" ht="15.5" x14ac:dyDescent="0.35">
      <c r="M5" t="s">
        <v>523</v>
      </c>
      <c r="N5" s="23">
        <v>43388</v>
      </c>
      <c r="O5" s="24"/>
      <c r="P5" s="23">
        <v>43100</v>
      </c>
      <c r="Q5" s="24"/>
      <c r="R5" s="23">
        <v>42735</v>
      </c>
      <c r="S5" s="24"/>
      <c r="T5" s="23">
        <v>42369</v>
      </c>
      <c r="U5" s="24"/>
      <c r="V5" s="23">
        <v>42004</v>
      </c>
      <c r="W5" s="24"/>
      <c r="X5" s="23">
        <v>42004</v>
      </c>
      <c r="Y5" s="24"/>
      <c r="AB5" s="20" t="e">
        <f ca="1">D1&amp;" Values"</f>
        <v>#NAME?</v>
      </c>
    </row>
    <row r="6" spans="1:29" ht="43.5" x14ac:dyDescent="0.35">
      <c r="A6" s="5" t="e">
        <f ca="1">_xll.ciqfunctions.udf.CIQRANGE($B$1,"IQ_CONSTITUENTS",1,,,,,,"Constituents")</f>
        <v>#NAME?</v>
      </c>
      <c r="B6" s="5" t="s">
        <v>5</v>
      </c>
      <c r="C6" s="5" t="s">
        <v>6</v>
      </c>
      <c r="D6" s="5" t="s">
        <v>7</v>
      </c>
      <c r="E6" s="5" t="s">
        <v>8</v>
      </c>
      <c r="F6" s="5" t="s">
        <v>9</v>
      </c>
      <c r="G6" s="6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18" t="s">
        <v>1713</v>
      </c>
      <c r="O6" s="18" t="s">
        <v>1714</v>
      </c>
      <c r="P6" s="18" t="s">
        <v>1713</v>
      </c>
      <c r="Q6" s="18" t="s">
        <v>1714</v>
      </c>
      <c r="R6" s="18" t="s">
        <v>1713</v>
      </c>
      <c r="S6" s="18" t="s">
        <v>1714</v>
      </c>
      <c r="T6" s="18" t="s">
        <v>1713</v>
      </c>
      <c r="U6" s="18" t="s">
        <v>1714</v>
      </c>
      <c r="V6" s="18" t="s">
        <v>1713</v>
      </c>
      <c r="W6" s="18" t="s">
        <v>1714</v>
      </c>
      <c r="X6" s="18" t="s">
        <v>1713</v>
      </c>
      <c r="Y6" s="18" t="s">
        <v>1714</v>
      </c>
      <c r="Z6" s="7"/>
      <c r="AA6" s="8"/>
      <c r="AB6" s="9" t="e">
        <f ca="1">_xll.ciqfunctions.udf.CIQRANGE($B$1,"IQ_PRICEDATE",$B$4,$B$3,,,,,"Date")</f>
        <v>#NAME?</v>
      </c>
      <c r="AC6" s="7" t="s">
        <v>522</v>
      </c>
    </row>
    <row r="7" spans="1:29" x14ac:dyDescent="0.35">
      <c r="A7" s="2" t="s">
        <v>17</v>
      </c>
      <c r="B7" s="4" t="e">
        <f ca="1">IF($A7="","",_xll.ciqfunctions.udf.CIQ($A7,"IQ_COMPANY_NAME"))</f>
        <v>#NAME?</v>
      </c>
      <c r="C7" s="4" t="e">
        <f ca="1">IF($A7="","",_xll.ciqfunctions.udf.CIQ($A7,"IQ_INDUSTRY_SECTOR"))</f>
        <v>#NAME?</v>
      </c>
      <c r="D7" s="4" t="e">
        <f ca="1">IF($A7="","",_xll.ciqfunctions.udf.CIQ($A7,"IQ_INDUSTRY_GROUP"))</f>
        <v>#NAME?</v>
      </c>
      <c r="E7" s="4" t="e">
        <f ca="1">IF($A7="","",_xll.ciqfunctions.udf.CIQ($A7,"IQ_INDUSTRY"))</f>
        <v>#NAME?</v>
      </c>
      <c r="F7" s="4" t="e">
        <f ca="1">IF($A7="","",_xll.ciqfunctions.udf.CIQ($A7,"IQ_PRIMARY_INDUSTRY"))</f>
        <v>#NAME?</v>
      </c>
      <c r="G7" s="14" t="e">
        <f ca="1">IF($A7="","",_xll.ciqfunctions.udf.CIQ($A7,"IQ_CLOSEPRICE_ADJ",$B$3,$B$2))</f>
        <v>#NAME?</v>
      </c>
      <c r="H7" s="10" t="e">
        <f ca="1">IF($A7="","",_xll.ciqfunctions.udf.CIQ($A7,"IQ_TEV_EBITDA",$G$4,$B$3))</f>
        <v>#NAME?</v>
      </c>
      <c r="I7" s="10" t="e">
        <f ca="1">IF($A7="","",_xll.ciqfunctions.udf.CIQ($A7,"IQ_PE_EXCL",$G$4,$B$3))</f>
        <v>#NAME?</v>
      </c>
      <c r="J7" s="10" t="e">
        <f ca="1">IF($A7="","",_xll.ciqfunctions.udf.CIQ($A7,"IQ_PTBV",$G$4,$B$3))</f>
        <v>#NAME?</v>
      </c>
      <c r="K7" s="15" t="str">
        <f ca="1">IF($A7="","",IF(ISERROR(_xll.ciqfunctions.udf.CIQ($A7,"IQ_DIVIDEND_YIELD",$B$3)/100),"NA",_xll.ciqfunctions.udf.CIQ($A7,"IQ_DIVIDEND_YIELD",$B$3)/100))</f>
        <v>NA</v>
      </c>
      <c r="L7" s="17" t="e">
        <f ca="1">IF($A7="","",_xll.ciqfunctions.udf.CIQ($A7,"IQ_MARKETCAP",$B$3,$B$2))</f>
        <v>#NAME?</v>
      </c>
      <c r="M7" s="4" t="e">
        <f ca="1">IF($A7="","",_xll.ciqfunctions.udf.CIQ($A7,"IQ_COMPANY_ADDRESS"))</f>
        <v>#NAME?</v>
      </c>
      <c r="N7" s="19" t="e">
        <f ca="1">IF($A7="","",_xll.ciqfunctions.udf.CIQ($A7,"IQ_DILUT_EPS_EXCL",$G$4,$N$5,,,$B$2))</f>
        <v>#NAME?</v>
      </c>
      <c r="O7" s="19" t="e">
        <f ca="1">IF($A7="","",_xll.ciqfunctions.udf.CIQ($A7,"IQ_EPS_EST",$H$4,$N$5,,,$B$2))</f>
        <v>#NAME?</v>
      </c>
      <c r="P7" s="19" t="e">
        <f ca="1">IF($A7="","",_xll.ciqfunctions.udf.CIQ($A7,"IQ_DILUT_EPS_EXCL",G$4,$P$5,,,$B$2))</f>
        <v>#NAME?</v>
      </c>
      <c r="Q7" s="19" t="e">
        <f ca="1">IF($A7="","",_xll.ciqfunctions.udf.CIQ($A7,"IQ_EPS_EST",H$4,$P$5,,,$B$2))</f>
        <v>#NAME?</v>
      </c>
      <c r="R7" s="19" t="e">
        <f ca="1">IF($A7="","",_xll.ciqfunctions.udf.CIQ($A7,"IQ_DILUT_EPS_EXCL",G$4,$R$5,,,$B$2))</f>
        <v>#NAME?</v>
      </c>
      <c r="S7" s="19" t="e">
        <f ca="1">IF($A7="","",_xll.ciqfunctions.udf.CIQ($A7,"IQ_EPS_EST",H$4,$R$5,,,$B$2))</f>
        <v>#NAME?</v>
      </c>
      <c r="T7" s="19" t="e">
        <f ca="1">IF($A7="","",_xll.ciqfunctions.udf.CIQ($A7,"IQ_DILUT_EPS_EXCL",$G$4,$R$5,,,$B$2))</f>
        <v>#NAME?</v>
      </c>
      <c r="U7" s="19" t="e">
        <f ca="1">IF($A7="","",_xll.ciqfunctions.udf.CIQ($A7,"IQ_EPS_EST",H$4,$T$5,,,$B$2))</f>
        <v>#NAME?</v>
      </c>
      <c r="V7" s="19" t="e">
        <f ca="1">IF($A7="","",_xll.ciqfunctions.udf.CIQ($A7,"IQ_DILUT_EPS_EXCL",G$4,$V$5,,,$B$2))</f>
        <v>#NAME?</v>
      </c>
      <c r="W7" s="19" t="e">
        <f ca="1">IF($A7="","",_xll.ciqfunctions.udf.CIQ($A7,"IQ_EPS_EST",H$4,$V$5,,,$B$2))</f>
        <v>#NAME?</v>
      </c>
      <c r="X7" s="19" t="e">
        <f ca="1">IF($A7="","",_xll.ciqfunctions.udf.CIQ($A7,"IQ_DILUT_EPS_EXCL",G$4,$X$5,,,$B$2))</f>
        <v>#NAME?</v>
      </c>
      <c r="Y7" s="19" t="e">
        <f ca="1">IF($A7="","",_xll.ciqfunctions.udf.CIQ($A7,"IQ_EPS_EST",H$4,$X$5,,,$B$2))</f>
        <v>#NAME?</v>
      </c>
      <c r="Z7" s="3"/>
      <c r="AA7" s="3"/>
      <c r="AB7" s="4" t="e">
        <f ca="1">_xll.ciqfunctions.udf.CIQ("^SPX", "IQ_PRICEDATE", "12/31/2013")</f>
        <v>#NAME?</v>
      </c>
      <c r="AC7" s="16" t="e">
        <f ca="1">IF($AB7="","",_xll.ciqfunctions.udf.CIQ($B$1,"IQ_LASTSALEPRICE",$AB7))</f>
        <v>#NAME?</v>
      </c>
    </row>
    <row r="8" spans="1:29" x14ac:dyDescent="0.35">
      <c r="A8" s="2" t="s">
        <v>18</v>
      </c>
      <c r="B8" s="4" t="s">
        <v>524</v>
      </c>
      <c r="C8" s="4" t="s">
        <v>525</v>
      </c>
      <c r="D8" s="4" t="s">
        <v>526</v>
      </c>
      <c r="E8" s="4" t="s">
        <v>527</v>
      </c>
      <c r="F8" s="4" t="s">
        <v>527</v>
      </c>
      <c r="G8" s="14">
        <v>47.62</v>
      </c>
      <c r="H8" s="10">
        <v>12.431886</v>
      </c>
      <c r="I8" s="10">
        <v>25.099882000000001</v>
      </c>
      <c r="J8" s="10">
        <v>8.8809430000000003</v>
      </c>
      <c r="K8" s="15">
        <v>1.8479000000000002E-2</v>
      </c>
      <c r="L8" s="17">
        <v>8124.2858630000001</v>
      </c>
      <c r="M8" s="4" t="s">
        <v>528</v>
      </c>
      <c r="N8" s="19">
        <v>1.8972199999999999</v>
      </c>
      <c r="O8" s="19">
        <v>2.77</v>
      </c>
      <c r="P8" s="19">
        <v>1.699999</v>
      </c>
      <c r="Q8" s="19">
        <v>2.3384999999999998</v>
      </c>
      <c r="R8" s="19">
        <v>1.85</v>
      </c>
      <c r="S8" s="19">
        <v>2.0019999999999998</v>
      </c>
      <c r="T8" s="19">
        <v>1.85</v>
      </c>
      <c r="U8" s="19">
        <v>1.7150000000000001</v>
      </c>
      <c r="V8" s="19">
        <v>1.1399999999999999</v>
      </c>
      <c r="W8" s="19">
        <v>1.3201000000000001</v>
      </c>
      <c r="X8" s="19">
        <v>1.1399999999999999</v>
      </c>
      <c r="Y8" s="19">
        <v>1.3201000000000001</v>
      </c>
      <c r="Z8" s="4"/>
      <c r="AA8" s="4"/>
      <c r="AB8" s="4" t="e">
        <f ca="1">_xll.ciqfunctions.udf.CIQ("^SPX", "IQ_PRICEDATE", "1/2/2014")</f>
        <v>#NAME?</v>
      </c>
      <c r="AC8" s="16">
        <v>1831.9847069969001</v>
      </c>
    </row>
    <row r="9" spans="1:29" x14ac:dyDescent="0.35">
      <c r="A9" s="2" t="s">
        <v>19</v>
      </c>
      <c r="B9" s="4" t="s">
        <v>529</v>
      </c>
      <c r="C9" s="4" t="s">
        <v>530</v>
      </c>
      <c r="D9" s="4" t="s">
        <v>531</v>
      </c>
      <c r="E9" s="4" t="s">
        <v>532</v>
      </c>
      <c r="F9" s="4" t="s">
        <v>533</v>
      </c>
      <c r="G9" s="14">
        <v>70.23</v>
      </c>
      <c r="H9" s="10">
        <v>20.619713000000001</v>
      </c>
      <c r="I9" s="10">
        <v>151.43086299999999</v>
      </c>
      <c r="J9" s="10" t="s">
        <v>534</v>
      </c>
      <c r="K9" s="15">
        <v>1.5946999999999999E-2</v>
      </c>
      <c r="L9" s="17">
        <v>123205.84331500001</v>
      </c>
      <c r="M9" s="4" t="s">
        <v>535</v>
      </c>
      <c r="N9" s="19">
        <v>0.45742100000000002</v>
      </c>
      <c r="O9" s="19">
        <v>3.0392999999999999</v>
      </c>
      <c r="P9" s="19">
        <v>0.19770099999999999</v>
      </c>
      <c r="Q9" s="19">
        <v>2.7597</v>
      </c>
      <c r="R9" s="19">
        <v>0.71</v>
      </c>
      <c r="S9" s="19">
        <v>2.3942999999999999</v>
      </c>
      <c r="T9" s="19">
        <v>0.71</v>
      </c>
      <c r="U9" s="19">
        <v>2.2970000000000002</v>
      </c>
      <c r="V9" s="19">
        <v>1.1200000000000001</v>
      </c>
      <c r="W9" s="19">
        <v>2.2957000000000001</v>
      </c>
      <c r="X9" s="19">
        <v>1.1200000000000001</v>
      </c>
      <c r="Y9" s="19">
        <v>2.2957000000000001</v>
      </c>
      <c r="Z9" s="4"/>
      <c r="AA9" s="4"/>
      <c r="AB9" s="4" t="e">
        <f ca="1">_xll.ciqfunctions.udf.CIQ("^SPX", "IQ_PRICEDATE", "1/3/2014")</f>
        <v>#NAME?</v>
      </c>
      <c r="AC9" s="16">
        <v>1831.3665650882001</v>
      </c>
    </row>
    <row r="10" spans="1:29" x14ac:dyDescent="0.35">
      <c r="A10" s="2" t="s">
        <v>20</v>
      </c>
      <c r="B10" s="4" t="s">
        <v>536</v>
      </c>
      <c r="C10" s="4" t="s">
        <v>530</v>
      </c>
      <c r="D10" s="4" t="s">
        <v>537</v>
      </c>
      <c r="E10" s="4" t="s">
        <v>538</v>
      </c>
      <c r="F10" s="4" t="s">
        <v>538</v>
      </c>
      <c r="G10" s="14">
        <v>92.27</v>
      </c>
      <c r="H10" s="10">
        <v>13.411451</v>
      </c>
      <c r="I10" s="10">
        <v>22.903839999999999</v>
      </c>
      <c r="J10" s="10" t="s">
        <v>534</v>
      </c>
      <c r="K10" s="15">
        <v>4.1616E-2</v>
      </c>
      <c r="L10" s="17">
        <v>139721.94184399999</v>
      </c>
      <c r="M10" s="4" t="s">
        <v>539</v>
      </c>
      <c r="N10" s="19">
        <v>4.0285820000000001</v>
      </c>
      <c r="O10" s="19">
        <v>8.2057000000000002</v>
      </c>
      <c r="P10" s="19">
        <v>3.3</v>
      </c>
      <c r="Q10" s="19">
        <v>6.2378999999999998</v>
      </c>
      <c r="R10" s="19">
        <v>3.63</v>
      </c>
      <c r="S10" s="19">
        <v>5.2127999999999997</v>
      </c>
      <c r="T10" s="19">
        <v>3.63</v>
      </c>
      <c r="U10" s="19">
        <v>4.7849000000000004</v>
      </c>
      <c r="V10" s="19">
        <v>1.1000000000000001</v>
      </c>
      <c r="W10" s="19">
        <v>3.9489000000000001</v>
      </c>
      <c r="X10" s="19">
        <v>1.1000000000000001</v>
      </c>
      <c r="Y10" s="19">
        <v>3.9489000000000001</v>
      </c>
      <c r="Z10" s="4"/>
      <c r="AA10" s="4"/>
      <c r="AB10" s="4" t="e">
        <f ca="1">_xll.ciqfunctions.udf.CIQ("^SPX", "IQ_PRICEDATE", "1/6/2014")</f>
        <v>#NAME?</v>
      </c>
      <c r="AC10" s="16">
        <v>1826.7671905136999</v>
      </c>
    </row>
    <row r="11" spans="1:29" x14ac:dyDescent="0.35">
      <c r="A11" s="2" t="s">
        <v>21</v>
      </c>
      <c r="B11" s="4" t="s">
        <v>540</v>
      </c>
      <c r="C11" s="4" t="s">
        <v>530</v>
      </c>
      <c r="D11" s="4" t="s">
        <v>531</v>
      </c>
      <c r="E11" s="4" t="s">
        <v>532</v>
      </c>
      <c r="F11" s="4" t="s">
        <v>533</v>
      </c>
      <c r="G11" s="14">
        <v>389.79</v>
      </c>
      <c r="H11" s="10">
        <v>93.505396000000005</v>
      </c>
      <c r="I11" s="10">
        <v>108.669015</v>
      </c>
      <c r="J11" s="10">
        <v>25.372848999999999</v>
      </c>
      <c r="K11" s="15">
        <v>0</v>
      </c>
      <c r="L11" s="17">
        <v>17492.668195999999</v>
      </c>
      <c r="M11" s="4" t="s">
        <v>541</v>
      </c>
      <c r="N11" s="19">
        <v>3.5869469999999999</v>
      </c>
      <c r="O11" s="19">
        <v>3.7967</v>
      </c>
      <c r="P11" s="19">
        <v>1.9928250000000001</v>
      </c>
      <c r="Q11" s="19">
        <v>2.3254999999999999</v>
      </c>
      <c r="R11" s="19">
        <v>1.069429</v>
      </c>
      <c r="S11" s="19">
        <v>1.5048999999999999</v>
      </c>
      <c r="T11" s="19">
        <v>1.069429</v>
      </c>
      <c r="U11" s="19">
        <v>0.83340000000000003</v>
      </c>
      <c r="V11" s="19">
        <v>0.43869999999999998</v>
      </c>
      <c r="W11" s="19">
        <v>0.27</v>
      </c>
      <c r="X11" s="19">
        <v>0.43869999999999998</v>
      </c>
      <c r="Y11" s="19">
        <v>0.27</v>
      </c>
      <c r="Z11" s="4"/>
      <c r="AA11" s="4"/>
      <c r="AB11" s="4" t="e">
        <f ca="1">_xll.ciqfunctions.udf.CIQ("^SPX", "IQ_PRICEDATE", "1/7/2014")</f>
        <v>#NAME?</v>
      </c>
      <c r="AC11" s="16">
        <v>1837.8771502604</v>
      </c>
    </row>
    <row r="12" spans="1:29" x14ac:dyDescent="0.35">
      <c r="A12" s="2" t="s">
        <v>22</v>
      </c>
      <c r="B12" s="4" t="s">
        <v>542</v>
      </c>
      <c r="C12" s="4" t="s">
        <v>543</v>
      </c>
      <c r="D12" s="4" t="s">
        <v>544</v>
      </c>
      <c r="E12" s="4" t="s">
        <v>545</v>
      </c>
      <c r="F12" s="4" t="s">
        <v>546</v>
      </c>
      <c r="G12" s="14">
        <v>158.9</v>
      </c>
      <c r="H12" s="10">
        <v>14.352510000000001</v>
      </c>
      <c r="I12" s="10">
        <v>25.060727</v>
      </c>
      <c r="J12" s="10">
        <v>20.432095</v>
      </c>
      <c r="K12" s="15">
        <v>1.8376E-2</v>
      </c>
      <c r="L12" s="17">
        <v>101814.86975300001</v>
      </c>
      <c r="M12" s="4" t="s">
        <v>547</v>
      </c>
      <c r="N12" s="19">
        <v>6.340598</v>
      </c>
      <c r="O12" s="19">
        <v>7.2157799999999996</v>
      </c>
      <c r="P12" s="19">
        <v>5.6416959999999996</v>
      </c>
      <c r="Q12" s="19">
        <v>6.7298</v>
      </c>
      <c r="R12" s="19">
        <v>6.7577980000000002</v>
      </c>
      <c r="S12" s="19">
        <v>5.9042000000000003</v>
      </c>
      <c r="T12" s="19">
        <v>6.7577980000000002</v>
      </c>
      <c r="U12" s="19">
        <v>5.3948</v>
      </c>
      <c r="V12" s="19">
        <v>4.6630919999999998</v>
      </c>
      <c r="W12" s="19">
        <v>4.8414000000000001</v>
      </c>
      <c r="X12" s="19">
        <v>4.6630919999999998</v>
      </c>
      <c r="Y12" s="19">
        <v>4.8414000000000001</v>
      </c>
      <c r="Z12" s="4"/>
      <c r="AA12" s="4"/>
      <c r="AB12" s="4" t="e">
        <f ca="1">_xll.ciqfunctions.udf.CIQ("^SPX", "IQ_PRICEDATE", "1/8/2014")</f>
        <v>#NAME?</v>
      </c>
      <c r="AC12" s="16">
        <v>1837.4946026504999</v>
      </c>
    </row>
    <row r="13" spans="1:29" x14ac:dyDescent="0.35">
      <c r="A13" s="2" t="s">
        <v>23</v>
      </c>
      <c r="B13" s="4" t="s">
        <v>548</v>
      </c>
      <c r="C13" s="4" t="s">
        <v>549</v>
      </c>
      <c r="D13" s="4" t="s">
        <v>550</v>
      </c>
      <c r="E13" s="4" t="s">
        <v>551</v>
      </c>
      <c r="F13" s="4" t="s">
        <v>552</v>
      </c>
      <c r="G13" s="14">
        <v>78.3</v>
      </c>
      <c r="H13" s="10">
        <v>26.368684999999999</v>
      </c>
      <c r="I13" s="10">
        <v>119.25867700000001</v>
      </c>
      <c r="J13" s="10" t="s">
        <v>534</v>
      </c>
      <c r="K13" s="15">
        <v>4.3419999999999995E-3</v>
      </c>
      <c r="L13" s="17">
        <v>59696.592362000003</v>
      </c>
      <c r="M13" s="4" t="s">
        <v>553</v>
      </c>
      <c r="N13" s="19">
        <v>0.65655600000000003</v>
      </c>
      <c r="O13" s="19">
        <v>2.8862999999999999</v>
      </c>
      <c r="P13" s="19">
        <v>0.36</v>
      </c>
      <c r="Q13" s="19">
        <v>2.3892000000000002</v>
      </c>
      <c r="R13" s="19">
        <v>1.28</v>
      </c>
      <c r="S13" s="19">
        <v>1.9939</v>
      </c>
      <c r="T13" s="19">
        <v>1.28</v>
      </c>
      <c r="U13" s="19">
        <v>1.4822</v>
      </c>
      <c r="V13" s="19">
        <v>1.1299999999999999</v>
      </c>
      <c r="W13" s="19">
        <v>1.3381000000000001</v>
      </c>
      <c r="X13" s="19">
        <v>1.1299999999999999</v>
      </c>
      <c r="Y13" s="19">
        <v>1.3381000000000001</v>
      </c>
      <c r="Z13" s="4"/>
      <c r="AA13" s="4"/>
      <c r="AB13" s="4" t="e">
        <f ca="1">_xll.ciqfunctions.udf.CIQ("^SPX", "IQ_PRICEDATE", "1/9/2014")</f>
        <v>#NAME?</v>
      </c>
      <c r="AC13" s="16">
        <v>1838.1253009133</v>
      </c>
    </row>
    <row r="14" spans="1:29" x14ac:dyDescent="0.35">
      <c r="A14" s="2" t="s">
        <v>24</v>
      </c>
      <c r="B14" s="4" t="s">
        <v>554</v>
      </c>
      <c r="C14" s="4" t="s">
        <v>543</v>
      </c>
      <c r="D14" s="4" t="s">
        <v>544</v>
      </c>
      <c r="E14" s="4" t="s">
        <v>555</v>
      </c>
      <c r="F14" s="4" t="s">
        <v>556</v>
      </c>
      <c r="G14" s="14">
        <v>258.91000000000003</v>
      </c>
      <c r="H14" s="10">
        <v>39.908220999999998</v>
      </c>
      <c r="I14" s="10">
        <v>53.507344000000003</v>
      </c>
      <c r="J14" s="10">
        <v>119.940592</v>
      </c>
      <c r="K14" s="15">
        <v>0</v>
      </c>
      <c r="L14" s="17">
        <v>126382.651476</v>
      </c>
      <c r="M14" s="4" t="s">
        <v>557</v>
      </c>
      <c r="N14" s="19">
        <v>4.838775</v>
      </c>
      <c r="O14" s="19">
        <v>7.5877999999999997</v>
      </c>
      <c r="P14" s="19">
        <v>3.38</v>
      </c>
      <c r="Q14" s="19">
        <v>5.5664100000000003</v>
      </c>
      <c r="R14" s="19">
        <v>2.3199999999999998</v>
      </c>
      <c r="S14" s="19">
        <v>3.8252299999999999</v>
      </c>
      <c r="T14" s="19">
        <v>2.3199999999999998</v>
      </c>
      <c r="U14" s="19">
        <v>2.7635700000000001</v>
      </c>
      <c r="V14" s="19">
        <v>0.53</v>
      </c>
      <c r="W14" s="19">
        <v>2.1261000000000001</v>
      </c>
      <c r="X14" s="19">
        <v>0.53</v>
      </c>
      <c r="Y14" s="19">
        <v>2.1261000000000001</v>
      </c>
      <c r="Z14" s="4"/>
      <c r="AA14" s="4"/>
      <c r="AB14" s="4" t="e">
        <f ca="1">_xll.ciqfunctions.udf.CIQ("^SPX", "IQ_PRICEDATE", "1/10/2014")</f>
        <v>#NAME?</v>
      </c>
      <c r="AC14" s="16">
        <v>1842.3721870462</v>
      </c>
    </row>
    <row r="15" spans="1:29" x14ac:dyDescent="0.35">
      <c r="A15" s="2" t="s">
        <v>25</v>
      </c>
      <c r="B15" s="4" t="s">
        <v>558</v>
      </c>
      <c r="C15" s="4" t="s">
        <v>559</v>
      </c>
      <c r="D15" s="4" t="s">
        <v>560</v>
      </c>
      <c r="E15" s="4" t="s">
        <v>561</v>
      </c>
      <c r="F15" s="4" t="s">
        <v>562</v>
      </c>
      <c r="G15" s="14">
        <v>159.58000000000001</v>
      </c>
      <c r="H15" s="10">
        <v>12.834377999999999</v>
      </c>
      <c r="I15" s="10">
        <v>22.104013999999999</v>
      </c>
      <c r="J15" s="10">
        <v>5.6433559999999998</v>
      </c>
      <c r="K15" s="15">
        <v>1.503E-3</v>
      </c>
      <c r="L15" s="17">
        <v>11821.686400000001</v>
      </c>
      <c r="M15" s="4" t="s">
        <v>563</v>
      </c>
      <c r="N15" s="19">
        <v>7.2195029999999996</v>
      </c>
      <c r="O15" s="19">
        <v>7.5393999999999997</v>
      </c>
      <c r="P15" s="19">
        <v>6.42</v>
      </c>
      <c r="Q15" s="19">
        <v>5.6608000000000001</v>
      </c>
      <c r="R15" s="19">
        <v>6.2</v>
      </c>
      <c r="S15" s="19">
        <v>7.5974000000000004</v>
      </c>
      <c r="T15" s="19">
        <v>6.2</v>
      </c>
      <c r="U15" s="19">
        <v>8.8721999999999994</v>
      </c>
      <c r="V15" s="19">
        <v>6.229724</v>
      </c>
      <c r="W15" s="19">
        <v>8.5260999999999996</v>
      </c>
      <c r="X15" s="19">
        <v>6.229724</v>
      </c>
      <c r="Y15" s="19">
        <v>8.5260999999999996</v>
      </c>
      <c r="Z15" s="4"/>
      <c r="AA15" s="4"/>
      <c r="AB15" s="4" t="e">
        <f ca="1">_xll.ciqfunctions.udf.CIQ("^SPX", "IQ_PRICEDATE", "1/13/2014")</f>
        <v>#NAME?</v>
      </c>
      <c r="AC15" s="16">
        <v>1819.2026637956001</v>
      </c>
    </row>
    <row r="16" spans="1:29" x14ac:dyDescent="0.35">
      <c r="A16" s="2" t="s">
        <v>26</v>
      </c>
      <c r="B16" s="4" t="s">
        <v>564</v>
      </c>
      <c r="C16" s="4" t="s">
        <v>543</v>
      </c>
      <c r="D16" s="4" t="s">
        <v>565</v>
      </c>
      <c r="E16" s="4" t="s">
        <v>565</v>
      </c>
      <c r="F16" s="4" t="s">
        <v>566</v>
      </c>
      <c r="G16" s="14">
        <v>27.3</v>
      </c>
      <c r="H16" s="10">
        <v>43.307718999999999</v>
      </c>
      <c r="I16" s="10">
        <v>94.396381000000005</v>
      </c>
      <c r="J16" s="10">
        <v>89.320476999999997</v>
      </c>
      <c r="K16" s="15">
        <v>0</v>
      </c>
      <c r="L16" s="17">
        <v>26614.016766000001</v>
      </c>
      <c r="M16" s="4" t="s">
        <v>567</v>
      </c>
      <c r="N16" s="19">
        <v>0.28920600000000002</v>
      </c>
      <c r="O16" s="19">
        <v>0.51690000000000003</v>
      </c>
      <c r="P16" s="19">
        <v>0.04</v>
      </c>
      <c r="Q16" s="19">
        <v>0.28760000000000002</v>
      </c>
      <c r="R16" s="19">
        <v>-0.6</v>
      </c>
      <c r="S16" s="19">
        <v>6.4000000000000003E-3</v>
      </c>
      <c r="T16" s="19">
        <v>-0.6</v>
      </c>
      <c r="U16" s="19">
        <v>-0.36670000000000003</v>
      </c>
      <c r="V16" s="19">
        <v>-0.53</v>
      </c>
      <c r="W16" s="19">
        <v>6.59E-2</v>
      </c>
      <c r="X16" s="19">
        <v>-0.53</v>
      </c>
      <c r="Y16" s="19">
        <v>6.59E-2</v>
      </c>
      <c r="Z16" s="4"/>
      <c r="AA16" s="4"/>
      <c r="AB16" s="4" t="e">
        <f ca="1">_xll.ciqfunctions.udf.CIQ("^SPX", "IQ_PRICEDATE", "1/14/2014")</f>
        <v>#NAME?</v>
      </c>
      <c r="AC16" s="16">
        <v>1838.8825956266001</v>
      </c>
    </row>
    <row r="17" spans="1:29" x14ac:dyDescent="0.35">
      <c r="A17" s="2" t="s">
        <v>27</v>
      </c>
      <c r="B17" s="4" t="s">
        <v>568</v>
      </c>
      <c r="C17" s="4" t="s">
        <v>530</v>
      </c>
      <c r="D17" s="4" t="s">
        <v>531</v>
      </c>
      <c r="E17" s="4" t="s">
        <v>569</v>
      </c>
      <c r="F17" s="4" t="s">
        <v>570</v>
      </c>
      <c r="G17" s="14">
        <v>201.29</v>
      </c>
      <c r="H17" s="10">
        <v>10.971513</v>
      </c>
      <c r="I17" s="10">
        <v>18.976153</v>
      </c>
      <c r="J17" s="10">
        <v>11.517362</v>
      </c>
      <c r="K17" s="15">
        <v>9.9350000000000011E-3</v>
      </c>
      <c r="L17" s="17">
        <v>65902.346000000005</v>
      </c>
      <c r="M17" s="4" t="s">
        <v>571</v>
      </c>
      <c r="N17" s="19">
        <v>10.607524</v>
      </c>
      <c r="O17" s="19">
        <v>11.4535</v>
      </c>
      <c r="P17" s="19">
        <v>5.68</v>
      </c>
      <c r="Q17" s="19">
        <v>9.3135999999999992</v>
      </c>
      <c r="R17" s="19">
        <v>6.41</v>
      </c>
      <c r="S17" s="19">
        <v>8.4269999999999996</v>
      </c>
      <c r="T17" s="19">
        <v>6.41</v>
      </c>
      <c r="U17" s="19">
        <v>7.7839999999999998</v>
      </c>
      <c r="V17" s="19">
        <v>5.68</v>
      </c>
      <c r="W17" s="19">
        <v>6.8905000000000003</v>
      </c>
      <c r="X17" s="19">
        <v>5.68</v>
      </c>
      <c r="Y17" s="19">
        <v>6.8905000000000003</v>
      </c>
      <c r="Z17" s="4"/>
      <c r="AA17" s="4"/>
      <c r="AB17" s="4" t="e">
        <f ca="1">_xll.ciqfunctions.udf.CIQ("^SPX", "IQ_PRICEDATE", "1/15/2014")</f>
        <v>#NAME?</v>
      </c>
      <c r="AC17" s="16">
        <v>1848.3784960119001</v>
      </c>
    </row>
    <row r="18" spans="1:29" x14ac:dyDescent="0.35">
      <c r="A18" s="2" t="s">
        <v>28</v>
      </c>
      <c r="B18" s="4" t="s">
        <v>572</v>
      </c>
      <c r="C18" s="4" t="s">
        <v>573</v>
      </c>
      <c r="D18" s="4" t="s">
        <v>574</v>
      </c>
      <c r="E18" s="4" t="s">
        <v>575</v>
      </c>
      <c r="F18" s="4" t="s">
        <v>576</v>
      </c>
      <c r="G18" s="14">
        <v>127.3</v>
      </c>
      <c r="H18" s="10">
        <v>8.0659589999999994</v>
      </c>
      <c r="I18" s="10">
        <v>10.055982999999999</v>
      </c>
      <c r="J18" s="10" t="s">
        <v>534</v>
      </c>
      <c r="K18" s="15">
        <v>9.4260000000000004E-3</v>
      </c>
      <c r="L18" s="17">
        <v>6801.8869800000002</v>
      </c>
      <c r="M18" s="4" t="s">
        <v>577</v>
      </c>
      <c r="N18" s="19">
        <v>12.659129999999999</v>
      </c>
      <c r="O18" s="19">
        <v>15.7136</v>
      </c>
      <c r="P18" s="19">
        <v>12.030716</v>
      </c>
      <c r="Q18" s="19">
        <v>15.8079</v>
      </c>
      <c r="R18" s="19">
        <v>8.5666659999999997</v>
      </c>
      <c r="S18" s="19">
        <v>13.959</v>
      </c>
      <c r="T18" s="19">
        <v>8.5666659999999997</v>
      </c>
      <c r="U18" s="19">
        <v>13.321099999999999</v>
      </c>
      <c r="V18" s="19">
        <v>7.6900680000000001</v>
      </c>
      <c r="W18" s="19">
        <v>12.5372</v>
      </c>
      <c r="X18" s="19">
        <v>7.6900680000000001</v>
      </c>
      <c r="Y18" s="19">
        <v>12.5372</v>
      </c>
      <c r="Z18" s="4"/>
      <c r="AA18" s="4"/>
      <c r="AB18" s="4" t="e">
        <f ca="1">_xll.ciqfunctions.udf.CIQ("^SPX", "IQ_PRICEDATE", "1/16/2014")</f>
        <v>#NAME?</v>
      </c>
      <c r="AC18" s="16">
        <v>1845.8910317350999</v>
      </c>
    </row>
    <row r="19" spans="1:29" x14ac:dyDescent="0.35">
      <c r="A19" s="2" t="s">
        <v>29</v>
      </c>
      <c r="B19" s="4" t="s">
        <v>578</v>
      </c>
      <c r="C19" s="4" t="s">
        <v>573</v>
      </c>
      <c r="D19" s="4" t="s">
        <v>579</v>
      </c>
      <c r="E19" s="4" t="s">
        <v>579</v>
      </c>
      <c r="F19" s="4" t="s">
        <v>580</v>
      </c>
      <c r="G19" s="14">
        <v>44.72</v>
      </c>
      <c r="H19" s="10">
        <v>8.5708760000000002</v>
      </c>
      <c r="I19" s="10">
        <v>7.2554119999999998</v>
      </c>
      <c r="J19" s="10">
        <v>1.4454549999999999</v>
      </c>
      <c r="K19" s="15">
        <v>2.3254999999999998E-2</v>
      </c>
      <c r="L19" s="17">
        <v>34336.027538000002</v>
      </c>
      <c r="M19" s="4" t="s">
        <v>581</v>
      </c>
      <c r="N19" s="19">
        <v>6.1636740000000003</v>
      </c>
      <c r="O19" s="19">
        <v>4.0414000000000003</v>
      </c>
      <c r="P19" s="19">
        <v>5.77</v>
      </c>
      <c r="Q19" s="19">
        <v>3.3582000000000001</v>
      </c>
      <c r="R19" s="19">
        <v>3.21</v>
      </c>
      <c r="S19" s="19">
        <v>3.2810999999999999</v>
      </c>
      <c r="T19" s="19">
        <v>3.21</v>
      </c>
      <c r="U19" s="19">
        <v>3.1200999999999999</v>
      </c>
      <c r="V19" s="19">
        <v>3.25</v>
      </c>
      <c r="W19" s="19">
        <v>3.0108000000000001</v>
      </c>
      <c r="X19" s="19">
        <v>3.25</v>
      </c>
      <c r="Y19" s="19">
        <v>3.0108000000000001</v>
      </c>
      <c r="Z19" s="4"/>
      <c r="AA19" s="4"/>
      <c r="AB19" s="4" t="e">
        <f ca="1">_xll.ciqfunctions.udf.CIQ("^SPX", "IQ_PRICEDATE", "1/17/2014")</f>
        <v>#NAME?</v>
      </c>
      <c r="AC19" s="16">
        <v>1838.6994866672001</v>
      </c>
    </row>
    <row r="20" spans="1:29" x14ac:dyDescent="0.35">
      <c r="A20" s="2" t="s">
        <v>30</v>
      </c>
      <c r="B20" s="4" t="s">
        <v>582</v>
      </c>
      <c r="C20" s="4" t="s">
        <v>530</v>
      </c>
      <c r="D20" s="4" t="s">
        <v>537</v>
      </c>
      <c r="E20" s="4" t="s">
        <v>583</v>
      </c>
      <c r="F20" s="4" t="s">
        <v>583</v>
      </c>
      <c r="G20" s="14">
        <v>67.2</v>
      </c>
      <c r="H20" s="10">
        <v>18.043894999999999</v>
      </c>
      <c r="I20" s="10">
        <v>73.628907999999996</v>
      </c>
      <c r="J20" s="10">
        <v>19.208604999999999</v>
      </c>
      <c r="K20" s="15">
        <v>8.8690000000000001E-3</v>
      </c>
      <c r="L20" s="17">
        <v>21421.313558000002</v>
      </c>
      <c r="M20" s="4" t="s">
        <v>584</v>
      </c>
      <c r="N20" s="19">
        <v>0.91268499999999997</v>
      </c>
      <c r="O20" s="19">
        <v>2.9154</v>
      </c>
      <c r="P20" s="19">
        <v>2.1</v>
      </c>
      <c r="Q20" s="19">
        <v>2.5831</v>
      </c>
      <c r="R20" s="19">
        <v>1.4</v>
      </c>
      <c r="S20" s="19">
        <v>2.1518000000000002</v>
      </c>
      <c r="T20" s="19">
        <v>1.4</v>
      </c>
      <c r="U20" s="19">
        <v>1.8944000000000001</v>
      </c>
      <c r="V20" s="19">
        <v>0.69</v>
      </c>
      <c r="W20" s="19">
        <v>1.73434</v>
      </c>
      <c r="X20" s="19">
        <v>0.69</v>
      </c>
      <c r="Y20" s="19">
        <v>1.73434</v>
      </c>
      <c r="Z20" s="4"/>
      <c r="AA20" s="4"/>
      <c r="AB20" s="4" t="e">
        <f ca="1">_xll.ciqfunctions.udf.CIQ("^SPX", "IQ_PRICEDATE", "1/21/2014")</f>
        <v>#NAME?</v>
      </c>
      <c r="AC20" s="16">
        <v>1843.8044457285</v>
      </c>
    </row>
    <row r="21" spans="1:29" x14ac:dyDescent="0.35">
      <c r="A21" s="2" t="s">
        <v>31</v>
      </c>
      <c r="B21" s="4" t="s">
        <v>585</v>
      </c>
      <c r="C21" s="4" t="s">
        <v>586</v>
      </c>
      <c r="D21" s="4" t="s">
        <v>586</v>
      </c>
      <c r="E21" s="4" t="s">
        <v>587</v>
      </c>
      <c r="F21" s="4" t="s">
        <v>588</v>
      </c>
      <c r="G21" s="14">
        <v>159.47999999999999</v>
      </c>
      <c r="H21" s="10">
        <v>12.168284</v>
      </c>
      <c r="I21" s="10">
        <v>23.810020999999999</v>
      </c>
      <c r="J21" s="10">
        <v>3.783398</v>
      </c>
      <c r="K21" s="15">
        <v>2.7589000000000002E-2</v>
      </c>
      <c r="L21" s="17">
        <v>34969.577662000003</v>
      </c>
      <c r="M21" s="4" t="s">
        <v>589</v>
      </c>
      <c r="N21" s="19">
        <v>6.6980199999999996</v>
      </c>
      <c r="O21" s="19">
        <v>7.9725000000000001</v>
      </c>
      <c r="P21" s="19">
        <v>4.708685</v>
      </c>
      <c r="Q21" s="19">
        <v>7.02379</v>
      </c>
      <c r="R21" s="19">
        <v>4.8997820000000001</v>
      </c>
      <c r="S21" s="19">
        <v>6.4468800000000002</v>
      </c>
      <c r="T21" s="19">
        <v>4.8997820000000001</v>
      </c>
      <c r="U21" s="19">
        <v>7.3868499999999999</v>
      </c>
      <c r="V21" s="19">
        <v>4.7526630000000001</v>
      </c>
      <c r="W21" s="19">
        <v>6.47464</v>
      </c>
      <c r="X21" s="19">
        <v>4.7526630000000001</v>
      </c>
      <c r="Y21" s="19">
        <v>6.47464</v>
      </c>
      <c r="Z21" s="4"/>
      <c r="AA21" s="4"/>
      <c r="AB21" s="4" t="e">
        <f ca="1">_xll.ciqfunctions.udf.CIQ("^SPX", "IQ_PRICEDATE", "1/22/2014")</f>
        <v>#NAME?</v>
      </c>
      <c r="AC21" s="16">
        <v>1844.8559052889</v>
      </c>
    </row>
    <row r="22" spans="1:29" x14ac:dyDescent="0.35">
      <c r="A22" s="2" t="s">
        <v>32</v>
      </c>
      <c r="B22" s="4" t="s">
        <v>590</v>
      </c>
      <c r="C22" s="4" t="s">
        <v>543</v>
      </c>
      <c r="D22" s="4" t="s">
        <v>544</v>
      </c>
      <c r="E22" s="4" t="s">
        <v>545</v>
      </c>
      <c r="F22" s="4" t="s">
        <v>591</v>
      </c>
      <c r="G22" s="14">
        <v>65.69</v>
      </c>
      <c r="H22" s="10">
        <v>16.105796000000002</v>
      </c>
      <c r="I22" s="10">
        <v>61.511983000000001</v>
      </c>
      <c r="J22" s="10">
        <v>6.2977559999999997</v>
      </c>
      <c r="K22" s="15">
        <v>0</v>
      </c>
      <c r="L22" s="17">
        <v>11134.759013000001</v>
      </c>
      <c r="M22" s="4" t="s">
        <v>592</v>
      </c>
      <c r="N22" s="19">
        <v>1.067922</v>
      </c>
      <c r="O22" s="19">
        <v>3.5804</v>
      </c>
      <c r="P22" s="19">
        <v>1.26</v>
      </c>
      <c r="Q22" s="19">
        <v>2.5524</v>
      </c>
      <c r="R22" s="19">
        <v>1.79</v>
      </c>
      <c r="S22" s="19">
        <v>2.7942999999999998</v>
      </c>
      <c r="T22" s="19">
        <v>1.79</v>
      </c>
      <c r="U22" s="19">
        <v>2.5880999999999998</v>
      </c>
      <c r="V22" s="19">
        <v>1.84</v>
      </c>
      <c r="W22" s="19">
        <v>2.6307</v>
      </c>
      <c r="X22" s="19">
        <v>1.84</v>
      </c>
      <c r="Y22" s="19">
        <v>2.6307</v>
      </c>
      <c r="Z22" s="4"/>
      <c r="AA22" s="4"/>
      <c r="AB22" s="4" t="e">
        <f ca="1">_xll.ciqfunctions.udf.CIQ("^SPX", "IQ_PRICEDATE", "1/23/2014")</f>
        <v>#NAME?</v>
      </c>
      <c r="AC22" s="16">
        <v>1828.4642100517999</v>
      </c>
    </row>
    <row r="23" spans="1:29" x14ac:dyDescent="0.35">
      <c r="A23" s="2" t="s">
        <v>33</v>
      </c>
      <c r="B23" s="4" t="s">
        <v>593</v>
      </c>
      <c r="C23" s="4" t="s">
        <v>525</v>
      </c>
      <c r="D23" s="4" t="s">
        <v>594</v>
      </c>
      <c r="E23" s="4" t="s">
        <v>595</v>
      </c>
      <c r="F23" s="4" t="s">
        <v>595</v>
      </c>
      <c r="G23" s="14">
        <v>64.489999999999995</v>
      </c>
      <c r="H23" s="10">
        <v>6.3517780000000004</v>
      </c>
      <c r="I23" s="10">
        <v>9.4285270000000008</v>
      </c>
      <c r="J23" s="10">
        <v>5.2272410000000002</v>
      </c>
      <c r="K23" s="15">
        <v>1.9847999999999998E-2</v>
      </c>
      <c r="L23" s="17">
        <v>7957.9370200000003</v>
      </c>
      <c r="M23" s="4" t="s">
        <v>596</v>
      </c>
      <c r="N23" s="19">
        <v>6.83988</v>
      </c>
      <c r="O23" s="19">
        <v>4.9287000000000001</v>
      </c>
      <c r="P23" s="19">
        <v>8.35</v>
      </c>
      <c r="Q23" s="19">
        <v>5.9124999999999996</v>
      </c>
      <c r="R23" s="19">
        <v>6.54</v>
      </c>
      <c r="S23" s="19">
        <v>7.1219999999999999</v>
      </c>
      <c r="T23" s="19">
        <v>6.54</v>
      </c>
      <c r="U23" s="19">
        <v>7.1466000000000003</v>
      </c>
      <c r="V23" s="19">
        <v>4.42</v>
      </c>
      <c r="W23" s="19">
        <v>5.0696000000000003</v>
      </c>
      <c r="X23" s="19">
        <v>4.42</v>
      </c>
      <c r="Y23" s="19">
        <v>5.0696000000000003</v>
      </c>
      <c r="Z23" s="4"/>
      <c r="AA23" s="4"/>
      <c r="AB23" s="4" t="e">
        <f ca="1">_xll.ciqfunctions.udf.CIQ("^SPX", "IQ_PRICEDATE", "1/24/2014")</f>
        <v>#NAME?</v>
      </c>
      <c r="AC23" s="16">
        <v>1790.2854774268999</v>
      </c>
    </row>
    <row r="24" spans="1:29" x14ac:dyDescent="0.35">
      <c r="A24" s="2" t="s">
        <v>34</v>
      </c>
      <c r="B24" s="4" t="s">
        <v>597</v>
      </c>
      <c r="C24" s="4" t="s">
        <v>586</v>
      </c>
      <c r="D24" s="4" t="s">
        <v>586</v>
      </c>
      <c r="E24" s="4" t="s">
        <v>587</v>
      </c>
      <c r="F24" s="4" t="s">
        <v>598</v>
      </c>
      <c r="G24" s="14">
        <v>96.32</v>
      </c>
      <c r="H24" s="10">
        <v>11.009551</v>
      </c>
      <c r="I24" s="10">
        <v>32.144286000000001</v>
      </c>
      <c r="J24" s="10">
        <v>6.1348890000000003</v>
      </c>
      <c r="K24" s="15">
        <v>1.3911E-2</v>
      </c>
      <c r="L24" s="17">
        <v>10445.881171999999</v>
      </c>
      <c r="M24" s="4" t="s">
        <v>599</v>
      </c>
      <c r="N24" s="19">
        <v>2.996489</v>
      </c>
      <c r="O24" s="19">
        <v>5.8300999999999998</v>
      </c>
      <c r="P24" s="19">
        <v>0.49</v>
      </c>
      <c r="Q24" s="19">
        <v>4.9772999999999996</v>
      </c>
      <c r="R24" s="19">
        <v>3.9</v>
      </c>
      <c r="S24" s="19">
        <v>3.6690999999999998</v>
      </c>
      <c r="T24" s="19">
        <v>3.9</v>
      </c>
      <c r="U24" s="19">
        <v>3.7957000000000001</v>
      </c>
      <c r="V24" s="19">
        <v>2.57</v>
      </c>
      <c r="W24" s="19">
        <v>4.4009</v>
      </c>
      <c r="X24" s="19">
        <v>2.57</v>
      </c>
      <c r="Y24" s="19">
        <v>4.4009</v>
      </c>
      <c r="Z24" s="4"/>
      <c r="AA24" s="4"/>
      <c r="AB24" s="4" t="e">
        <f ca="1">_xll.ciqfunctions.udf.CIQ("^SPX", "IQ_PRICEDATE", "1/27/2014")</f>
        <v>#NAME?</v>
      </c>
      <c r="AC24" s="16">
        <v>1781.5598990844001</v>
      </c>
    </row>
    <row r="25" spans="1:29" x14ac:dyDescent="0.35">
      <c r="A25" s="2" t="s">
        <v>35</v>
      </c>
      <c r="B25" s="4" t="s">
        <v>600</v>
      </c>
      <c r="C25" s="4" t="s">
        <v>601</v>
      </c>
      <c r="D25" s="4" t="s">
        <v>601</v>
      </c>
      <c r="E25" s="4" t="s">
        <v>602</v>
      </c>
      <c r="F25" s="4" t="s">
        <v>603</v>
      </c>
      <c r="G25" s="14">
        <v>122.57</v>
      </c>
      <c r="H25" s="10">
        <v>24.392128</v>
      </c>
      <c r="I25" s="10">
        <v>43.903275000000001</v>
      </c>
      <c r="J25" s="10">
        <v>2.0320589999999998</v>
      </c>
      <c r="K25" s="15">
        <v>3.0350000000000002E-2</v>
      </c>
      <c r="L25" s="17">
        <v>12962.680963000001</v>
      </c>
      <c r="M25" s="4" t="s">
        <v>604</v>
      </c>
      <c r="N25" s="19">
        <v>2.7918189999999998</v>
      </c>
      <c r="O25" s="19">
        <v>2.3774999999999999</v>
      </c>
      <c r="P25" s="19">
        <v>1.5799989999999999</v>
      </c>
      <c r="Q25" s="19">
        <v>1.9208000000000001</v>
      </c>
      <c r="R25" s="19">
        <v>-1.99</v>
      </c>
      <c r="S25" s="19">
        <v>1.8141</v>
      </c>
      <c r="T25" s="19">
        <v>-1.99</v>
      </c>
      <c r="U25" s="19">
        <v>1.9378</v>
      </c>
      <c r="V25" s="19">
        <v>0.98999899999999996</v>
      </c>
      <c r="W25" s="19">
        <v>1.6573</v>
      </c>
      <c r="X25" s="19">
        <v>0.98999899999999996</v>
      </c>
      <c r="Y25" s="19">
        <v>1.6573</v>
      </c>
      <c r="Z25" s="4"/>
      <c r="AA25" s="4"/>
      <c r="AB25" s="4" t="e">
        <f ca="1">_xll.ciqfunctions.udf.CIQ("^SPX", "IQ_PRICEDATE", "1/28/2014")</f>
        <v>#NAME?</v>
      </c>
      <c r="AC25" s="16">
        <v>1792.4964343403001</v>
      </c>
    </row>
    <row r="26" spans="1:29" x14ac:dyDescent="0.35">
      <c r="A26" s="2" t="s">
        <v>36</v>
      </c>
      <c r="B26" s="4" t="s">
        <v>605</v>
      </c>
      <c r="C26" s="4" t="s">
        <v>530</v>
      </c>
      <c r="D26" s="4" t="s">
        <v>537</v>
      </c>
      <c r="E26" s="4" t="s">
        <v>538</v>
      </c>
      <c r="F26" s="4" t="s">
        <v>538</v>
      </c>
      <c r="G26" s="14">
        <v>128.94</v>
      </c>
      <c r="H26" s="10">
        <v>18.010165000000001</v>
      </c>
      <c r="I26" s="10" t="s">
        <v>534</v>
      </c>
      <c r="J26" s="10" t="s">
        <v>534</v>
      </c>
      <c r="K26" s="15">
        <v>0</v>
      </c>
      <c r="L26" s="17">
        <v>28735.458543000001</v>
      </c>
      <c r="M26" s="4" t="s">
        <v>606</v>
      </c>
      <c r="N26" s="19">
        <v>-0.454295</v>
      </c>
      <c r="O26" s="19">
        <v>7.6116999999999999</v>
      </c>
      <c r="P26" s="19">
        <v>1.97</v>
      </c>
      <c r="Q26" s="19">
        <v>6.35</v>
      </c>
      <c r="R26" s="19">
        <v>1.76</v>
      </c>
      <c r="S26" s="19">
        <v>5.4255000000000004</v>
      </c>
      <c r="T26" s="19">
        <v>1.76</v>
      </c>
      <c r="U26" s="19">
        <v>4.9871999999999996</v>
      </c>
      <c r="V26" s="19">
        <v>3.26</v>
      </c>
      <c r="W26" s="19">
        <v>5.4734999999999996</v>
      </c>
      <c r="X26" s="19">
        <v>3.26</v>
      </c>
      <c r="Y26" s="19">
        <v>5.4734999999999996</v>
      </c>
      <c r="Z26" s="4"/>
      <c r="AA26" s="4"/>
      <c r="AB26" s="4" t="e">
        <f ca="1">_xll.ciqfunctions.udf.CIQ("^SPX", "IQ_PRICEDATE", "1/29/2014")</f>
        <v>#NAME?</v>
      </c>
      <c r="AC26" s="16">
        <v>1774.202749994</v>
      </c>
    </row>
    <row r="27" spans="1:29" x14ac:dyDescent="0.35">
      <c r="A27" s="2" t="s">
        <v>37</v>
      </c>
      <c r="B27" s="4" t="s">
        <v>607</v>
      </c>
      <c r="C27" s="4" t="s">
        <v>530</v>
      </c>
      <c r="D27" s="4" t="s">
        <v>531</v>
      </c>
      <c r="E27" s="4" t="s">
        <v>532</v>
      </c>
      <c r="F27" s="4" t="s">
        <v>608</v>
      </c>
      <c r="G27" s="14">
        <v>332.83</v>
      </c>
      <c r="H27" s="10">
        <v>55.485967000000002</v>
      </c>
      <c r="I27" s="10">
        <v>92.256270999999998</v>
      </c>
      <c r="J27" s="10">
        <v>23.579172</v>
      </c>
      <c r="K27" s="15">
        <v>0</v>
      </c>
      <c r="L27" s="17">
        <v>26732.932892000001</v>
      </c>
      <c r="M27" s="4" t="s">
        <v>609</v>
      </c>
      <c r="N27" s="19">
        <v>3.6076679999999999</v>
      </c>
      <c r="O27" s="19">
        <v>5.3796999999999997</v>
      </c>
      <c r="P27" s="19">
        <v>2.83</v>
      </c>
      <c r="Q27" s="19">
        <v>4.1074000000000002</v>
      </c>
      <c r="R27" s="19">
        <v>2.33</v>
      </c>
      <c r="S27" s="19">
        <v>2.8119999999999998</v>
      </c>
      <c r="T27" s="19">
        <v>2.33</v>
      </c>
      <c r="U27" s="19">
        <v>2.1110000000000002</v>
      </c>
      <c r="V27" s="19">
        <v>1.77</v>
      </c>
      <c r="W27" s="19">
        <v>2.0026000000000002</v>
      </c>
      <c r="X27" s="19">
        <v>1.77</v>
      </c>
      <c r="Y27" s="19">
        <v>2.0026000000000002</v>
      </c>
      <c r="Z27" s="4"/>
      <c r="AA27" s="4"/>
      <c r="AB27" s="4" t="e">
        <f ca="1">_xll.ciqfunctions.udf.CIQ("^SPX", "IQ_PRICEDATE", "1/30/2014")</f>
        <v>#NAME?</v>
      </c>
      <c r="AC27" s="16">
        <v>1794.1901899019001</v>
      </c>
    </row>
    <row r="28" spans="1:29" x14ac:dyDescent="0.35">
      <c r="A28" s="2" t="s">
        <v>38</v>
      </c>
      <c r="B28" s="4" t="s">
        <v>610</v>
      </c>
      <c r="C28" s="4" t="s">
        <v>525</v>
      </c>
      <c r="D28" s="4" t="s">
        <v>526</v>
      </c>
      <c r="E28" s="4" t="s">
        <v>527</v>
      </c>
      <c r="F28" s="4" t="s">
        <v>527</v>
      </c>
      <c r="G28" s="14">
        <v>84.17</v>
      </c>
      <c r="H28" s="10">
        <v>15.928915</v>
      </c>
      <c r="I28" s="10">
        <v>28.258327000000001</v>
      </c>
      <c r="J28" s="10" t="s">
        <v>534</v>
      </c>
      <c r="K28" s="15">
        <v>9.979E-3</v>
      </c>
      <c r="L28" s="17">
        <v>7996.4288550000001</v>
      </c>
      <c r="M28" s="4" t="s">
        <v>611</v>
      </c>
      <c r="N28" s="19">
        <v>2.9785910000000002</v>
      </c>
      <c r="O28" s="19">
        <v>4.6982999999999997</v>
      </c>
      <c r="P28" s="19">
        <v>2.85</v>
      </c>
      <c r="Q28" s="19">
        <v>4.0679999999999996</v>
      </c>
      <c r="R28" s="19">
        <v>2.36</v>
      </c>
      <c r="S28" s="19">
        <v>3.6274999999999999</v>
      </c>
      <c r="T28" s="19">
        <v>2.36</v>
      </c>
      <c r="U28" s="19">
        <v>3.2574000000000001</v>
      </c>
      <c r="V28" s="19">
        <v>1.92</v>
      </c>
      <c r="W28" s="19">
        <v>2.8837000000000002</v>
      </c>
      <c r="X28" s="19">
        <v>1.92</v>
      </c>
      <c r="Y28" s="19">
        <v>2.8837000000000002</v>
      </c>
      <c r="Z28" s="4"/>
      <c r="AA28" s="4"/>
      <c r="AB28" s="4" t="e">
        <f ca="1">_xll.ciqfunctions.udf.CIQ("^SPX", "IQ_PRICEDATE", "1/31/2014")</f>
        <v>#NAME?</v>
      </c>
      <c r="AC28" s="16">
        <v>1782.5869667694001</v>
      </c>
    </row>
    <row r="29" spans="1:29" x14ac:dyDescent="0.35">
      <c r="A29" s="2" t="s">
        <v>39</v>
      </c>
      <c r="B29" s="4" t="s">
        <v>612</v>
      </c>
      <c r="C29" s="4" t="s">
        <v>530</v>
      </c>
      <c r="D29" s="4" t="s">
        <v>537</v>
      </c>
      <c r="E29" s="4" t="s">
        <v>613</v>
      </c>
      <c r="F29" s="4" t="s">
        <v>613</v>
      </c>
      <c r="G29" s="14">
        <v>191</v>
      </c>
      <c r="H29" s="10">
        <v>11.933862</v>
      </c>
      <c r="I29" s="10" t="s">
        <v>534</v>
      </c>
      <c r="J29" s="10" t="s">
        <v>534</v>
      </c>
      <c r="K29" s="15">
        <v>1.5078000000000001E-2</v>
      </c>
      <c r="L29" s="17">
        <v>64833.884601999998</v>
      </c>
      <c r="M29" s="4" t="s">
        <v>614</v>
      </c>
      <c r="N29" s="19">
        <v>-4.1488509999999996</v>
      </c>
      <c r="O29" s="19">
        <v>16.184799999999999</v>
      </c>
      <c r="P29" s="19">
        <v>-11.99</v>
      </c>
      <c r="Q29" s="19">
        <v>16.450600000000001</v>
      </c>
      <c r="R29" s="19">
        <v>-3.17</v>
      </c>
      <c r="S29" s="19">
        <v>15.389900000000001</v>
      </c>
      <c r="T29" s="19">
        <v>-3.17</v>
      </c>
      <c r="U29" s="19">
        <v>15.541399999999999</v>
      </c>
      <c r="V29" s="19">
        <v>-11.31</v>
      </c>
      <c r="W29" s="19">
        <v>15.8141</v>
      </c>
      <c r="X29" s="19">
        <v>-11.31</v>
      </c>
      <c r="Y29" s="19">
        <v>15.8141</v>
      </c>
      <c r="Z29" s="4"/>
      <c r="AA29" s="4"/>
      <c r="AB29" s="4" t="e">
        <f ca="1">_xll.ciqfunctions.udf.CIQ("^SPX", "IQ_PRICEDATE", "2/3/2014")</f>
        <v>#NAME?</v>
      </c>
      <c r="AC29" s="16">
        <v>1741.8855076612001</v>
      </c>
    </row>
    <row r="30" spans="1:29" x14ac:dyDescent="0.35">
      <c r="A30" s="2" t="s">
        <v>40</v>
      </c>
      <c r="B30" s="4" t="s">
        <v>615</v>
      </c>
      <c r="C30" s="4" t="s">
        <v>543</v>
      </c>
      <c r="D30" s="4" t="s">
        <v>544</v>
      </c>
      <c r="E30" s="4" t="s">
        <v>545</v>
      </c>
      <c r="F30" s="4" t="s">
        <v>616</v>
      </c>
      <c r="G30" s="14">
        <v>211.46</v>
      </c>
      <c r="H30" s="10">
        <v>18.218432</v>
      </c>
      <c r="I30" s="10">
        <v>13.258654</v>
      </c>
      <c r="J30" s="10" t="s">
        <v>534</v>
      </c>
      <c r="K30" s="15">
        <v>1.0782E-2</v>
      </c>
      <c r="L30" s="17">
        <v>11618.371752999999</v>
      </c>
      <c r="M30" s="4" t="s">
        <v>617</v>
      </c>
      <c r="N30" s="19">
        <v>15.948828000000001</v>
      </c>
      <c r="O30" s="19">
        <v>24.6281</v>
      </c>
      <c r="P30" s="19">
        <v>14.1</v>
      </c>
      <c r="Q30" s="19">
        <v>20.595700000000001</v>
      </c>
      <c r="R30" s="19">
        <v>7.34</v>
      </c>
      <c r="S30" s="19">
        <v>18.249500000000001</v>
      </c>
      <c r="T30" s="19">
        <v>7.34</v>
      </c>
      <c r="U30" s="19">
        <v>16.690100000000001</v>
      </c>
      <c r="V30" s="19">
        <v>7.87</v>
      </c>
      <c r="W30" s="19">
        <v>14.158099999999999</v>
      </c>
      <c r="X30" s="19">
        <v>7.87</v>
      </c>
      <c r="Y30" s="19">
        <v>14.158099999999999</v>
      </c>
      <c r="Z30" s="4"/>
      <c r="AA30" s="4"/>
      <c r="AB30" s="4" t="e">
        <f ca="1">_xll.ciqfunctions.udf.CIQ("^SPX", "IQ_PRICEDATE", "2/4/2014")</f>
        <v>#NAME?</v>
      </c>
      <c r="AC30" s="16">
        <v>1755.2041996217999</v>
      </c>
    </row>
    <row r="31" spans="1:29" x14ac:dyDescent="0.35">
      <c r="A31" s="2" t="s">
        <v>41</v>
      </c>
      <c r="B31" s="4" t="s">
        <v>618</v>
      </c>
      <c r="C31" s="4" t="s">
        <v>619</v>
      </c>
      <c r="D31" s="4" t="s">
        <v>619</v>
      </c>
      <c r="E31" s="4" t="s">
        <v>620</v>
      </c>
      <c r="F31" s="4" t="s">
        <v>620</v>
      </c>
      <c r="G31" s="14">
        <v>43.23</v>
      </c>
      <c r="H31" s="10">
        <v>13.025459</v>
      </c>
      <c r="I31" s="10">
        <v>20.672498999999998</v>
      </c>
      <c r="J31" s="10">
        <v>2.322845</v>
      </c>
      <c r="K31" s="15">
        <v>3.0996000000000003E-2</v>
      </c>
      <c r="L31" s="17">
        <v>10287.568813</v>
      </c>
      <c r="M31" s="4" t="s">
        <v>621</v>
      </c>
      <c r="N31" s="19">
        <v>2.0911840000000002</v>
      </c>
      <c r="O31" s="19">
        <v>2.1358000000000001</v>
      </c>
      <c r="P31" s="19">
        <v>1.9847619999999999</v>
      </c>
      <c r="Q31" s="19">
        <v>2.2665999999999999</v>
      </c>
      <c r="R31" s="19">
        <v>1.6459699999999999</v>
      </c>
      <c r="S31" s="19">
        <v>2.0745</v>
      </c>
      <c r="T31" s="19">
        <v>1.6459699999999999</v>
      </c>
      <c r="U31" s="19">
        <v>1.921</v>
      </c>
      <c r="V31" s="19">
        <v>1.738836</v>
      </c>
      <c r="W31" s="19">
        <v>1.8338000000000001</v>
      </c>
      <c r="X31" s="19">
        <v>1.738836</v>
      </c>
      <c r="Y31" s="19">
        <v>1.8338000000000001</v>
      </c>
      <c r="Z31" s="4"/>
      <c r="AA31" s="4"/>
      <c r="AB31" s="4" t="e">
        <f ca="1">_xll.ciqfunctions.udf.CIQ("^SPX", "IQ_PRICEDATE", "2/5/2014")</f>
        <v>#NAME?</v>
      </c>
      <c r="AC31" s="16">
        <v>1751.6417690134999</v>
      </c>
    </row>
    <row r="32" spans="1:29" x14ac:dyDescent="0.35">
      <c r="A32" s="2" t="s">
        <v>42</v>
      </c>
      <c r="B32" s="4" t="s">
        <v>622</v>
      </c>
      <c r="C32" s="4" t="s">
        <v>549</v>
      </c>
      <c r="D32" s="4" t="s">
        <v>550</v>
      </c>
      <c r="E32" s="4" t="s">
        <v>623</v>
      </c>
      <c r="F32" s="4" t="s">
        <v>623</v>
      </c>
      <c r="G32" s="14">
        <v>1115.69</v>
      </c>
      <c r="H32" s="10">
        <v>17.851136</v>
      </c>
      <c r="I32" s="10">
        <v>0</v>
      </c>
      <c r="J32" s="10">
        <v>0</v>
      </c>
      <c r="K32" s="15">
        <v>0</v>
      </c>
      <c r="L32" s="17">
        <v>780275.68643100001</v>
      </c>
      <c r="M32" s="4" t="s">
        <v>624</v>
      </c>
      <c r="N32" s="19">
        <v>23.155086000000001</v>
      </c>
      <c r="O32" s="19">
        <v>44.751199999999997</v>
      </c>
      <c r="P32" s="19">
        <v>17.996428999999999</v>
      </c>
      <c r="Q32" s="19">
        <v>39.5794</v>
      </c>
      <c r="R32" s="19">
        <v>27.877247000000001</v>
      </c>
      <c r="S32" s="19">
        <v>39.429200000000002</v>
      </c>
      <c r="T32" s="19">
        <v>27.877247000000001</v>
      </c>
      <c r="U32" s="19">
        <v>32.428199999999997</v>
      </c>
      <c r="V32" s="19">
        <v>19.823307</v>
      </c>
      <c r="W32" s="19">
        <v>28.783000000000001</v>
      </c>
      <c r="X32" s="19">
        <v>19.823307</v>
      </c>
      <c r="Y32" s="19">
        <v>28.783000000000001</v>
      </c>
      <c r="Z32" s="4"/>
      <c r="AA32" s="4"/>
      <c r="AB32" s="4" t="e">
        <f ca="1">_xll.ciqfunctions.udf.CIQ("^SPX", "IQ_PRICEDATE", "2/6/2014")</f>
        <v>#NAME?</v>
      </c>
      <c r="AC32" s="16">
        <v>1773.4299637595</v>
      </c>
    </row>
    <row r="33" spans="1:29" x14ac:dyDescent="0.35">
      <c r="A33" s="2" t="s">
        <v>43</v>
      </c>
      <c r="B33" s="4" t="s">
        <v>622</v>
      </c>
      <c r="C33" s="4" t="s">
        <v>549</v>
      </c>
      <c r="D33" s="4" t="s">
        <v>550</v>
      </c>
      <c r="E33" s="4" t="s">
        <v>623</v>
      </c>
      <c r="F33" s="4" t="s">
        <v>623</v>
      </c>
      <c r="G33" s="14">
        <v>1127.5899999999999</v>
      </c>
      <c r="H33" s="10">
        <v>17.851136</v>
      </c>
      <c r="I33" s="10">
        <v>48.697291999999997</v>
      </c>
      <c r="J33" s="10">
        <v>5.5481129999999999</v>
      </c>
      <c r="K33" s="15">
        <v>0</v>
      </c>
      <c r="L33" s="17">
        <v>780275.68643100001</v>
      </c>
      <c r="M33" s="4" t="s">
        <v>624</v>
      </c>
      <c r="N33" s="19">
        <v>23.155086000000001</v>
      </c>
      <c r="O33" s="19">
        <v>43.810899999999997</v>
      </c>
      <c r="P33" s="19">
        <v>17.996428999999999</v>
      </c>
      <c r="Q33" s="19">
        <v>39.5794</v>
      </c>
      <c r="R33" s="19">
        <v>27.877247000000001</v>
      </c>
      <c r="S33" s="19">
        <v>39.433999999999997</v>
      </c>
      <c r="T33" s="19">
        <v>27.877247000000001</v>
      </c>
      <c r="U33" s="19">
        <v>32.431699999999999</v>
      </c>
      <c r="V33" s="19">
        <v>19.823307</v>
      </c>
      <c r="W33" s="19">
        <v>28.863</v>
      </c>
      <c r="X33" s="19">
        <v>19.823307</v>
      </c>
      <c r="Y33" s="19">
        <v>28.863</v>
      </c>
      <c r="Z33" s="4"/>
      <c r="AA33" s="4"/>
      <c r="AB33" s="4" t="e">
        <f ca="1">_xll.ciqfunctions.udf.CIQ("^SPX", "IQ_PRICEDATE", "2/7/2014")</f>
        <v>#NAME?</v>
      </c>
      <c r="AC33" s="16">
        <v>1797.0169234533</v>
      </c>
    </row>
    <row r="34" spans="1:29" x14ac:dyDescent="0.35">
      <c r="A34" s="2" t="s">
        <v>44</v>
      </c>
      <c r="B34" s="4" t="s">
        <v>625</v>
      </c>
      <c r="C34" s="4" t="s">
        <v>626</v>
      </c>
      <c r="D34" s="4" t="s">
        <v>627</v>
      </c>
      <c r="E34" s="4" t="s">
        <v>628</v>
      </c>
      <c r="F34" s="4" t="s">
        <v>628</v>
      </c>
      <c r="G34" s="14">
        <v>60.62</v>
      </c>
      <c r="H34" s="10">
        <v>11.487541999999999</v>
      </c>
      <c r="I34" s="10">
        <v>10.889616</v>
      </c>
      <c r="J34" s="10" t="s">
        <v>534</v>
      </c>
      <c r="K34" s="15">
        <v>5.2787000000000001E-2</v>
      </c>
      <c r="L34" s="17">
        <v>114279.00539999999</v>
      </c>
      <c r="M34" s="4" t="s">
        <v>629</v>
      </c>
      <c r="N34" s="19">
        <v>5.5667710000000001</v>
      </c>
      <c r="O34" s="19">
        <v>4.1566999999999998</v>
      </c>
      <c r="P34" s="19">
        <v>5.31</v>
      </c>
      <c r="Q34" s="19">
        <v>3.5179999999999998</v>
      </c>
      <c r="R34" s="19">
        <v>7.28</v>
      </c>
      <c r="S34" s="19">
        <v>3.2063000000000001</v>
      </c>
      <c r="T34" s="19">
        <v>7.28</v>
      </c>
      <c r="U34" s="19">
        <v>2.9863</v>
      </c>
      <c r="V34" s="19">
        <v>2.5571280000000001</v>
      </c>
      <c r="W34" s="19">
        <v>2.7555999999999998</v>
      </c>
      <c r="X34" s="19">
        <v>2.5571280000000001</v>
      </c>
      <c r="Y34" s="19">
        <v>2.7555999999999998</v>
      </c>
      <c r="Z34" s="4"/>
      <c r="AA34" s="4"/>
      <c r="AB34" s="4" t="e">
        <f ca="1">_xll.ciqfunctions.udf.CIQ("^SPX", "IQ_PRICEDATE", "2/10/2014")</f>
        <v>#NAME?</v>
      </c>
      <c r="AC34" s="16">
        <v>1799.8393518810001</v>
      </c>
    </row>
    <row r="35" spans="1:29" x14ac:dyDescent="0.35">
      <c r="A35" s="2" t="s">
        <v>45</v>
      </c>
      <c r="B35" s="4" t="s">
        <v>630</v>
      </c>
      <c r="C35" s="4" t="s">
        <v>559</v>
      </c>
      <c r="D35" s="4" t="s">
        <v>560</v>
      </c>
      <c r="E35" s="4" t="s">
        <v>631</v>
      </c>
      <c r="F35" s="4" t="s">
        <v>631</v>
      </c>
      <c r="G35" s="14">
        <v>1831.73</v>
      </c>
      <c r="H35" s="10">
        <v>44.208266000000002</v>
      </c>
      <c r="I35" s="10">
        <v>145.068691</v>
      </c>
      <c r="J35" s="10">
        <v>42.375779000000001</v>
      </c>
      <c r="K35" s="15">
        <v>0</v>
      </c>
      <c r="L35" s="17">
        <v>893410.16812699998</v>
      </c>
      <c r="M35" s="4" t="s">
        <v>632</v>
      </c>
      <c r="N35" s="19">
        <v>12.626639000000001</v>
      </c>
      <c r="O35" s="19">
        <v>20.139900000000001</v>
      </c>
      <c r="P35" s="19">
        <v>6.15</v>
      </c>
      <c r="Q35" s="19">
        <v>6.0980999999999996</v>
      </c>
      <c r="R35" s="19">
        <v>4.9000000000000004</v>
      </c>
      <c r="S35" s="19">
        <v>7.1908000000000003</v>
      </c>
      <c r="T35" s="19">
        <v>4.9000000000000004</v>
      </c>
      <c r="U35" s="19">
        <v>4.3808999999999996</v>
      </c>
      <c r="V35" s="19">
        <v>-0.52164500000000003</v>
      </c>
      <c r="W35" s="19">
        <v>5.5E-2</v>
      </c>
      <c r="X35" s="19">
        <v>-0.52164500000000003</v>
      </c>
      <c r="Y35" s="19">
        <v>5.5E-2</v>
      </c>
      <c r="Z35" s="4"/>
      <c r="AA35" s="4"/>
      <c r="AB35" s="4" t="e">
        <f ca="1">_xll.ciqfunctions.udf.CIQ("^SPX", "IQ_PRICEDATE", "2/11/2014")</f>
        <v>#NAME?</v>
      </c>
      <c r="AC35" s="16">
        <v>1819.7478427199001</v>
      </c>
    </row>
    <row r="36" spans="1:29" x14ac:dyDescent="0.35">
      <c r="A36" s="2" t="s">
        <v>46</v>
      </c>
      <c r="B36" s="4" t="s">
        <v>633</v>
      </c>
      <c r="C36" s="4" t="s">
        <v>619</v>
      </c>
      <c r="D36" s="4" t="s">
        <v>619</v>
      </c>
      <c r="E36" s="4" t="s">
        <v>634</v>
      </c>
      <c r="F36" s="4" t="s">
        <v>634</v>
      </c>
      <c r="G36" s="14">
        <v>64.760000000000005</v>
      </c>
      <c r="H36" s="10">
        <v>10.078181000000001</v>
      </c>
      <c r="I36" s="10">
        <v>25.687097999999999</v>
      </c>
      <c r="J36" s="10">
        <v>2.2654390000000002</v>
      </c>
      <c r="K36" s="15">
        <v>2.9339E-2</v>
      </c>
      <c r="L36" s="17">
        <v>15804.029105</v>
      </c>
      <c r="M36" s="4" t="s">
        <v>635</v>
      </c>
      <c r="N36" s="19">
        <v>2.5211100000000002</v>
      </c>
      <c r="O36" s="19">
        <v>3.3363999999999998</v>
      </c>
      <c r="P36" s="19">
        <v>2.14</v>
      </c>
      <c r="Q36" s="19">
        <v>2.8441999999999998</v>
      </c>
      <c r="R36" s="19">
        <v>2.68</v>
      </c>
      <c r="S36" s="19">
        <v>2.73</v>
      </c>
      <c r="T36" s="19">
        <v>2.68</v>
      </c>
      <c r="U36" s="19">
        <v>2.3107000000000002</v>
      </c>
      <c r="V36" s="19">
        <v>2.4</v>
      </c>
      <c r="W36" s="19">
        <v>2.5133999999999999</v>
      </c>
      <c r="X36" s="19">
        <v>2.4</v>
      </c>
      <c r="Y36" s="19">
        <v>2.5133999999999999</v>
      </c>
      <c r="Z36" s="4"/>
      <c r="AA36" s="4"/>
      <c r="AB36" s="4" t="e">
        <f ca="1">_xll.ciqfunctions.udf.CIQ("^SPX", "IQ_PRICEDATE", "2/12/2014")</f>
        <v>#NAME?</v>
      </c>
      <c r="AC36" s="16">
        <v>1819.2642758690999</v>
      </c>
    </row>
    <row r="37" spans="1:29" x14ac:dyDescent="0.35">
      <c r="A37" s="2" t="s">
        <v>47</v>
      </c>
      <c r="B37" s="4" t="s">
        <v>636</v>
      </c>
      <c r="C37" s="4" t="s">
        <v>525</v>
      </c>
      <c r="D37" s="4" t="s">
        <v>594</v>
      </c>
      <c r="E37" s="4" t="s">
        <v>595</v>
      </c>
      <c r="F37" s="4" t="s">
        <v>595</v>
      </c>
      <c r="G37" s="14">
        <v>33.57</v>
      </c>
      <c r="H37" s="10">
        <v>5.791874</v>
      </c>
      <c r="I37" s="10">
        <v>10.928908</v>
      </c>
      <c r="J37" s="10" t="s">
        <v>534</v>
      </c>
      <c r="K37" s="15">
        <v>1.1915E-2</v>
      </c>
      <c r="L37" s="17">
        <v>15459.294381</v>
      </c>
      <c r="M37" s="4" t="s">
        <v>637</v>
      </c>
      <c r="N37" s="19">
        <v>3.0716700000000001</v>
      </c>
      <c r="O37" s="19">
        <v>4.5327000000000002</v>
      </c>
      <c r="P37" s="19">
        <v>3.9</v>
      </c>
      <c r="Q37" s="19">
        <v>4.7663000000000002</v>
      </c>
      <c r="R37" s="19">
        <v>4.8099999999999996</v>
      </c>
      <c r="S37" s="19">
        <v>4.4809000000000001</v>
      </c>
      <c r="T37" s="19">
        <v>4.8099999999999996</v>
      </c>
      <c r="U37" s="19">
        <v>7.1485000000000003</v>
      </c>
      <c r="V37" s="19">
        <v>3.9304320000000001</v>
      </c>
      <c r="W37" s="19">
        <v>8.4161000000000001</v>
      </c>
      <c r="X37" s="19">
        <v>3.9304320000000001</v>
      </c>
      <c r="Y37" s="19">
        <v>8.4161000000000001</v>
      </c>
      <c r="Z37" s="4"/>
      <c r="AA37" s="4"/>
      <c r="AB37" s="4" t="e">
        <f ca="1">_xll.ciqfunctions.udf.CIQ("^SPX", "IQ_PRICEDATE", "2/13/2014")</f>
        <v>#NAME?</v>
      </c>
      <c r="AC37" s="16">
        <v>1829.82975844</v>
      </c>
    </row>
    <row r="38" spans="1:29" x14ac:dyDescent="0.35">
      <c r="A38" s="2" t="s">
        <v>48</v>
      </c>
      <c r="B38" s="4" t="s">
        <v>638</v>
      </c>
      <c r="C38" s="4" t="s">
        <v>619</v>
      </c>
      <c r="D38" s="4" t="s">
        <v>619</v>
      </c>
      <c r="E38" s="4" t="s">
        <v>620</v>
      </c>
      <c r="F38" s="4" t="s">
        <v>620</v>
      </c>
      <c r="G38" s="14">
        <v>71.72</v>
      </c>
      <c r="H38" s="10">
        <v>11.156098</v>
      </c>
      <c r="I38" s="10">
        <v>18.342466999999999</v>
      </c>
      <c r="J38" s="10">
        <v>1.8935759999999999</v>
      </c>
      <c r="K38" s="15">
        <v>3.4578000000000005E-2</v>
      </c>
      <c r="L38" s="17">
        <v>35353.230640000002</v>
      </c>
      <c r="M38" s="4" t="s">
        <v>639</v>
      </c>
      <c r="N38" s="19">
        <v>3.9100519999999999</v>
      </c>
      <c r="O38" s="19">
        <v>3.9563999999999999</v>
      </c>
      <c r="P38" s="19">
        <v>3.88</v>
      </c>
      <c r="Q38" s="19">
        <v>3.7833000000000001</v>
      </c>
      <c r="R38" s="19">
        <v>1.248027</v>
      </c>
      <c r="S38" s="19">
        <v>3.5844999999999998</v>
      </c>
      <c r="T38" s="19">
        <v>1.248027</v>
      </c>
      <c r="U38" s="19">
        <v>3.5718000000000001</v>
      </c>
      <c r="V38" s="19">
        <v>3.24</v>
      </c>
      <c r="W38" s="19">
        <v>3.3292999999999999</v>
      </c>
      <c r="X38" s="19">
        <v>3.24</v>
      </c>
      <c r="Y38" s="19">
        <v>3.3292999999999999</v>
      </c>
      <c r="Z38" s="4"/>
      <c r="AA38" s="4"/>
      <c r="AB38" s="4" t="e">
        <f ca="1">_xll.ciqfunctions.udf.CIQ("^SPX", "IQ_PRICEDATE", "2/14/2014")</f>
        <v>#NAME?</v>
      </c>
      <c r="AC38" s="16">
        <v>1838.6327143240001</v>
      </c>
    </row>
    <row r="39" spans="1:29" x14ac:dyDescent="0.35">
      <c r="A39" s="2" t="s">
        <v>49</v>
      </c>
      <c r="B39" s="4" t="s">
        <v>640</v>
      </c>
      <c r="C39" s="4" t="s">
        <v>573</v>
      </c>
      <c r="D39" s="4" t="s">
        <v>574</v>
      </c>
      <c r="E39" s="4" t="s">
        <v>641</v>
      </c>
      <c r="F39" s="4" t="s">
        <v>641</v>
      </c>
      <c r="G39" s="14">
        <v>104.34</v>
      </c>
      <c r="H39" s="10">
        <v>0</v>
      </c>
      <c r="I39" s="10">
        <v>27.540894000000002</v>
      </c>
      <c r="J39" s="10">
        <v>4.3000540000000003</v>
      </c>
      <c r="K39" s="15">
        <v>1.3416999999999998E-2</v>
      </c>
      <c r="L39" s="17">
        <v>89842.400445000007</v>
      </c>
      <c r="M39" s="4" t="s">
        <v>642</v>
      </c>
      <c r="N39" s="19">
        <v>3.788548</v>
      </c>
      <c r="O39" s="19">
        <v>7.5248999999999997</v>
      </c>
      <c r="P39" s="19">
        <v>2.97</v>
      </c>
      <c r="Q39" s="19">
        <v>6.3056000000000001</v>
      </c>
      <c r="R39" s="19">
        <v>5.65</v>
      </c>
      <c r="S39" s="19">
        <v>5.2156000000000002</v>
      </c>
      <c r="T39" s="19">
        <v>5.65</v>
      </c>
      <c r="U39" s="19">
        <v>5.2336</v>
      </c>
      <c r="V39" s="19">
        <v>5.56</v>
      </c>
      <c r="W39" s="19">
        <v>5.9082999999999997</v>
      </c>
      <c r="X39" s="19">
        <v>5.56</v>
      </c>
      <c r="Y39" s="19">
        <v>5.9082999999999997</v>
      </c>
      <c r="Z39" s="4"/>
      <c r="AA39" s="4"/>
      <c r="AB39" s="4" t="e">
        <f ca="1">_xll.ciqfunctions.udf.CIQ("^SPX", "IQ_PRICEDATE", "2/18/2014")</f>
        <v>#NAME?</v>
      </c>
      <c r="AC39" s="16">
        <v>1840.7563614977</v>
      </c>
    </row>
    <row r="40" spans="1:29" x14ac:dyDescent="0.35">
      <c r="A40" s="2" t="s">
        <v>50</v>
      </c>
      <c r="B40" s="4" t="s">
        <v>643</v>
      </c>
      <c r="C40" s="4" t="s">
        <v>573</v>
      </c>
      <c r="D40" s="4" t="s">
        <v>579</v>
      </c>
      <c r="E40" s="4" t="s">
        <v>579</v>
      </c>
      <c r="F40" s="4" t="s">
        <v>644</v>
      </c>
      <c r="G40" s="14">
        <v>49.62</v>
      </c>
      <c r="H40" s="10">
        <v>11.805273</v>
      </c>
      <c r="I40" s="10" t="s">
        <v>534</v>
      </c>
      <c r="J40" s="10">
        <v>0.72274700000000003</v>
      </c>
      <c r="K40" s="15">
        <v>2.5795999999999999E-2</v>
      </c>
      <c r="L40" s="17">
        <v>44084.703867999997</v>
      </c>
      <c r="M40" s="4" t="s">
        <v>645</v>
      </c>
      <c r="N40" s="19">
        <v>-7.1890980000000004</v>
      </c>
      <c r="O40" s="19">
        <v>5.0500999999999996</v>
      </c>
      <c r="P40" s="19">
        <v>-6.5422880000000001</v>
      </c>
      <c r="Q40" s="19">
        <v>4.6581999999999999</v>
      </c>
      <c r="R40" s="19">
        <v>-0.7</v>
      </c>
      <c r="S40" s="19">
        <v>5.1496000000000004</v>
      </c>
      <c r="T40" s="19">
        <v>-0.7</v>
      </c>
      <c r="U40" s="19">
        <v>4.9114000000000004</v>
      </c>
      <c r="V40" s="19">
        <v>5.2399990000000001</v>
      </c>
      <c r="W40" s="19">
        <v>4.7538</v>
      </c>
      <c r="X40" s="19">
        <v>5.2399990000000001</v>
      </c>
      <c r="Y40" s="19">
        <v>4.7538</v>
      </c>
      <c r="Z40" s="4"/>
      <c r="AA40" s="4"/>
      <c r="AB40" s="4" t="e">
        <f ca="1">_xll.ciqfunctions.udf.CIQ("^SPX", "IQ_PRICEDATE", "2/19/2014")</f>
        <v>#NAME?</v>
      </c>
      <c r="AC40" s="16">
        <v>1828.7467956528999</v>
      </c>
    </row>
    <row r="41" spans="1:29" x14ac:dyDescent="0.35">
      <c r="A41" s="2" t="s">
        <v>51</v>
      </c>
      <c r="B41" s="4" t="s">
        <v>646</v>
      </c>
      <c r="C41" s="4" t="s">
        <v>601</v>
      </c>
      <c r="D41" s="4" t="s">
        <v>601</v>
      </c>
      <c r="E41" s="4" t="s">
        <v>602</v>
      </c>
      <c r="F41" s="4" t="s">
        <v>647</v>
      </c>
      <c r="G41" s="14">
        <v>146.68</v>
      </c>
      <c r="H41" s="10">
        <v>21.115278</v>
      </c>
      <c r="I41" s="10">
        <v>58.161458000000003</v>
      </c>
      <c r="J41" s="10" t="s">
        <v>534</v>
      </c>
      <c r="K41" s="15">
        <v>2.1543E-2</v>
      </c>
      <c r="L41" s="17">
        <v>64661.686307000004</v>
      </c>
      <c r="M41" s="4" t="s">
        <v>648</v>
      </c>
      <c r="N41" s="19">
        <v>2.5219450000000001</v>
      </c>
      <c r="O41" s="19">
        <v>3.5129999999999999</v>
      </c>
      <c r="P41" s="19">
        <v>2.67</v>
      </c>
      <c r="Q41" s="19">
        <v>3.3589000000000002</v>
      </c>
      <c r="R41" s="19">
        <v>1.98</v>
      </c>
      <c r="S41" s="19">
        <v>2.5825</v>
      </c>
      <c r="T41" s="19">
        <v>1.98</v>
      </c>
      <c r="U41" s="19">
        <v>2.2949999999999999</v>
      </c>
      <c r="V41" s="19">
        <v>2</v>
      </c>
      <c r="W41" s="19">
        <v>2.5792000000000002</v>
      </c>
      <c r="X41" s="19">
        <v>2</v>
      </c>
      <c r="Y41" s="19">
        <v>2.5792000000000002</v>
      </c>
      <c r="Z41" s="4"/>
      <c r="AA41" s="4"/>
      <c r="AB41" s="4" t="e">
        <f ca="1">_xll.ciqfunctions.udf.CIQ("^SPX", "IQ_PRICEDATE", "2/20/2014")</f>
        <v>#NAME?</v>
      </c>
      <c r="AC41" s="16">
        <v>1839.7822149358999</v>
      </c>
    </row>
    <row r="42" spans="1:29" x14ac:dyDescent="0.35">
      <c r="A42" s="2" t="s">
        <v>52</v>
      </c>
      <c r="B42" s="4" t="s">
        <v>649</v>
      </c>
      <c r="C42" s="4" t="s">
        <v>619</v>
      </c>
      <c r="D42" s="4" t="s">
        <v>619</v>
      </c>
      <c r="E42" s="4" t="s">
        <v>650</v>
      </c>
      <c r="F42" s="4" t="s">
        <v>650</v>
      </c>
      <c r="G42" s="14">
        <v>89.95</v>
      </c>
      <c r="H42" s="10">
        <v>14.688186999999999</v>
      </c>
      <c r="I42" s="10">
        <v>34.332061000000003</v>
      </c>
      <c r="J42" s="10">
        <v>4.0446179999999998</v>
      </c>
      <c r="K42" s="15">
        <v>2.0232999999999998E-2</v>
      </c>
      <c r="L42" s="17">
        <v>16235.273209999999</v>
      </c>
      <c r="M42" s="4" t="s">
        <v>651</v>
      </c>
      <c r="N42" s="19">
        <v>2.62</v>
      </c>
      <c r="O42" s="19">
        <v>3.3288000000000002</v>
      </c>
      <c r="P42" s="19">
        <v>2.38</v>
      </c>
      <c r="Q42" s="19">
        <v>3.1894</v>
      </c>
      <c r="R42" s="19">
        <v>2.62</v>
      </c>
      <c r="S42" s="19">
        <v>2.9403999999999999</v>
      </c>
      <c r="T42" s="19">
        <v>2.62</v>
      </c>
      <c r="U42" s="19">
        <v>2.7743000000000002</v>
      </c>
      <c r="V42" s="19">
        <v>2.39</v>
      </c>
      <c r="W42" s="19">
        <v>2.5543</v>
      </c>
      <c r="X42" s="19">
        <v>2.39</v>
      </c>
      <c r="Y42" s="19">
        <v>2.5543</v>
      </c>
      <c r="Z42" s="4"/>
      <c r="AA42" s="4"/>
      <c r="AB42" s="4" t="e">
        <f ca="1">_xll.ciqfunctions.udf.CIQ("^SPX", "IQ_PRICEDATE", "2/21/2014")</f>
        <v>#NAME?</v>
      </c>
      <c r="AC42" s="16">
        <v>1836.2461813611001</v>
      </c>
    </row>
    <row r="43" spans="1:29" x14ac:dyDescent="0.35">
      <c r="A43" s="2" t="s">
        <v>53</v>
      </c>
      <c r="B43" s="4" t="s">
        <v>652</v>
      </c>
      <c r="C43" s="4" t="s">
        <v>573</v>
      </c>
      <c r="D43" s="4" t="s">
        <v>574</v>
      </c>
      <c r="E43" s="4" t="s">
        <v>575</v>
      </c>
      <c r="F43" s="4" t="s">
        <v>576</v>
      </c>
      <c r="G43" s="14">
        <v>138.37</v>
      </c>
      <c r="H43" s="10">
        <v>5.8799390000000002</v>
      </c>
      <c r="I43" s="10">
        <v>12.130046999999999</v>
      </c>
      <c r="J43" s="10">
        <v>3.4941469999999999</v>
      </c>
      <c r="K43" s="15">
        <v>2.6017000000000002E-2</v>
      </c>
      <c r="L43" s="17">
        <v>19629.701201</v>
      </c>
      <c r="M43" s="4" t="s">
        <v>653</v>
      </c>
      <c r="N43" s="19">
        <v>11.407209999999999</v>
      </c>
      <c r="O43" s="19">
        <v>15.475300000000001</v>
      </c>
      <c r="P43" s="19">
        <v>9.44</v>
      </c>
      <c r="Q43" s="19">
        <v>12.704599999999999</v>
      </c>
      <c r="R43" s="19">
        <v>7.81</v>
      </c>
      <c r="S43" s="19">
        <v>10.0672</v>
      </c>
      <c r="T43" s="19">
        <v>7.81</v>
      </c>
      <c r="U43" s="19">
        <v>9.9716000000000005</v>
      </c>
      <c r="V43" s="19">
        <v>8.31</v>
      </c>
      <c r="W43" s="19">
        <v>9.2737999999999996</v>
      </c>
      <c r="X43" s="19">
        <v>8.31</v>
      </c>
      <c r="Y43" s="19">
        <v>9.2737999999999996</v>
      </c>
      <c r="Z43" s="4"/>
      <c r="AA43" s="4"/>
      <c r="AB43" s="4" t="e">
        <f ca="1">_xll.ciqfunctions.udf.CIQ("^SPX", "IQ_PRICEDATE", "2/24/2014")</f>
        <v>#NAME?</v>
      </c>
      <c r="AC43" s="16">
        <v>1847.6146440903001</v>
      </c>
    </row>
    <row r="44" spans="1:29" x14ac:dyDescent="0.35">
      <c r="A44" s="2" t="s">
        <v>54</v>
      </c>
      <c r="B44" s="4" t="s">
        <v>654</v>
      </c>
      <c r="C44" s="4" t="s">
        <v>530</v>
      </c>
      <c r="D44" s="4" t="s">
        <v>531</v>
      </c>
      <c r="E44" s="4" t="s">
        <v>569</v>
      </c>
      <c r="F44" s="4" t="s">
        <v>655</v>
      </c>
      <c r="G44" s="14">
        <v>93.76</v>
      </c>
      <c r="H44" s="10">
        <v>9.5782790000000002</v>
      </c>
      <c r="I44" s="10">
        <v>19.227425</v>
      </c>
      <c r="J44" s="10" t="s">
        <v>534</v>
      </c>
      <c r="K44" s="15">
        <v>1.6211E-2</v>
      </c>
      <c r="L44" s="17">
        <v>20285.598941</v>
      </c>
      <c r="M44" s="4" t="s">
        <v>656</v>
      </c>
      <c r="N44" s="19">
        <v>4.8763680000000003</v>
      </c>
      <c r="O44" s="19">
        <v>6.9241999999999999</v>
      </c>
      <c r="P44" s="19">
        <v>4.420153</v>
      </c>
      <c r="Q44" s="19">
        <v>6.0747600000000004</v>
      </c>
      <c r="R44" s="19">
        <v>5.9869690000000002</v>
      </c>
      <c r="S44" s="19">
        <v>5.7546099999999996</v>
      </c>
      <c r="T44" s="19">
        <v>5.9869690000000002</v>
      </c>
      <c r="U44" s="19">
        <v>5.8305100000000003</v>
      </c>
      <c r="V44" s="19">
        <v>0.15307399999999999</v>
      </c>
      <c r="W44" s="19">
        <v>4.4666899999999998</v>
      </c>
      <c r="X44" s="19">
        <v>0.15307399999999999</v>
      </c>
      <c r="Y44" s="19">
        <v>4.4666899999999998</v>
      </c>
      <c r="Z44" s="4"/>
      <c r="AA44" s="4"/>
      <c r="AB44" s="4" t="e">
        <f ca="1">_xll.ciqfunctions.udf.CIQ("^SPX", "IQ_PRICEDATE", "2/25/2014")</f>
        <v>#NAME?</v>
      </c>
      <c r="AC44" s="16">
        <v>1845.1199680528</v>
      </c>
    </row>
    <row r="45" spans="1:29" x14ac:dyDescent="0.35">
      <c r="A45" s="2" t="s">
        <v>55</v>
      </c>
      <c r="B45" s="4" t="s">
        <v>657</v>
      </c>
      <c r="C45" s="4" t="s">
        <v>525</v>
      </c>
      <c r="D45" s="4" t="s">
        <v>526</v>
      </c>
      <c r="E45" s="4" t="s">
        <v>658</v>
      </c>
      <c r="F45" s="4" t="s">
        <v>659</v>
      </c>
      <c r="G45" s="14">
        <v>73.31</v>
      </c>
      <c r="H45" s="10">
        <v>15.390796</v>
      </c>
      <c r="I45" s="10">
        <v>22.222995999999998</v>
      </c>
      <c r="J45" s="10" t="s">
        <v>534</v>
      </c>
      <c r="K45" s="15">
        <v>7.6380000000000007E-3</v>
      </c>
      <c r="L45" s="17">
        <v>17000.381020000001</v>
      </c>
      <c r="M45" s="4" t="s">
        <v>660</v>
      </c>
      <c r="N45" s="19">
        <v>3.298835</v>
      </c>
      <c r="O45" s="19">
        <v>3.3536000000000001</v>
      </c>
      <c r="P45" s="19">
        <v>2.94</v>
      </c>
      <c r="Q45" s="19">
        <v>2.8050999999999999</v>
      </c>
      <c r="R45" s="19">
        <v>2.19</v>
      </c>
      <c r="S45" s="19">
        <v>2.3963999999999999</v>
      </c>
      <c r="T45" s="19">
        <v>2.19</v>
      </c>
      <c r="U45" s="19">
        <v>2.6741999999999999</v>
      </c>
      <c r="V45" s="19">
        <v>2.37</v>
      </c>
      <c r="W45" s="19">
        <v>2.5880999999999998</v>
      </c>
      <c r="X45" s="19">
        <v>2.37</v>
      </c>
      <c r="Y45" s="19">
        <v>2.5880999999999998</v>
      </c>
      <c r="Z45" s="4"/>
      <c r="AA45" s="4"/>
      <c r="AB45" s="4" t="e">
        <f ca="1">_xll.ciqfunctions.udf.CIQ("^SPX", "IQ_PRICEDATE", "2/26/2014")</f>
        <v>#NAME?</v>
      </c>
      <c r="AC45" s="16">
        <v>1845.1639780911</v>
      </c>
    </row>
    <row r="46" spans="1:29" x14ac:dyDescent="0.35">
      <c r="A46" s="2" t="s">
        <v>56</v>
      </c>
      <c r="B46" s="4" t="s">
        <v>661</v>
      </c>
      <c r="C46" s="4" t="s">
        <v>530</v>
      </c>
      <c r="D46" s="4" t="s">
        <v>537</v>
      </c>
      <c r="E46" s="4" t="s">
        <v>538</v>
      </c>
      <c r="F46" s="4" t="s">
        <v>538</v>
      </c>
      <c r="G46" s="14">
        <v>202.77</v>
      </c>
      <c r="H46" s="10">
        <v>10.840305000000001</v>
      </c>
      <c r="I46" s="10">
        <v>60.741714999999999</v>
      </c>
      <c r="J46" s="10" t="s">
        <v>534</v>
      </c>
      <c r="K46" s="15">
        <v>2.6039E-2</v>
      </c>
      <c r="L46" s="17">
        <v>131247.35702600001</v>
      </c>
      <c r="M46" s="4" t="s">
        <v>662</v>
      </c>
      <c r="N46" s="19">
        <v>3.3382329999999998</v>
      </c>
      <c r="O46" s="19">
        <v>14.0382</v>
      </c>
      <c r="P46" s="19">
        <v>2.69</v>
      </c>
      <c r="Q46" s="19">
        <v>12.5274</v>
      </c>
      <c r="R46" s="19">
        <v>10.24</v>
      </c>
      <c r="S46" s="19">
        <v>11.9491</v>
      </c>
      <c r="T46" s="19">
        <v>10.24</v>
      </c>
      <c r="U46" s="19">
        <v>10.189399999999999</v>
      </c>
      <c r="V46" s="19">
        <v>6.7</v>
      </c>
      <c r="W46" s="19">
        <v>8.8605</v>
      </c>
      <c r="X46" s="19">
        <v>6.7</v>
      </c>
      <c r="Y46" s="19">
        <v>8.8605</v>
      </c>
      <c r="Z46" s="4"/>
      <c r="AA46" s="4"/>
      <c r="AB46" s="4" t="e">
        <f ca="1">_xll.ciqfunctions.udf.CIQ("^SPX", "IQ_PRICEDATE", "2/27/2014")</f>
        <v>#NAME?</v>
      </c>
      <c r="AC46" s="16">
        <v>1854.2920045507999</v>
      </c>
    </row>
    <row r="47" spans="1:29" x14ac:dyDescent="0.35">
      <c r="A47" s="2" t="s">
        <v>57</v>
      </c>
      <c r="B47" s="4" t="s">
        <v>663</v>
      </c>
      <c r="C47" s="4" t="s">
        <v>543</v>
      </c>
      <c r="D47" s="4" t="s">
        <v>664</v>
      </c>
      <c r="E47" s="4" t="s">
        <v>665</v>
      </c>
      <c r="F47" s="4" t="s">
        <v>666</v>
      </c>
      <c r="G47" s="14">
        <v>85.83</v>
      </c>
      <c r="H47" s="10">
        <v>15.702054</v>
      </c>
      <c r="I47" s="10">
        <v>37.384796999999999</v>
      </c>
      <c r="J47" s="10" t="s">
        <v>534</v>
      </c>
      <c r="K47" s="15">
        <v>1.0718E-2</v>
      </c>
      <c r="L47" s="17">
        <v>25779.260396000001</v>
      </c>
      <c r="M47" s="4" t="s">
        <v>667</v>
      </c>
      <c r="N47" s="19">
        <v>2.2958530000000001</v>
      </c>
      <c r="O47" s="19">
        <v>3.7726999999999999</v>
      </c>
      <c r="P47" s="19">
        <v>2.06</v>
      </c>
      <c r="Q47" s="19">
        <v>3.3321000000000001</v>
      </c>
      <c r="R47" s="19">
        <v>2.61</v>
      </c>
      <c r="S47" s="19">
        <v>2.9285000000000001</v>
      </c>
      <c r="T47" s="19">
        <v>2.61</v>
      </c>
      <c r="U47" s="19">
        <v>2.4822000000000002</v>
      </c>
      <c r="V47" s="19">
        <v>2.21</v>
      </c>
      <c r="W47" s="19">
        <v>2.411</v>
      </c>
      <c r="X47" s="19">
        <v>2.21</v>
      </c>
      <c r="Y47" s="19">
        <v>2.411</v>
      </c>
      <c r="Z47" s="4"/>
      <c r="AA47" s="4"/>
      <c r="AB47" s="4" t="e">
        <f ca="1">_xll.ciqfunctions.udf.CIQ("^SPX", "IQ_PRICEDATE", "2/28/2014")</f>
        <v>#NAME?</v>
      </c>
      <c r="AC47" s="16">
        <v>1859.4493719912</v>
      </c>
    </row>
    <row r="48" spans="1:29" x14ac:dyDescent="0.35">
      <c r="A48" s="2" t="s">
        <v>58</v>
      </c>
      <c r="B48" s="4" t="s">
        <v>668</v>
      </c>
      <c r="C48" s="4" t="s">
        <v>669</v>
      </c>
      <c r="D48" s="4" t="s">
        <v>669</v>
      </c>
      <c r="E48" s="4" t="s">
        <v>670</v>
      </c>
      <c r="F48" s="4" t="s">
        <v>671</v>
      </c>
      <c r="G48" s="14">
        <v>67.05</v>
      </c>
      <c r="H48" s="10">
        <v>10.743789</v>
      </c>
      <c r="I48" s="10">
        <v>85.307079999999999</v>
      </c>
      <c r="J48" s="10">
        <v>10.329324</v>
      </c>
      <c r="K48" s="15">
        <v>1.4914E-2</v>
      </c>
      <c r="L48" s="17">
        <v>34334.632974</v>
      </c>
      <c r="M48" s="4" t="s">
        <v>672</v>
      </c>
      <c r="N48" s="19">
        <v>0.78598400000000002</v>
      </c>
      <c r="O48" s="19">
        <v>4.0381</v>
      </c>
      <c r="P48" s="19">
        <v>-0.85036400000000001</v>
      </c>
      <c r="Q48" s="19">
        <v>-0.4073</v>
      </c>
      <c r="R48" s="19">
        <v>-5.8984670000000001</v>
      </c>
      <c r="S48" s="19">
        <v>-0.56389999999999996</v>
      </c>
      <c r="T48" s="19">
        <v>-5.8984670000000001</v>
      </c>
      <c r="U48" s="19">
        <v>-2.6663000000000001</v>
      </c>
      <c r="V48" s="19">
        <v>-3.47</v>
      </c>
      <c r="W48" s="19">
        <v>2.8883000000000001</v>
      </c>
      <c r="X48" s="19">
        <v>-3.47</v>
      </c>
      <c r="Y48" s="19">
        <v>2.8883000000000001</v>
      </c>
      <c r="Z48" s="4"/>
      <c r="AA48" s="4"/>
      <c r="AB48" s="4" t="e">
        <f ca="1">_xll.ciqfunctions.udf.CIQ("^SPX", "IQ_PRICEDATE", "3/3/2014")</f>
        <v>#NAME?</v>
      </c>
      <c r="AC48" s="16">
        <v>1845.7344417764</v>
      </c>
    </row>
    <row r="49" spans="1:29" x14ac:dyDescent="0.35">
      <c r="A49" s="2" t="s">
        <v>59</v>
      </c>
      <c r="B49" s="4" t="s">
        <v>673</v>
      </c>
      <c r="C49" s="4" t="s">
        <v>543</v>
      </c>
      <c r="D49" s="4" t="s">
        <v>565</v>
      </c>
      <c r="E49" s="4" t="s">
        <v>565</v>
      </c>
      <c r="F49" s="4" t="s">
        <v>566</v>
      </c>
      <c r="G49" s="14">
        <v>85.25</v>
      </c>
      <c r="H49" s="10">
        <v>13.499216000000001</v>
      </c>
      <c r="I49" s="10">
        <v>22.70299</v>
      </c>
      <c r="J49" s="10" t="s">
        <v>534</v>
      </c>
      <c r="K49" s="15">
        <v>2.2520999999999999E-2</v>
      </c>
      <c r="L49" s="17">
        <v>31684.864602000001</v>
      </c>
      <c r="M49" s="4" t="s">
        <v>674</v>
      </c>
      <c r="N49" s="19">
        <v>3.7550119999999998</v>
      </c>
      <c r="O49" s="19">
        <v>5.819</v>
      </c>
      <c r="P49" s="19">
        <v>2.0699999999999998</v>
      </c>
      <c r="Q49" s="19">
        <v>5.1731600000000002</v>
      </c>
      <c r="R49" s="19">
        <v>2.76</v>
      </c>
      <c r="S49" s="19">
        <v>3.40123</v>
      </c>
      <c r="T49" s="19">
        <v>2.76</v>
      </c>
      <c r="U49" s="19">
        <v>3.2889200000000001</v>
      </c>
      <c r="V49" s="19">
        <v>1.98</v>
      </c>
      <c r="W49" s="19">
        <v>2.8330899999999999</v>
      </c>
      <c r="X49" s="19">
        <v>1.98</v>
      </c>
      <c r="Y49" s="19">
        <v>2.8330899999999999</v>
      </c>
      <c r="Z49" s="4"/>
      <c r="AA49" s="4"/>
      <c r="AB49" s="4" t="e">
        <f ca="1">_xll.ciqfunctions.udf.CIQ("^SPX", "IQ_PRICEDATE", "3/4/2014")</f>
        <v>#NAME?</v>
      </c>
      <c r="AC49" s="16">
        <v>1873.9137272164</v>
      </c>
    </row>
    <row r="50" spans="1:29" x14ac:dyDescent="0.35">
      <c r="A50" s="2" t="s">
        <v>60</v>
      </c>
      <c r="B50" s="4" t="s">
        <v>675</v>
      </c>
      <c r="C50" s="4" t="s">
        <v>543</v>
      </c>
      <c r="D50" s="4" t="s">
        <v>544</v>
      </c>
      <c r="E50" s="4" t="s">
        <v>555</v>
      </c>
      <c r="F50" s="4" t="s">
        <v>556</v>
      </c>
      <c r="G50" s="14">
        <v>158.85</v>
      </c>
      <c r="H50" s="10">
        <v>27.055145</v>
      </c>
      <c r="I50" s="10">
        <v>45.285257999999999</v>
      </c>
      <c r="J50" s="10">
        <v>19.048786</v>
      </c>
      <c r="K50" s="15">
        <v>0</v>
      </c>
      <c r="L50" s="17">
        <v>13390.707753999999</v>
      </c>
      <c r="M50" s="4" t="s">
        <v>676</v>
      </c>
      <c r="N50" s="19">
        <v>3.5077639999999999</v>
      </c>
      <c r="O50" s="19">
        <v>5.1750999999999996</v>
      </c>
      <c r="P50" s="19">
        <v>2.98</v>
      </c>
      <c r="Q50" s="19">
        <v>4.1280999999999999</v>
      </c>
      <c r="R50" s="19">
        <v>2.99</v>
      </c>
      <c r="S50" s="19">
        <v>3.7214</v>
      </c>
      <c r="T50" s="19">
        <v>2.99</v>
      </c>
      <c r="U50" s="19">
        <v>3.5400999999999998</v>
      </c>
      <c r="V50" s="19">
        <v>2.7</v>
      </c>
      <c r="W50" s="19">
        <v>3.4318</v>
      </c>
      <c r="X50" s="19">
        <v>2.7</v>
      </c>
      <c r="Y50" s="19">
        <v>3.4318</v>
      </c>
      <c r="Z50" s="4"/>
      <c r="AA50" s="4"/>
      <c r="AB50" s="4" t="e">
        <f ca="1">_xll.ciqfunctions.udf.CIQ("^SPX", "IQ_PRICEDATE", "3/5/2014")</f>
        <v>#NAME?</v>
      </c>
      <c r="AC50" s="16">
        <v>1873.8115208239999</v>
      </c>
    </row>
    <row r="51" spans="1:29" x14ac:dyDescent="0.35">
      <c r="A51" s="2" t="s">
        <v>61</v>
      </c>
      <c r="B51" s="4" t="s">
        <v>677</v>
      </c>
      <c r="C51" s="4" t="s">
        <v>530</v>
      </c>
      <c r="D51" s="4" t="s">
        <v>531</v>
      </c>
      <c r="E51" s="4" t="s">
        <v>569</v>
      </c>
      <c r="F51" s="4" t="s">
        <v>570</v>
      </c>
      <c r="G51" s="14">
        <v>279.58</v>
      </c>
      <c r="H51" s="10">
        <v>14.451527</v>
      </c>
      <c r="I51" s="10">
        <v>17.014026000000001</v>
      </c>
      <c r="J51" s="10" t="s">
        <v>534</v>
      </c>
      <c r="K51" s="15">
        <v>1.073E-2</v>
      </c>
      <c r="L51" s="17">
        <v>72677.849295000007</v>
      </c>
      <c r="M51" s="4" t="s">
        <v>678</v>
      </c>
      <c r="N51" s="19">
        <v>16.432324000000001</v>
      </c>
      <c r="O51" s="19">
        <v>16.466000000000001</v>
      </c>
      <c r="P51" s="19">
        <v>14.35</v>
      </c>
      <c r="Q51" s="19">
        <v>12.1853</v>
      </c>
      <c r="R51" s="19">
        <v>9.2100000000000009</v>
      </c>
      <c r="S51" s="19">
        <v>11.354699999999999</v>
      </c>
      <c r="T51" s="19">
        <v>9.2100000000000009</v>
      </c>
      <c r="U51" s="19">
        <v>10.542</v>
      </c>
      <c r="V51" s="19">
        <v>8.9600000000000009</v>
      </c>
      <c r="W51" s="19">
        <v>9.2853999999999992</v>
      </c>
      <c r="X51" s="19">
        <v>8.9600000000000009</v>
      </c>
      <c r="Y51" s="19">
        <v>9.2853999999999992</v>
      </c>
      <c r="Z51" s="4"/>
      <c r="AA51" s="4"/>
      <c r="AB51" s="4" t="e">
        <f ca="1">_xll.ciqfunctions.udf.CIQ("^SPX", "IQ_PRICEDATE", "3/6/2014")</f>
        <v>#NAME?</v>
      </c>
      <c r="AC51" s="16">
        <v>1877.0258953811001</v>
      </c>
    </row>
    <row r="52" spans="1:29" x14ac:dyDescent="0.35">
      <c r="A52" s="2" t="s">
        <v>62</v>
      </c>
      <c r="B52" s="4" t="s">
        <v>679</v>
      </c>
      <c r="C52" s="4" t="s">
        <v>573</v>
      </c>
      <c r="D52" s="4" t="s">
        <v>579</v>
      </c>
      <c r="E52" s="4" t="s">
        <v>579</v>
      </c>
      <c r="F52" s="4" t="s">
        <v>680</v>
      </c>
      <c r="G52" s="14">
        <v>150.46</v>
      </c>
      <c r="H52" s="10">
        <v>18.739305999999999</v>
      </c>
      <c r="I52" s="10">
        <v>45.505878000000003</v>
      </c>
      <c r="J52" s="10" t="s">
        <v>534</v>
      </c>
      <c r="K52" s="15">
        <v>1.0633999999999999E-2</v>
      </c>
      <c r="L52" s="17">
        <v>36509.922908</v>
      </c>
      <c r="M52" s="4" t="s">
        <v>681</v>
      </c>
      <c r="N52" s="19">
        <v>3.3063859999999998</v>
      </c>
      <c r="O52" s="19">
        <v>8.5817999999999994</v>
      </c>
      <c r="P52" s="19">
        <v>1.53</v>
      </c>
      <c r="Q52" s="19">
        <v>7.5286999999999997</v>
      </c>
      <c r="R52" s="19">
        <v>4.51</v>
      </c>
      <c r="S52" s="19">
        <v>6.8296000000000001</v>
      </c>
      <c r="T52" s="19">
        <v>4.51</v>
      </c>
      <c r="U52" s="19">
        <v>6.2182000000000004</v>
      </c>
      <c r="V52" s="19">
        <v>4.6628829999999999</v>
      </c>
      <c r="W52" s="19">
        <v>5.8129</v>
      </c>
      <c r="X52" s="19">
        <v>4.6628829999999999</v>
      </c>
      <c r="Y52" s="19">
        <v>5.8129</v>
      </c>
      <c r="Z52" s="4"/>
      <c r="AA52" s="4"/>
      <c r="AB52" s="4" t="e">
        <f ca="1">_xll.ciqfunctions.udf.CIQ("^SPX", "IQ_PRICEDATE", "3/7/2014")</f>
        <v>#NAME?</v>
      </c>
      <c r="AC52" s="16">
        <v>1878.0391851899001</v>
      </c>
    </row>
    <row r="53" spans="1:29" x14ac:dyDescent="0.35">
      <c r="A53" s="2" t="s">
        <v>63</v>
      </c>
      <c r="B53" s="4" t="s">
        <v>682</v>
      </c>
      <c r="C53" s="4" t="s">
        <v>669</v>
      </c>
      <c r="D53" s="4" t="s">
        <v>669</v>
      </c>
      <c r="E53" s="4" t="s">
        <v>670</v>
      </c>
      <c r="F53" s="4" t="s">
        <v>671</v>
      </c>
      <c r="G53" s="14">
        <v>43.28</v>
      </c>
      <c r="H53" s="10">
        <v>6.2995989999999997</v>
      </c>
      <c r="I53" s="10">
        <v>19.326829</v>
      </c>
      <c r="J53" s="10">
        <v>2.166601</v>
      </c>
      <c r="K53" s="15">
        <v>2.3105000000000001E-2</v>
      </c>
      <c r="L53" s="17">
        <v>16553.992045999999</v>
      </c>
      <c r="M53" s="4" t="s">
        <v>683</v>
      </c>
      <c r="N53" s="19">
        <v>2.2393740000000002</v>
      </c>
      <c r="O53" s="19">
        <v>2.0139999999999998</v>
      </c>
      <c r="P53" s="19">
        <v>3.41</v>
      </c>
      <c r="Q53" s="19">
        <v>0.89849999999999997</v>
      </c>
      <c r="R53" s="19">
        <v>-3.6200519999999998</v>
      </c>
      <c r="S53" s="19">
        <v>1.1649</v>
      </c>
      <c r="T53" s="19">
        <v>-3.6200519999999998</v>
      </c>
      <c r="U53" s="19">
        <v>-0.7903</v>
      </c>
      <c r="V53" s="19">
        <v>-17.325520000000001</v>
      </c>
      <c r="W53" s="19">
        <v>1.9764999999999999</v>
      </c>
      <c r="X53" s="19">
        <v>-17.325520000000001</v>
      </c>
      <c r="Y53" s="19">
        <v>1.9764999999999999</v>
      </c>
      <c r="Z53" s="4"/>
      <c r="AA53" s="4"/>
      <c r="AB53" s="4" t="e">
        <f ca="1">_xll.ciqfunctions.udf.CIQ("^SPX", "IQ_PRICEDATE", "3/10/2014")</f>
        <v>#NAME?</v>
      </c>
      <c r="AC53" s="16">
        <v>1877.1738938220001</v>
      </c>
    </row>
    <row r="54" spans="1:29" x14ac:dyDescent="0.35">
      <c r="A54" s="2" t="s">
        <v>64</v>
      </c>
      <c r="B54" s="4" t="s">
        <v>684</v>
      </c>
      <c r="C54" s="4" t="s">
        <v>601</v>
      </c>
      <c r="D54" s="4" t="s">
        <v>601</v>
      </c>
      <c r="E54" s="4" t="s">
        <v>602</v>
      </c>
      <c r="F54" s="4" t="s">
        <v>685</v>
      </c>
      <c r="G54" s="14">
        <v>42.84</v>
      </c>
      <c r="H54" s="10">
        <v>18.993903</v>
      </c>
      <c r="I54" s="10">
        <v>18.426662</v>
      </c>
      <c r="J54" s="10">
        <v>4.5242969999999998</v>
      </c>
      <c r="K54" s="15">
        <v>3.5479999999999998E-2</v>
      </c>
      <c r="L54" s="17">
        <v>6740.935176</v>
      </c>
      <c r="M54" s="4" t="s">
        <v>686</v>
      </c>
      <c r="N54" s="19">
        <v>2.3248920000000002</v>
      </c>
      <c r="O54" s="19">
        <v>0.33029999999999998</v>
      </c>
      <c r="P54" s="19">
        <v>1.96</v>
      </c>
      <c r="Q54" s="19">
        <v>0.66559999999999997</v>
      </c>
      <c r="R54" s="19">
        <v>2.67</v>
      </c>
      <c r="S54" s="19">
        <v>0.29970000000000002</v>
      </c>
      <c r="T54" s="19">
        <v>2.67</v>
      </c>
      <c r="U54" s="19">
        <v>0.47310000000000002</v>
      </c>
      <c r="V54" s="19">
        <v>2.06</v>
      </c>
      <c r="W54" s="19">
        <v>0.43669999999999998</v>
      </c>
      <c r="X54" s="19">
        <v>2.06</v>
      </c>
      <c r="Y54" s="19">
        <v>0.43669999999999998</v>
      </c>
      <c r="Z54" s="4"/>
      <c r="AA54" s="4"/>
      <c r="AB54" s="4" t="e">
        <f ca="1">_xll.ciqfunctions.udf.CIQ("^SPX", "IQ_PRICEDATE", "3/11/2014")</f>
        <v>#NAME?</v>
      </c>
      <c r="AC54" s="16">
        <v>1867.6260374315</v>
      </c>
    </row>
    <row r="55" spans="1:29" x14ac:dyDescent="0.35">
      <c r="A55" s="2" t="s">
        <v>65</v>
      </c>
      <c r="B55" s="4" t="s">
        <v>687</v>
      </c>
      <c r="C55" s="4" t="s">
        <v>543</v>
      </c>
      <c r="D55" s="4" t="s">
        <v>664</v>
      </c>
      <c r="E55" s="4" t="s">
        <v>688</v>
      </c>
      <c r="F55" s="4" t="s">
        <v>688</v>
      </c>
      <c r="G55" s="14">
        <v>221.19</v>
      </c>
      <c r="H55" s="10">
        <v>14.159171000000001</v>
      </c>
      <c r="I55" s="10">
        <v>20.039470000000001</v>
      </c>
      <c r="J55" s="10">
        <v>9.3189569999999993</v>
      </c>
      <c r="K55" s="15">
        <v>1.3201000000000001E-2</v>
      </c>
      <c r="L55" s="17">
        <v>1068332.2167</v>
      </c>
      <c r="M55" s="4" t="s">
        <v>689</v>
      </c>
      <c r="N55" s="19">
        <v>11.037717000000001</v>
      </c>
      <c r="O55" s="19">
        <v>13.3803</v>
      </c>
      <c r="P55" s="19">
        <v>9.7002210000000009</v>
      </c>
      <c r="Q55" s="19">
        <v>11.456049999999999</v>
      </c>
      <c r="R55" s="19">
        <v>8.3295469999999998</v>
      </c>
      <c r="S55" s="19">
        <v>9.0141500000000008</v>
      </c>
      <c r="T55" s="19">
        <v>8.3295469999999998</v>
      </c>
      <c r="U55" s="19">
        <v>9.7505699999999997</v>
      </c>
      <c r="V55" s="19">
        <v>7.3854069999999998</v>
      </c>
      <c r="W55" s="19">
        <v>7.7707300000000004</v>
      </c>
      <c r="X55" s="19">
        <v>7.3854069999999998</v>
      </c>
      <c r="Y55" s="19">
        <v>7.7707300000000004</v>
      </c>
      <c r="Z55" s="4"/>
      <c r="AA55" s="4"/>
      <c r="AB55" s="4" t="e">
        <f ca="1">_xll.ciqfunctions.udf.CIQ("^SPX", "IQ_PRICEDATE", "3/12/2014")</f>
        <v>#NAME?</v>
      </c>
      <c r="AC55" s="16">
        <v>1868.1951226484</v>
      </c>
    </row>
    <row r="56" spans="1:29" x14ac:dyDescent="0.35">
      <c r="A56" s="2" t="s">
        <v>66</v>
      </c>
      <c r="B56" s="4" t="s">
        <v>690</v>
      </c>
      <c r="C56" s="4" t="s">
        <v>543</v>
      </c>
      <c r="D56" s="4" t="s">
        <v>565</v>
      </c>
      <c r="E56" s="4" t="s">
        <v>565</v>
      </c>
      <c r="F56" s="4" t="s">
        <v>691</v>
      </c>
      <c r="G56" s="14">
        <v>34.96</v>
      </c>
      <c r="H56" s="10">
        <v>6.7097850000000001</v>
      </c>
      <c r="I56" s="10">
        <v>10.708788999999999</v>
      </c>
      <c r="J56" s="10">
        <v>10.759346000000001</v>
      </c>
      <c r="K56" s="15">
        <v>2.2883000000000001E-2</v>
      </c>
      <c r="L56" s="17">
        <v>34365.348614000002</v>
      </c>
      <c r="M56" s="4" t="s">
        <v>692</v>
      </c>
      <c r="N56" s="19">
        <v>3.264608</v>
      </c>
      <c r="O56" s="19">
        <v>3.9666999999999999</v>
      </c>
      <c r="P56" s="19">
        <v>3.17</v>
      </c>
      <c r="Q56" s="19">
        <v>4.0048399999999997</v>
      </c>
      <c r="R56" s="19">
        <v>1.54</v>
      </c>
      <c r="S56" s="19">
        <v>2.37785</v>
      </c>
      <c r="T56" s="19">
        <v>1.54</v>
      </c>
      <c r="U56" s="19">
        <v>1.2066399999999999</v>
      </c>
      <c r="V56" s="19">
        <v>0.87</v>
      </c>
      <c r="W56" s="19">
        <v>1.30138</v>
      </c>
      <c r="X56" s="19">
        <v>0.87</v>
      </c>
      <c r="Y56" s="19">
        <v>1.30138</v>
      </c>
      <c r="Z56" s="4"/>
      <c r="AA56" s="4"/>
      <c r="AB56" s="4" t="e">
        <f ca="1">_xll.ciqfunctions.udf.CIQ("^SPX", "IQ_PRICEDATE", "3/13/2014")</f>
        <v>#NAME?</v>
      </c>
      <c r="AC56" s="16">
        <v>1846.3448121255001</v>
      </c>
    </row>
    <row r="57" spans="1:29" x14ac:dyDescent="0.35">
      <c r="A57" s="2" t="s">
        <v>67</v>
      </c>
      <c r="B57" s="4" t="s">
        <v>693</v>
      </c>
      <c r="C57" s="4" t="s">
        <v>559</v>
      </c>
      <c r="D57" s="4" t="s">
        <v>694</v>
      </c>
      <c r="E57" s="4" t="s">
        <v>695</v>
      </c>
      <c r="F57" s="4" t="s">
        <v>696</v>
      </c>
      <c r="G57" s="14">
        <v>73.98</v>
      </c>
      <c r="H57" s="10">
        <v>10.14565</v>
      </c>
      <c r="I57" s="10">
        <v>18.121883</v>
      </c>
      <c r="J57" s="10">
        <v>161.92789999999999</v>
      </c>
      <c r="K57" s="15">
        <v>1.1894999999999999E-2</v>
      </c>
      <c r="L57" s="17">
        <v>19585.316129999999</v>
      </c>
      <c r="M57" s="4" t="s">
        <v>697</v>
      </c>
      <c r="N57" s="19">
        <v>4.082357</v>
      </c>
      <c r="O57" s="19">
        <v>5.5492999999999997</v>
      </c>
      <c r="P57" s="19">
        <v>3.6982119999999998</v>
      </c>
      <c r="Q57" s="19">
        <v>5.1178999999999997</v>
      </c>
      <c r="R57" s="19">
        <v>2.9166349999999999</v>
      </c>
      <c r="S57" s="19">
        <v>6.3044000000000002</v>
      </c>
      <c r="T57" s="19">
        <v>2.9166349999999999</v>
      </c>
      <c r="U57" s="19">
        <v>5.9668999999999999</v>
      </c>
      <c r="V57" s="19">
        <v>4.2812520000000003</v>
      </c>
      <c r="W57" s="19">
        <v>5.5155000000000003</v>
      </c>
      <c r="X57" s="19">
        <v>4.2812520000000003</v>
      </c>
      <c r="Y57" s="19">
        <v>5.5155000000000003</v>
      </c>
      <c r="Z57" s="4"/>
      <c r="AA57" s="4"/>
      <c r="AB57" s="4" t="e">
        <f ca="1">_xll.ciqfunctions.udf.CIQ("^SPX", "IQ_PRICEDATE", "3/14/2014")</f>
        <v>#NAME?</v>
      </c>
      <c r="AC57" s="16">
        <v>1841.1335089520001</v>
      </c>
    </row>
    <row r="58" spans="1:29" x14ac:dyDescent="0.35">
      <c r="A58" s="2" t="s">
        <v>68</v>
      </c>
      <c r="B58" s="4" t="s">
        <v>698</v>
      </c>
      <c r="C58" s="4" t="s">
        <v>626</v>
      </c>
      <c r="D58" s="4" t="s">
        <v>627</v>
      </c>
      <c r="E58" s="4" t="s">
        <v>699</v>
      </c>
      <c r="F58" s="4" t="s">
        <v>700</v>
      </c>
      <c r="G58" s="14">
        <v>49.03</v>
      </c>
      <c r="H58" s="10">
        <v>10.862416</v>
      </c>
      <c r="I58" s="10">
        <v>14.316916000000001</v>
      </c>
      <c r="J58" s="10">
        <v>1.8424149999999999</v>
      </c>
      <c r="K58" s="15">
        <v>2.733E-2</v>
      </c>
      <c r="L58" s="17">
        <v>27443.924623999999</v>
      </c>
      <c r="M58" s="4" t="s">
        <v>701</v>
      </c>
      <c r="N58" s="19">
        <v>3.42462</v>
      </c>
      <c r="O58" s="19">
        <v>3.6072000000000002</v>
      </c>
      <c r="P58" s="19">
        <v>2.79</v>
      </c>
      <c r="Q58" s="19">
        <v>2.6318000000000001</v>
      </c>
      <c r="R58" s="19">
        <v>2.16</v>
      </c>
      <c r="S58" s="19">
        <v>2.8992</v>
      </c>
      <c r="T58" s="19">
        <v>2.16</v>
      </c>
      <c r="U58" s="19">
        <v>2.9195000000000002</v>
      </c>
      <c r="V58" s="19">
        <v>3.43</v>
      </c>
      <c r="W58" s="19">
        <v>3.5432000000000001</v>
      </c>
      <c r="X58" s="19">
        <v>3.43</v>
      </c>
      <c r="Y58" s="19">
        <v>3.5432000000000001</v>
      </c>
      <c r="Z58" s="4"/>
      <c r="AA58" s="4"/>
      <c r="AB58" s="4" t="e">
        <f ca="1">_xll.ciqfunctions.udf.CIQ("^SPX", "IQ_PRICEDATE", "3/17/2014")</f>
        <v>#NAME?</v>
      </c>
      <c r="AC58" s="16">
        <v>1858.8322294687</v>
      </c>
    </row>
    <row r="59" spans="1:29" x14ac:dyDescent="0.35">
      <c r="A59" s="2" t="s">
        <v>69</v>
      </c>
      <c r="B59" s="4" t="s">
        <v>702</v>
      </c>
      <c r="C59" s="4" t="s">
        <v>525</v>
      </c>
      <c r="D59" s="4" t="s">
        <v>526</v>
      </c>
      <c r="E59" s="4" t="s">
        <v>703</v>
      </c>
      <c r="F59" s="4" t="s">
        <v>703</v>
      </c>
      <c r="G59" s="14">
        <v>22.52</v>
      </c>
      <c r="H59" s="10">
        <v>9.0503370000000007</v>
      </c>
      <c r="I59" s="10" t="s">
        <v>534</v>
      </c>
      <c r="J59" s="10" t="s">
        <v>534</v>
      </c>
      <c r="K59" s="15">
        <v>1.0657000000000002E-2</v>
      </c>
      <c r="L59" s="17">
        <v>10876.140249</v>
      </c>
      <c r="M59" s="4" t="s">
        <v>704</v>
      </c>
      <c r="N59" s="19">
        <v>-0.83657099999999995</v>
      </c>
      <c r="O59" s="19">
        <v>1.3976</v>
      </c>
      <c r="P59" s="19">
        <v>-0.28159600000000001</v>
      </c>
      <c r="Q59" s="19">
        <v>1.3622000000000001</v>
      </c>
      <c r="R59" s="19">
        <v>-2.5821909999999999</v>
      </c>
      <c r="S59" s="19">
        <v>1.2056500000000001</v>
      </c>
      <c r="T59" s="19">
        <v>-2.5821909999999999</v>
      </c>
      <c r="U59" s="19">
        <v>0</v>
      </c>
      <c r="V59" s="19">
        <v>-0.21188599999999999</v>
      </c>
      <c r="W59" s="19">
        <v>0</v>
      </c>
      <c r="X59" s="19">
        <v>-0.21188599999999999</v>
      </c>
      <c r="Y59" s="19">
        <v>0</v>
      </c>
      <c r="Z59" s="4"/>
      <c r="AA59" s="4"/>
      <c r="AB59" s="4" t="e">
        <f ca="1">_xll.ciqfunctions.udf.CIQ("^SPX", "IQ_PRICEDATE", "3/18/2014")</f>
        <v>#NAME?</v>
      </c>
      <c r="AC59" s="16">
        <v>1872.2515034585999</v>
      </c>
    </row>
    <row r="60" spans="1:29" x14ac:dyDescent="0.35">
      <c r="A60" s="2" t="s">
        <v>70</v>
      </c>
      <c r="B60" s="4" t="s">
        <v>705</v>
      </c>
      <c r="C60" s="4" t="s">
        <v>543</v>
      </c>
      <c r="D60" s="4" t="s">
        <v>664</v>
      </c>
      <c r="E60" s="4" t="s">
        <v>706</v>
      </c>
      <c r="F60" s="4" t="s">
        <v>706</v>
      </c>
      <c r="G60" s="14">
        <v>238.95</v>
      </c>
      <c r="H60" s="10">
        <v>26.489977</v>
      </c>
      <c r="I60" s="10">
        <v>81.112485000000007</v>
      </c>
      <c r="J60" s="10">
        <v>10.390459</v>
      </c>
      <c r="K60" s="15">
        <v>0</v>
      </c>
      <c r="L60" s="17">
        <v>17879.120487</v>
      </c>
      <c r="M60" s="4" t="s">
        <v>707</v>
      </c>
      <c r="N60" s="19">
        <v>2.9459089999999999</v>
      </c>
      <c r="O60" s="19">
        <v>7.7565999999999997</v>
      </c>
      <c r="P60" s="19">
        <v>5.349253</v>
      </c>
      <c r="Q60" s="19">
        <v>5.8776999999999999</v>
      </c>
      <c r="R60" s="19">
        <v>2.499781</v>
      </c>
      <c r="S60" s="19">
        <v>3.2968000000000002</v>
      </c>
      <c r="T60" s="19">
        <v>2.499781</v>
      </c>
      <c r="U60" s="19">
        <v>2.4504000000000001</v>
      </c>
      <c r="V60" s="19">
        <v>1.291884</v>
      </c>
      <c r="W60" s="19">
        <v>1.4689000000000001</v>
      </c>
      <c r="X60" s="19">
        <v>1.291884</v>
      </c>
      <c r="Y60" s="19">
        <v>1.4689000000000001</v>
      </c>
      <c r="Z60" s="4"/>
      <c r="AA60" s="4"/>
      <c r="AB60" s="4" t="e">
        <f ca="1">_xll.ciqfunctions.udf.CIQ("^SPX", "IQ_PRICEDATE", "3/19/2014")</f>
        <v>#NAME?</v>
      </c>
      <c r="AC60" s="16">
        <v>1860.771428732</v>
      </c>
    </row>
    <row r="61" spans="1:29" x14ac:dyDescent="0.35">
      <c r="A61" s="2" t="s">
        <v>71</v>
      </c>
      <c r="B61" s="4" t="s">
        <v>708</v>
      </c>
      <c r="C61" s="4" t="s">
        <v>573</v>
      </c>
      <c r="D61" s="4" t="s">
        <v>579</v>
      </c>
      <c r="E61" s="4" t="s">
        <v>579</v>
      </c>
      <c r="F61" s="4" t="s">
        <v>680</v>
      </c>
      <c r="G61" s="14">
        <v>72.11</v>
      </c>
      <c r="H61" s="10">
        <v>15.740428</v>
      </c>
      <c r="I61" s="10">
        <v>24.028448000000001</v>
      </c>
      <c r="J61" s="10" t="s">
        <v>534</v>
      </c>
      <c r="K61" s="15">
        <v>2.2743000000000003E-2</v>
      </c>
      <c r="L61" s="17">
        <v>13168.151320000001</v>
      </c>
      <c r="M61" s="4" t="s">
        <v>709</v>
      </c>
      <c r="N61" s="19">
        <v>3.001026</v>
      </c>
      <c r="O61" s="19">
        <v>3.6972</v>
      </c>
      <c r="P61" s="19">
        <v>2.54</v>
      </c>
      <c r="Q61" s="19">
        <v>3.2663000000000002</v>
      </c>
      <c r="R61" s="19">
        <v>2.3199999999999998</v>
      </c>
      <c r="S61" s="19">
        <v>2.9754</v>
      </c>
      <c r="T61" s="19">
        <v>2.3199999999999998</v>
      </c>
      <c r="U61" s="19">
        <v>2.6560000000000001</v>
      </c>
      <c r="V61" s="19">
        <v>1.97</v>
      </c>
      <c r="W61" s="19">
        <v>2.6497999999999999</v>
      </c>
      <c r="X61" s="19">
        <v>1.97</v>
      </c>
      <c r="Y61" s="19">
        <v>2.6497999999999999</v>
      </c>
      <c r="Z61" s="4"/>
      <c r="AA61" s="4"/>
      <c r="AB61" s="4" t="e">
        <f ca="1">_xll.ciqfunctions.udf.CIQ("^SPX", "IQ_PRICEDATE", "3/20/2014")</f>
        <v>#NAME?</v>
      </c>
      <c r="AC61" s="16">
        <v>1872.0084084619</v>
      </c>
    </row>
    <row r="62" spans="1:29" x14ac:dyDescent="0.35">
      <c r="A62" s="2" t="s">
        <v>72</v>
      </c>
      <c r="B62" s="4" t="s">
        <v>710</v>
      </c>
      <c r="C62" s="4" t="s">
        <v>573</v>
      </c>
      <c r="D62" s="4" t="s">
        <v>579</v>
      </c>
      <c r="E62" s="4" t="s">
        <v>579</v>
      </c>
      <c r="F62" s="4" t="s">
        <v>644</v>
      </c>
      <c r="G62" s="14">
        <v>105.89</v>
      </c>
      <c r="H62" s="10">
        <v>14.818097</v>
      </c>
      <c r="I62" s="10">
        <v>13.824254</v>
      </c>
      <c r="J62" s="10">
        <v>2.935953</v>
      </c>
      <c r="K62" s="15">
        <v>2.1154000000000003E-2</v>
      </c>
      <c r="L62" s="17">
        <v>6616.8672390000002</v>
      </c>
      <c r="M62" s="4" t="s">
        <v>711</v>
      </c>
      <c r="N62" s="19">
        <v>7.659726</v>
      </c>
      <c r="O62" s="19">
        <v>7.9082999999999997</v>
      </c>
      <c r="P62" s="19">
        <v>9.3899989999999995</v>
      </c>
      <c r="Q62" s="19">
        <v>6.7249999999999996</v>
      </c>
      <c r="R62" s="19">
        <v>9.1300000000000008</v>
      </c>
      <c r="S62" s="19">
        <v>5.0307000000000004</v>
      </c>
      <c r="T62" s="19">
        <v>9.1300000000000008</v>
      </c>
      <c r="U62" s="19">
        <v>6.3696000000000002</v>
      </c>
      <c r="V62" s="19">
        <v>6.4399990000000003</v>
      </c>
      <c r="W62" s="19">
        <v>6.4756</v>
      </c>
      <c r="X62" s="19">
        <v>6.4399990000000003</v>
      </c>
      <c r="Y62" s="19">
        <v>6.4756</v>
      </c>
      <c r="Z62" s="4"/>
      <c r="AA62" s="4"/>
      <c r="AB62" s="4" t="e">
        <f ca="1">_xll.ciqfunctions.udf.CIQ("^SPX", "IQ_PRICEDATE", "3/21/2014")</f>
        <v>#NAME?</v>
      </c>
      <c r="AC62" s="16">
        <v>1866.5207372805</v>
      </c>
    </row>
    <row r="63" spans="1:29" x14ac:dyDescent="0.35">
      <c r="A63" s="2" t="s">
        <v>73</v>
      </c>
      <c r="B63" s="4" t="s">
        <v>712</v>
      </c>
      <c r="C63" s="4" t="s">
        <v>549</v>
      </c>
      <c r="D63" s="4" t="s">
        <v>713</v>
      </c>
      <c r="E63" s="4" t="s">
        <v>714</v>
      </c>
      <c r="F63" s="4" t="s">
        <v>715</v>
      </c>
      <c r="G63" s="14">
        <v>32.57</v>
      </c>
      <c r="H63" s="10">
        <v>9.1452080000000002</v>
      </c>
      <c r="I63" s="10">
        <v>6.364617</v>
      </c>
      <c r="J63" s="10" t="s">
        <v>534</v>
      </c>
      <c r="K63" s="15">
        <v>6.1406000000000002E-2</v>
      </c>
      <c r="L63" s="17">
        <v>236523.34</v>
      </c>
      <c r="M63" s="4" t="s">
        <v>716</v>
      </c>
      <c r="N63" s="19">
        <v>5.1173539999999997</v>
      </c>
      <c r="O63" s="19">
        <v>3.5756999999999999</v>
      </c>
      <c r="P63" s="19">
        <v>4.7651620000000001</v>
      </c>
      <c r="Q63" s="19">
        <v>2.9018000000000002</v>
      </c>
      <c r="R63" s="19">
        <v>2.0987230000000001</v>
      </c>
      <c r="S63" s="19">
        <v>2.9396</v>
      </c>
      <c r="T63" s="19">
        <v>2.0987230000000001</v>
      </c>
      <c r="U63" s="19">
        <v>2.8005</v>
      </c>
      <c r="V63" s="19">
        <v>1.236353</v>
      </c>
      <c r="W63" s="19">
        <v>2.5251000000000001</v>
      </c>
      <c r="X63" s="19">
        <v>1.236353</v>
      </c>
      <c r="Y63" s="19">
        <v>2.5251000000000001</v>
      </c>
      <c r="Z63" s="4"/>
      <c r="AA63" s="4"/>
      <c r="AB63" s="4" t="e">
        <f ca="1">_xll.ciqfunctions.udf.CIQ("^SPX", "IQ_PRICEDATE", "3/24/2014")</f>
        <v>#NAME?</v>
      </c>
      <c r="AC63" s="16">
        <v>1857.4444747878999</v>
      </c>
    </row>
    <row r="64" spans="1:29" x14ac:dyDescent="0.35">
      <c r="A64" s="2" t="s">
        <v>74</v>
      </c>
      <c r="B64" s="4" t="s">
        <v>717</v>
      </c>
      <c r="C64" s="4" t="s">
        <v>543</v>
      </c>
      <c r="D64" s="4" t="s">
        <v>544</v>
      </c>
      <c r="E64" s="4" t="s">
        <v>555</v>
      </c>
      <c r="F64" s="4" t="s">
        <v>556</v>
      </c>
      <c r="G64" s="14">
        <v>141.77000000000001</v>
      </c>
      <c r="H64" s="10" t="s">
        <v>534</v>
      </c>
      <c r="I64" s="10" t="s">
        <v>534</v>
      </c>
      <c r="J64" s="10" t="s">
        <v>534</v>
      </c>
      <c r="K64" s="15">
        <v>0</v>
      </c>
      <c r="L64" s="17">
        <v>30993.280060000001</v>
      </c>
      <c r="M64" s="4" t="s">
        <v>718</v>
      </c>
      <c r="N64" s="19">
        <v>-1.8950009999999999</v>
      </c>
      <c r="O64" s="19">
        <v>1.9783999999999999</v>
      </c>
      <c r="P64" s="19">
        <v>-2.5763630000000002</v>
      </c>
      <c r="Q64" s="19">
        <v>0.66180000000000005</v>
      </c>
      <c r="R64" s="19">
        <v>-1.9964839999999999</v>
      </c>
      <c r="S64" s="19">
        <v>-0.52749999999999997</v>
      </c>
      <c r="T64" s="19">
        <v>-1.9964839999999999</v>
      </c>
      <c r="U64" s="19">
        <v>-0.3221</v>
      </c>
      <c r="V64" s="19">
        <v>0.53063800000000005</v>
      </c>
      <c r="W64" s="19">
        <v>1.2554000000000001</v>
      </c>
      <c r="X64" s="19">
        <v>0.53063800000000005</v>
      </c>
      <c r="Y64" s="19">
        <v>1.2554000000000001</v>
      </c>
      <c r="Z64" s="4"/>
      <c r="AA64" s="4"/>
      <c r="AB64" s="4" t="e">
        <f ca="1">_xll.ciqfunctions.udf.CIQ("^SPX", "IQ_PRICEDATE", "3/25/2014")</f>
        <v>#NAME?</v>
      </c>
      <c r="AC64" s="16">
        <v>1865.6243739253</v>
      </c>
    </row>
    <row r="65" spans="1:29" x14ac:dyDescent="0.35">
      <c r="A65" s="2" t="s">
        <v>75</v>
      </c>
      <c r="B65" s="4" t="s">
        <v>719</v>
      </c>
      <c r="C65" s="4" t="s">
        <v>543</v>
      </c>
      <c r="D65" s="4" t="s">
        <v>544</v>
      </c>
      <c r="E65" s="4" t="s">
        <v>545</v>
      </c>
      <c r="F65" s="4" t="s">
        <v>616</v>
      </c>
      <c r="G65" s="14">
        <v>143.66</v>
      </c>
      <c r="H65" s="10">
        <v>21.476887999999999</v>
      </c>
      <c r="I65" s="10">
        <v>39.251365999999997</v>
      </c>
      <c r="J65" s="10">
        <v>191.19817599999999</v>
      </c>
      <c r="K65" s="15">
        <v>1.9212E-2</v>
      </c>
      <c r="L65" s="17">
        <v>62842.607558000003</v>
      </c>
      <c r="M65" s="4" t="s">
        <v>720</v>
      </c>
      <c r="N65" s="19">
        <v>3.66</v>
      </c>
      <c r="O65" s="19">
        <v>5.1756099999999998</v>
      </c>
      <c r="P65" s="19">
        <v>3.8696419999999998</v>
      </c>
      <c r="Q65" s="19">
        <v>3.9645000000000001</v>
      </c>
      <c r="R65" s="19">
        <v>3.7221359999999999</v>
      </c>
      <c r="S65" s="19">
        <v>3.6962000000000002</v>
      </c>
      <c r="T65" s="19">
        <v>3.7221359999999999</v>
      </c>
      <c r="U65" s="19">
        <v>3.3454999999999999</v>
      </c>
      <c r="V65" s="19">
        <v>2.6802760000000001</v>
      </c>
      <c r="W65" s="19">
        <v>3.0026000000000002</v>
      </c>
      <c r="X65" s="19">
        <v>2.6802760000000001</v>
      </c>
      <c r="Y65" s="19">
        <v>3.0026000000000002</v>
      </c>
      <c r="Z65" s="4"/>
      <c r="AA65" s="4"/>
      <c r="AB65" s="4" t="e">
        <f ca="1">_xll.ciqfunctions.udf.CIQ("^SPX", "IQ_PRICEDATE", "3/26/2014")</f>
        <v>#NAME?</v>
      </c>
      <c r="AC65" s="16">
        <v>1852.5611685929</v>
      </c>
    </row>
    <row r="66" spans="1:29" x14ac:dyDescent="0.35">
      <c r="A66" s="2" t="s">
        <v>76</v>
      </c>
      <c r="B66" s="4" t="s">
        <v>721</v>
      </c>
      <c r="C66" s="4" t="s">
        <v>559</v>
      </c>
      <c r="D66" s="4" t="s">
        <v>560</v>
      </c>
      <c r="E66" s="4" t="s">
        <v>561</v>
      </c>
      <c r="F66" s="4" t="s">
        <v>562</v>
      </c>
      <c r="G66" s="14">
        <v>714.71</v>
      </c>
      <c r="H66" s="10">
        <v>9.9934390000000004</v>
      </c>
      <c r="I66" s="10">
        <v>14.654705</v>
      </c>
      <c r="J66" s="10" t="s">
        <v>534</v>
      </c>
      <c r="K66" s="15">
        <v>0</v>
      </c>
      <c r="L66" s="17">
        <v>18398.06482</v>
      </c>
      <c r="M66" s="4" t="s">
        <v>722</v>
      </c>
      <c r="N66" s="19">
        <v>48.77</v>
      </c>
      <c r="O66" s="19">
        <v>57.526809999999998</v>
      </c>
      <c r="P66" s="19">
        <v>44.790261000000001</v>
      </c>
      <c r="Q66" s="19">
        <v>47.839100000000002</v>
      </c>
      <c r="R66" s="19">
        <v>41.844641000000003</v>
      </c>
      <c r="S66" s="19">
        <v>46.582099999999997</v>
      </c>
      <c r="T66" s="19">
        <v>41.844641000000003</v>
      </c>
      <c r="U66" s="19">
        <v>41.786000000000001</v>
      </c>
      <c r="V66" s="19">
        <v>32.623027999999998</v>
      </c>
      <c r="W66" s="19">
        <v>36.801200000000001</v>
      </c>
      <c r="X66" s="19">
        <v>32.623027999999998</v>
      </c>
      <c r="Y66" s="19">
        <v>36.801200000000001</v>
      </c>
      <c r="Z66" s="4"/>
      <c r="AA66" s="4"/>
      <c r="AB66" s="4" t="e">
        <f ca="1">_xll.ciqfunctions.udf.CIQ("^SPX", "IQ_PRICEDATE", "3/27/2014")</f>
        <v>#NAME?</v>
      </c>
      <c r="AC66" s="16">
        <v>1849.0426430863999</v>
      </c>
    </row>
    <row r="67" spans="1:29" x14ac:dyDescent="0.35">
      <c r="A67" s="2" t="s">
        <v>77</v>
      </c>
      <c r="B67" s="4" t="s">
        <v>723</v>
      </c>
      <c r="C67" s="4" t="s">
        <v>601</v>
      </c>
      <c r="D67" s="4" t="s">
        <v>601</v>
      </c>
      <c r="E67" s="4" t="s">
        <v>602</v>
      </c>
      <c r="F67" s="4" t="s">
        <v>685</v>
      </c>
      <c r="G67" s="14">
        <v>176</v>
      </c>
      <c r="H67" s="10">
        <v>21.987911</v>
      </c>
      <c r="I67" s="10">
        <v>27.894634</v>
      </c>
      <c r="J67" s="10">
        <v>2.3331940000000002</v>
      </c>
      <c r="K67" s="15">
        <v>3.3409000000000001E-2</v>
      </c>
      <c r="L67" s="17">
        <v>24326.496127999999</v>
      </c>
      <c r="M67" s="4" t="s">
        <v>724</v>
      </c>
      <c r="N67" s="19">
        <v>6.3094570000000001</v>
      </c>
      <c r="O67" s="19">
        <v>4.8205</v>
      </c>
      <c r="P67" s="19">
        <v>6.3517340000000004</v>
      </c>
      <c r="Q67" s="19">
        <v>4.6833</v>
      </c>
      <c r="R67" s="19">
        <v>7.522411</v>
      </c>
      <c r="S67" s="19">
        <v>4.4530000000000003</v>
      </c>
      <c r="T67" s="19">
        <v>7.522411</v>
      </c>
      <c r="U67" s="19">
        <v>4.3085000000000004</v>
      </c>
      <c r="V67" s="19">
        <v>4.9179760000000003</v>
      </c>
      <c r="W67" s="19">
        <v>3.7132999999999998</v>
      </c>
      <c r="X67" s="19">
        <v>4.9179760000000003</v>
      </c>
      <c r="Y67" s="19">
        <v>3.7132999999999998</v>
      </c>
      <c r="Z67" s="4"/>
      <c r="AA67" s="4"/>
      <c r="AB67" s="4" t="e">
        <f ca="1">_xll.ciqfunctions.udf.CIQ("^SPX", "IQ_PRICEDATE", "3/28/2014")</f>
        <v>#NAME?</v>
      </c>
      <c r="AC67" s="16">
        <v>1857.6207873610999</v>
      </c>
    </row>
    <row r="68" spans="1:29" x14ac:dyDescent="0.35">
      <c r="A68" s="2" t="s">
        <v>78</v>
      </c>
      <c r="B68" s="4" t="s">
        <v>725</v>
      </c>
      <c r="C68" s="4" t="s">
        <v>586</v>
      </c>
      <c r="D68" s="4" t="s">
        <v>586</v>
      </c>
      <c r="E68" s="4" t="s">
        <v>726</v>
      </c>
      <c r="F68" s="4" t="s">
        <v>727</v>
      </c>
      <c r="G68" s="14">
        <v>99.55</v>
      </c>
      <c r="H68" s="10">
        <v>10.900296000000001</v>
      </c>
      <c r="I68" s="10">
        <v>33.142623</v>
      </c>
      <c r="J68" s="10" t="s">
        <v>534</v>
      </c>
      <c r="K68" s="15">
        <v>2.0893999999999999E-2</v>
      </c>
      <c r="L68" s="17">
        <v>8702.4660810000005</v>
      </c>
      <c r="M68" s="4" t="s">
        <v>728</v>
      </c>
      <c r="N68" s="19">
        <v>3.0036849999999999</v>
      </c>
      <c r="O68" s="19">
        <v>6.3192000000000004</v>
      </c>
      <c r="P68" s="19">
        <v>3.13</v>
      </c>
      <c r="Q68" s="19">
        <v>5.5392999999999999</v>
      </c>
      <c r="R68" s="19">
        <v>3.54</v>
      </c>
      <c r="S68" s="19">
        <v>4.3076999999999996</v>
      </c>
      <c r="T68" s="19">
        <v>3.54</v>
      </c>
      <c r="U68" s="19">
        <v>3.6417000000000002</v>
      </c>
      <c r="V68" s="19">
        <v>2.2942740000000001</v>
      </c>
      <c r="W68" s="19">
        <v>3.3010000000000002</v>
      </c>
      <c r="X68" s="19">
        <v>2.2942740000000001</v>
      </c>
      <c r="Y68" s="19">
        <v>3.3010000000000002</v>
      </c>
      <c r="Z68" s="4"/>
      <c r="AA68" s="4"/>
      <c r="AB68" s="4" t="e">
        <f ca="1">_xll.ciqfunctions.udf.CIQ("^SPX", "IQ_PRICEDATE", "3/31/2014")</f>
        <v>#NAME?</v>
      </c>
      <c r="AC68" s="16">
        <v>1872.3351792173</v>
      </c>
    </row>
    <row r="69" spans="1:29" x14ac:dyDescent="0.35">
      <c r="A69" s="2" t="s">
        <v>79</v>
      </c>
      <c r="B69" s="4" t="s">
        <v>729</v>
      </c>
      <c r="C69" s="4" t="s">
        <v>669</v>
      </c>
      <c r="D69" s="4" t="s">
        <v>669</v>
      </c>
      <c r="E69" s="4" t="s">
        <v>730</v>
      </c>
      <c r="F69" s="4" t="s">
        <v>731</v>
      </c>
      <c r="G69" s="14">
        <v>30.79</v>
      </c>
      <c r="H69" s="10">
        <v>16.215605</v>
      </c>
      <c r="I69" s="10" t="s">
        <v>534</v>
      </c>
      <c r="J69" s="10" t="s">
        <v>534</v>
      </c>
      <c r="K69" s="15">
        <v>2.3384000000000002E-2</v>
      </c>
      <c r="L69" s="17">
        <v>12674.751071000001</v>
      </c>
      <c r="M69" s="4" t="s">
        <v>732</v>
      </c>
      <c r="N69" s="19">
        <v>-5.3901999999999999E-2</v>
      </c>
      <c r="O69" s="19">
        <v>1.0951</v>
      </c>
      <c r="P69" s="19">
        <v>-0.17096</v>
      </c>
      <c r="Q69" s="19">
        <v>0.8427</v>
      </c>
      <c r="R69" s="19">
        <v>0</v>
      </c>
      <c r="S69" s="19">
        <v>0</v>
      </c>
      <c r="T69" s="19">
        <v>0</v>
      </c>
      <c r="U69" s="19">
        <v>0</v>
      </c>
      <c r="V69" s="19">
        <v>0</v>
      </c>
      <c r="W69" s="19">
        <v>0</v>
      </c>
      <c r="X69" s="19">
        <v>0</v>
      </c>
      <c r="Y69" s="19">
        <v>0</v>
      </c>
      <c r="Z69" s="4"/>
      <c r="AA69" s="4"/>
      <c r="AB69" s="4" t="e">
        <f ca="1">_xll.ciqfunctions.udf.CIQ("^SPX", "IQ_PRICEDATE", "4/1/2014")</f>
        <v>#NAME?</v>
      </c>
      <c r="AC69" s="16">
        <v>1885.5225739334001</v>
      </c>
    </row>
    <row r="70" spans="1:29" x14ac:dyDescent="0.35">
      <c r="A70" s="2" t="s">
        <v>80</v>
      </c>
      <c r="B70" s="4" t="s">
        <v>733</v>
      </c>
      <c r="C70" s="4" t="s">
        <v>586</v>
      </c>
      <c r="D70" s="4" t="s">
        <v>586</v>
      </c>
      <c r="E70" s="4" t="s">
        <v>726</v>
      </c>
      <c r="F70" s="4" t="s">
        <v>734</v>
      </c>
      <c r="G70" s="14">
        <v>46.2</v>
      </c>
      <c r="H70" s="10">
        <v>12.136112000000001</v>
      </c>
      <c r="I70" s="10">
        <v>36.649678999999999</v>
      </c>
      <c r="J70" s="10" t="s">
        <v>534</v>
      </c>
      <c r="K70" s="15">
        <v>8.6580000000000008E-3</v>
      </c>
      <c r="L70" s="17">
        <v>15888.708251</v>
      </c>
      <c r="M70" s="4" t="s">
        <v>735</v>
      </c>
      <c r="N70" s="19">
        <v>1.2605839999999999</v>
      </c>
      <c r="O70" s="19">
        <v>2.4104000000000001</v>
      </c>
      <c r="P70" s="19">
        <v>1.05</v>
      </c>
      <c r="Q70" s="19">
        <v>2.2002999999999999</v>
      </c>
      <c r="R70" s="19">
        <v>0.81</v>
      </c>
      <c r="S70" s="19">
        <v>2.0415999999999999</v>
      </c>
      <c r="T70" s="19">
        <v>0.81</v>
      </c>
      <c r="U70" s="19">
        <v>1.7566999999999999</v>
      </c>
      <c r="V70" s="19">
        <v>1.65</v>
      </c>
      <c r="W70" s="19">
        <v>1.9826999999999999</v>
      </c>
      <c r="X70" s="19">
        <v>1.65</v>
      </c>
      <c r="Y70" s="19">
        <v>1.9826999999999999</v>
      </c>
      <c r="Z70" s="4"/>
      <c r="AA70" s="4"/>
      <c r="AB70" s="4" t="e">
        <f ca="1">_xll.ciqfunctions.udf.CIQ("^SPX", "IQ_PRICEDATE", "4/2/2014")</f>
        <v>#NAME?</v>
      </c>
      <c r="AC70" s="16">
        <v>1890.8987744302001</v>
      </c>
    </row>
    <row r="71" spans="1:29" x14ac:dyDescent="0.35">
      <c r="A71" s="2" t="s">
        <v>81</v>
      </c>
      <c r="B71" s="4" t="s">
        <v>736</v>
      </c>
      <c r="C71" s="4" t="s">
        <v>573</v>
      </c>
      <c r="D71" s="4" t="s">
        <v>737</v>
      </c>
      <c r="E71" s="4" t="s">
        <v>737</v>
      </c>
      <c r="F71" s="4" t="s">
        <v>738</v>
      </c>
      <c r="G71" s="14">
        <v>28.9</v>
      </c>
      <c r="H71" s="10">
        <v>0</v>
      </c>
      <c r="I71" s="10">
        <v>13.790528999999999</v>
      </c>
      <c r="J71" s="10">
        <v>1.667262</v>
      </c>
      <c r="K71" s="15">
        <v>2.0760999999999998E-2</v>
      </c>
      <c r="L71" s="17">
        <v>284903.50132500002</v>
      </c>
      <c r="M71" s="4" t="s">
        <v>739</v>
      </c>
      <c r="N71" s="19">
        <v>2.0956410000000001</v>
      </c>
      <c r="O71" s="19">
        <v>2.7846000000000002</v>
      </c>
      <c r="P71" s="19">
        <v>1.5590390000000001</v>
      </c>
      <c r="Q71" s="19">
        <v>2.0701999999999998</v>
      </c>
      <c r="R71" s="19">
        <v>1.4882120000000001</v>
      </c>
      <c r="S71" s="19">
        <v>1.585</v>
      </c>
      <c r="T71" s="19">
        <v>1.4882120000000001</v>
      </c>
      <c r="U71" s="19">
        <v>1.4852000000000001</v>
      </c>
      <c r="V71" s="19">
        <v>0.42</v>
      </c>
      <c r="W71" s="19">
        <v>1.4008</v>
      </c>
      <c r="X71" s="19">
        <v>0.42</v>
      </c>
      <c r="Y71" s="19">
        <v>1.4008</v>
      </c>
      <c r="Z71" s="4"/>
      <c r="AA71" s="4"/>
      <c r="AB71" s="4" t="e">
        <f ca="1">_xll.ciqfunctions.udf.CIQ("^SPX", "IQ_PRICEDATE", "4/3/2014")</f>
        <v>#NAME?</v>
      </c>
      <c r="AC71" s="16">
        <v>1888.7704803894001</v>
      </c>
    </row>
    <row r="72" spans="1:29" x14ac:dyDescent="0.35">
      <c r="A72" s="2" t="s">
        <v>82</v>
      </c>
      <c r="B72" s="4" t="s">
        <v>740</v>
      </c>
      <c r="C72" s="4" t="s">
        <v>530</v>
      </c>
      <c r="D72" s="4" t="s">
        <v>531</v>
      </c>
      <c r="E72" s="4" t="s">
        <v>532</v>
      </c>
      <c r="F72" s="4" t="s">
        <v>533</v>
      </c>
      <c r="G72" s="14">
        <v>72.44</v>
      </c>
      <c r="H72" s="10">
        <v>16.729575000000001</v>
      </c>
      <c r="I72" s="10">
        <v>43.768250000000002</v>
      </c>
      <c r="J72" s="10">
        <v>8.6702689999999993</v>
      </c>
      <c r="K72" s="15">
        <v>1.0490999999999999E-2</v>
      </c>
      <c r="L72" s="17">
        <v>38702.232154999998</v>
      </c>
      <c r="M72" s="4" t="s">
        <v>741</v>
      </c>
      <c r="N72" s="19">
        <v>1.655081</v>
      </c>
      <c r="O72" s="19">
        <v>3.0848</v>
      </c>
      <c r="P72" s="19">
        <v>1.3</v>
      </c>
      <c r="Q72" s="19">
        <v>2.5802999999999998</v>
      </c>
      <c r="R72" s="19">
        <v>9.01</v>
      </c>
      <c r="S72" s="19">
        <v>2.0653000000000001</v>
      </c>
      <c r="T72" s="19">
        <v>9.01</v>
      </c>
      <c r="U72" s="19">
        <v>1.3563000000000001</v>
      </c>
      <c r="V72" s="19">
        <v>0.83</v>
      </c>
      <c r="W72" s="19">
        <v>4.6683000000000003</v>
      </c>
      <c r="X72" s="19">
        <v>0.83</v>
      </c>
      <c r="Y72" s="19">
        <v>4.6683000000000003</v>
      </c>
      <c r="Z72" s="4"/>
      <c r="AA72" s="4"/>
      <c r="AB72" s="4" t="e">
        <f ca="1">_xll.ciqfunctions.udf.CIQ("^SPX", "IQ_PRICEDATE", "4/4/2014")</f>
        <v>#NAME?</v>
      </c>
      <c r="AC72" s="16">
        <v>1865.093413869</v>
      </c>
    </row>
    <row r="73" spans="1:29" x14ac:dyDescent="0.35">
      <c r="A73" s="2" t="s">
        <v>83</v>
      </c>
      <c r="B73" s="4" t="s">
        <v>742</v>
      </c>
      <c r="C73" s="4" t="s">
        <v>573</v>
      </c>
      <c r="D73" s="4" t="s">
        <v>737</v>
      </c>
      <c r="E73" s="4" t="s">
        <v>737</v>
      </c>
      <c r="F73" s="4" t="s">
        <v>743</v>
      </c>
      <c r="G73" s="14">
        <v>47.71</v>
      </c>
      <c r="H73" s="10">
        <v>0</v>
      </c>
      <c r="I73" s="10">
        <v>13.868186</v>
      </c>
      <c r="J73" s="10">
        <v>2.2443569999999999</v>
      </c>
      <c r="K73" s="15">
        <v>3.3954999999999999E-2</v>
      </c>
      <c r="L73" s="17">
        <v>36948.860502000003</v>
      </c>
      <c r="M73" s="4" t="s">
        <v>744</v>
      </c>
      <c r="N73" s="19">
        <v>3.440248</v>
      </c>
      <c r="O73" s="19">
        <v>4.1311999999999998</v>
      </c>
      <c r="P73" s="19">
        <v>2.74</v>
      </c>
      <c r="Q73" s="19">
        <v>3.3536999999999999</v>
      </c>
      <c r="R73" s="19">
        <v>2.77</v>
      </c>
      <c r="S73" s="19">
        <v>3.0568</v>
      </c>
      <c r="T73" s="19">
        <v>2.77</v>
      </c>
      <c r="U73" s="19">
        <v>3.0432000000000001</v>
      </c>
      <c r="V73" s="19">
        <v>2.72</v>
      </c>
      <c r="W73" s="19">
        <v>2.9737</v>
      </c>
      <c r="X73" s="19">
        <v>2.72</v>
      </c>
      <c r="Y73" s="19">
        <v>2.9737</v>
      </c>
      <c r="Z73" s="4"/>
      <c r="AA73" s="4"/>
      <c r="AB73" s="4" t="e">
        <f ca="1">_xll.ciqfunctions.udf.CIQ("^SPX", "IQ_PRICEDATE", "4/7/2014")</f>
        <v>#NAME?</v>
      </c>
      <c r="AC73" s="16">
        <v>1845.0353750807999</v>
      </c>
    </row>
    <row r="74" spans="1:29" x14ac:dyDescent="0.35">
      <c r="A74" s="2" t="s">
        <v>84</v>
      </c>
      <c r="B74" s="4" t="s">
        <v>745</v>
      </c>
      <c r="C74" s="4" t="s">
        <v>530</v>
      </c>
      <c r="D74" s="4" t="s">
        <v>531</v>
      </c>
      <c r="E74" s="4" t="s">
        <v>532</v>
      </c>
      <c r="F74" s="4" t="s">
        <v>533</v>
      </c>
      <c r="G74" s="14">
        <v>244.98</v>
      </c>
      <c r="H74" s="10">
        <v>20.324798999999999</v>
      </c>
      <c r="I74" s="10">
        <v>100.458826</v>
      </c>
      <c r="J74" s="10" t="s">
        <v>534</v>
      </c>
      <c r="K74" s="15">
        <v>1.2244999999999999E-2</v>
      </c>
      <c r="L74" s="17">
        <v>65547.724359</v>
      </c>
      <c r="M74" s="4" t="s">
        <v>746</v>
      </c>
      <c r="N74" s="19">
        <v>2.4386109999999999</v>
      </c>
      <c r="O74" s="19">
        <v>12.128399999999999</v>
      </c>
      <c r="P74" s="19">
        <v>1.287857</v>
      </c>
      <c r="Q74" s="19">
        <v>10.95617</v>
      </c>
      <c r="R74" s="19">
        <v>6.0084809999999997</v>
      </c>
      <c r="S74" s="19">
        <v>9.4920399999999994</v>
      </c>
      <c r="T74" s="19">
        <v>6.0084809999999997</v>
      </c>
      <c r="U74" s="19">
        <v>8.4030100000000001</v>
      </c>
      <c r="V74" s="19">
        <v>5.8210879999999996</v>
      </c>
      <c r="W74" s="19">
        <v>6.8008100000000002</v>
      </c>
      <c r="X74" s="19">
        <v>5.8210879999999996</v>
      </c>
      <c r="Y74" s="19">
        <v>6.8008100000000002</v>
      </c>
      <c r="Z74" s="4"/>
      <c r="AA74" s="4"/>
      <c r="AB74" s="4" t="e">
        <f ca="1">_xll.ciqfunctions.udf.CIQ("^SPX", "IQ_PRICEDATE", "4/8/2014")</f>
        <v>#NAME?</v>
      </c>
      <c r="AC74" s="16">
        <v>1851.9568565739</v>
      </c>
    </row>
    <row r="75" spans="1:29" x14ac:dyDescent="0.35">
      <c r="A75" s="2" t="s">
        <v>85</v>
      </c>
      <c r="B75" s="4" t="s">
        <v>747</v>
      </c>
      <c r="C75" s="4" t="s">
        <v>573</v>
      </c>
      <c r="D75" s="4" t="s">
        <v>574</v>
      </c>
      <c r="E75" s="4" t="s">
        <v>748</v>
      </c>
      <c r="F75" s="4" t="s">
        <v>749</v>
      </c>
      <c r="G75" s="14">
        <v>210.52</v>
      </c>
      <c r="H75" s="10">
        <v>13.176541</v>
      </c>
      <c r="I75" s="10">
        <v>0</v>
      </c>
      <c r="J75" s="10">
        <v>0</v>
      </c>
      <c r="K75" s="15">
        <v>0</v>
      </c>
      <c r="L75" s="17">
        <v>522541.546638</v>
      </c>
      <c r="M75" s="4" t="s">
        <v>750</v>
      </c>
      <c r="N75" s="19">
        <v>28872.225612999999</v>
      </c>
      <c r="O75" s="19">
        <v>9.8932000000000002</v>
      </c>
      <c r="P75" s="19">
        <v>27325.544276000001</v>
      </c>
      <c r="Q75" s="19">
        <v>7.9211999999999998</v>
      </c>
      <c r="R75" s="19">
        <v>14645.102339999999</v>
      </c>
      <c r="S75" s="19">
        <v>8.2537000000000003</v>
      </c>
      <c r="T75" s="19">
        <v>14645.102339999999</v>
      </c>
      <c r="U75" s="19">
        <v>7.9124999999999996</v>
      </c>
      <c r="V75" s="19">
        <v>12091.592350999999</v>
      </c>
      <c r="W75" s="19">
        <v>7.3375000000000004</v>
      </c>
      <c r="X75" s="19">
        <v>12091.592350999999</v>
      </c>
      <c r="Y75" s="19">
        <v>7.3375000000000004</v>
      </c>
      <c r="Z75" s="4"/>
      <c r="AA75" s="4"/>
      <c r="AB75" s="4" t="e">
        <f ca="1">_xll.ciqfunctions.udf.CIQ("^SPX", "IQ_PRICEDATE", "4/9/2014")</f>
        <v>#NAME?</v>
      </c>
      <c r="AC75" s="16">
        <v>1872.1787969918</v>
      </c>
    </row>
    <row r="76" spans="1:29" x14ac:dyDescent="0.35">
      <c r="A76" s="2" t="s">
        <v>86</v>
      </c>
      <c r="B76" s="4" t="s">
        <v>751</v>
      </c>
      <c r="C76" s="4" t="s">
        <v>559</v>
      </c>
      <c r="D76" s="4" t="s">
        <v>560</v>
      </c>
      <c r="E76" s="4" t="s">
        <v>561</v>
      </c>
      <c r="F76" s="4" t="s">
        <v>752</v>
      </c>
      <c r="G76" s="14">
        <v>73.83</v>
      </c>
      <c r="H76" s="10">
        <v>6.8990669999999996</v>
      </c>
      <c r="I76" s="10">
        <v>20.536394000000001</v>
      </c>
      <c r="J76" s="10">
        <v>7.4287570000000001</v>
      </c>
      <c r="K76" s="15">
        <v>2.4380000000000002E-2</v>
      </c>
      <c r="L76" s="17">
        <v>20270.584286000001</v>
      </c>
      <c r="M76" s="4" t="s">
        <v>753</v>
      </c>
      <c r="N76" s="19">
        <v>3.595081</v>
      </c>
      <c r="O76" s="19">
        <v>5.2553000000000001</v>
      </c>
      <c r="P76" s="19">
        <v>3.9762970000000002</v>
      </c>
      <c r="Q76" s="19">
        <v>4.218</v>
      </c>
      <c r="R76" s="19">
        <v>3.2797740000000002</v>
      </c>
      <c r="S76" s="19">
        <v>3.395</v>
      </c>
      <c r="T76" s="19">
        <v>3.2797740000000002</v>
      </c>
      <c r="U76" s="19">
        <v>2.7639</v>
      </c>
      <c r="V76" s="19">
        <v>2.9402910000000002</v>
      </c>
      <c r="W76" s="19">
        <v>2.5731000000000002</v>
      </c>
      <c r="X76" s="19">
        <v>2.9402910000000002</v>
      </c>
      <c r="Y76" s="19">
        <v>2.5731000000000002</v>
      </c>
      <c r="Z76" s="4"/>
      <c r="AA76" s="4"/>
      <c r="AB76" s="4" t="e">
        <f ca="1">_xll.ciqfunctions.udf.CIQ("^SPX", "IQ_PRICEDATE", "4/10/2014")</f>
        <v>#NAME?</v>
      </c>
      <c r="AC76" s="16">
        <v>1833.0779771555999</v>
      </c>
    </row>
    <row r="77" spans="1:29" x14ac:dyDescent="0.35">
      <c r="A77" s="2" t="s">
        <v>87</v>
      </c>
      <c r="B77" s="4" t="s">
        <v>754</v>
      </c>
      <c r="C77" s="4" t="s">
        <v>530</v>
      </c>
      <c r="D77" s="4" t="s">
        <v>537</v>
      </c>
      <c r="E77" s="4" t="s">
        <v>538</v>
      </c>
      <c r="F77" s="4" t="s">
        <v>538</v>
      </c>
      <c r="G77" s="14">
        <v>338.23</v>
      </c>
      <c r="H77" s="10">
        <v>10.526857</v>
      </c>
      <c r="I77" s="10">
        <v>24.015906999999999</v>
      </c>
      <c r="J77" s="10">
        <v>19.868200000000002</v>
      </c>
      <c r="K77" s="15">
        <v>0</v>
      </c>
      <c r="L77" s="17">
        <v>68134.015155999994</v>
      </c>
      <c r="M77" s="4" t="s">
        <v>755</v>
      </c>
      <c r="N77" s="19">
        <v>14.083582</v>
      </c>
      <c r="O77" s="19">
        <v>27.034800000000001</v>
      </c>
      <c r="P77" s="19">
        <v>11.92</v>
      </c>
      <c r="Q77" s="19">
        <v>23.4514</v>
      </c>
      <c r="R77" s="19">
        <v>16.93</v>
      </c>
      <c r="S77" s="19">
        <v>20.423400000000001</v>
      </c>
      <c r="T77" s="19">
        <v>16.93</v>
      </c>
      <c r="U77" s="19">
        <v>17.5108</v>
      </c>
      <c r="V77" s="19">
        <v>12.37</v>
      </c>
      <c r="W77" s="19">
        <v>15.878500000000001</v>
      </c>
      <c r="X77" s="19">
        <v>12.37</v>
      </c>
      <c r="Y77" s="19">
        <v>15.878500000000001</v>
      </c>
      <c r="Z77" s="4"/>
      <c r="AA77" s="4"/>
      <c r="AB77" s="4" t="e">
        <f ca="1">_xll.ciqfunctions.udf.CIQ("^SPX", "IQ_PRICEDATE", "4/11/2014")</f>
        <v>#NAME?</v>
      </c>
      <c r="AC77" s="16">
        <v>1815.6850871536001</v>
      </c>
    </row>
    <row r="78" spans="1:29" x14ac:dyDescent="0.35">
      <c r="A78" s="2" t="s">
        <v>88</v>
      </c>
      <c r="B78" s="4" t="s">
        <v>756</v>
      </c>
      <c r="C78" s="4" t="s">
        <v>573</v>
      </c>
      <c r="D78" s="4" t="s">
        <v>574</v>
      </c>
      <c r="E78" s="4" t="s">
        <v>575</v>
      </c>
      <c r="F78" s="4" t="s">
        <v>576</v>
      </c>
      <c r="G78" s="14">
        <v>411.85</v>
      </c>
      <c r="H78" s="10">
        <v>10.503163000000001</v>
      </c>
      <c r="I78" s="10">
        <v>11.781677999999999</v>
      </c>
      <c r="J78" s="10">
        <v>42.775889999999997</v>
      </c>
      <c r="K78" s="15">
        <v>3.0398999999999999E-2</v>
      </c>
      <c r="L78" s="17">
        <v>65815.427312999993</v>
      </c>
      <c r="M78" s="4" t="s">
        <v>757</v>
      </c>
      <c r="N78" s="19">
        <v>34.95682</v>
      </c>
      <c r="O78" s="19">
        <v>28.341999999999999</v>
      </c>
      <c r="P78" s="19">
        <v>30.229998999999999</v>
      </c>
      <c r="Q78" s="19">
        <v>24.3644</v>
      </c>
      <c r="R78" s="19">
        <v>19.039999000000002</v>
      </c>
      <c r="S78" s="19">
        <v>21.220500000000001</v>
      </c>
      <c r="T78" s="19">
        <v>19.039999000000002</v>
      </c>
      <c r="U78" s="19">
        <v>20.105899999999998</v>
      </c>
      <c r="V78" s="19">
        <v>19.249998999999999</v>
      </c>
      <c r="W78" s="19">
        <v>19.6983</v>
      </c>
      <c r="X78" s="19">
        <v>19.249998999999999</v>
      </c>
      <c r="Y78" s="19">
        <v>19.6983</v>
      </c>
      <c r="Z78" s="4"/>
      <c r="AA78" s="4"/>
      <c r="AB78" s="4" t="e">
        <f ca="1">_xll.ciqfunctions.udf.CIQ("^SPX", "IQ_PRICEDATE", "4/14/2014")</f>
        <v>#NAME?</v>
      </c>
      <c r="AC78" s="16">
        <v>1830.6099712215</v>
      </c>
    </row>
    <row r="79" spans="1:29" x14ac:dyDescent="0.35">
      <c r="A79" s="2" t="s">
        <v>89</v>
      </c>
      <c r="B79" s="4" t="s">
        <v>758</v>
      </c>
      <c r="C79" s="4" t="s">
        <v>559</v>
      </c>
      <c r="D79" s="4" t="s">
        <v>560</v>
      </c>
      <c r="E79" s="4" t="s">
        <v>631</v>
      </c>
      <c r="F79" s="4" t="s">
        <v>631</v>
      </c>
      <c r="G79" s="14">
        <v>1850.51</v>
      </c>
      <c r="H79" s="10">
        <v>16.342027999999999</v>
      </c>
      <c r="I79" s="10">
        <v>33.222943000000001</v>
      </c>
      <c r="J79" s="10">
        <v>16.318456999999999</v>
      </c>
      <c r="K79" s="15">
        <v>0</v>
      </c>
      <c r="L79" s="17">
        <v>87847.458832999997</v>
      </c>
      <c r="M79" s="4" t="s">
        <v>759</v>
      </c>
      <c r="N79" s="19">
        <v>55.699759999999998</v>
      </c>
      <c r="O79" s="19">
        <v>93.3322</v>
      </c>
      <c r="P79" s="19">
        <v>46.86</v>
      </c>
      <c r="Q79" s="19">
        <v>80.751900000000006</v>
      </c>
      <c r="R79" s="19">
        <v>42.65</v>
      </c>
      <c r="S79" s="19">
        <v>75.648700000000005</v>
      </c>
      <c r="T79" s="19">
        <v>42.65</v>
      </c>
      <c r="U79" s="19">
        <v>65.969300000000004</v>
      </c>
      <c r="V79" s="19">
        <v>45.67</v>
      </c>
      <c r="W79" s="19">
        <v>59.284100000000002</v>
      </c>
      <c r="X79" s="19">
        <v>45.67</v>
      </c>
      <c r="Y79" s="19">
        <v>59.284100000000002</v>
      </c>
      <c r="Z79" s="4"/>
      <c r="AA79" s="4"/>
      <c r="AB79" s="4" t="e">
        <f ca="1">_xll.ciqfunctions.udf.CIQ("^SPX", "IQ_PRICEDATE", "4/15/2014")</f>
        <v>#NAME?</v>
      </c>
      <c r="AC79" s="16">
        <v>1842.9812684377</v>
      </c>
    </row>
    <row r="80" spans="1:29" x14ac:dyDescent="0.35">
      <c r="A80" s="2" t="s">
        <v>90</v>
      </c>
      <c r="B80" s="4" t="s">
        <v>760</v>
      </c>
      <c r="C80" s="4" t="s">
        <v>559</v>
      </c>
      <c r="D80" s="4" t="s">
        <v>694</v>
      </c>
      <c r="E80" s="4" t="s">
        <v>695</v>
      </c>
      <c r="F80" s="4" t="s">
        <v>696</v>
      </c>
      <c r="G80" s="14">
        <v>37.9</v>
      </c>
      <c r="H80" s="10">
        <v>5.4776449999999999</v>
      </c>
      <c r="I80" s="10">
        <v>14.90521</v>
      </c>
      <c r="J80" s="10">
        <v>4.8259889999999999</v>
      </c>
      <c r="K80" s="15">
        <v>1.7940999999999999E-2</v>
      </c>
      <c r="L80" s="17">
        <v>7916.0707460000003</v>
      </c>
      <c r="M80" s="4" t="s">
        <v>761</v>
      </c>
      <c r="N80" s="19">
        <v>2.542735</v>
      </c>
      <c r="O80" s="19">
        <v>4.5087999999999999</v>
      </c>
      <c r="P80" s="19">
        <v>2.08</v>
      </c>
      <c r="Q80" s="19">
        <v>4.1189999999999998</v>
      </c>
      <c r="R80" s="19">
        <v>0.55000000000000004</v>
      </c>
      <c r="S80" s="19">
        <v>3.3852000000000002</v>
      </c>
      <c r="T80" s="19">
        <v>0.55000000000000004</v>
      </c>
      <c r="U80" s="19">
        <v>3.2254</v>
      </c>
      <c r="V80" s="19">
        <v>2.86</v>
      </c>
      <c r="W80" s="19">
        <v>3.5762999999999998</v>
      </c>
      <c r="X80" s="19">
        <v>2.86</v>
      </c>
      <c r="Y80" s="19">
        <v>3.5762999999999998</v>
      </c>
      <c r="Z80" s="4"/>
      <c r="AA80" s="4"/>
      <c r="AB80" s="4" t="e">
        <f ca="1">_xll.ciqfunctions.udf.CIQ("^SPX", "IQ_PRICEDATE", "4/16/2014")</f>
        <v>#NAME?</v>
      </c>
      <c r="AC80" s="16">
        <v>1862.3119970058001</v>
      </c>
    </row>
    <row r="81" spans="1:29" x14ac:dyDescent="0.35">
      <c r="A81" s="2" t="s">
        <v>91</v>
      </c>
      <c r="B81" s="4" t="s">
        <v>762</v>
      </c>
      <c r="C81" s="4" t="s">
        <v>601</v>
      </c>
      <c r="D81" s="4" t="s">
        <v>601</v>
      </c>
      <c r="E81" s="4" t="s">
        <v>602</v>
      </c>
      <c r="F81" s="4" t="s">
        <v>603</v>
      </c>
      <c r="G81" s="14">
        <v>117.52</v>
      </c>
      <c r="H81" s="10">
        <v>20.020022000000001</v>
      </c>
      <c r="I81" s="10">
        <v>34.561849000000002</v>
      </c>
      <c r="J81" s="10">
        <v>3.1875900000000001</v>
      </c>
      <c r="K81" s="15">
        <v>3.2334000000000002E-2</v>
      </c>
      <c r="L81" s="17">
        <v>18147.415601000001</v>
      </c>
      <c r="M81" s="4" t="s">
        <v>763</v>
      </c>
      <c r="N81" s="19">
        <v>3.4002810000000001</v>
      </c>
      <c r="O81" s="19">
        <v>2.8677000000000001</v>
      </c>
      <c r="P81" s="19">
        <v>2.93</v>
      </c>
      <c r="Q81" s="19">
        <v>2.8548</v>
      </c>
      <c r="R81" s="19">
        <v>3.26</v>
      </c>
      <c r="S81" s="19">
        <v>2.0867</v>
      </c>
      <c r="T81" s="19">
        <v>3.26</v>
      </c>
      <c r="U81" s="19">
        <v>1.9963</v>
      </c>
      <c r="V81" s="19">
        <v>2.829145</v>
      </c>
      <c r="W81" s="19">
        <v>1.458</v>
      </c>
      <c r="X81" s="19">
        <v>2.829145</v>
      </c>
      <c r="Y81" s="19">
        <v>1.458</v>
      </c>
      <c r="Z81" s="4"/>
      <c r="AA81" s="4"/>
      <c r="AB81" s="4" t="e">
        <f ca="1">_xll.ciqfunctions.udf.CIQ("^SPX", "IQ_PRICEDATE", "4/17/2014")</f>
        <v>#NAME?</v>
      </c>
      <c r="AC81" s="16">
        <v>1864.8513770633001</v>
      </c>
    </row>
    <row r="82" spans="1:29" x14ac:dyDescent="0.35">
      <c r="A82" s="2" t="s">
        <v>92</v>
      </c>
      <c r="B82" s="4" t="s">
        <v>764</v>
      </c>
      <c r="C82" s="4" t="s">
        <v>530</v>
      </c>
      <c r="D82" s="4" t="s">
        <v>531</v>
      </c>
      <c r="E82" s="4" t="s">
        <v>532</v>
      </c>
      <c r="F82" s="4" t="s">
        <v>533</v>
      </c>
      <c r="G82" s="14">
        <v>38</v>
      </c>
      <c r="H82" s="10">
        <v>22.884535</v>
      </c>
      <c r="I82" s="10">
        <v>100.32817799999999</v>
      </c>
      <c r="J82" s="10" t="s">
        <v>534</v>
      </c>
      <c r="K82" s="15">
        <v>0</v>
      </c>
      <c r="L82" s="17">
        <v>52551.141525999999</v>
      </c>
      <c r="M82" s="4" t="s">
        <v>765</v>
      </c>
      <c r="N82" s="19">
        <v>0.37875700000000001</v>
      </c>
      <c r="O82" s="19">
        <v>1.4548000000000001</v>
      </c>
      <c r="P82" s="19">
        <v>7.5906000000000001E-2</v>
      </c>
      <c r="Q82" s="19">
        <v>1.337</v>
      </c>
      <c r="R82" s="19">
        <v>0.25</v>
      </c>
      <c r="S82" s="19">
        <v>1.2065999999999999</v>
      </c>
      <c r="T82" s="19">
        <v>0.25</v>
      </c>
      <c r="U82" s="19">
        <v>1.0217000000000001</v>
      </c>
      <c r="V82" s="19">
        <v>-0.09</v>
      </c>
      <c r="W82" s="19">
        <v>0.87619999999999998</v>
      </c>
      <c r="X82" s="19">
        <v>-0.09</v>
      </c>
      <c r="Y82" s="19">
        <v>0.87619999999999998</v>
      </c>
      <c r="Z82" s="4"/>
      <c r="AA82" s="4"/>
      <c r="AB82" s="4" t="e">
        <f ca="1">_xll.ciqfunctions.udf.CIQ("^SPX", "IQ_PRICEDATE", "4/21/2014")</f>
        <v>#NAME?</v>
      </c>
      <c r="AC82" s="16">
        <v>1871.8875618069001</v>
      </c>
    </row>
    <row r="83" spans="1:29" x14ac:dyDescent="0.35">
      <c r="A83" s="2" t="s">
        <v>93</v>
      </c>
      <c r="B83" s="4" t="s">
        <v>766</v>
      </c>
      <c r="C83" s="4" t="s">
        <v>573</v>
      </c>
      <c r="D83" s="4" t="s">
        <v>579</v>
      </c>
      <c r="E83" s="4" t="s">
        <v>579</v>
      </c>
      <c r="F83" s="4" t="s">
        <v>580</v>
      </c>
      <c r="G83" s="14">
        <v>44.06</v>
      </c>
      <c r="H83" s="10" t="s">
        <v>534</v>
      </c>
      <c r="I83" s="10" t="s">
        <v>534</v>
      </c>
      <c r="J83" s="10">
        <v>0.39279500000000001</v>
      </c>
      <c r="K83" s="15">
        <v>0</v>
      </c>
      <c r="L83" s="17">
        <v>5277.6243519999998</v>
      </c>
      <c r="M83" s="4" t="s">
        <v>767</v>
      </c>
      <c r="N83" s="19">
        <v>-4.8559669999999997</v>
      </c>
      <c r="O83" s="19">
        <v>8.5884</v>
      </c>
      <c r="P83" s="19">
        <v>-3.155967</v>
      </c>
      <c r="Q83" s="19">
        <v>8.6027000000000005</v>
      </c>
      <c r="R83" s="19">
        <v>-24.538062</v>
      </c>
      <c r="S83" s="19">
        <v>0</v>
      </c>
      <c r="T83" s="19">
        <v>-24.538062</v>
      </c>
      <c r="U83" s="19">
        <v>0</v>
      </c>
      <c r="V83" s="19">
        <v>0</v>
      </c>
      <c r="W83" s="19">
        <v>0</v>
      </c>
      <c r="X83" s="19">
        <v>0</v>
      </c>
      <c r="Y83" s="19">
        <v>0</v>
      </c>
      <c r="Z83" s="4"/>
      <c r="AA83" s="4"/>
      <c r="AB83" s="4" t="e">
        <f ca="1">_xll.ciqfunctions.udf.CIQ("^SPX", "IQ_PRICEDATE", "4/22/2014")</f>
        <v>#NAME?</v>
      </c>
      <c r="AC83" s="16">
        <v>1879.5510464813999</v>
      </c>
    </row>
    <row r="84" spans="1:29" x14ac:dyDescent="0.35">
      <c r="A84" s="2" t="s">
        <v>94</v>
      </c>
      <c r="B84" s="4" t="s">
        <v>768</v>
      </c>
      <c r="C84" s="4" t="s">
        <v>530</v>
      </c>
      <c r="D84" s="4" t="s">
        <v>537</v>
      </c>
      <c r="E84" s="4" t="s">
        <v>613</v>
      </c>
      <c r="F84" s="4" t="s">
        <v>613</v>
      </c>
      <c r="G84" s="14">
        <v>58.9</v>
      </c>
      <c r="H84" s="10">
        <v>16.096806000000001</v>
      </c>
      <c r="I84" s="10">
        <v>262.17978599999998</v>
      </c>
      <c r="J84" s="10">
        <v>21.152635</v>
      </c>
      <c r="K84" s="15">
        <v>2.7164000000000001E-2</v>
      </c>
      <c r="L84" s="17">
        <v>96117.549939999997</v>
      </c>
      <c r="M84" s="4" t="s">
        <v>769</v>
      </c>
      <c r="N84" s="19">
        <v>0.22465499999999999</v>
      </c>
      <c r="O84" s="19">
        <v>3.8197000000000001</v>
      </c>
      <c r="P84" s="19">
        <v>0.61</v>
      </c>
      <c r="Q84" s="19">
        <v>3.0831</v>
      </c>
      <c r="R84" s="19">
        <v>2.65</v>
      </c>
      <c r="S84" s="19">
        <v>2.9203000000000001</v>
      </c>
      <c r="T84" s="19">
        <v>2.65</v>
      </c>
      <c r="U84" s="19">
        <v>2.0779000000000001</v>
      </c>
      <c r="V84" s="19">
        <v>1.2</v>
      </c>
      <c r="W84" s="19">
        <v>1.8321000000000001</v>
      </c>
      <c r="X84" s="19">
        <v>1.2</v>
      </c>
      <c r="Y84" s="19">
        <v>1.8321000000000001</v>
      </c>
      <c r="Z84" s="4"/>
      <c r="AA84" s="4"/>
      <c r="AB84" s="4" t="e">
        <f ca="1">_xll.ciqfunctions.udf.CIQ("^SPX", "IQ_PRICEDATE", "4/23/2014")</f>
        <v>#NAME?</v>
      </c>
      <c r="AC84" s="16">
        <v>1875.3877070323001</v>
      </c>
    </row>
    <row r="85" spans="1:29" x14ac:dyDescent="0.35">
      <c r="A85" s="2" t="s">
        <v>95</v>
      </c>
      <c r="B85" s="4" t="s">
        <v>770</v>
      </c>
      <c r="C85" s="4" t="s">
        <v>543</v>
      </c>
      <c r="D85" s="4" t="s">
        <v>565</v>
      </c>
      <c r="E85" s="4" t="s">
        <v>565</v>
      </c>
      <c r="F85" s="4" t="s">
        <v>566</v>
      </c>
      <c r="G85" s="14">
        <v>237.17</v>
      </c>
      <c r="H85" s="10">
        <v>12.161959</v>
      </c>
      <c r="I85" s="10">
        <v>8.5225469999999994</v>
      </c>
      <c r="J85" s="10" t="s">
        <v>534</v>
      </c>
      <c r="K85" s="15">
        <v>2.9513999999999999E-2</v>
      </c>
      <c r="L85" s="17">
        <v>98057.166882999998</v>
      </c>
      <c r="M85" s="4" t="s">
        <v>771</v>
      </c>
      <c r="N85" s="19">
        <v>27.828533</v>
      </c>
      <c r="O85" s="19">
        <v>21.167400000000001</v>
      </c>
      <c r="P85" s="19">
        <v>4.03</v>
      </c>
      <c r="Q85" s="19">
        <v>0</v>
      </c>
      <c r="R85" s="19">
        <v>-4.5665789999999999</v>
      </c>
      <c r="S85" s="19">
        <v>0</v>
      </c>
      <c r="T85" s="19">
        <v>-4.5665789999999999</v>
      </c>
      <c r="U85" s="19">
        <v>0</v>
      </c>
      <c r="V85" s="19">
        <v>1.1599999999999999</v>
      </c>
      <c r="W85" s="19">
        <v>0</v>
      </c>
      <c r="X85" s="19">
        <v>1.1599999999999999</v>
      </c>
      <c r="Y85" s="19">
        <v>0</v>
      </c>
      <c r="Z85" s="4"/>
      <c r="AA85" s="4"/>
      <c r="AB85" s="4" t="e">
        <f ca="1">_xll.ciqfunctions.udf.CIQ("^SPX", "IQ_PRICEDATE", "4/24/2014")</f>
        <v>#NAME?</v>
      </c>
      <c r="AC85" s="16">
        <v>1878.610508557</v>
      </c>
    </row>
    <row r="86" spans="1:29" x14ac:dyDescent="0.35">
      <c r="A86" s="2" t="s">
        <v>96</v>
      </c>
      <c r="B86" s="4" t="s">
        <v>772</v>
      </c>
      <c r="C86" s="4" t="s">
        <v>543</v>
      </c>
      <c r="D86" s="4" t="s">
        <v>544</v>
      </c>
      <c r="E86" s="4" t="s">
        <v>545</v>
      </c>
      <c r="F86" s="4" t="s">
        <v>616</v>
      </c>
      <c r="G86" s="14">
        <v>118.81</v>
      </c>
      <c r="H86" s="10">
        <v>18.167111999999999</v>
      </c>
      <c r="I86" s="10">
        <v>33.373595000000002</v>
      </c>
      <c r="J86" s="10" t="s">
        <v>534</v>
      </c>
      <c r="K86" s="15">
        <v>1.6327999999999999E-2</v>
      </c>
      <c r="L86" s="17">
        <v>13820.592259999999</v>
      </c>
      <c r="M86" s="4" t="s">
        <v>773</v>
      </c>
      <c r="N86" s="19">
        <v>3.56</v>
      </c>
      <c r="O86" s="19">
        <v>4.66167</v>
      </c>
      <c r="P86" s="19">
        <v>3.119675</v>
      </c>
      <c r="Q86" s="19">
        <v>3.7469999999999999</v>
      </c>
      <c r="R86" s="19">
        <v>2.4420839999999999</v>
      </c>
      <c r="S86" s="19">
        <v>3.2098</v>
      </c>
      <c r="T86" s="19">
        <v>2.4420839999999999</v>
      </c>
      <c r="U86" s="19">
        <v>2.8180999999999998</v>
      </c>
      <c r="V86" s="19">
        <v>2.0777489999999998</v>
      </c>
      <c r="W86" s="19">
        <v>2.5493000000000001</v>
      </c>
      <c r="X86" s="19">
        <v>2.0777489999999998</v>
      </c>
      <c r="Y86" s="19">
        <v>2.5493000000000001</v>
      </c>
      <c r="Z86" s="4"/>
      <c r="AA86" s="4"/>
      <c r="AB86" s="4" t="e">
        <f ca="1">_xll.ciqfunctions.udf.CIQ("^SPX", "IQ_PRICEDATE", "4/25/2014")</f>
        <v>#NAME?</v>
      </c>
      <c r="AC86" s="16">
        <v>1863.4006714401</v>
      </c>
    </row>
    <row r="87" spans="1:29" x14ac:dyDescent="0.35">
      <c r="A87" s="2" t="s">
        <v>97</v>
      </c>
      <c r="B87" s="4" t="s">
        <v>774</v>
      </c>
      <c r="C87" s="4" t="s">
        <v>626</v>
      </c>
      <c r="D87" s="4" t="s">
        <v>627</v>
      </c>
      <c r="E87" s="4" t="s">
        <v>775</v>
      </c>
      <c r="F87" s="4" t="s">
        <v>776</v>
      </c>
      <c r="G87" s="14">
        <v>47.9</v>
      </c>
      <c r="H87" s="10">
        <v>22.599243000000001</v>
      </c>
      <c r="I87" s="10">
        <v>31.513468</v>
      </c>
      <c r="J87" s="10" t="s">
        <v>534</v>
      </c>
      <c r="K87" s="15">
        <v>1.3193999999999999E-2</v>
      </c>
      <c r="L87" s="17">
        <v>23081.351655999999</v>
      </c>
      <c r="M87" s="4" t="s">
        <v>777</v>
      </c>
      <c r="N87" s="19">
        <v>1.5199849999999999</v>
      </c>
      <c r="O87" s="19">
        <v>1.7033</v>
      </c>
      <c r="P87" s="19">
        <v>1.5397130000000001</v>
      </c>
      <c r="Q87" s="19">
        <v>1.6486000000000001</v>
      </c>
      <c r="R87" s="19">
        <v>2.1137489999999999</v>
      </c>
      <c r="S87" s="19">
        <v>1.4413</v>
      </c>
      <c r="T87" s="19">
        <v>2.1137489999999999</v>
      </c>
      <c r="U87" s="19">
        <v>1.4343999999999999</v>
      </c>
      <c r="V87" s="19">
        <v>1.2437910000000001</v>
      </c>
      <c r="W87" s="19">
        <v>1.3714999999999999</v>
      </c>
      <c r="X87" s="19">
        <v>1.2437910000000001</v>
      </c>
      <c r="Y87" s="19">
        <v>1.3714999999999999</v>
      </c>
      <c r="Z87" s="4"/>
      <c r="AA87" s="4"/>
      <c r="AB87" s="4" t="e">
        <f ca="1">_xll.ciqfunctions.udf.CIQ("^SPX", "IQ_PRICEDATE", "4/28/2014")</f>
        <v>#NAME?</v>
      </c>
      <c r="AC87" s="16">
        <v>1869.4252355353999</v>
      </c>
    </row>
    <row r="88" spans="1:29" x14ac:dyDescent="0.35">
      <c r="A88" s="2" t="s">
        <v>98</v>
      </c>
      <c r="B88" s="4" t="s">
        <v>778</v>
      </c>
      <c r="C88" s="4" t="s">
        <v>525</v>
      </c>
      <c r="D88" s="4" t="s">
        <v>594</v>
      </c>
      <c r="E88" s="4" t="s">
        <v>779</v>
      </c>
      <c r="F88" s="4" t="s">
        <v>779</v>
      </c>
      <c r="G88" s="14">
        <v>93.68</v>
      </c>
      <c r="H88" s="10">
        <v>15.520675000000001</v>
      </c>
      <c r="I88" s="10">
        <v>23.070698</v>
      </c>
      <c r="J88" s="10">
        <v>106.42648699999999</v>
      </c>
      <c r="K88" s="15">
        <v>1.9640999999999999E-2</v>
      </c>
      <c r="L88" s="17">
        <v>12978.848666</v>
      </c>
      <c r="M88" s="4" t="s">
        <v>780</v>
      </c>
      <c r="N88" s="19">
        <v>4.060562</v>
      </c>
      <c r="O88" s="19">
        <v>4.6940999999999997</v>
      </c>
      <c r="P88" s="19">
        <v>3.57</v>
      </c>
      <c r="Q88" s="19">
        <v>3.5849000000000002</v>
      </c>
      <c r="R88" s="19">
        <v>3.59</v>
      </c>
      <c r="S88" s="19">
        <v>3.6333000000000002</v>
      </c>
      <c r="T88" s="19">
        <v>3.59</v>
      </c>
      <c r="U88" s="19">
        <v>3.6848000000000001</v>
      </c>
      <c r="V88" s="19">
        <v>3.05</v>
      </c>
      <c r="W88" s="19">
        <v>3.3041999999999998</v>
      </c>
      <c r="X88" s="19">
        <v>3.05</v>
      </c>
      <c r="Y88" s="19">
        <v>3.3041999999999998</v>
      </c>
      <c r="Z88" s="4"/>
      <c r="AA88" s="4"/>
      <c r="AB88" s="4" t="e">
        <f ca="1">_xll.ciqfunctions.udf.CIQ("^SPX", "IQ_PRICEDATE", "4/29/2014")</f>
        <v>#NAME?</v>
      </c>
      <c r="AC88" s="16">
        <v>1878.3300711029999</v>
      </c>
    </row>
    <row r="89" spans="1:29" x14ac:dyDescent="0.35">
      <c r="A89" s="2" t="s">
        <v>99</v>
      </c>
      <c r="B89" s="4" t="s">
        <v>781</v>
      </c>
      <c r="C89" s="4" t="s">
        <v>543</v>
      </c>
      <c r="D89" s="4" t="s">
        <v>544</v>
      </c>
      <c r="E89" s="4" t="s">
        <v>555</v>
      </c>
      <c r="F89" s="4" t="s">
        <v>782</v>
      </c>
      <c r="G89" s="14">
        <v>43.98</v>
      </c>
      <c r="H89" s="10">
        <v>14.339661</v>
      </c>
      <c r="I89" s="10">
        <v>39.706865999999998</v>
      </c>
      <c r="J89" s="10" t="s">
        <v>534</v>
      </c>
      <c r="K89" s="15">
        <v>2.3192000000000001E-2</v>
      </c>
      <c r="L89" s="17">
        <v>18390.935578000001</v>
      </c>
      <c r="M89" s="4" t="s">
        <v>783</v>
      </c>
      <c r="N89" s="19">
        <v>1.1076170000000001</v>
      </c>
      <c r="O89" s="19">
        <v>2.8094000000000001</v>
      </c>
      <c r="P89" s="19">
        <v>1.0120769999999999</v>
      </c>
      <c r="Q89" s="19">
        <v>2.4868999999999999</v>
      </c>
      <c r="R89" s="19">
        <v>1.878744</v>
      </c>
      <c r="S89" s="19">
        <v>2.5095999999999998</v>
      </c>
      <c r="T89" s="19">
        <v>1.878744</v>
      </c>
      <c r="U89" s="19">
        <v>2.4708999999999999</v>
      </c>
      <c r="V89" s="19">
        <v>1.7158370000000001</v>
      </c>
      <c r="W89" s="19">
        <v>2.4104000000000001</v>
      </c>
      <c r="X89" s="19">
        <v>1.7158370000000001</v>
      </c>
      <c r="Y89" s="19">
        <v>2.4104000000000001</v>
      </c>
      <c r="Z89" s="4"/>
      <c r="AA89" s="4"/>
      <c r="AB89" s="4" t="e">
        <f ca="1">_xll.ciqfunctions.udf.CIQ("^SPX", "IQ_PRICEDATE", "4/30/2014")</f>
        <v>#NAME?</v>
      </c>
      <c r="AC89" s="16">
        <v>1883.9501304206001</v>
      </c>
    </row>
    <row r="90" spans="1:29" x14ac:dyDescent="0.35">
      <c r="A90" s="2" t="s">
        <v>100</v>
      </c>
      <c r="B90" s="4" t="s">
        <v>784</v>
      </c>
      <c r="C90" s="4" t="s">
        <v>669</v>
      </c>
      <c r="D90" s="4" t="s">
        <v>669</v>
      </c>
      <c r="E90" s="4" t="s">
        <v>670</v>
      </c>
      <c r="F90" s="4" t="s">
        <v>671</v>
      </c>
      <c r="G90" s="14">
        <v>23.8</v>
      </c>
      <c r="H90" s="10">
        <v>14.452731</v>
      </c>
      <c r="I90" s="10">
        <v>82.235421000000002</v>
      </c>
      <c r="J90" s="10">
        <v>4.8742570000000001</v>
      </c>
      <c r="K90" s="15">
        <v>1.0083999999999999E-2</v>
      </c>
      <c r="L90" s="17">
        <v>10500.021739</v>
      </c>
      <c r="M90" s="4" t="s">
        <v>785</v>
      </c>
      <c r="N90" s="19">
        <v>0.28941299999999998</v>
      </c>
      <c r="O90" s="19">
        <v>1.4618</v>
      </c>
      <c r="P90" s="19">
        <v>0.21648700000000001</v>
      </c>
      <c r="Q90" s="19">
        <v>0.84609999999999996</v>
      </c>
      <c r="R90" s="19">
        <v>-0.913049</v>
      </c>
      <c r="S90" s="19">
        <v>0.32229999999999998</v>
      </c>
      <c r="T90" s="19">
        <v>-0.913049</v>
      </c>
      <c r="U90" s="19">
        <v>-0.10050000000000001</v>
      </c>
      <c r="V90" s="19">
        <v>0.25</v>
      </c>
      <c r="W90" s="19">
        <v>0.85319999999999996</v>
      </c>
      <c r="X90" s="19">
        <v>0.25</v>
      </c>
      <c r="Y90" s="19">
        <v>0.85319999999999996</v>
      </c>
      <c r="Z90" s="4"/>
      <c r="AA90" s="4"/>
      <c r="AB90" s="4" t="e">
        <f ca="1">_xll.ciqfunctions.udf.CIQ("^SPX", "IQ_PRICEDATE", "5/1/2014")</f>
        <v>#NAME?</v>
      </c>
      <c r="AC90" s="16">
        <v>1883.6834685870001</v>
      </c>
    </row>
    <row r="91" spans="1:29" x14ac:dyDescent="0.35">
      <c r="A91" s="2" t="s">
        <v>101</v>
      </c>
      <c r="B91" s="4" t="s">
        <v>786</v>
      </c>
      <c r="C91" s="4" t="s">
        <v>543</v>
      </c>
      <c r="D91" s="4" t="s">
        <v>544</v>
      </c>
      <c r="E91" s="4" t="s">
        <v>555</v>
      </c>
      <c r="F91" s="4" t="s">
        <v>556</v>
      </c>
      <c r="G91" s="14">
        <v>40.4</v>
      </c>
      <c r="H91" s="10">
        <v>24.092434999999998</v>
      </c>
      <c r="I91" s="10">
        <v>52.391258000000001</v>
      </c>
      <c r="J91" s="10">
        <v>41.808138999999997</v>
      </c>
      <c r="K91" s="15">
        <v>0</v>
      </c>
      <c r="L91" s="17">
        <v>11425.4432</v>
      </c>
      <c r="M91" s="4" t="s">
        <v>787</v>
      </c>
      <c r="N91" s="19">
        <v>0.77112099999999995</v>
      </c>
      <c r="O91" s="19">
        <v>1.7259</v>
      </c>
      <c r="P91" s="19">
        <v>0.73</v>
      </c>
      <c r="Q91" s="19">
        <v>1.4874000000000001</v>
      </c>
      <c r="R91" s="19">
        <v>0.7</v>
      </c>
      <c r="S91" s="19">
        <v>1.3187</v>
      </c>
      <c r="T91" s="19">
        <v>0.7</v>
      </c>
      <c r="U91" s="19">
        <v>1.1363000000000001</v>
      </c>
      <c r="V91" s="19">
        <v>0.43928200000000001</v>
      </c>
      <c r="W91" s="19">
        <v>1.0418000000000001</v>
      </c>
      <c r="X91" s="19">
        <v>0.43928200000000001</v>
      </c>
      <c r="Y91" s="19">
        <v>1.0418000000000001</v>
      </c>
      <c r="Z91" s="4"/>
      <c r="AA91" s="4"/>
      <c r="AB91" s="4" t="e">
        <f ca="1">_xll.ciqfunctions.udf.CIQ("^SPX", "IQ_PRICEDATE", "5/2/2014")</f>
        <v>#NAME?</v>
      </c>
      <c r="AC91" s="16">
        <v>1881.1381375353999</v>
      </c>
    </row>
    <row r="92" spans="1:29" x14ac:dyDescent="0.35">
      <c r="A92" s="2" t="s">
        <v>102</v>
      </c>
      <c r="B92" s="4" t="s">
        <v>788</v>
      </c>
      <c r="C92" s="4" t="s">
        <v>626</v>
      </c>
      <c r="D92" s="4" t="s">
        <v>627</v>
      </c>
      <c r="E92" s="4" t="s">
        <v>699</v>
      </c>
      <c r="F92" s="4" t="s">
        <v>789</v>
      </c>
      <c r="G92" s="14">
        <v>36.32</v>
      </c>
      <c r="H92" s="10">
        <v>10.58963</v>
      </c>
      <c r="I92" s="10">
        <v>42.232557999999997</v>
      </c>
      <c r="J92" s="10" t="s">
        <v>534</v>
      </c>
      <c r="K92" s="15">
        <v>3.8545999999999997E-2</v>
      </c>
      <c r="L92" s="17">
        <v>10919.830604999999</v>
      </c>
      <c r="M92" s="4" t="s">
        <v>790</v>
      </c>
      <c r="N92" s="19">
        <v>0.86</v>
      </c>
      <c r="O92" s="19">
        <v>2.4372699999999998</v>
      </c>
      <c r="P92" s="19">
        <v>2.85459</v>
      </c>
      <c r="Q92" s="19">
        <v>2.9523000000000001</v>
      </c>
      <c r="R92" s="19">
        <v>2.1284049999999999</v>
      </c>
      <c r="S92" s="19">
        <v>3.1292</v>
      </c>
      <c r="T92" s="19">
        <v>2.1284049999999999</v>
      </c>
      <c r="U92" s="19">
        <v>2.8235000000000001</v>
      </c>
      <c r="V92" s="19">
        <v>2.5402049999999998</v>
      </c>
      <c r="W92" s="19">
        <v>2.4777999999999998</v>
      </c>
      <c r="X92" s="19">
        <v>2.5402049999999998</v>
      </c>
      <c r="Y92" s="19">
        <v>2.4777999999999998</v>
      </c>
      <c r="Z92" s="4"/>
      <c r="AA92" s="4"/>
      <c r="AB92" s="4" t="e">
        <f ca="1">_xll.ciqfunctions.udf.CIQ("^SPX", "IQ_PRICEDATE", "5/5/2014")</f>
        <v>#NAME?</v>
      </c>
      <c r="AC92" s="16">
        <v>1884.6557347001001</v>
      </c>
    </row>
    <row r="93" spans="1:29" x14ac:dyDescent="0.35">
      <c r="A93" s="2" t="s">
        <v>103</v>
      </c>
      <c r="B93" s="4" t="s">
        <v>791</v>
      </c>
      <c r="C93" s="4" t="s">
        <v>573</v>
      </c>
      <c r="D93" s="4" t="s">
        <v>574</v>
      </c>
      <c r="E93" s="4" t="s">
        <v>641</v>
      </c>
      <c r="F93" s="4" t="s">
        <v>641</v>
      </c>
      <c r="G93" s="14">
        <v>91.48</v>
      </c>
      <c r="H93" s="10">
        <v>0</v>
      </c>
      <c r="I93" s="10">
        <v>13.784369999999999</v>
      </c>
      <c r="J93" s="10">
        <v>1.4454560000000001</v>
      </c>
      <c r="K93" s="15">
        <v>1.7490000000000002E-2</v>
      </c>
      <c r="L93" s="17">
        <v>43766.776400000002</v>
      </c>
      <c r="M93" s="4" t="s">
        <v>792</v>
      </c>
      <c r="N93" s="19">
        <v>6.6365020000000001</v>
      </c>
      <c r="O93" s="19">
        <v>10.9521</v>
      </c>
      <c r="P93" s="19">
        <v>3.76</v>
      </c>
      <c r="Q93" s="19">
        <v>8.5507000000000009</v>
      </c>
      <c r="R93" s="19">
        <v>6.93</v>
      </c>
      <c r="S93" s="19">
        <v>7.8623000000000003</v>
      </c>
      <c r="T93" s="19">
        <v>6.93</v>
      </c>
      <c r="U93" s="19">
        <v>7.6513999999999998</v>
      </c>
      <c r="V93" s="19">
        <v>7.58</v>
      </c>
      <c r="W93" s="19">
        <v>7.6684999999999999</v>
      </c>
      <c r="X93" s="19">
        <v>7.58</v>
      </c>
      <c r="Y93" s="19">
        <v>7.6684999999999999</v>
      </c>
      <c r="Z93" s="4"/>
      <c r="AA93" s="4"/>
      <c r="AB93" s="4" t="e">
        <f ca="1">_xll.ciqfunctions.udf.CIQ("^SPX", "IQ_PRICEDATE", "5/6/2014")</f>
        <v>#NAME?</v>
      </c>
      <c r="AC93" s="16">
        <v>1867.7191073542999</v>
      </c>
    </row>
    <row r="94" spans="1:29" x14ac:dyDescent="0.35">
      <c r="A94" s="2" t="s">
        <v>104</v>
      </c>
      <c r="B94" s="4" t="s">
        <v>793</v>
      </c>
      <c r="C94" s="4" t="s">
        <v>530</v>
      </c>
      <c r="D94" s="4" t="s">
        <v>531</v>
      </c>
      <c r="E94" s="4" t="s">
        <v>569</v>
      </c>
      <c r="F94" s="4" t="s">
        <v>655</v>
      </c>
      <c r="G94" s="14">
        <v>53.52</v>
      </c>
      <c r="H94" s="10">
        <v>7.7523270000000002</v>
      </c>
      <c r="I94" s="10">
        <v>66.074073999999996</v>
      </c>
      <c r="J94" s="10" t="s">
        <v>534</v>
      </c>
      <c r="K94" s="15">
        <v>3.5596999999999997E-2</v>
      </c>
      <c r="L94" s="17">
        <v>16048.772070000001</v>
      </c>
      <c r="M94" s="4" t="s">
        <v>794</v>
      </c>
      <c r="N94" s="19">
        <v>0.81</v>
      </c>
      <c r="O94" s="19">
        <v>5.0192600000000001</v>
      </c>
      <c r="P94" s="19">
        <v>5.735188</v>
      </c>
      <c r="Q94" s="19">
        <v>5.1148999999999996</v>
      </c>
      <c r="R94" s="19">
        <v>4.1525109999999996</v>
      </c>
      <c r="S94" s="19">
        <v>5.609</v>
      </c>
      <c r="T94" s="19">
        <v>4.1525109999999996</v>
      </c>
      <c r="U94" s="19">
        <v>5.3914999999999997</v>
      </c>
      <c r="V94" s="19">
        <v>3.239296</v>
      </c>
      <c r="W94" s="19">
        <v>4.4118000000000004</v>
      </c>
      <c r="X94" s="19">
        <v>3.239296</v>
      </c>
      <c r="Y94" s="19">
        <v>4.4118000000000004</v>
      </c>
      <c r="Z94" s="4"/>
      <c r="AA94" s="4"/>
      <c r="AB94" s="4" t="e">
        <f ca="1">_xll.ciqfunctions.udf.CIQ("^SPX", "IQ_PRICEDATE", "5/7/2014")</f>
        <v>#NAME?</v>
      </c>
      <c r="AC94" s="16">
        <v>1878.2077180358999</v>
      </c>
    </row>
    <row r="95" spans="1:29" x14ac:dyDescent="0.35">
      <c r="A95" s="2" t="s">
        <v>105</v>
      </c>
      <c r="B95" s="4" t="s">
        <v>795</v>
      </c>
      <c r="C95" s="4" t="s">
        <v>559</v>
      </c>
      <c r="D95" s="4" t="s">
        <v>560</v>
      </c>
      <c r="E95" s="4" t="s">
        <v>561</v>
      </c>
      <c r="F95" s="4" t="s">
        <v>562</v>
      </c>
      <c r="G95" s="14">
        <v>69.92</v>
      </c>
      <c r="H95" s="10">
        <v>19.832695999999999</v>
      </c>
      <c r="I95" s="10">
        <v>17.3401</v>
      </c>
      <c r="J95" s="10">
        <v>3.5197690000000001</v>
      </c>
      <c r="K95" s="15">
        <v>0</v>
      </c>
      <c r="L95" s="17">
        <v>12209.517311</v>
      </c>
      <c r="M95" s="4" t="s">
        <v>796</v>
      </c>
      <c r="N95" s="19">
        <v>4.0322719999999999</v>
      </c>
      <c r="O95" s="19">
        <v>4.8364000000000003</v>
      </c>
      <c r="P95" s="19">
        <v>3.7372429999999999</v>
      </c>
      <c r="Q95" s="19">
        <v>4.0983999999999998</v>
      </c>
      <c r="R95" s="19">
        <v>3.1556299999999999</v>
      </c>
      <c r="S95" s="19">
        <v>3.5223</v>
      </c>
      <c r="T95" s="19">
        <v>3.1556299999999999</v>
      </c>
      <c r="U95" s="19">
        <v>3.2806999999999999</v>
      </c>
      <c r="V95" s="19">
        <v>2.484111</v>
      </c>
      <c r="W95" s="19">
        <v>2.8491</v>
      </c>
      <c r="X95" s="19">
        <v>2.484111</v>
      </c>
      <c r="Y95" s="19">
        <v>2.8491</v>
      </c>
      <c r="Z95" s="4"/>
      <c r="AA95" s="4"/>
      <c r="AB95" s="4" t="e">
        <f ca="1">_xll.ciqfunctions.udf.CIQ("^SPX", "IQ_PRICEDATE", "5/8/2014")</f>
        <v>#NAME?</v>
      </c>
      <c r="AC95" s="16">
        <v>1875.6291590243</v>
      </c>
    </row>
    <row r="96" spans="1:29" x14ac:dyDescent="0.35">
      <c r="A96" s="2" t="s">
        <v>106</v>
      </c>
      <c r="B96" s="4" t="s">
        <v>797</v>
      </c>
      <c r="C96" s="4" t="s">
        <v>559</v>
      </c>
      <c r="D96" s="4" t="s">
        <v>798</v>
      </c>
      <c r="E96" s="4" t="s">
        <v>799</v>
      </c>
      <c r="F96" s="4" t="s">
        <v>800</v>
      </c>
      <c r="G96" s="14">
        <v>59</v>
      </c>
      <c r="H96" s="10">
        <v>9.2766710000000003</v>
      </c>
      <c r="I96" s="10">
        <v>13.211574000000001</v>
      </c>
      <c r="J96" s="10">
        <v>2.0123760000000002</v>
      </c>
      <c r="K96" s="15">
        <v>3.3898000000000005E-2</v>
      </c>
      <c r="L96" s="17">
        <v>41204.667092000003</v>
      </c>
      <c r="M96" s="4" t="s">
        <v>801</v>
      </c>
      <c r="N96" s="19">
        <v>4.4657809999999998</v>
      </c>
      <c r="O96" s="19">
        <v>4.5016999999999996</v>
      </c>
      <c r="P96" s="19">
        <v>3.59</v>
      </c>
      <c r="Q96" s="19">
        <v>4.2590700000000004</v>
      </c>
      <c r="R96" s="19">
        <v>3.72</v>
      </c>
      <c r="S96" s="19">
        <v>3.5720100000000001</v>
      </c>
      <c r="T96" s="19">
        <v>3.72</v>
      </c>
      <c r="U96" s="19">
        <v>3.3593199999999999</v>
      </c>
      <c r="V96" s="19">
        <v>1.56</v>
      </c>
      <c r="W96" s="19">
        <v>2.5376300000000001</v>
      </c>
      <c r="X96" s="19">
        <v>1.56</v>
      </c>
      <c r="Y96" s="19">
        <v>2.5376300000000001</v>
      </c>
      <c r="Z96" s="4"/>
      <c r="AA96" s="4"/>
      <c r="AB96" s="4" t="e">
        <f ca="1">_xll.ciqfunctions.udf.CIQ("^SPX", "IQ_PRICEDATE", "5/9/2014")</f>
        <v>#NAME?</v>
      </c>
      <c r="AC96" s="16">
        <v>1878.4756878404</v>
      </c>
    </row>
    <row r="97" spans="1:29" x14ac:dyDescent="0.35">
      <c r="A97" s="2" t="s">
        <v>107</v>
      </c>
      <c r="B97" s="4" t="s">
        <v>802</v>
      </c>
      <c r="C97" s="4" t="s">
        <v>525</v>
      </c>
      <c r="D97" s="4" t="s">
        <v>526</v>
      </c>
      <c r="E97" s="4" t="s">
        <v>803</v>
      </c>
      <c r="F97" s="4" t="s">
        <v>804</v>
      </c>
      <c r="G97" s="14">
        <v>141.34</v>
      </c>
      <c r="H97" s="10">
        <v>10.774259000000001</v>
      </c>
      <c r="I97" s="10">
        <v>27.305671</v>
      </c>
      <c r="J97" s="10">
        <v>12.744948000000001</v>
      </c>
      <c r="K97" s="15">
        <v>2.4338000000000002E-2</v>
      </c>
      <c r="L97" s="17">
        <v>84001.950339999996</v>
      </c>
      <c r="M97" s="4" t="s">
        <v>805</v>
      </c>
      <c r="N97" s="19">
        <v>5.1762139999999999</v>
      </c>
      <c r="O97" s="19">
        <v>12.0632</v>
      </c>
      <c r="P97" s="19">
        <v>1.26</v>
      </c>
      <c r="Q97" s="19">
        <v>7.7234999999999996</v>
      </c>
      <c r="R97" s="19">
        <v>-0.11466700000000001</v>
      </c>
      <c r="S97" s="19">
        <v>3.0388000000000002</v>
      </c>
      <c r="T97" s="19">
        <v>-0.11466700000000001</v>
      </c>
      <c r="U97" s="19">
        <v>3.3948</v>
      </c>
      <c r="V97" s="19">
        <v>3.9</v>
      </c>
      <c r="W97" s="19">
        <v>6.7378</v>
      </c>
      <c r="X97" s="19">
        <v>3.9</v>
      </c>
      <c r="Y97" s="19">
        <v>6.7378</v>
      </c>
      <c r="Z97" s="4"/>
      <c r="AA97" s="4"/>
      <c r="AB97" s="4" t="e">
        <f ca="1">_xll.ciqfunctions.udf.CIQ("^SPX", "IQ_PRICEDATE", "5/12/2014")</f>
        <v>#NAME?</v>
      </c>
      <c r="AC97" s="16">
        <v>1896.6543225495</v>
      </c>
    </row>
    <row r="98" spans="1:29" x14ac:dyDescent="0.35">
      <c r="A98" s="2" t="s">
        <v>108</v>
      </c>
      <c r="B98" s="4" t="s">
        <v>806</v>
      </c>
      <c r="C98" s="4" t="s">
        <v>573</v>
      </c>
      <c r="D98" s="4" t="s">
        <v>574</v>
      </c>
      <c r="E98" s="4" t="s">
        <v>575</v>
      </c>
      <c r="F98" s="4" t="s">
        <v>807</v>
      </c>
      <c r="G98" s="14">
        <v>102.64</v>
      </c>
      <c r="H98" s="10">
        <v>15.851008999999999</v>
      </c>
      <c r="I98" s="10">
        <v>22.533776</v>
      </c>
      <c r="J98" s="10" t="s">
        <v>534</v>
      </c>
      <c r="K98" s="15">
        <v>1.2081E-2</v>
      </c>
      <c r="L98" s="17">
        <v>11477.076499999999</v>
      </c>
      <c r="M98" s="4" t="s">
        <v>808</v>
      </c>
      <c r="N98" s="19">
        <v>4.5549400000000002</v>
      </c>
      <c r="O98" s="19">
        <v>4.5174000000000003</v>
      </c>
      <c r="P98" s="19">
        <v>3.69</v>
      </c>
      <c r="Q98" s="19">
        <v>3.8010000000000002</v>
      </c>
      <c r="R98" s="19">
        <v>2.27</v>
      </c>
      <c r="S98" s="19">
        <v>2.4192999999999998</v>
      </c>
      <c r="T98" s="19">
        <v>2.27</v>
      </c>
      <c r="U98" s="19">
        <v>2.5352000000000001</v>
      </c>
      <c r="V98" s="19">
        <v>2.2058399999999998</v>
      </c>
      <c r="W98" s="19">
        <v>2.5146000000000002</v>
      </c>
      <c r="X98" s="19">
        <v>2.2058399999999998</v>
      </c>
      <c r="Y98" s="19">
        <v>2.5146000000000002</v>
      </c>
      <c r="Z98" s="4"/>
      <c r="AA98" s="4"/>
      <c r="AB98" s="4" t="e">
        <f ca="1">_xll.ciqfunctions.udf.CIQ("^SPX", "IQ_PRICEDATE", "5/13/2014")</f>
        <v>#NAME?</v>
      </c>
      <c r="AC98" s="16">
        <v>1897.4458157632</v>
      </c>
    </row>
    <row r="99" spans="1:29" x14ac:dyDescent="0.35">
      <c r="A99" s="2" t="s">
        <v>109</v>
      </c>
      <c r="B99" s="4" t="s">
        <v>809</v>
      </c>
      <c r="C99" s="4" t="s">
        <v>601</v>
      </c>
      <c r="D99" s="4" t="s">
        <v>601</v>
      </c>
      <c r="E99" s="4" t="s">
        <v>810</v>
      </c>
      <c r="F99" s="4" t="s">
        <v>811</v>
      </c>
      <c r="G99" s="14">
        <v>39.659999999999997</v>
      </c>
      <c r="H99" s="10">
        <v>9.3254260000000002</v>
      </c>
      <c r="I99" s="10">
        <v>18.618659999999998</v>
      </c>
      <c r="J99" s="10" t="s">
        <v>534</v>
      </c>
      <c r="K99" s="15">
        <v>0</v>
      </c>
      <c r="L99" s="17">
        <v>13169.513559999999</v>
      </c>
      <c r="M99" s="4" t="s">
        <v>812</v>
      </c>
      <c r="N99" s="19">
        <v>2.1301209999999999</v>
      </c>
      <c r="O99" s="19">
        <v>3.2469000000000001</v>
      </c>
      <c r="P99" s="19">
        <v>2.0299999999999998</v>
      </c>
      <c r="Q99" s="19">
        <v>2.6916000000000002</v>
      </c>
      <c r="R99" s="19">
        <v>1.689999</v>
      </c>
      <c r="S99" s="19">
        <v>2.2982</v>
      </c>
      <c r="T99" s="19">
        <v>1.689999</v>
      </c>
      <c r="U99" s="19">
        <v>2.2416999999999998</v>
      </c>
      <c r="V99" s="19">
        <v>1.449999</v>
      </c>
      <c r="W99" s="19">
        <v>1.8380000000000001</v>
      </c>
      <c r="X99" s="19">
        <v>1.449999</v>
      </c>
      <c r="Y99" s="19">
        <v>1.8380000000000001</v>
      </c>
      <c r="Z99" s="4"/>
      <c r="AA99" s="4"/>
      <c r="AB99" s="4" t="e">
        <f ca="1">_xll.ciqfunctions.udf.CIQ("^SPX", "IQ_PRICEDATE", "5/14/2014")</f>
        <v>#NAME?</v>
      </c>
      <c r="AC99" s="16">
        <v>1888.5257205712001</v>
      </c>
    </row>
    <row r="100" spans="1:29" x14ac:dyDescent="0.35">
      <c r="A100" s="2" t="s">
        <v>110</v>
      </c>
      <c r="B100" s="4" t="s">
        <v>813</v>
      </c>
      <c r="C100" s="4" t="s">
        <v>549</v>
      </c>
      <c r="D100" s="4" t="s">
        <v>550</v>
      </c>
      <c r="E100" s="4" t="s">
        <v>814</v>
      </c>
      <c r="F100" s="4" t="s">
        <v>815</v>
      </c>
      <c r="G100" s="14">
        <v>55.86</v>
      </c>
      <c r="H100" s="10">
        <v>9.9723369999999996</v>
      </c>
      <c r="I100" s="10">
        <v>15.968147999999999</v>
      </c>
      <c r="J100" s="10" t="s">
        <v>534</v>
      </c>
      <c r="K100" s="15">
        <v>1.2888999999999999E-2</v>
      </c>
      <c r="L100" s="17">
        <v>21017.076614000001</v>
      </c>
      <c r="M100" s="4" t="s">
        <v>816</v>
      </c>
      <c r="N100" s="19">
        <v>3.4982139999999999</v>
      </c>
      <c r="O100" s="19">
        <v>5.7276999999999996</v>
      </c>
      <c r="P100" s="19">
        <v>3.22</v>
      </c>
      <c r="Q100" s="19">
        <v>4.7521000000000004</v>
      </c>
      <c r="R100" s="19">
        <v>3.46</v>
      </c>
      <c r="S100" s="19">
        <v>4.3316999999999997</v>
      </c>
      <c r="T100" s="19">
        <v>3.46</v>
      </c>
      <c r="U100" s="19">
        <v>3.7648000000000001</v>
      </c>
      <c r="V100" s="19">
        <v>2.0499999999999998</v>
      </c>
      <c r="W100" s="19">
        <v>3.4969999999999999</v>
      </c>
      <c r="X100" s="19">
        <v>2.0499999999999998</v>
      </c>
      <c r="Y100" s="19">
        <v>3.4969999999999999</v>
      </c>
      <c r="Z100" s="4"/>
      <c r="AA100" s="4"/>
      <c r="AB100" s="4" t="e">
        <f ca="1">_xll.ciqfunctions.udf.CIQ("^SPX", "IQ_PRICEDATE", "5/15/2014")</f>
        <v>#NAME?</v>
      </c>
      <c r="AC100" s="16">
        <v>1870.8486363597001</v>
      </c>
    </row>
    <row r="101" spans="1:29" x14ac:dyDescent="0.35">
      <c r="A101" s="2" t="s">
        <v>111</v>
      </c>
      <c r="B101" s="4" t="s">
        <v>817</v>
      </c>
      <c r="C101" s="4" t="s">
        <v>530</v>
      </c>
      <c r="D101" s="4" t="s">
        <v>537</v>
      </c>
      <c r="E101" s="4" t="s">
        <v>538</v>
      </c>
      <c r="F101" s="4" t="s">
        <v>538</v>
      </c>
      <c r="G101" s="14">
        <v>84.28</v>
      </c>
      <c r="H101" s="10">
        <v>15.243911000000001</v>
      </c>
      <c r="I101" s="10">
        <v>23.439433000000001</v>
      </c>
      <c r="J101" s="10" t="s">
        <v>534</v>
      </c>
      <c r="K101" s="15">
        <v>0</v>
      </c>
      <c r="L101" s="17">
        <v>59279.434482999997</v>
      </c>
      <c r="M101" s="4" t="s">
        <v>818</v>
      </c>
      <c r="N101" s="19">
        <v>3.59565</v>
      </c>
      <c r="O101" s="19">
        <v>9.6285000000000007</v>
      </c>
      <c r="P101" s="19">
        <v>3.64</v>
      </c>
      <c r="Q101" s="19">
        <v>8.2898999999999994</v>
      </c>
      <c r="R101" s="19">
        <v>2.4900000000000002</v>
      </c>
      <c r="S101" s="19">
        <v>6.7851999999999997</v>
      </c>
      <c r="T101" s="19">
        <v>2.4900000000000002</v>
      </c>
      <c r="U101" s="19">
        <v>5.4412000000000003</v>
      </c>
      <c r="V101" s="19">
        <v>2.39</v>
      </c>
      <c r="W101" s="19">
        <v>4.4302000000000001</v>
      </c>
      <c r="X101" s="19">
        <v>2.39</v>
      </c>
      <c r="Y101" s="19">
        <v>4.4302000000000001</v>
      </c>
      <c r="Z101" s="4"/>
      <c r="AA101" s="4"/>
      <c r="AB101" s="4" t="e">
        <f ca="1">_xll.ciqfunctions.udf.CIQ("^SPX", "IQ_PRICEDATE", "5/16/2014")</f>
        <v>#NAME?</v>
      </c>
      <c r="AC101" s="16">
        <v>1877.8552731881</v>
      </c>
    </row>
    <row r="102" spans="1:29" x14ac:dyDescent="0.35">
      <c r="A102" s="2" t="s">
        <v>112</v>
      </c>
      <c r="B102" s="4" t="s">
        <v>819</v>
      </c>
      <c r="C102" s="4" t="s">
        <v>530</v>
      </c>
      <c r="D102" s="4" t="s">
        <v>531</v>
      </c>
      <c r="E102" s="4" t="s">
        <v>569</v>
      </c>
      <c r="F102" s="4" t="s">
        <v>570</v>
      </c>
      <c r="G102" s="14">
        <v>145.36000000000001</v>
      </c>
      <c r="H102" s="10">
        <v>13.104380000000001</v>
      </c>
      <c r="I102" s="10">
        <v>24.729672000000001</v>
      </c>
      <c r="J102" s="10">
        <v>7.9284350000000003</v>
      </c>
      <c r="K102" s="15">
        <v>0</v>
      </c>
      <c r="L102" s="17">
        <v>29836.109697</v>
      </c>
      <c r="M102" s="4" t="s">
        <v>820</v>
      </c>
      <c r="N102" s="19">
        <v>5.8779589999999997</v>
      </c>
      <c r="O102" s="19">
        <v>7.8372000000000002</v>
      </c>
      <c r="P102" s="19">
        <v>4.6900000000000004</v>
      </c>
      <c r="Q102" s="19">
        <v>5.3230000000000004</v>
      </c>
      <c r="R102" s="19">
        <v>3.41</v>
      </c>
      <c r="S102" s="19">
        <v>4.6642999999999999</v>
      </c>
      <c r="T102" s="19">
        <v>3.41</v>
      </c>
      <c r="U102" s="19">
        <v>3.5289000000000001</v>
      </c>
      <c r="V102" s="19">
        <v>2.23</v>
      </c>
      <c r="W102" s="19">
        <v>2.6775000000000002</v>
      </c>
      <c r="X102" s="19">
        <v>2.23</v>
      </c>
      <c r="Y102" s="19">
        <v>2.6775000000000002</v>
      </c>
      <c r="Z102" s="4"/>
      <c r="AA102" s="4"/>
      <c r="AB102" s="4" t="e">
        <f ca="1">_xll.ciqfunctions.udf.CIQ("^SPX", "IQ_PRICEDATE", "5/19/2014")</f>
        <v>#NAME?</v>
      </c>
      <c r="AC102" s="16">
        <v>1885.0848808167</v>
      </c>
    </row>
    <row r="103" spans="1:29" x14ac:dyDescent="0.35">
      <c r="A103" s="2" t="s">
        <v>113</v>
      </c>
      <c r="B103" s="4" t="s">
        <v>821</v>
      </c>
      <c r="C103" s="4" t="s">
        <v>619</v>
      </c>
      <c r="D103" s="4" t="s">
        <v>619</v>
      </c>
      <c r="E103" s="4" t="s">
        <v>634</v>
      </c>
      <c r="F103" s="4" t="s">
        <v>634</v>
      </c>
      <c r="G103" s="14">
        <v>27.56</v>
      </c>
      <c r="H103" s="10">
        <v>8.565016</v>
      </c>
      <c r="I103" s="10">
        <v>7.6807949999999998</v>
      </c>
      <c r="J103" s="10">
        <v>3.1851780000000001</v>
      </c>
      <c r="K103" s="15">
        <v>4.0274999999999998E-2</v>
      </c>
      <c r="L103" s="17">
        <v>13812.765533</v>
      </c>
      <c r="M103" s="4" t="s">
        <v>822</v>
      </c>
      <c r="N103" s="19">
        <v>3.5881699999999999</v>
      </c>
      <c r="O103" s="19">
        <v>1.6241000000000001</v>
      </c>
      <c r="P103" s="19">
        <v>4.13</v>
      </c>
      <c r="Q103" s="19">
        <v>1.4000999999999999</v>
      </c>
      <c r="R103" s="19">
        <v>1</v>
      </c>
      <c r="S103" s="19">
        <v>1.2421</v>
      </c>
      <c r="T103" s="19">
        <v>1</v>
      </c>
      <c r="U103" s="19">
        <v>1.0885</v>
      </c>
      <c r="V103" s="19">
        <v>1.42</v>
      </c>
      <c r="W103" s="19">
        <v>1.1583000000000001</v>
      </c>
      <c r="X103" s="19">
        <v>1.42</v>
      </c>
      <c r="Y103" s="19">
        <v>1.1583000000000001</v>
      </c>
      <c r="Z103" s="4"/>
      <c r="AA103" s="4"/>
      <c r="AB103" s="4" t="e">
        <f ca="1">_xll.ciqfunctions.udf.CIQ("^SPX", "IQ_PRICEDATE", "5/20/2014")</f>
        <v>#NAME?</v>
      </c>
      <c r="AC103" s="16">
        <v>1872.834226359</v>
      </c>
    </row>
    <row r="104" spans="1:29" x14ac:dyDescent="0.35">
      <c r="A104" s="2" t="s">
        <v>114</v>
      </c>
      <c r="B104" s="4" t="s">
        <v>823</v>
      </c>
      <c r="C104" s="4" t="s">
        <v>549</v>
      </c>
      <c r="D104" s="4" t="s">
        <v>713</v>
      </c>
      <c r="E104" s="4" t="s">
        <v>714</v>
      </c>
      <c r="F104" s="4" t="s">
        <v>824</v>
      </c>
      <c r="G104" s="14">
        <v>21.15</v>
      </c>
      <c r="H104" s="10">
        <v>7.876487</v>
      </c>
      <c r="I104" s="10">
        <v>11.669796</v>
      </c>
      <c r="J104" s="10" t="s">
        <v>534</v>
      </c>
      <c r="K104" s="15">
        <v>0.102127</v>
      </c>
      <c r="L104" s="17">
        <v>22844.607350999999</v>
      </c>
      <c r="M104" s="4" t="s">
        <v>825</v>
      </c>
      <c r="N104" s="19">
        <v>1.812371</v>
      </c>
      <c r="O104" s="19">
        <v>1.1889000000000001</v>
      </c>
      <c r="P104" s="19">
        <v>2.21</v>
      </c>
      <c r="Q104" s="19">
        <v>1.4044000000000001</v>
      </c>
      <c r="R104" s="19">
        <v>1.1599999999999999</v>
      </c>
      <c r="S104" s="19">
        <v>2.2555000000000001</v>
      </c>
      <c r="T104" s="19">
        <v>1.1599999999999999</v>
      </c>
      <c r="U104" s="19">
        <v>2.4289999999999998</v>
      </c>
      <c r="V104" s="19">
        <v>1.358114</v>
      </c>
      <c r="W104" s="19">
        <v>2.5156999999999998</v>
      </c>
      <c r="X104" s="19">
        <v>1.358114</v>
      </c>
      <c r="Y104" s="19">
        <v>2.5156999999999998</v>
      </c>
      <c r="Z104" s="4"/>
      <c r="AA104" s="4"/>
      <c r="AB104" s="4" t="e">
        <f ca="1">_xll.ciqfunctions.udf.CIQ("^SPX", "IQ_PRICEDATE", "5/21/2014")</f>
        <v>#NAME?</v>
      </c>
      <c r="AC104" s="16">
        <v>1888.0302964502</v>
      </c>
    </row>
    <row r="105" spans="1:29" x14ac:dyDescent="0.35">
      <c r="A105" s="2" t="s">
        <v>115</v>
      </c>
      <c r="B105" s="4" t="s">
        <v>826</v>
      </c>
      <c r="C105" s="4" t="s">
        <v>530</v>
      </c>
      <c r="D105" s="4" t="s">
        <v>531</v>
      </c>
      <c r="E105" s="4" t="s">
        <v>827</v>
      </c>
      <c r="F105" s="4" t="s">
        <v>827</v>
      </c>
      <c r="G105" s="14">
        <v>64.23</v>
      </c>
      <c r="H105" s="10">
        <v>16.017620000000001</v>
      </c>
      <c r="I105" s="10">
        <v>25.674551000000001</v>
      </c>
      <c r="J105" s="10">
        <v>7.7621149999999997</v>
      </c>
      <c r="K105" s="15">
        <v>0</v>
      </c>
      <c r="L105" s="17">
        <v>21131.950749</v>
      </c>
      <c r="M105" s="4" t="s">
        <v>828</v>
      </c>
      <c r="N105" s="19">
        <v>2.5016989999999999</v>
      </c>
      <c r="O105" s="19">
        <v>2.6396000000000002</v>
      </c>
      <c r="P105" s="19">
        <v>2.57</v>
      </c>
      <c r="Q105" s="19">
        <v>2.5301999999999998</v>
      </c>
      <c r="R105" s="19">
        <v>1.85</v>
      </c>
      <c r="S105" s="19">
        <v>2.4882</v>
      </c>
      <c r="T105" s="19">
        <v>1.85</v>
      </c>
      <c r="U105" s="19">
        <v>2.286</v>
      </c>
      <c r="V105" s="19">
        <v>1.24926</v>
      </c>
      <c r="W105" s="19">
        <v>1.94</v>
      </c>
      <c r="X105" s="19">
        <v>1.24926</v>
      </c>
      <c r="Y105" s="19">
        <v>1.94</v>
      </c>
      <c r="Z105" s="4"/>
      <c r="AA105" s="4"/>
      <c r="AB105" s="4" t="e">
        <f ca="1">_xll.ciqfunctions.udf.CIQ("^SPX", "IQ_PRICEDATE", "5/22/2014")</f>
        <v>#NAME?</v>
      </c>
      <c r="AC105" s="16">
        <v>1892.4936293646999</v>
      </c>
    </row>
    <row r="106" spans="1:29" x14ac:dyDescent="0.35">
      <c r="A106" s="2" t="s">
        <v>116</v>
      </c>
      <c r="B106" s="4" t="s">
        <v>829</v>
      </c>
      <c r="C106" s="4" t="s">
        <v>586</v>
      </c>
      <c r="D106" s="4" t="s">
        <v>586</v>
      </c>
      <c r="E106" s="4" t="s">
        <v>587</v>
      </c>
      <c r="F106" s="4" t="s">
        <v>830</v>
      </c>
      <c r="G106" s="14">
        <v>51.5</v>
      </c>
      <c r="H106" s="10">
        <v>13.435985000000001</v>
      </c>
      <c r="I106" s="10">
        <v>20.480450999999999</v>
      </c>
      <c r="J106" s="10">
        <v>11.226429</v>
      </c>
      <c r="K106" s="15">
        <v>2.3300000000000001E-2</v>
      </c>
      <c r="L106" s="17">
        <v>12023.636145</v>
      </c>
      <c r="M106" s="4" t="s">
        <v>831</v>
      </c>
      <c r="N106" s="19">
        <v>2.5145930000000001</v>
      </c>
      <c r="O106" s="19">
        <v>2.0055000000000001</v>
      </c>
      <c r="P106" s="19">
        <v>1.53</v>
      </c>
      <c r="Q106" s="19">
        <v>0.20280000000000001</v>
      </c>
      <c r="R106" s="19">
        <v>-1.19</v>
      </c>
      <c r="S106" s="19">
        <v>0.26919999999999999</v>
      </c>
      <c r="T106" s="19">
        <v>-1.19</v>
      </c>
      <c r="U106" s="19">
        <v>4.0796000000000001</v>
      </c>
      <c r="V106" s="19">
        <v>5.42</v>
      </c>
      <c r="W106" s="19">
        <v>4.0696000000000003</v>
      </c>
      <c r="X106" s="19">
        <v>5.42</v>
      </c>
      <c r="Y106" s="19">
        <v>4.0696000000000003</v>
      </c>
      <c r="Z106" s="4"/>
      <c r="AA106" s="4"/>
      <c r="AB106" s="4" t="e">
        <f ca="1">_xll.ciqfunctions.udf.CIQ("^SPX", "IQ_PRICEDATE", "5/23/2014")</f>
        <v>#NAME?</v>
      </c>
      <c r="AC106" s="16">
        <v>1900.5332285925999</v>
      </c>
    </row>
    <row r="107" spans="1:29" x14ac:dyDescent="0.35">
      <c r="A107" s="2" t="s">
        <v>117</v>
      </c>
      <c r="B107" s="4" t="s">
        <v>832</v>
      </c>
      <c r="C107" s="4" t="s">
        <v>549</v>
      </c>
      <c r="D107" s="4" t="s">
        <v>550</v>
      </c>
      <c r="E107" s="4" t="s">
        <v>814</v>
      </c>
      <c r="F107" s="4" t="s">
        <v>833</v>
      </c>
      <c r="G107" s="14">
        <v>319.83</v>
      </c>
      <c r="H107" s="10">
        <v>9.9014389999999999</v>
      </c>
      <c r="I107" s="10">
        <v>8.7660979999999995</v>
      </c>
      <c r="J107" s="10" t="s">
        <v>534</v>
      </c>
      <c r="K107" s="15">
        <v>0</v>
      </c>
      <c r="L107" s="17">
        <v>74157.041372000007</v>
      </c>
      <c r="M107" s="4" t="s">
        <v>834</v>
      </c>
      <c r="N107" s="19">
        <v>36.484875000000002</v>
      </c>
      <c r="O107" s="19">
        <v>5.9424999999999999</v>
      </c>
      <c r="P107" s="19">
        <v>34.087850000000003</v>
      </c>
      <c r="Q107" s="19">
        <v>3.9973999999999998</v>
      </c>
      <c r="R107" s="19">
        <v>15.946066</v>
      </c>
      <c r="S107" s="19">
        <v>4.7812999999999999</v>
      </c>
      <c r="T107" s="19">
        <v>15.946066</v>
      </c>
      <c r="U107" s="19">
        <v>0</v>
      </c>
      <c r="V107" s="19">
        <v>-1.879999</v>
      </c>
      <c r="W107" s="19">
        <v>0</v>
      </c>
      <c r="X107" s="19">
        <v>-1.879999</v>
      </c>
      <c r="Y107" s="19">
        <v>0</v>
      </c>
      <c r="Z107" s="4"/>
      <c r="AA107" s="4"/>
      <c r="AB107" s="4" t="e">
        <f ca="1">_xll.ciqfunctions.udf.CIQ("^SPX", "IQ_PRICEDATE", "5/27/2014")</f>
        <v>#NAME?</v>
      </c>
      <c r="AC107" s="16">
        <v>1911.9106246526001</v>
      </c>
    </row>
    <row r="108" spans="1:29" x14ac:dyDescent="0.35">
      <c r="A108" s="2" t="s">
        <v>118</v>
      </c>
      <c r="B108" s="4" t="s">
        <v>835</v>
      </c>
      <c r="C108" s="4" t="s">
        <v>669</v>
      </c>
      <c r="D108" s="4" t="s">
        <v>669</v>
      </c>
      <c r="E108" s="4" t="s">
        <v>670</v>
      </c>
      <c r="F108" s="4" t="s">
        <v>836</v>
      </c>
      <c r="G108" s="14">
        <v>117.29</v>
      </c>
      <c r="H108" s="10">
        <v>8.180911</v>
      </c>
      <c r="I108" s="10">
        <v>18.462710000000001</v>
      </c>
      <c r="J108" s="10">
        <v>1.5218370000000001</v>
      </c>
      <c r="K108" s="15">
        <v>3.8195E-2</v>
      </c>
      <c r="L108" s="17">
        <v>224744.89335900001</v>
      </c>
      <c r="M108" s="4" t="s">
        <v>837</v>
      </c>
      <c r="N108" s="19">
        <v>6.352805</v>
      </c>
      <c r="O108" s="19">
        <v>9.1348000000000003</v>
      </c>
      <c r="P108" s="19">
        <v>4.8499999999999996</v>
      </c>
      <c r="Q108" s="19">
        <v>5.5984999999999996</v>
      </c>
      <c r="R108" s="19">
        <v>-0.27</v>
      </c>
      <c r="S108" s="19">
        <v>3.8411</v>
      </c>
      <c r="T108" s="19">
        <v>-0.27</v>
      </c>
      <c r="U108" s="19">
        <v>3.4708999999999999</v>
      </c>
      <c r="V108" s="19">
        <v>10.14</v>
      </c>
      <c r="W108" s="19">
        <v>6.7920999999999996</v>
      </c>
      <c r="X108" s="19">
        <v>10.14</v>
      </c>
      <c r="Y108" s="19">
        <v>6.7920999999999996</v>
      </c>
      <c r="Z108" s="4"/>
      <c r="AA108" s="4"/>
      <c r="AB108" s="4" t="e">
        <f ca="1">_xll.ciqfunctions.udf.CIQ("^SPX", "IQ_PRICEDATE", "5/28/2014")</f>
        <v>#NAME?</v>
      </c>
      <c r="AC108" s="16">
        <v>1909.7819247730999</v>
      </c>
    </row>
    <row r="109" spans="1:29" x14ac:dyDescent="0.35">
      <c r="A109" s="2" t="s">
        <v>119</v>
      </c>
      <c r="B109" s="4" t="s">
        <v>838</v>
      </c>
      <c r="C109" s="4" t="s">
        <v>559</v>
      </c>
      <c r="D109" s="4" t="s">
        <v>798</v>
      </c>
      <c r="E109" s="4" t="s">
        <v>799</v>
      </c>
      <c r="F109" s="4" t="s">
        <v>839</v>
      </c>
      <c r="G109" s="14">
        <v>429.85</v>
      </c>
      <c r="H109" s="10">
        <v>21.943809000000002</v>
      </c>
      <c r="I109" s="10">
        <v>71.232399999999998</v>
      </c>
      <c r="J109" s="10">
        <v>8.725835</v>
      </c>
      <c r="K109" s="15">
        <v>0</v>
      </c>
      <c r="L109" s="17">
        <v>11951.594534</v>
      </c>
      <c r="M109" s="4" t="s">
        <v>840</v>
      </c>
      <c r="N109" s="19">
        <v>6.0344730000000002</v>
      </c>
      <c r="O109" s="19">
        <v>10.248100000000001</v>
      </c>
      <c r="P109" s="19">
        <v>6.17</v>
      </c>
      <c r="Q109" s="19">
        <v>8.5454000000000008</v>
      </c>
      <c r="R109" s="19">
        <v>0.77</v>
      </c>
      <c r="S109" s="19">
        <v>7.6215000000000002</v>
      </c>
      <c r="T109" s="19">
        <v>0.77</v>
      </c>
      <c r="U109" s="19">
        <v>14.9651</v>
      </c>
      <c r="V109" s="19">
        <v>14.13</v>
      </c>
      <c r="W109" s="19">
        <v>16.701000000000001</v>
      </c>
      <c r="X109" s="19">
        <v>14.13</v>
      </c>
      <c r="Y109" s="19">
        <v>16.701000000000001</v>
      </c>
      <c r="Z109" s="4"/>
      <c r="AA109" s="4"/>
      <c r="AB109" s="4" t="e">
        <f ca="1">_xll.ciqfunctions.udf.CIQ("^SPX", "IQ_PRICEDATE", "5/29/2014")</f>
        <v>#NAME?</v>
      </c>
      <c r="AC109" s="16">
        <v>1920.0268444223</v>
      </c>
    </row>
    <row r="110" spans="1:29" x14ac:dyDescent="0.35">
      <c r="A110" s="2" t="s">
        <v>120</v>
      </c>
      <c r="B110" s="4" t="s">
        <v>841</v>
      </c>
      <c r="C110" s="4" t="s">
        <v>573</v>
      </c>
      <c r="D110" s="4" t="s">
        <v>579</v>
      </c>
      <c r="E110" s="4" t="s">
        <v>579</v>
      </c>
      <c r="F110" s="4" t="s">
        <v>842</v>
      </c>
      <c r="G110" s="14">
        <v>127.13</v>
      </c>
      <c r="H110" s="10">
        <v>15.337028</v>
      </c>
      <c r="I110" s="10">
        <v>15.554173</v>
      </c>
      <c r="J110" s="10">
        <v>2.0171510000000001</v>
      </c>
      <c r="K110" s="15">
        <v>2.2968000000000002E-2</v>
      </c>
      <c r="L110" s="17">
        <v>58616.60828</v>
      </c>
      <c r="M110" s="4" t="s">
        <v>843</v>
      </c>
      <c r="N110" s="19">
        <v>8.1733689999999992</v>
      </c>
      <c r="O110" s="19">
        <v>10.541700000000001</v>
      </c>
      <c r="P110" s="19">
        <v>8.1899990000000003</v>
      </c>
      <c r="Q110" s="19">
        <v>10.3453</v>
      </c>
      <c r="R110" s="19">
        <v>8.869999</v>
      </c>
      <c r="S110" s="19">
        <v>10.172700000000001</v>
      </c>
      <c r="T110" s="19">
        <v>8.869999</v>
      </c>
      <c r="U110" s="19">
        <v>9.4906000000000006</v>
      </c>
      <c r="V110" s="19">
        <v>8.42</v>
      </c>
      <c r="W110" s="19">
        <v>9.2250999999999994</v>
      </c>
      <c r="X110" s="19">
        <v>8.42</v>
      </c>
      <c r="Y110" s="19">
        <v>9.2250999999999994</v>
      </c>
      <c r="Z110" s="4"/>
      <c r="AA110" s="4"/>
      <c r="AB110" s="4" t="e">
        <f ca="1">_xll.ciqfunctions.udf.CIQ("^SPX", "IQ_PRICEDATE", "5/30/2014")</f>
        <v>#NAME?</v>
      </c>
      <c r="AC110" s="16">
        <v>1923.5726606584001</v>
      </c>
    </row>
    <row r="111" spans="1:29" x14ac:dyDescent="0.35">
      <c r="A111" s="2" t="s">
        <v>121</v>
      </c>
      <c r="B111" s="4" t="s">
        <v>844</v>
      </c>
      <c r="C111" s="4" t="s">
        <v>626</v>
      </c>
      <c r="D111" s="4" t="s">
        <v>845</v>
      </c>
      <c r="E111" s="4" t="s">
        <v>846</v>
      </c>
      <c r="F111" s="4" t="s">
        <v>846</v>
      </c>
      <c r="G111" s="14">
        <v>58.51</v>
      </c>
      <c r="H111" s="10">
        <v>17.282603999999999</v>
      </c>
      <c r="I111" s="10">
        <v>18.015260000000001</v>
      </c>
      <c r="J111" s="10" t="s">
        <v>534</v>
      </c>
      <c r="K111" s="15">
        <v>1.4869E-2</v>
      </c>
      <c r="L111" s="17">
        <v>14358.819563999999</v>
      </c>
      <c r="M111" s="4" t="s">
        <v>847</v>
      </c>
      <c r="N111" s="19">
        <v>3.2478020000000001</v>
      </c>
      <c r="O111" s="19">
        <v>2.3222</v>
      </c>
      <c r="P111" s="19">
        <v>2.9</v>
      </c>
      <c r="Q111" s="19">
        <v>2.0617999999999999</v>
      </c>
      <c r="R111" s="19">
        <v>1.75</v>
      </c>
      <c r="S111" s="19">
        <v>1.8452999999999999</v>
      </c>
      <c r="T111" s="19">
        <v>1.75</v>
      </c>
      <c r="U111" s="19">
        <v>1.7171000000000001</v>
      </c>
      <c r="V111" s="19">
        <v>1.51</v>
      </c>
      <c r="W111" s="19">
        <v>1.6175999999999999</v>
      </c>
      <c r="X111" s="19">
        <v>1.51</v>
      </c>
      <c r="Y111" s="19">
        <v>1.6175999999999999</v>
      </c>
      <c r="Z111" s="4"/>
      <c r="AA111" s="4"/>
      <c r="AB111" s="4" t="e">
        <f ca="1">_xll.ciqfunctions.udf.CIQ("^SPX", "IQ_PRICEDATE", "6/2/2014")</f>
        <v>#NAME?</v>
      </c>
      <c r="AC111" s="16">
        <v>1924.9653923408</v>
      </c>
    </row>
    <row r="112" spans="1:29" x14ac:dyDescent="0.35">
      <c r="A112" s="2" t="s">
        <v>122</v>
      </c>
      <c r="B112" s="4" t="s">
        <v>848</v>
      </c>
      <c r="C112" s="4" t="s">
        <v>530</v>
      </c>
      <c r="D112" s="4" t="s">
        <v>531</v>
      </c>
      <c r="E112" s="4" t="s">
        <v>569</v>
      </c>
      <c r="F112" s="4" t="s">
        <v>570</v>
      </c>
      <c r="G112" s="14">
        <v>211.2</v>
      </c>
      <c r="H112" s="10">
        <v>10.692087000000001</v>
      </c>
      <c r="I112" s="10">
        <v>20.594889999999999</v>
      </c>
      <c r="J112" s="10">
        <v>5.9753179999999997</v>
      </c>
      <c r="K112" s="15">
        <v>1.8900000000000001E-4</v>
      </c>
      <c r="L112" s="17">
        <v>51398.599085000002</v>
      </c>
      <c r="M112" s="4" t="s">
        <v>849</v>
      </c>
      <c r="N112" s="19">
        <v>10.254970999999999</v>
      </c>
      <c r="O112" s="19">
        <v>14.3537</v>
      </c>
      <c r="P112" s="19">
        <v>8.77</v>
      </c>
      <c r="Q112" s="19">
        <v>10.8766</v>
      </c>
      <c r="R112" s="19">
        <v>7.19</v>
      </c>
      <c r="S112" s="19">
        <v>9.0960999999999999</v>
      </c>
      <c r="T112" s="19">
        <v>7.19</v>
      </c>
      <c r="U112" s="19">
        <v>9.0611999999999995</v>
      </c>
      <c r="V112" s="19">
        <v>7.83</v>
      </c>
      <c r="W112" s="19">
        <v>7.9344999999999999</v>
      </c>
      <c r="X112" s="19">
        <v>7.83</v>
      </c>
      <c r="Y112" s="19">
        <v>7.9344999999999999</v>
      </c>
      <c r="Z112" s="4"/>
      <c r="AA112" s="4"/>
      <c r="AB112" s="4" t="e">
        <f ca="1">_xll.ciqfunctions.udf.CIQ("^SPX", "IQ_PRICEDATE", "6/3/2014")</f>
        <v>#NAME?</v>
      </c>
      <c r="AC112" s="16">
        <v>1924.2447476350001</v>
      </c>
    </row>
    <row r="113" spans="1:29" x14ac:dyDescent="0.35">
      <c r="A113" s="2" t="s">
        <v>123</v>
      </c>
      <c r="B113" s="4" t="s">
        <v>850</v>
      </c>
      <c r="C113" s="4" t="s">
        <v>669</v>
      </c>
      <c r="D113" s="4" t="s">
        <v>669</v>
      </c>
      <c r="E113" s="4" t="s">
        <v>670</v>
      </c>
      <c r="F113" s="4" t="s">
        <v>671</v>
      </c>
      <c r="G113" s="14">
        <v>92.25</v>
      </c>
      <c r="H113" s="10">
        <v>7.5562699999999996</v>
      </c>
      <c r="I113" s="10">
        <v>14.790518</v>
      </c>
      <c r="J113" s="10">
        <v>3.8152659999999998</v>
      </c>
      <c r="K113" s="15">
        <v>7.8040000000000002E-3</v>
      </c>
      <c r="L113" s="17">
        <v>8796.5978269999996</v>
      </c>
      <c r="M113" s="4" t="s">
        <v>851</v>
      </c>
      <c r="N113" s="19">
        <v>6.2371040000000004</v>
      </c>
      <c r="O113" s="19">
        <v>7.1073000000000004</v>
      </c>
      <c r="P113" s="19">
        <v>5.1950180000000001</v>
      </c>
      <c r="Q113" s="19">
        <v>5.6308999999999996</v>
      </c>
      <c r="R113" s="19">
        <v>-4.38</v>
      </c>
      <c r="S113" s="19">
        <v>3.3431000000000002</v>
      </c>
      <c r="T113" s="19">
        <v>-4.38</v>
      </c>
      <c r="U113" s="19">
        <v>2.5700000000000001E-2</v>
      </c>
      <c r="V113" s="19">
        <v>6.0154290000000001</v>
      </c>
      <c r="W113" s="19">
        <v>3.4388000000000001</v>
      </c>
      <c r="X113" s="19">
        <v>6.0154290000000001</v>
      </c>
      <c r="Y113" s="19">
        <v>3.4388000000000001</v>
      </c>
      <c r="Z113" s="4"/>
      <c r="AA113" s="4"/>
      <c r="AB113" s="4" t="e">
        <f ca="1">_xll.ciqfunctions.udf.CIQ("^SPX", "IQ_PRICEDATE", "6/4/2014")</f>
        <v>#NAME?</v>
      </c>
      <c r="AC113" s="16">
        <v>1927.8750457919</v>
      </c>
    </row>
    <row r="114" spans="1:29" x14ac:dyDescent="0.35">
      <c r="A114" s="2" t="s">
        <v>124</v>
      </c>
      <c r="B114" s="4" t="s">
        <v>852</v>
      </c>
      <c r="C114" s="4" t="s">
        <v>573</v>
      </c>
      <c r="D114" s="4" t="s">
        <v>579</v>
      </c>
      <c r="E114" s="4" t="s">
        <v>579</v>
      </c>
      <c r="F114" s="4" t="s">
        <v>842</v>
      </c>
      <c r="G114" s="14">
        <v>75.75</v>
      </c>
      <c r="H114" s="10">
        <v>19.431715000000001</v>
      </c>
      <c r="I114" s="10">
        <v>13.499415000000001</v>
      </c>
      <c r="J114" s="10">
        <v>1.5559559999999999</v>
      </c>
      <c r="K114" s="15">
        <v>2.7986E-2</v>
      </c>
      <c r="L114" s="17">
        <v>12320.910286</v>
      </c>
      <c r="M114" s="4" t="s">
        <v>853</v>
      </c>
      <c r="N114" s="19">
        <v>5.6113540000000004</v>
      </c>
      <c r="O114" s="19">
        <v>3.1537000000000002</v>
      </c>
      <c r="P114" s="19">
        <v>6.29</v>
      </c>
      <c r="Q114" s="19">
        <v>3.0217000000000001</v>
      </c>
      <c r="R114" s="19">
        <v>3.55</v>
      </c>
      <c r="S114" s="19">
        <v>2.8711000000000002</v>
      </c>
      <c r="T114" s="19">
        <v>3.55</v>
      </c>
      <c r="U114" s="19">
        <v>2.669</v>
      </c>
      <c r="V114" s="19">
        <v>3.18</v>
      </c>
      <c r="W114" s="19">
        <v>2.6869999999999998</v>
      </c>
      <c r="X114" s="19">
        <v>3.18</v>
      </c>
      <c r="Y114" s="19">
        <v>2.6869999999999998</v>
      </c>
      <c r="Z114" s="4"/>
      <c r="AA114" s="4"/>
      <c r="AB114" s="4" t="e">
        <f ca="1">_xll.ciqfunctions.udf.CIQ("^SPX", "IQ_PRICEDATE", "6/5/2014")</f>
        <v>#NAME?</v>
      </c>
      <c r="AC114" s="16">
        <v>1940.4579108554001</v>
      </c>
    </row>
    <row r="115" spans="1:29" x14ac:dyDescent="0.35">
      <c r="A115" s="2" t="s">
        <v>125</v>
      </c>
      <c r="B115" s="4" t="s">
        <v>854</v>
      </c>
      <c r="C115" s="4" t="s">
        <v>525</v>
      </c>
      <c r="D115" s="4" t="s">
        <v>855</v>
      </c>
      <c r="E115" s="4" t="s">
        <v>856</v>
      </c>
      <c r="F115" s="4" t="s">
        <v>857</v>
      </c>
      <c r="G115" s="14">
        <v>186.2</v>
      </c>
      <c r="H115" s="10">
        <v>17.053842</v>
      </c>
      <c r="I115" s="10">
        <v>24.941884000000002</v>
      </c>
      <c r="J115" s="10" t="s">
        <v>534</v>
      </c>
      <c r="K115" s="15">
        <v>8.6999999999999994E-3</v>
      </c>
      <c r="L115" s="17">
        <v>20239.729965999999</v>
      </c>
      <c r="M115" s="4" t="s">
        <v>858</v>
      </c>
      <c r="N115" s="19">
        <v>7.4653539999999996</v>
      </c>
      <c r="O115" s="19">
        <v>7.2948000000000004</v>
      </c>
      <c r="P115" s="19">
        <v>4.5051899999999998</v>
      </c>
      <c r="Q115" s="19">
        <v>6.0221</v>
      </c>
      <c r="R115" s="19">
        <v>4.4190209999999999</v>
      </c>
      <c r="S115" s="19">
        <v>4.6477000000000004</v>
      </c>
      <c r="T115" s="19">
        <v>4.4190209999999999</v>
      </c>
      <c r="U115" s="19">
        <v>4.1696999999999997</v>
      </c>
      <c r="V115" s="19">
        <v>3.481042</v>
      </c>
      <c r="W115" s="19">
        <v>3.4535999999999998</v>
      </c>
      <c r="X115" s="19">
        <v>3.481042</v>
      </c>
      <c r="Y115" s="19">
        <v>3.4535999999999998</v>
      </c>
      <c r="Z115" s="4"/>
      <c r="AA115" s="4"/>
      <c r="AB115" s="4" t="e">
        <f ca="1">_xll.ciqfunctions.udf.CIQ("^SPX", "IQ_PRICEDATE", "6/6/2014")</f>
        <v>#NAME?</v>
      </c>
      <c r="AC115" s="16">
        <v>1949.4407261495001</v>
      </c>
    </row>
    <row r="116" spans="1:29" x14ac:dyDescent="0.35">
      <c r="A116" s="2" t="s">
        <v>126</v>
      </c>
      <c r="B116" s="4" t="s">
        <v>859</v>
      </c>
      <c r="C116" s="4" t="s">
        <v>543</v>
      </c>
      <c r="D116" s="4" t="s">
        <v>664</v>
      </c>
      <c r="E116" s="4" t="s">
        <v>706</v>
      </c>
      <c r="F116" s="4" t="s">
        <v>706</v>
      </c>
      <c r="G116" s="14">
        <v>45.94</v>
      </c>
      <c r="H116" s="10">
        <v>12.831654</v>
      </c>
      <c r="I116" s="10" t="s">
        <v>534</v>
      </c>
      <c r="J116" s="10">
        <v>23.694078999999999</v>
      </c>
      <c r="K116" s="15">
        <v>2.8732999999999998E-2</v>
      </c>
      <c r="L116" s="17">
        <v>210007.09020800001</v>
      </c>
      <c r="M116" s="4" t="s">
        <v>860</v>
      </c>
      <c r="N116" s="19">
        <v>0.02</v>
      </c>
      <c r="O116" s="19">
        <v>2.9945499999999998</v>
      </c>
      <c r="P116" s="19">
        <v>1.920067</v>
      </c>
      <c r="Q116" s="19">
        <v>2.4861</v>
      </c>
      <c r="R116" s="19">
        <v>2.0904799999999999</v>
      </c>
      <c r="S116" s="19">
        <v>2.3752</v>
      </c>
      <c r="T116" s="19">
        <v>2.0904799999999999</v>
      </c>
      <c r="U116" s="19">
        <v>2.2746</v>
      </c>
      <c r="V116" s="19">
        <v>1.470348</v>
      </c>
      <c r="W116" s="19">
        <v>2.1516000000000002</v>
      </c>
      <c r="X116" s="19">
        <v>1.470348</v>
      </c>
      <c r="Y116" s="19">
        <v>2.1516000000000002</v>
      </c>
      <c r="Z116" s="4"/>
      <c r="AA116" s="4"/>
      <c r="AB116" s="4" t="e">
        <f ca="1">_xll.ciqfunctions.udf.CIQ("^SPX", "IQ_PRICEDATE", "6/9/2014")</f>
        <v>#NAME?</v>
      </c>
      <c r="AC116" s="16">
        <v>1951.2725755604999</v>
      </c>
    </row>
    <row r="117" spans="1:29" x14ac:dyDescent="0.35">
      <c r="A117" s="2" t="s">
        <v>127</v>
      </c>
      <c r="B117" s="4" t="s">
        <v>861</v>
      </c>
      <c r="C117" s="4" t="s">
        <v>573</v>
      </c>
      <c r="D117" s="4" t="s">
        <v>737</v>
      </c>
      <c r="E117" s="4" t="s">
        <v>737</v>
      </c>
      <c r="F117" s="4" t="s">
        <v>738</v>
      </c>
      <c r="G117" s="14">
        <v>69.84</v>
      </c>
      <c r="H117" s="10">
        <v>0</v>
      </c>
      <c r="I117" s="10" t="s">
        <v>534</v>
      </c>
      <c r="J117" s="10">
        <v>1.1281369999999999</v>
      </c>
      <c r="K117" s="15">
        <v>2.5773000000000001E-2</v>
      </c>
      <c r="L117" s="17">
        <v>170556.264</v>
      </c>
      <c r="M117" s="4" t="s">
        <v>862</v>
      </c>
      <c r="N117" s="19">
        <v>-2.4616829999999998</v>
      </c>
      <c r="O117" s="19">
        <v>7.3517999999999999</v>
      </c>
      <c r="P117" s="19">
        <v>-2.9412630000000002</v>
      </c>
      <c r="Q117" s="19">
        <v>5.7472000000000003</v>
      </c>
      <c r="R117" s="19">
        <v>4.74</v>
      </c>
      <c r="S117" s="19">
        <v>5.0576999999999996</v>
      </c>
      <c r="T117" s="19">
        <v>4.74</v>
      </c>
      <c r="U117" s="19">
        <v>5.5250000000000004</v>
      </c>
      <c r="V117" s="19">
        <v>2.2031610000000001</v>
      </c>
      <c r="W117" s="19">
        <v>5.2234999999999996</v>
      </c>
      <c r="X117" s="19">
        <v>2.2031610000000001</v>
      </c>
      <c r="Y117" s="19">
        <v>5.2234999999999996</v>
      </c>
      <c r="Z117" s="4"/>
      <c r="AA117" s="4"/>
      <c r="AB117" s="4" t="e">
        <f ca="1">_xll.ciqfunctions.udf.CIQ("^SPX", "IQ_PRICEDATE", "6/10/2014")</f>
        <v>#NAME?</v>
      </c>
      <c r="AC117" s="16">
        <v>1950.7944545133</v>
      </c>
    </row>
    <row r="118" spans="1:29" x14ac:dyDescent="0.35">
      <c r="A118" s="2" t="s">
        <v>128</v>
      </c>
      <c r="B118" s="4" t="s">
        <v>863</v>
      </c>
      <c r="C118" s="4" t="s">
        <v>573</v>
      </c>
      <c r="D118" s="4" t="s">
        <v>737</v>
      </c>
      <c r="E118" s="4" t="s">
        <v>737</v>
      </c>
      <c r="F118" s="4" t="s">
        <v>743</v>
      </c>
      <c r="G118" s="14">
        <v>35.89</v>
      </c>
      <c r="H118" s="10">
        <v>0</v>
      </c>
      <c r="I118" s="10">
        <v>9.7722610000000003</v>
      </c>
      <c r="J118" s="10">
        <v>1.3325709999999999</v>
      </c>
      <c r="K118" s="15">
        <v>3.0091E-2</v>
      </c>
      <c r="L118" s="17">
        <v>17081.717766999998</v>
      </c>
      <c r="M118" s="4" t="s">
        <v>864</v>
      </c>
      <c r="N118" s="19">
        <v>3.6726399999999999</v>
      </c>
      <c r="O118" s="19">
        <v>3.6179000000000001</v>
      </c>
      <c r="P118" s="19">
        <v>3.25</v>
      </c>
      <c r="Q118" s="19">
        <v>2.7635000000000001</v>
      </c>
      <c r="R118" s="19">
        <v>1.9699990000000001</v>
      </c>
      <c r="S118" s="19">
        <v>2.1251000000000002</v>
      </c>
      <c r="T118" s="19">
        <v>1.9699990000000001</v>
      </c>
      <c r="U118" s="19">
        <v>1.788</v>
      </c>
      <c r="V118" s="19">
        <v>1.55</v>
      </c>
      <c r="W118" s="19">
        <v>1.538</v>
      </c>
      <c r="X118" s="19">
        <v>1.55</v>
      </c>
      <c r="Y118" s="19">
        <v>1.538</v>
      </c>
      <c r="Z118" s="4"/>
      <c r="AA118" s="4"/>
      <c r="AB118" s="4" t="e">
        <f ca="1">_xll.ciqfunctions.udf.CIQ("^SPX", "IQ_PRICEDATE", "6/11/2014")</f>
        <v>#NAME?</v>
      </c>
      <c r="AC118" s="16">
        <v>1943.8902085838999</v>
      </c>
    </row>
    <row r="119" spans="1:29" x14ac:dyDescent="0.35">
      <c r="A119" s="2" t="s">
        <v>129</v>
      </c>
      <c r="B119" s="4" t="s">
        <v>865</v>
      </c>
      <c r="C119" s="4" t="s">
        <v>543</v>
      </c>
      <c r="D119" s="4" t="s">
        <v>544</v>
      </c>
      <c r="E119" s="4" t="s">
        <v>555</v>
      </c>
      <c r="F119" s="4" t="s">
        <v>556</v>
      </c>
      <c r="G119" s="14">
        <v>105.12</v>
      </c>
      <c r="H119" s="10">
        <v>16.721952000000002</v>
      </c>
      <c r="I119" s="10">
        <v>169.00267199999999</v>
      </c>
      <c r="J119" s="10" t="s">
        <v>534</v>
      </c>
      <c r="K119" s="15">
        <v>0</v>
      </c>
      <c r="L119" s="17">
        <v>14260.415843999999</v>
      </c>
      <c r="M119" s="4" t="s">
        <v>866</v>
      </c>
      <c r="N119" s="19">
        <v>0.62200200000000005</v>
      </c>
      <c r="O119" s="19">
        <v>5.6304999999999996</v>
      </c>
      <c r="P119" s="19">
        <v>0.14000000000000001</v>
      </c>
      <c r="Q119" s="19">
        <v>4.8891999999999998</v>
      </c>
      <c r="R119" s="19">
        <v>2.99</v>
      </c>
      <c r="S119" s="19">
        <v>5.2575000000000003</v>
      </c>
      <c r="T119" s="19">
        <v>2.99</v>
      </c>
      <c r="U119" s="19">
        <v>4.3033999999999999</v>
      </c>
      <c r="V119" s="19">
        <v>1.47</v>
      </c>
      <c r="W119" s="19">
        <v>3.5560999999999998</v>
      </c>
      <c r="X119" s="19">
        <v>1.47</v>
      </c>
      <c r="Y119" s="19">
        <v>3.5560999999999998</v>
      </c>
      <c r="Z119" s="4"/>
      <c r="AA119" s="4"/>
      <c r="AB119" s="4" t="e">
        <f ca="1">_xll.ciqfunctions.udf.CIQ("^SPX", "IQ_PRICEDATE", "6/12/2014")</f>
        <v>#NAME?</v>
      </c>
      <c r="AC119" s="16">
        <v>1930.1146012465999</v>
      </c>
    </row>
    <row r="120" spans="1:29" x14ac:dyDescent="0.35">
      <c r="A120" s="2" t="s">
        <v>130</v>
      </c>
      <c r="B120" s="4" t="s">
        <v>867</v>
      </c>
      <c r="C120" s="4" t="s">
        <v>573</v>
      </c>
      <c r="D120" s="4" t="s">
        <v>574</v>
      </c>
      <c r="E120" s="4" t="s">
        <v>575</v>
      </c>
      <c r="F120" s="4" t="s">
        <v>807</v>
      </c>
      <c r="G120" s="14">
        <v>181.32</v>
      </c>
      <c r="H120" s="10">
        <v>22.435179000000002</v>
      </c>
      <c r="I120" s="10">
        <v>13.99994</v>
      </c>
      <c r="J120" s="10" t="s">
        <v>534</v>
      </c>
      <c r="K120" s="15">
        <v>3.4744999999999998E-2</v>
      </c>
      <c r="L120" s="17">
        <v>61759.392326000001</v>
      </c>
      <c r="M120" s="4" t="s">
        <v>868</v>
      </c>
      <c r="N120" s="19">
        <v>12.951484000000001</v>
      </c>
      <c r="O120" s="19">
        <v>6.6123000000000003</v>
      </c>
      <c r="P120" s="19">
        <v>11.94</v>
      </c>
      <c r="Q120" s="19">
        <v>5.1109999999999998</v>
      </c>
      <c r="R120" s="19">
        <v>4.53</v>
      </c>
      <c r="S120" s="19">
        <v>4.6337000000000002</v>
      </c>
      <c r="T120" s="19">
        <v>4.53</v>
      </c>
      <c r="U120" s="19">
        <v>4.1345999999999998</v>
      </c>
      <c r="V120" s="19">
        <v>3.35</v>
      </c>
      <c r="W120" s="19">
        <v>3.7172000000000001</v>
      </c>
      <c r="X120" s="19">
        <v>3.35</v>
      </c>
      <c r="Y120" s="19">
        <v>3.7172000000000001</v>
      </c>
      <c r="Z120" s="4"/>
      <c r="AA120" s="4"/>
      <c r="AB120" s="4" t="e">
        <f ca="1">_xll.ciqfunctions.udf.CIQ("^SPX", "IQ_PRICEDATE", "6/13/2014")</f>
        <v>#NAME?</v>
      </c>
      <c r="AC120" s="16">
        <v>1936.1593523250999</v>
      </c>
    </row>
    <row r="121" spans="1:29" x14ac:dyDescent="0.35">
      <c r="A121" s="2" t="s">
        <v>131</v>
      </c>
      <c r="B121" s="4" t="s">
        <v>869</v>
      </c>
      <c r="C121" s="4" t="s">
        <v>619</v>
      </c>
      <c r="D121" s="4" t="s">
        <v>619</v>
      </c>
      <c r="E121" s="4" t="s">
        <v>634</v>
      </c>
      <c r="F121" s="4" t="s">
        <v>634</v>
      </c>
      <c r="G121" s="14">
        <v>49.87</v>
      </c>
      <c r="H121" s="10">
        <v>11.172008999999999</v>
      </c>
      <c r="I121" s="10">
        <v>25.554976</v>
      </c>
      <c r="J121" s="10">
        <v>3.0229409999999999</v>
      </c>
      <c r="K121" s="15">
        <v>2.8673999999999998E-2</v>
      </c>
      <c r="L121" s="17">
        <v>14125.433686</v>
      </c>
      <c r="M121" s="4" t="s">
        <v>870</v>
      </c>
      <c r="N121" s="19">
        <v>1.951479</v>
      </c>
      <c r="O121" s="19">
        <v>2.2949000000000002</v>
      </c>
      <c r="P121" s="19">
        <v>1.64</v>
      </c>
      <c r="Q121" s="19">
        <v>2.327</v>
      </c>
      <c r="R121" s="19">
        <v>1.98</v>
      </c>
      <c r="S121" s="19">
        <v>1.9267000000000001</v>
      </c>
      <c r="T121" s="19">
        <v>1.98</v>
      </c>
      <c r="U121" s="19">
        <v>2.0087000000000002</v>
      </c>
      <c r="V121" s="19">
        <v>1.74</v>
      </c>
      <c r="W121" s="19">
        <v>1.9068000000000001</v>
      </c>
      <c r="X121" s="19">
        <v>1.74</v>
      </c>
      <c r="Y121" s="19">
        <v>1.9068000000000001</v>
      </c>
      <c r="Z121" s="4"/>
      <c r="AA121" s="4"/>
      <c r="AB121" s="4" t="e">
        <f ca="1">_xll.ciqfunctions.udf.CIQ("^SPX", "IQ_PRICEDATE", "6/16/2014")</f>
        <v>#NAME?</v>
      </c>
      <c r="AC121" s="16">
        <v>1937.7839112977999</v>
      </c>
    </row>
    <row r="122" spans="1:29" x14ac:dyDescent="0.35">
      <c r="A122" s="2" t="s">
        <v>132</v>
      </c>
      <c r="B122" s="4" t="s">
        <v>871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14">
        <v>73.989999999999995</v>
      </c>
      <c r="H122" s="10">
        <v>12.299906</v>
      </c>
      <c r="I122" s="10">
        <v>29.942094000000001</v>
      </c>
      <c r="J122" s="10">
        <v>6.5497860000000001</v>
      </c>
      <c r="K122" s="15">
        <v>1.0811999999999999E-2</v>
      </c>
      <c r="L122" s="17">
        <v>42931.501378000001</v>
      </c>
      <c r="M122" s="4" t="s">
        <v>872</v>
      </c>
      <c r="N122" s="19">
        <v>2.4711029999999998</v>
      </c>
      <c r="O122" s="19">
        <v>4.7278000000000002</v>
      </c>
      <c r="P122" s="19">
        <v>2.5299999999999998</v>
      </c>
      <c r="Q122" s="19">
        <v>4.1723999999999997</v>
      </c>
      <c r="R122" s="19">
        <v>2.5499999999999998</v>
      </c>
      <c r="S122" s="19">
        <v>3.5716999999999999</v>
      </c>
      <c r="T122" s="19">
        <v>2.5499999999999998</v>
      </c>
      <c r="U122" s="19">
        <v>3.3288000000000002</v>
      </c>
      <c r="V122" s="19">
        <v>2.35</v>
      </c>
      <c r="W122" s="19">
        <v>2.8256000000000001</v>
      </c>
      <c r="X122" s="19">
        <v>2.35</v>
      </c>
      <c r="Y122" s="19">
        <v>2.8256000000000001</v>
      </c>
      <c r="Z122" s="4"/>
      <c r="AA122" s="4"/>
      <c r="AB122" s="4" t="e">
        <f ca="1">_xll.ciqfunctions.udf.CIQ("^SPX", "IQ_PRICEDATE", "6/17/2014")</f>
        <v>#NAME?</v>
      </c>
      <c r="AC122" s="16">
        <v>1941.9916494408999</v>
      </c>
    </row>
    <row r="123" spans="1:29" x14ac:dyDescent="0.35">
      <c r="A123" s="2" t="s">
        <v>133</v>
      </c>
      <c r="B123" s="4" t="s">
        <v>873</v>
      </c>
      <c r="C123" s="4" t="s">
        <v>626</v>
      </c>
      <c r="D123" s="4" t="s">
        <v>845</v>
      </c>
      <c r="E123" s="4" t="s">
        <v>846</v>
      </c>
      <c r="F123" s="4" t="s">
        <v>846</v>
      </c>
      <c r="G123" s="14">
        <v>63.13</v>
      </c>
      <c r="H123" s="10">
        <v>13.737043</v>
      </c>
      <c r="I123" s="10">
        <v>25.444243</v>
      </c>
      <c r="J123" s="10" t="s">
        <v>534</v>
      </c>
      <c r="K123" s="15">
        <v>2.6435E-2</v>
      </c>
      <c r="L123" s="17">
        <v>55144.794131000002</v>
      </c>
      <c r="M123" s="4" t="s">
        <v>874</v>
      </c>
      <c r="N123" s="19">
        <v>2.4976180000000001</v>
      </c>
      <c r="O123" s="19">
        <v>3.0533000000000001</v>
      </c>
      <c r="P123" s="19">
        <v>2.2799999999999998</v>
      </c>
      <c r="Q123" s="19">
        <v>3.0268999999999999</v>
      </c>
      <c r="R123" s="19">
        <v>2.72</v>
      </c>
      <c r="S123" s="19">
        <v>2.9862000000000002</v>
      </c>
      <c r="T123" s="19">
        <v>2.72</v>
      </c>
      <c r="U123" s="19">
        <v>2.8849</v>
      </c>
      <c r="V123" s="19">
        <v>2.36</v>
      </c>
      <c r="W123" s="19">
        <v>3.0089999999999999</v>
      </c>
      <c r="X123" s="19">
        <v>2.36</v>
      </c>
      <c r="Y123" s="19">
        <v>3.0089999999999999</v>
      </c>
      <c r="Z123" s="4"/>
      <c r="AA123" s="4"/>
      <c r="AB123" s="4" t="e">
        <f ca="1">_xll.ciqfunctions.udf.CIQ("^SPX", "IQ_PRICEDATE", "6/18/2014")</f>
        <v>#NAME?</v>
      </c>
      <c r="AC123" s="16">
        <v>1956.9841140414001</v>
      </c>
    </row>
    <row r="124" spans="1:29" x14ac:dyDescent="0.35">
      <c r="A124" s="2" t="s">
        <v>134</v>
      </c>
      <c r="B124" s="4" t="s">
        <v>875</v>
      </c>
      <c r="C124" s="4" t="s">
        <v>549</v>
      </c>
      <c r="D124" s="4" t="s">
        <v>550</v>
      </c>
      <c r="E124" s="4" t="s">
        <v>814</v>
      </c>
      <c r="F124" s="4" t="s">
        <v>833</v>
      </c>
      <c r="G124" s="14">
        <v>36.4</v>
      </c>
      <c r="H124" s="10">
        <v>8.0111139999999992</v>
      </c>
      <c r="I124" s="10">
        <v>7.1537319999999998</v>
      </c>
      <c r="J124" s="10" t="s">
        <v>534</v>
      </c>
      <c r="K124" s="15">
        <v>2.0878999999999998E-2</v>
      </c>
      <c r="L124" s="17">
        <v>166782.37510500001</v>
      </c>
      <c r="M124" s="4" t="s">
        <v>876</v>
      </c>
      <c r="N124" s="19">
        <v>5.0882529999999999</v>
      </c>
      <c r="O124" s="19">
        <v>2.5960000000000001</v>
      </c>
      <c r="P124" s="19">
        <v>4.75</v>
      </c>
      <c r="Q124" s="19">
        <v>2.1341999999999999</v>
      </c>
      <c r="R124" s="19">
        <v>1.78</v>
      </c>
      <c r="S124" s="19">
        <v>1.827</v>
      </c>
      <c r="T124" s="19">
        <v>1.78</v>
      </c>
      <c r="U124" s="19">
        <v>1.7591000000000001</v>
      </c>
      <c r="V124" s="19">
        <v>1.6</v>
      </c>
      <c r="W124" s="19">
        <v>1.5855999999999999</v>
      </c>
      <c r="X124" s="19">
        <v>1.6</v>
      </c>
      <c r="Y124" s="19">
        <v>1.5855999999999999</v>
      </c>
      <c r="Z124" s="4"/>
      <c r="AA124" s="4"/>
      <c r="AB124" s="4" t="e">
        <f ca="1">_xll.ciqfunctions.udf.CIQ("^SPX", "IQ_PRICEDATE", "6/19/2014")</f>
        <v>#NAME?</v>
      </c>
      <c r="AC124" s="16">
        <v>1959.4843523509001</v>
      </c>
    </row>
    <row r="125" spans="1:29" x14ac:dyDescent="0.35">
      <c r="A125" s="2" t="s">
        <v>135</v>
      </c>
      <c r="B125" s="4" t="s">
        <v>877</v>
      </c>
      <c r="C125" s="4" t="s">
        <v>573</v>
      </c>
      <c r="D125" s="4" t="s">
        <v>737</v>
      </c>
      <c r="E125" s="4" t="s">
        <v>737</v>
      </c>
      <c r="F125" s="4" t="s">
        <v>743</v>
      </c>
      <c r="G125" s="14">
        <v>85.08</v>
      </c>
      <c r="H125" s="10">
        <v>0</v>
      </c>
      <c r="I125" s="10">
        <v>14.323591</v>
      </c>
      <c r="J125" s="10">
        <v>1.975959</v>
      </c>
      <c r="K125" s="15">
        <v>2.8208E-2</v>
      </c>
      <c r="L125" s="17">
        <v>14118.22846</v>
      </c>
      <c r="M125" s="4" t="s">
        <v>878</v>
      </c>
      <c r="N125" s="19">
        <v>5.939851</v>
      </c>
      <c r="O125" s="19">
        <v>7.4924999999999997</v>
      </c>
      <c r="P125" s="19">
        <v>4.1399999999999997</v>
      </c>
      <c r="Q125" s="19">
        <v>5.2862999999999998</v>
      </c>
      <c r="R125" s="19">
        <v>2.68</v>
      </c>
      <c r="S125" s="19">
        <v>3.9453</v>
      </c>
      <c r="T125" s="19">
        <v>2.68</v>
      </c>
      <c r="U125" s="19">
        <v>2.9983</v>
      </c>
      <c r="V125" s="19">
        <v>3.16</v>
      </c>
      <c r="W125" s="19">
        <v>3.1105999999999998</v>
      </c>
      <c r="X125" s="19">
        <v>3.16</v>
      </c>
      <c r="Y125" s="19">
        <v>3.1105999999999998</v>
      </c>
      <c r="Z125" s="4"/>
      <c r="AA125" s="4"/>
      <c r="AB125" s="4" t="e">
        <f ca="1">_xll.ciqfunctions.udf.CIQ("^SPX", "IQ_PRICEDATE", "6/20/2014")</f>
        <v>#NAME?</v>
      </c>
      <c r="AC125" s="16">
        <v>1962.8734464996</v>
      </c>
    </row>
    <row r="126" spans="1:29" x14ac:dyDescent="0.35">
      <c r="A126" s="2" t="s">
        <v>136</v>
      </c>
      <c r="B126" s="4" t="s">
        <v>879</v>
      </c>
      <c r="C126" s="4" t="s">
        <v>626</v>
      </c>
      <c r="D126" s="4" t="s">
        <v>627</v>
      </c>
      <c r="E126" s="4" t="s">
        <v>699</v>
      </c>
      <c r="F126" s="4" t="s">
        <v>789</v>
      </c>
      <c r="G126" s="14">
        <v>35.299999999999997</v>
      </c>
      <c r="H126" s="10">
        <v>11.613946</v>
      </c>
      <c r="I126" s="10">
        <v>17.249796</v>
      </c>
      <c r="J126" s="10" t="s">
        <v>534</v>
      </c>
      <c r="K126" s="15">
        <v>2.4079000000000003E-2</v>
      </c>
      <c r="L126" s="17">
        <v>14408.123683</v>
      </c>
      <c r="M126" s="4" t="s">
        <v>880</v>
      </c>
      <c r="N126" s="19">
        <v>2.0464009999999999</v>
      </c>
      <c r="O126" s="19">
        <v>2.2486000000000002</v>
      </c>
      <c r="P126" s="19">
        <v>1.6588560000000001</v>
      </c>
      <c r="Q126" s="19">
        <v>1.9602999999999999</v>
      </c>
      <c r="R126" s="19">
        <v>0.34010099999999999</v>
      </c>
      <c r="S126" s="19">
        <v>1.8038000000000001</v>
      </c>
      <c r="T126" s="19">
        <v>0.34010099999999999</v>
      </c>
      <c r="U126" s="19">
        <v>2.3411</v>
      </c>
      <c r="V126" s="19">
        <v>0.29288700000000001</v>
      </c>
      <c r="W126" s="19">
        <v>2.4066000000000001</v>
      </c>
      <c r="X126" s="19">
        <v>0.29288700000000001</v>
      </c>
      <c r="Y126" s="19">
        <v>2.4066000000000001</v>
      </c>
      <c r="Z126" s="4"/>
      <c r="AA126" s="4"/>
      <c r="AB126" s="4" t="e">
        <f ca="1">_xll.ciqfunctions.udf.CIQ("^SPX", "IQ_PRICEDATE", "6/23/2014")</f>
        <v>#NAME?</v>
      </c>
      <c r="AC126" s="16">
        <v>1962.6107536819</v>
      </c>
    </row>
    <row r="127" spans="1:29" x14ac:dyDescent="0.35">
      <c r="A127" s="2" t="s">
        <v>137</v>
      </c>
      <c r="B127" s="4" t="s">
        <v>881</v>
      </c>
      <c r="C127" s="4" t="s">
        <v>669</v>
      </c>
      <c r="D127" s="4" t="s">
        <v>669</v>
      </c>
      <c r="E127" s="4" t="s">
        <v>670</v>
      </c>
      <c r="F127" s="4" t="s">
        <v>671</v>
      </c>
      <c r="G127" s="14">
        <v>150.44999999999999</v>
      </c>
      <c r="H127" s="10">
        <v>21.944783999999999</v>
      </c>
      <c r="I127" s="10">
        <v>19.981642000000001</v>
      </c>
      <c r="J127" s="10">
        <v>2.258543</v>
      </c>
      <c r="K127" s="15">
        <v>0</v>
      </c>
      <c r="L127" s="17">
        <v>29964.77866</v>
      </c>
      <c r="M127" s="4" t="s">
        <v>882</v>
      </c>
      <c r="N127" s="19">
        <v>7.5294109999999996</v>
      </c>
      <c r="O127" s="19">
        <v>5.1081000000000003</v>
      </c>
      <c r="P127" s="19">
        <v>6.41</v>
      </c>
      <c r="Q127" s="19">
        <v>2.1577999999999999</v>
      </c>
      <c r="R127" s="19">
        <v>-10.85</v>
      </c>
      <c r="S127" s="19">
        <v>-0.1091</v>
      </c>
      <c r="T127" s="19">
        <v>-10.85</v>
      </c>
      <c r="U127" s="19">
        <v>0.61660000000000004</v>
      </c>
      <c r="V127" s="19">
        <v>4.876938</v>
      </c>
      <c r="W127" s="19">
        <v>2.9695</v>
      </c>
      <c r="X127" s="19">
        <v>4.876938</v>
      </c>
      <c r="Y127" s="19">
        <v>2.9695</v>
      </c>
      <c r="Z127" s="4"/>
      <c r="AA127" s="4"/>
      <c r="AB127" s="4" t="e">
        <f ca="1">_xll.ciqfunctions.udf.CIQ("^SPX", "IQ_PRICEDATE", "6/24/2014")</f>
        <v>#NAME?</v>
      </c>
      <c r="AC127" s="16">
        <v>1949.9824017625001</v>
      </c>
    </row>
    <row r="128" spans="1:29" x14ac:dyDescent="0.35">
      <c r="A128" s="2" t="s">
        <v>138</v>
      </c>
      <c r="B128" s="4" t="s">
        <v>883</v>
      </c>
      <c r="C128" s="4" t="s">
        <v>669</v>
      </c>
      <c r="D128" s="4" t="s">
        <v>669</v>
      </c>
      <c r="E128" s="4" t="s">
        <v>670</v>
      </c>
      <c r="F128" s="4" t="s">
        <v>671</v>
      </c>
      <c r="G128" s="14">
        <v>72.48</v>
      </c>
      <c r="H128" s="10">
        <v>7.4660320000000002</v>
      </c>
      <c r="I128" s="10">
        <v>19.133102000000001</v>
      </c>
      <c r="J128" s="10">
        <v>2.7133769999999999</v>
      </c>
      <c r="K128" s="15">
        <v>1.6832E-2</v>
      </c>
      <c r="L128" s="17">
        <v>84228.667923999994</v>
      </c>
      <c r="M128" s="4" t="s">
        <v>884</v>
      </c>
      <c r="N128" s="19">
        <v>3.7881990000000001</v>
      </c>
      <c r="O128" s="19">
        <v>5.0327999999999999</v>
      </c>
      <c r="P128" s="19">
        <v>-0.70022300000000004</v>
      </c>
      <c r="Q128" s="19">
        <v>1.5112000000000001</v>
      </c>
      <c r="R128" s="19">
        <v>-2.91</v>
      </c>
      <c r="S128" s="19">
        <v>-0.65049999999999997</v>
      </c>
      <c r="T128" s="19">
        <v>-2.91</v>
      </c>
      <c r="U128" s="19">
        <v>-0.83240000000000003</v>
      </c>
      <c r="V128" s="19">
        <v>4.5999999999999996</v>
      </c>
      <c r="W128" s="19">
        <v>3.4333</v>
      </c>
      <c r="X128" s="19">
        <v>4.5999999999999996</v>
      </c>
      <c r="Y128" s="19">
        <v>3.4333</v>
      </c>
      <c r="Z128" s="4"/>
      <c r="AA128" s="4"/>
      <c r="AB128" s="4" t="e">
        <f ca="1">_xll.ciqfunctions.udf.CIQ("^SPX", "IQ_PRICEDATE", "6/25/2014")</f>
        <v>#NAME?</v>
      </c>
      <c r="AC128" s="16">
        <v>1959.5311112085001</v>
      </c>
    </row>
    <row r="129" spans="1:29" x14ac:dyDescent="0.35">
      <c r="A129" s="2" t="s">
        <v>139</v>
      </c>
      <c r="B129" s="4" t="s">
        <v>885</v>
      </c>
      <c r="C129" s="4" t="s">
        <v>619</v>
      </c>
      <c r="D129" s="4" t="s">
        <v>619</v>
      </c>
      <c r="E129" s="4" t="s">
        <v>634</v>
      </c>
      <c r="F129" s="4" t="s">
        <v>634</v>
      </c>
      <c r="G129" s="14">
        <v>76.11</v>
      </c>
      <c r="H129" s="10">
        <v>10.453811</v>
      </c>
      <c r="I129" s="10">
        <v>15.011653000000001</v>
      </c>
      <c r="J129" s="10">
        <v>1.56829</v>
      </c>
      <c r="K129" s="15">
        <v>3.7576999999999999E-2</v>
      </c>
      <c r="L129" s="17">
        <v>23678.048492999998</v>
      </c>
      <c r="M129" s="4" t="s">
        <v>886</v>
      </c>
      <c r="N129" s="19">
        <v>5.0700609999999999</v>
      </c>
      <c r="O129" s="19">
        <v>4.4249999999999998</v>
      </c>
      <c r="P129" s="19">
        <v>4.9400000000000004</v>
      </c>
      <c r="Q129" s="19">
        <v>4.2163000000000004</v>
      </c>
      <c r="R129" s="19">
        <v>4.12</v>
      </c>
      <c r="S129" s="19">
        <v>4.0926999999999998</v>
      </c>
      <c r="T129" s="19">
        <v>4.12</v>
      </c>
      <c r="U129" s="19">
        <v>4.0667</v>
      </c>
      <c r="V129" s="19">
        <v>3.71</v>
      </c>
      <c r="W129" s="19">
        <v>3.8935</v>
      </c>
      <c r="X129" s="19">
        <v>3.71</v>
      </c>
      <c r="Y129" s="19">
        <v>3.8935</v>
      </c>
      <c r="Z129" s="4"/>
      <c r="AA129" s="4"/>
      <c r="AB129" s="4" t="e">
        <f ca="1">_xll.ciqfunctions.udf.CIQ("^SPX", "IQ_PRICEDATE", "6/26/2014")</f>
        <v>#NAME?</v>
      </c>
      <c r="AC129" s="16">
        <v>1957.2197789147001</v>
      </c>
    </row>
    <row r="130" spans="1:29" x14ac:dyDescent="0.35">
      <c r="A130" s="2" t="s">
        <v>140</v>
      </c>
      <c r="B130" s="4" t="s">
        <v>887</v>
      </c>
      <c r="C130" s="4" t="s">
        <v>626</v>
      </c>
      <c r="D130" s="4" t="s">
        <v>627</v>
      </c>
      <c r="E130" s="4" t="s">
        <v>775</v>
      </c>
      <c r="F130" s="4" t="s">
        <v>776</v>
      </c>
      <c r="G130" s="14">
        <v>227.2</v>
      </c>
      <c r="H130" s="10">
        <v>11.984292</v>
      </c>
      <c r="I130" s="10">
        <v>13.603726</v>
      </c>
      <c r="J130" s="10" t="s">
        <v>534</v>
      </c>
      <c r="K130" s="15">
        <v>1.3028E-2</v>
      </c>
      <c r="L130" s="17">
        <v>43070.365850000002</v>
      </c>
      <c r="M130" s="4" t="s">
        <v>888</v>
      </c>
      <c r="N130" s="19">
        <v>16.701305999999999</v>
      </c>
      <c r="O130" s="19">
        <v>9.9064999999999994</v>
      </c>
      <c r="P130" s="19">
        <v>9.1704439999999998</v>
      </c>
      <c r="Q130" s="19">
        <v>8.7951999999999995</v>
      </c>
      <c r="R130" s="19">
        <v>6.4615049999999998</v>
      </c>
      <c r="S130" s="19">
        <v>7.1273</v>
      </c>
      <c r="T130" s="19">
        <v>6.4615049999999998</v>
      </c>
      <c r="U130" s="19">
        <v>5.4321000000000002</v>
      </c>
      <c r="V130" s="19">
        <v>3.8944220000000001</v>
      </c>
      <c r="W130" s="19">
        <v>4.5663999999999998</v>
      </c>
      <c r="X130" s="19">
        <v>3.8944220000000001</v>
      </c>
      <c r="Y130" s="19">
        <v>4.5663999999999998</v>
      </c>
      <c r="Z130" s="4"/>
      <c r="AA130" s="4"/>
      <c r="AB130" s="4" t="e">
        <f ca="1">_xll.ciqfunctions.udf.CIQ("^SPX", "IQ_PRICEDATE", "6/27/2014")</f>
        <v>#NAME?</v>
      </c>
      <c r="AC130" s="16">
        <v>1960.9605158347999</v>
      </c>
    </row>
    <row r="131" spans="1:29" x14ac:dyDescent="0.35">
      <c r="A131" s="2" t="s">
        <v>141</v>
      </c>
      <c r="B131" s="4" t="s">
        <v>889</v>
      </c>
      <c r="C131" s="4" t="s">
        <v>525</v>
      </c>
      <c r="D131" s="4" t="s">
        <v>855</v>
      </c>
      <c r="E131" s="4" t="s">
        <v>856</v>
      </c>
      <c r="F131" s="4" t="s">
        <v>857</v>
      </c>
      <c r="G131" s="14">
        <v>50.99</v>
      </c>
      <c r="H131" s="10">
        <v>16.596482999999999</v>
      </c>
      <c r="I131" s="10">
        <v>29.473987999999999</v>
      </c>
      <c r="J131" s="10">
        <v>10.243567000000001</v>
      </c>
      <c r="K131" s="15">
        <v>0</v>
      </c>
      <c r="L131" s="17">
        <v>11927.386528000001</v>
      </c>
      <c r="M131" s="4" t="s">
        <v>890</v>
      </c>
      <c r="N131" s="19">
        <v>1.73</v>
      </c>
      <c r="O131" s="19">
        <v>2.1323099999999999</v>
      </c>
      <c r="P131" s="19">
        <v>1.278816</v>
      </c>
      <c r="Q131" s="19">
        <v>1.6492</v>
      </c>
      <c r="R131" s="19">
        <v>1.6050340000000001</v>
      </c>
      <c r="S131" s="19">
        <v>1.2623</v>
      </c>
      <c r="T131" s="19">
        <v>1.6050340000000001</v>
      </c>
      <c r="U131" s="19">
        <v>0.97319999999999995</v>
      </c>
      <c r="V131" s="19">
        <v>0.71996300000000002</v>
      </c>
      <c r="W131" s="19">
        <v>0.88519999999999999</v>
      </c>
      <c r="X131" s="19">
        <v>0.71996300000000002</v>
      </c>
      <c r="Y131" s="19">
        <v>0.88519999999999999</v>
      </c>
      <c r="Z131" s="4"/>
      <c r="AA131" s="4"/>
      <c r="AB131" s="4" t="e">
        <f ca="1">_xll.ciqfunctions.udf.CIQ("^SPX", "IQ_PRICEDATE", "6/30/2014")</f>
        <v>#NAME?</v>
      </c>
      <c r="AC131" s="16">
        <v>1960.2312403638</v>
      </c>
    </row>
    <row r="132" spans="1:29" x14ac:dyDescent="0.35">
      <c r="A132" s="2" t="s">
        <v>142</v>
      </c>
      <c r="B132" s="4" t="s">
        <v>891</v>
      </c>
      <c r="C132" s="4" t="s">
        <v>543</v>
      </c>
      <c r="D132" s="4" t="s">
        <v>664</v>
      </c>
      <c r="E132" s="4" t="s">
        <v>665</v>
      </c>
      <c r="F132" s="4" t="s">
        <v>666</v>
      </c>
      <c r="G132" s="14">
        <v>32.39</v>
      </c>
      <c r="H132" s="10">
        <v>10.17916</v>
      </c>
      <c r="I132" s="10" t="s">
        <v>534</v>
      </c>
      <c r="J132" s="10">
        <v>3.1468120000000002</v>
      </c>
      <c r="K132" s="15">
        <v>2.2229000000000002E-2</v>
      </c>
      <c r="L132" s="17">
        <v>26236.386011999999</v>
      </c>
      <c r="M132" s="4" t="s">
        <v>892</v>
      </c>
      <c r="N132" s="19">
        <v>-1.189378</v>
      </c>
      <c r="O132" s="19">
        <v>1.9618</v>
      </c>
      <c r="P132" s="19">
        <v>-0.66480399999999995</v>
      </c>
      <c r="Q132" s="19">
        <v>1.7302999999999999</v>
      </c>
      <c r="R132" s="19">
        <v>3.229895</v>
      </c>
      <c r="S132" s="19">
        <v>1.6541999999999999</v>
      </c>
      <c r="T132" s="19">
        <v>3.229895</v>
      </c>
      <c r="U132" s="19">
        <v>1.3842000000000001</v>
      </c>
      <c r="V132" s="19">
        <v>1.732305</v>
      </c>
      <c r="W132" s="19">
        <v>1.5363</v>
      </c>
      <c r="X132" s="19">
        <v>1.732305</v>
      </c>
      <c r="Y132" s="19">
        <v>1.5363</v>
      </c>
      <c r="Z132" s="4"/>
      <c r="AA132" s="4"/>
      <c r="AB132" s="4" t="e">
        <f ca="1">_xll.ciqfunctions.udf.CIQ("^SPX", "IQ_PRICEDATE", "7/1/2014")</f>
        <v>#NAME?</v>
      </c>
      <c r="AC132" s="16">
        <v>1973.3185916340999</v>
      </c>
    </row>
    <row r="133" spans="1:29" x14ac:dyDescent="0.35">
      <c r="A133" s="2" t="s">
        <v>143</v>
      </c>
      <c r="B133" s="4" t="s">
        <v>893</v>
      </c>
      <c r="C133" s="4" t="s">
        <v>626</v>
      </c>
      <c r="D133" s="4" t="s">
        <v>894</v>
      </c>
      <c r="E133" s="4" t="s">
        <v>894</v>
      </c>
      <c r="F133" s="4" t="s">
        <v>895</v>
      </c>
      <c r="G133" s="14">
        <v>228.49</v>
      </c>
      <c r="H133" s="10">
        <v>17.118725999999999</v>
      </c>
      <c r="I133" s="10">
        <v>32.227080000000001</v>
      </c>
      <c r="J133" s="10">
        <v>7.8226269999999998</v>
      </c>
      <c r="K133" s="15">
        <v>9.9780000000000008E-3</v>
      </c>
      <c r="L133" s="17">
        <v>100121.80461000001</v>
      </c>
      <c r="M133" s="4" t="s">
        <v>896</v>
      </c>
      <c r="N133" s="19">
        <v>7.09</v>
      </c>
      <c r="O133" s="19">
        <v>7.73529</v>
      </c>
      <c r="P133" s="19">
        <v>6.2897129999999999</v>
      </c>
      <c r="Q133" s="19">
        <v>6.6566000000000001</v>
      </c>
      <c r="R133" s="19">
        <v>5.4802949999999999</v>
      </c>
      <c r="S133" s="19">
        <v>6.0366999999999997</v>
      </c>
      <c r="T133" s="19">
        <v>5.4802949999999999</v>
      </c>
      <c r="U133" s="19">
        <v>5.6771000000000003</v>
      </c>
      <c r="V133" s="19">
        <v>4.8100149999999999</v>
      </c>
      <c r="W133" s="19">
        <v>5.2817999999999996</v>
      </c>
      <c r="X133" s="19">
        <v>4.8100149999999999</v>
      </c>
      <c r="Y133" s="19">
        <v>5.2817999999999996</v>
      </c>
      <c r="Z133" s="4"/>
      <c r="AA133" s="4"/>
      <c r="AB133" s="4" t="e">
        <f ca="1">_xll.ciqfunctions.udf.CIQ("^SPX", "IQ_PRICEDATE", "7/2/2014")</f>
        <v>#NAME?</v>
      </c>
      <c r="AC133" s="16">
        <v>1974.6180479468001</v>
      </c>
    </row>
    <row r="134" spans="1:29" x14ac:dyDescent="0.35">
      <c r="A134" s="2" t="s">
        <v>144</v>
      </c>
      <c r="B134" s="4" t="s">
        <v>897</v>
      </c>
      <c r="C134" s="4" t="s">
        <v>626</v>
      </c>
      <c r="D134" s="4" t="s">
        <v>845</v>
      </c>
      <c r="E134" s="4" t="s">
        <v>898</v>
      </c>
      <c r="F134" s="4" t="s">
        <v>898</v>
      </c>
      <c r="G134" s="14">
        <v>11.21</v>
      </c>
      <c r="H134" s="10">
        <v>11.760125</v>
      </c>
      <c r="I134" s="10" t="s">
        <v>534</v>
      </c>
      <c r="J134" s="10" t="s">
        <v>534</v>
      </c>
      <c r="K134" s="15">
        <v>4.4603000000000004E-2</v>
      </c>
      <c r="L134" s="17">
        <v>8416.5130869999994</v>
      </c>
      <c r="M134" s="4" t="s">
        <v>899</v>
      </c>
      <c r="N134" s="19">
        <v>-0.23</v>
      </c>
      <c r="O134" s="19">
        <v>0.74741000000000002</v>
      </c>
      <c r="P134" s="19">
        <v>-0.51250200000000001</v>
      </c>
      <c r="Q134" s="19">
        <v>0.73409999999999997</v>
      </c>
      <c r="R134" s="19">
        <v>-2.5048000000000001E-2</v>
      </c>
      <c r="S134" s="19">
        <v>0.96250000000000002</v>
      </c>
      <c r="T134" s="19">
        <v>-2.5048000000000001E-2</v>
      </c>
      <c r="U134" s="19">
        <v>0.9214</v>
      </c>
      <c r="V134" s="19">
        <v>-0.386963</v>
      </c>
      <c r="W134" s="19">
        <v>0.88639999999999997</v>
      </c>
      <c r="X134" s="19">
        <v>-0.386963</v>
      </c>
      <c r="Y134" s="19">
        <v>0.88639999999999997</v>
      </c>
      <c r="Z134" s="4"/>
      <c r="AA134" s="4"/>
      <c r="AB134" s="4" t="e">
        <f ca="1">_xll.ciqfunctions.udf.CIQ("^SPX", "IQ_PRICEDATE", "7/3/2014")</f>
        <v>#NAME?</v>
      </c>
      <c r="AC134" s="16">
        <v>1985.4371180636999</v>
      </c>
    </row>
    <row r="135" spans="1:29" x14ac:dyDescent="0.35">
      <c r="A135" s="2" t="s">
        <v>145</v>
      </c>
      <c r="B135" s="4" t="s">
        <v>900</v>
      </c>
      <c r="C135" s="4" t="s">
        <v>601</v>
      </c>
      <c r="D135" s="4" t="s">
        <v>601</v>
      </c>
      <c r="E135" s="4" t="s">
        <v>602</v>
      </c>
      <c r="F135" s="4" t="s">
        <v>647</v>
      </c>
      <c r="G135" s="14">
        <v>106.79</v>
      </c>
      <c r="H135" s="10">
        <v>21.127037999999999</v>
      </c>
      <c r="I135" s="10">
        <v>99.061058000000003</v>
      </c>
      <c r="J135" s="10" t="s">
        <v>534</v>
      </c>
      <c r="K135" s="15">
        <v>3.9329000000000003E-2</v>
      </c>
      <c r="L135" s="17">
        <v>44300.758901000001</v>
      </c>
      <c r="M135" s="4" t="s">
        <v>901</v>
      </c>
      <c r="N135" s="19">
        <v>1.078022</v>
      </c>
      <c r="O135" s="19">
        <v>1.4679</v>
      </c>
      <c r="P135" s="19">
        <v>1.01</v>
      </c>
      <c r="Q135" s="19">
        <v>1.083</v>
      </c>
      <c r="R135" s="19">
        <v>0.95</v>
      </c>
      <c r="S135" s="19">
        <v>1.1644000000000001</v>
      </c>
      <c r="T135" s="19">
        <v>0.95</v>
      </c>
      <c r="U135" s="19">
        <v>1.2323999999999999</v>
      </c>
      <c r="V135" s="19">
        <v>0.88258700000000001</v>
      </c>
      <c r="W135" s="19">
        <v>1.2907</v>
      </c>
      <c r="X135" s="19">
        <v>0.88258700000000001</v>
      </c>
      <c r="Y135" s="19">
        <v>1.2907</v>
      </c>
      <c r="Z135" s="4"/>
      <c r="AA135" s="4"/>
      <c r="AB135" s="4" t="e">
        <f ca="1">_xll.ciqfunctions.udf.CIQ("^SPX", "IQ_PRICEDATE", "7/7/2014")</f>
        <v>#NAME?</v>
      </c>
      <c r="AC135" s="16">
        <v>1977.6508625317999</v>
      </c>
    </row>
    <row r="136" spans="1:29" x14ac:dyDescent="0.35">
      <c r="A136" s="2" t="s">
        <v>146</v>
      </c>
      <c r="B136" s="4" t="s">
        <v>902</v>
      </c>
      <c r="C136" s="4" t="s">
        <v>525</v>
      </c>
      <c r="D136" s="4" t="s">
        <v>594</v>
      </c>
      <c r="E136" s="4" t="s">
        <v>903</v>
      </c>
      <c r="F136" s="4" t="s">
        <v>904</v>
      </c>
      <c r="G136" s="14">
        <v>70.709999999999994</v>
      </c>
      <c r="H136" s="10">
        <v>11.6145</v>
      </c>
      <c r="I136" s="10">
        <v>9.3922609999999995</v>
      </c>
      <c r="J136" s="10">
        <v>4.3522819999999998</v>
      </c>
      <c r="K136" s="15">
        <v>1.2444999999999999E-2</v>
      </c>
      <c r="L136" s="17">
        <v>59708.963726000002</v>
      </c>
      <c r="M136" s="4" t="s">
        <v>905</v>
      </c>
      <c r="N136" s="19">
        <v>7.5285380000000002</v>
      </c>
      <c r="O136" s="19">
        <v>3.8658999999999999</v>
      </c>
      <c r="P136" s="19">
        <v>5.99</v>
      </c>
      <c r="Q136" s="19">
        <v>2.5162</v>
      </c>
      <c r="R136" s="19">
        <v>1.80887</v>
      </c>
      <c r="S136" s="19">
        <v>1.9392</v>
      </c>
      <c r="T136" s="19">
        <v>1.80887</v>
      </c>
      <c r="U136" s="19">
        <v>1.9983</v>
      </c>
      <c r="V136" s="19">
        <v>1.92</v>
      </c>
      <c r="W136" s="19">
        <v>2.1070000000000002</v>
      </c>
      <c r="X136" s="19">
        <v>1.92</v>
      </c>
      <c r="Y136" s="19">
        <v>2.1070000000000002</v>
      </c>
      <c r="Z136" s="4"/>
      <c r="AA136" s="4"/>
      <c r="AB136" s="4" t="e">
        <f ca="1">_xll.ciqfunctions.udf.CIQ("^SPX", "IQ_PRICEDATE", "7/8/2014")</f>
        <v>#NAME?</v>
      </c>
      <c r="AC136" s="16">
        <v>1963.7114770538999</v>
      </c>
    </row>
    <row r="137" spans="1:29" x14ac:dyDescent="0.35">
      <c r="A137" s="2" t="s">
        <v>147</v>
      </c>
      <c r="B137" s="4" t="s">
        <v>906</v>
      </c>
      <c r="C137" s="4" t="s">
        <v>525</v>
      </c>
      <c r="D137" s="4" t="s">
        <v>526</v>
      </c>
      <c r="E137" s="4" t="s">
        <v>803</v>
      </c>
      <c r="F137" s="4" t="s">
        <v>804</v>
      </c>
      <c r="G137" s="14">
        <v>146.19</v>
      </c>
      <c r="H137" s="10">
        <v>8.2986369999999994</v>
      </c>
      <c r="I137" s="10">
        <v>23.113306000000001</v>
      </c>
      <c r="J137" s="10">
        <v>4.5075250000000002</v>
      </c>
      <c r="K137" s="15">
        <v>3.1192000000000001E-2</v>
      </c>
      <c r="L137" s="17">
        <v>23801.193899999998</v>
      </c>
      <c r="M137" s="4" t="s">
        <v>907</v>
      </c>
      <c r="N137" s="19">
        <v>6.3249279999999999</v>
      </c>
      <c r="O137" s="19">
        <v>14.9735</v>
      </c>
      <c r="P137" s="19">
        <v>5.9699989999999996</v>
      </c>
      <c r="Q137" s="19">
        <v>11.3878</v>
      </c>
      <c r="R137" s="19">
        <v>8.23</v>
      </c>
      <c r="S137" s="19">
        <v>7.9602000000000004</v>
      </c>
      <c r="T137" s="19">
        <v>8.23</v>
      </c>
      <c r="U137" s="19">
        <v>8.3613</v>
      </c>
      <c r="V137" s="19">
        <v>9.02</v>
      </c>
      <c r="W137" s="19">
        <v>10.5555</v>
      </c>
      <c r="X137" s="19">
        <v>9.02</v>
      </c>
      <c r="Y137" s="19">
        <v>10.5555</v>
      </c>
      <c r="Z137" s="4"/>
      <c r="AA137" s="4"/>
      <c r="AB137" s="4" t="e">
        <f ca="1">_xll.ciqfunctions.udf.CIQ("^SPX", "IQ_PRICEDATE", "7/9/2014")</f>
        <v>#NAME?</v>
      </c>
      <c r="AC137" s="16">
        <v>1972.8330923594999</v>
      </c>
    </row>
    <row r="138" spans="1:29" x14ac:dyDescent="0.35">
      <c r="A138" s="2" t="s">
        <v>148</v>
      </c>
      <c r="B138" s="4" t="s">
        <v>908</v>
      </c>
      <c r="C138" s="4" t="s">
        <v>530</v>
      </c>
      <c r="D138" s="4" t="s">
        <v>531</v>
      </c>
      <c r="E138" s="4" t="s">
        <v>569</v>
      </c>
      <c r="F138" s="4" t="s">
        <v>909</v>
      </c>
      <c r="G138" s="14">
        <v>74.36</v>
      </c>
      <c r="H138" s="10">
        <v>7.6016019999999997</v>
      </c>
      <c r="I138" s="10">
        <v>25.309519000000002</v>
      </c>
      <c r="J138" s="10" t="s">
        <v>534</v>
      </c>
      <c r="K138" s="15">
        <v>2.6896E-2</v>
      </c>
      <c r="L138" s="17">
        <v>75703.223052999994</v>
      </c>
      <c r="M138" s="4" t="s">
        <v>910</v>
      </c>
      <c r="N138" s="19">
        <v>2.9380250000000001</v>
      </c>
      <c r="O138" s="19">
        <v>7.1859000000000002</v>
      </c>
      <c r="P138" s="19">
        <v>6.45</v>
      </c>
      <c r="Q138" s="19">
        <v>6.1665999999999999</v>
      </c>
      <c r="R138" s="19">
        <v>4.91</v>
      </c>
      <c r="S138" s="19">
        <v>5.7864000000000004</v>
      </c>
      <c r="T138" s="19">
        <v>4.91</v>
      </c>
      <c r="U138" s="19">
        <v>5.5949999999999998</v>
      </c>
      <c r="V138" s="19">
        <v>3.96</v>
      </c>
      <c r="W138" s="19">
        <v>4.899</v>
      </c>
      <c r="X138" s="19">
        <v>3.96</v>
      </c>
      <c r="Y138" s="19">
        <v>4.899</v>
      </c>
      <c r="Z138" s="4"/>
      <c r="AA138" s="4"/>
      <c r="AB138" s="4" t="e">
        <f ca="1">_xll.ciqfunctions.udf.CIQ("^SPX", "IQ_PRICEDATE", "7/10/2014")</f>
        <v>#NAME?</v>
      </c>
      <c r="AC138" s="16">
        <v>1964.6766176333001</v>
      </c>
    </row>
    <row r="139" spans="1:29" x14ac:dyDescent="0.35">
      <c r="A139" s="2" t="s">
        <v>149</v>
      </c>
      <c r="B139" s="4" t="s">
        <v>911</v>
      </c>
      <c r="C139" s="4" t="s">
        <v>559</v>
      </c>
      <c r="D139" s="4" t="s">
        <v>912</v>
      </c>
      <c r="E139" s="4" t="s">
        <v>913</v>
      </c>
      <c r="F139" s="4" t="s">
        <v>914</v>
      </c>
      <c r="G139" s="14">
        <v>37.78</v>
      </c>
      <c r="H139" s="10">
        <v>8.130979</v>
      </c>
      <c r="I139" s="10">
        <v>11.080049000000001</v>
      </c>
      <c r="J139" s="10">
        <v>1.677972</v>
      </c>
      <c r="K139" s="15">
        <v>1.3233999999999999E-2</v>
      </c>
      <c r="L139" s="17">
        <v>14220.299212</v>
      </c>
      <c r="M139" s="4" t="s">
        <v>915</v>
      </c>
      <c r="N139" s="19">
        <v>3.409732</v>
      </c>
      <c r="O139" s="19">
        <v>4.4203999999999999</v>
      </c>
      <c r="P139" s="19">
        <v>2.6772079999999998</v>
      </c>
      <c r="Q139" s="19">
        <v>3.2790699999999999</v>
      </c>
      <c r="R139" s="19">
        <v>2.4886949999999999</v>
      </c>
      <c r="S139" s="19">
        <v>2.67048</v>
      </c>
      <c r="T139" s="19">
        <v>2.4886949999999999</v>
      </c>
      <c r="U139" s="19">
        <v>2.3214000000000001</v>
      </c>
      <c r="V139" s="19">
        <v>1.5333889999999999</v>
      </c>
      <c r="W139" s="19">
        <v>1.84293</v>
      </c>
      <c r="X139" s="19">
        <v>1.5333889999999999</v>
      </c>
      <c r="Y139" s="19">
        <v>1.84293</v>
      </c>
      <c r="Z139" s="4"/>
      <c r="AA139" s="4"/>
      <c r="AB139" s="4" t="e">
        <f ca="1">_xll.ciqfunctions.udf.CIQ("^SPX", "IQ_PRICEDATE", "7/11/2014")</f>
        <v>#NAME?</v>
      </c>
      <c r="AC139" s="16">
        <v>1967.5691612269</v>
      </c>
    </row>
    <row r="140" spans="1:29" x14ac:dyDescent="0.35">
      <c r="A140" s="2" t="s">
        <v>150</v>
      </c>
      <c r="B140" s="4" t="s">
        <v>916</v>
      </c>
      <c r="C140" s="4" t="s">
        <v>530</v>
      </c>
      <c r="D140" s="4" t="s">
        <v>531</v>
      </c>
      <c r="E140" s="4" t="s">
        <v>532</v>
      </c>
      <c r="F140" s="4" t="s">
        <v>533</v>
      </c>
      <c r="G140" s="14">
        <v>104.96</v>
      </c>
      <c r="H140" s="10">
        <v>17.27495</v>
      </c>
      <c r="I140" s="10">
        <v>26.980429999999998</v>
      </c>
      <c r="J140" s="10" t="s">
        <v>534</v>
      </c>
      <c r="K140" s="15">
        <v>6.097E-3</v>
      </c>
      <c r="L140" s="17">
        <v>73446.268320999996</v>
      </c>
      <c r="M140" s="4" t="s">
        <v>917</v>
      </c>
      <c r="N140" s="19">
        <v>3.8902269999999999</v>
      </c>
      <c r="O140" s="19">
        <v>4.6703999999999999</v>
      </c>
      <c r="P140" s="19">
        <v>3.5007779999999999</v>
      </c>
      <c r="Q140" s="19">
        <v>4.2243000000000004</v>
      </c>
      <c r="R140" s="19">
        <v>3.0797370000000002</v>
      </c>
      <c r="S140" s="19">
        <v>3.8018999999999998</v>
      </c>
      <c r="T140" s="19">
        <v>3.0797370000000002</v>
      </c>
      <c r="U140" s="19">
        <v>4.7882999999999996</v>
      </c>
      <c r="V140" s="19">
        <v>2.2929750000000002</v>
      </c>
      <c r="W140" s="19">
        <v>4.0403000000000002</v>
      </c>
      <c r="X140" s="19">
        <v>2.2929750000000002</v>
      </c>
      <c r="Y140" s="19">
        <v>4.0403000000000002</v>
      </c>
      <c r="Z140" s="4"/>
      <c r="AA140" s="4"/>
      <c r="AB140" s="4" t="e">
        <f ca="1">_xll.ciqfunctions.udf.CIQ("^SPX", "IQ_PRICEDATE", "7/14/2014")</f>
        <v>#NAME?</v>
      </c>
      <c r="AC140" s="16">
        <v>1977.0993235454</v>
      </c>
    </row>
    <row r="141" spans="1:29" x14ac:dyDescent="0.35">
      <c r="A141" s="2" t="s">
        <v>151</v>
      </c>
      <c r="B141" s="4" t="s">
        <v>918</v>
      </c>
      <c r="C141" s="4" t="s">
        <v>559</v>
      </c>
      <c r="D141" s="4" t="s">
        <v>798</v>
      </c>
      <c r="E141" s="4" t="s">
        <v>799</v>
      </c>
      <c r="F141" s="4" t="s">
        <v>839</v>
      </c>
      <c r="G141" s="14">
        <v>109.94</v>
      </c>
      <c r="H141" s="10">
        <v>13.100484</v>
      </c>
      <c r="I141" s="10">
        <v>21.209614999999999</v>
      </c>
      <c r="J141" s="10">
        <v>96.977331000000007</v>
      </c>
      <c r="K141" s="15">
        <v>2.7286999999999999E-2</v>
      </c>
      <c r="L141" s="17">
        <v>13644.703533</v>
      </c>
      <c r="M141" s="4" t="s">
        <v>919</v>
      </c>
      <c r="N141" s="19">
        <v>5.1834980000000002</v>
      </c>
      <c r="O141" s="19">
        <v>5.6837</v>
      </c>
      <c r="P141" s="19">
        <v>3.9699439999999999</v>
      </c>
      <c r="Q141" s="19">
        <v>4.7085999999999997</v>
      </c>
      <c r="R141" s="19">
        <v>3.448197</v>
      </c>
      <c r="S141" s="19">
        <v>4.0773000000000001</v>
      </c>
      <c r="T141" s="19">
        <v>3.448197</v>
      </c>
      <c r="U141" s="19">
        <v>3.5392999999999999</v>
      </c>
      <c r="V141" s="19">
        <v>0.647281</v>
      </c>
      <c r="W141" s="19">
        <v>2.5777000000000001</v>
      </c>
      <c r="X141" s="19">
        <v>0.647281</v>
      </c>
      <c r="Y141" s="19">
        <v>2.5777000000000001</v>
      </c>
      <c r="Z141" s="4"/>
      <c r="AA141" s="4"/>
      <c r="AB141" s="4" t="e">
        <f ca="1">_xll.ciqfunctions.udf.CIQ("^SPX", "IQ_PRICEDATE", "7/15/2014")</f>
        <v>#NAME?</v>
      </c>
      <c r="AC141" s="16">
        <v>1973.2820561929</v>
      </c>
    </row>
    <row r="142" spans="1:29" x14ac:dyDescent="0.35">
      <c r="A142" s="2" t="s">
        <v>152</v>
      </c>
      <c r="B142" s="4" t="s">
        <v>920</v>
      </c>
      <c r="C142" s="4" t="s">
        <v>530</v>
      </c>
      <c r="D142" s="4" t="s">
        <v>531</v>
      </c>
      <c r="E142" s="4" t="s">
        <v>569</v>
      </c>
      <c r="F142" s="4" t="s">
        <v>909</v>
      </c>
      <c r="G142" s="14">
        <v>68.36</v>
      </c>
      <c r="H142" s="10">
        <v>9.4707399999999993</v>
      </c>
      <c r="I142" s="10">
        <v>17.875937</v>
      </c>
      <c r="J142" s="10" t="s">
        <v>534</v>
      </c>
      <c r="K142" s="15">
        <v>0</v>
      </c>
      <c r="L142" s="17">
        <v>11409.284</v>
      </c>
      <c r="M142" s="4" t="s">
        <v>921</v>
      </c>
      <c r="N142" s="19">
        <v>3.8241350000000001</v>
      </c>
      <c r="O142" s="19">
        <v>4.2111000000000001</v>
      </c>
      <c r="P142" s="19">
        <v>4.7523299999999997</v>
      </c>
      <c r="Q142" s="19">
        <v>3.5078</v>
      </c>
      <c r="R142" s="19">
        <v>5.0623680000000002</v>
      </c>
      <c r="S142" s="19">
        <v>3.6593</v>
      </c>
      <c r="T142" s="19">
        <v>5.0623680000000002</v>
      </c>
      <c r="U142" s="19">
        <v>3.9411999999999998</v>
      </c>
      <c r="V142" s="19">
        <v>3.33</v>
      </c>
      <c r="W142" s="19">
        <v>3.6556999999999999</v>
      </c>
      <c r="X142" s="19">
        <v>3.33</v>
      </c>
      <c r="Y142" s="19">
        <v>3.6556999999999999</v>
      </c>
      <c r="Z142" s="4"/>
      <c r="AA142" s="4"/>
      <c r="AB142" s="4" t="e">
        <f ca="1">_xll.ciqfunctions.udf.CIQ("^SPX", "IQ_PRICEDATE", "7/16/2014")</f>
        <v>#NAME?</v>
      </c>
      <c r="AC142" s="16">
        <v>1981.5672192156001</v>
      </c>
    </row>
    <row r="143" spans="1:29" x14ac:dyDescent="0.35">
      <c r="A143" s="2" t="s">
        <v>153</v>
      </c>
      <c r="B143" s="4" t="s">
        <v>922</v>
      </c>
      <c r="C143" s="4" t="s">
        <v>525</v>
      </c>
      <c r="D143" s="4" t="s">
        <v>526</v>
      </c>
      <c r="E143" s="4" t="s">
        <v>803</v>
      </c>
      <c r="F143" s="4" t="s">
        <v>923</v>
      </c>
      <c r="G143" s="14">
        <v>151.63999999999999</v>
      </c>
      <c r="H143" s="10">
        <v>16.285527999999999</v>
      </c>
      <c r="I143" s="10">
        <v>23.726424999999999</v>
      </c>
      <c r="J143" s="10">
        <v>8.5143249999999995</v>
      </c>
      <c r="K143" s="15">
        <v>1.8201000000000002E-2</v>
      </c>
      <c r="L143" s="17">
        <v>48778.573027999999</v>
      </c>
      <c r="M143" s="4" t="s">
        <v>924</v>
      </c>
      <c r="N143" s="19">
        <v>6.3911860000000003</v>
      </c>
      <c r="O143" s="19">
        <v>11.091900000000001</v>
      </c>
      <c r="P143" s="19">
        <v>6.68</v>
      </c>
      <c r="Q143" s="19">
        <v>8.0858899999999991</v>
      </c>
      <c r="R143" s="19">
        <v>4.8099999999999996</v>
      </c>
      <c r="S143" s="19">
        <v>4.4488899999999996</v>
      </c>
      <c r="T143" s="19">
        <v>4.8099999999999996</v>
      </c>
      <c r="U143" s="19">
        <v>4.2333299999999996</v>
      </c>
      <c r="V143" s="19">
        <v>8.6300000000000008</v>
      </c>
      <c r="W143" s="19">
        <v>5.5261899999999997</v>
      </c>
      <c r="X143" s="19">
        <v>8.6300000000000008</v>
      </c>
      <c r="Y143" s="19">
        <v>5.5261899999999997</v>
      </c>
      <c r="Z143" s="4"/>
      <c r="AA143" s="4"/>
      <c r="AB143" s="4" t="e">
        <f ca="1">_xll.ciqfunctions.udf.CIQ("^SPX", "IQ_PRICEDATE", "7/17/2014")</f>
        <v>#NAME?</v>
      </c>
      <c r="AC143" s="16">
        <v>1958.1194331985</v>
      </c>
    </row>
    <row r="144" spans="1:29" x14ac:dyDescent="0.35">
      <c r="A144" s="2" t="s">
        <v>154</v>
      </c>
      <c r="B144" s="4" t="s">
        <v>925</v>
      </c>
      <c r="C144" s="4" t="s">
        <v>525</v>
      </c>
      <c r="D144" s="4" t="s">
        <v>594</v>
      </c>
      <c r="E144" s="4" t="s">
        <v>595</v>
      </c>
      <c r="F144" s="4" t="s">
        <v>595</v>
      </c>
      <c r="G144" s="14">
        <v>54.3</v>
      </c>
      <c r="H144" s="10">
        <v>6.0119920000000002</v>
      </c>
      <c r="I144" s="10">
        <v>10.695319</v>
      </c>
      <c r="J144" s="10" t="s">
        <v>534</v>
      </c>
      <c r="K144" s="15">
        <v>2.5781999999999999E-2</v>
      </c>
      <c r="L144" s="17">
        <v>37088.012497999996</v>
      </c>
      <c r="M144" s="4" t="s">
        <v>926</v>
      </c>
      <c r="N144" s="19">
        <v>5.0769869999999999</v>
      </c>
      <c r="O144" s="19">
        <v>5.9714</v>
      </c>
      <c r="P144" s="19">
        <v>4.95</v>
      </c>
      <c r="Q144" s="19">
        <v>5.1833</v>
      </c>
      <c r="R144" s="19">
        <v>5.79</v>
      </c>
      <c r="S144" s="19">
        <v>4.9169</v>
      </c>
      <c r="T144" s="19">
        <v>5.79</v>
      </c>
      <c r="U144" s="19">
        <v>6.2106000000000003</v>
      </c>
      <c r="V144" s="19">
        <v>0.78</v>
      </c>
      <c r="W144" s="19">
        <v>4.3926999999999996</v>
      </c>
      <c r="X144" s="19">
        <v>0.78</v>
      </c>
      <c r="Y144" s="19">
        <v>4.3926999999999996</v>
      </c>
      <c r="Z144" s="4"/>
      <c r="AA144" s="4"/>
      <c r="AB144" s="4" t="e">
        <f ca="1">_xll.ciqfunctions.udf.CIQ("^SPX", "IQ_PRICEDATE", "7/18/2014")</f>
        <v>#NAME?</v>
      </c>
      <c r="AC144" s="16">
        <v>1978.2183536964001</v>
      </c>
    </row>
    <row r="145" spans="1:29" x14ac:dyDescent="0.35">
      <c r="A145" s="2" t="s">
        <v>155</v>
      </c>
      <c r="B145" s="4" t="s">
        <v>927</v>
      </c>
      <c r="C145" s="4" t="s">
        <v>530</v>
      </c>
      <c r="D145" s="4" t="s">
        <v>531</v>
      </c>
      <c r="E145" s="4" t="s">
        <v>532</v>
      </c>
      <c r="F145" s="4" t="s">
        <v>608</v>
      </c>
      <c r="G145" s="14">
        <v>37.07</v>
      </c>
      <c r="H145" s="10">
        <v>11.934528999999999</v>
      </c>
      <c r="I145" s="10" t="s">
        <v>534</v>
      </c>
      <c r="J145" s="10" t="s">
        <v>534</v>
      </c>
      <c r="K145" s="15">
        <v>9.4409999999999997E-3</v>
      </c>
      <c r="L145" s="17">
        <v>8242.3244790000008</v>
      </c>
      <c r="M145" s="4" t="s">
        <v>928</v>
      </c>
      <c r="N145" s="19">
        <v>-7.0338539999999998</v>
      </c>
      <c r="O145" s="19">
        <v>2.1023999999999998</v>
      </c>
      <c r="P145" s="19">
        <v>-6.76</v>
      </c>
      <c r="Q145" s="19">
        <v>2.8889999999999998</v>
      </c>
      <c r="R145" s="19">
        <v>1.94</v>
      </c>
      <c r="S145" s="19">
        <v>2.9278</v>
      </c>
      <c r="T145" s="19">
        <v>1.94</v>
      </c>
      <c r="U145" s="19">
        <v>2.7517999999999998</v>
      </c>
      <c r="V145" s="19">
        <v>2.2400000000000002</v>
      </c>
      <c r="W145" s="19">
        <v>2.6354000000000002</v>
      </c>
      <c r="X145" s="19">
        <v>2.2400000000000002</v>
      </c>
      <c r="Y145" s="19">
        <v>2.6354000000000002</v>
      </c>
      <c r="Z145" s="4"/>
      <c r="AA145" s="4"/>
      <c r="AB145" s="4" t="e">
        <f ca="1">_xll.ciqfunctions.udf.CIQ("^SPX", "IQ_PRICEDATE", "7/21/2014")</f>
        <v>#NAME?</v>
      </c>
      <c r="AC145" s="16">
        <v>1973.6278558585</v>
      </c>
    </row>
    <row r="146" spans="1:29" x14ac:dyDescent="0.35">
      <c r="A146" s="2" t="s">
        <v>156</v>
      </c>
      <c r="B146" s="4" t="s">
        <v>929</v>
      </c>
      <c r="C146" s="4" t="s">
        <v>669</v>
      </c>
      <c r="D146" s="4" t="s">
        <v>669</v>
      </c>
      <c r="E146" s="4" t="s">
        <v>670</v>
      </c>
      <c r="F146" s="4" t="s">
        <v>671</v>
      </c>
      <c r="G146" s="14">
        <v>36</v>
      </c>
      <c r="H146" s="10">
        <v>9.4382180000000009</v>
      </c>
      <c r="I146" s="10" t="s">
        <v>534</v>
      </c>
      <c r="J146" s="10">
        <v>2.5821830000000001</v>
      </c>
      <c r="K146" s="15">
        <v>8.8880000000000001E-3</v>
      </c>
      <c r="L146" s="17">
        <v>18316.8</v>
      </c>
      <c r="M146" s="4" t="s">
        <v>930</v>
      </c>
      <c r="N146" s="19">
        <v>-0.78151999999999999</v>
      </c>
      <c r="O146" s="19">
        <v>2.3226</v>
      </c>
      <c r="P146" s="19">
        <v>1.7</v>
      </c>
      <c r="Q146" s="19">
        <v>2.3673999999999999</v>
      </c>
      <c r="R146" s="19">
        <v>-2.09</v>
      </c>
      <c r="S146" s="19">
        <v>1.2303999999999999</v>
      </c>
      <c r="T146" s="19">
        <v>-2.09</v>
      </c>
      <c r="U146" s="19">
        <v>0.6623</v>
      </c>
      <c r="V146" s="19">
        <v>3.91</v>
      </c>
      <c r="W146" s="19">
        <v>4.4607999999999999</v>
      </c>
      <c r="X146" s="19">
        <v>3.91</v>
      </c>
      <c r="Y146" s="19">
        <v>4.4607999999999999</v>
      </c>
      <c r="Z146" s="4"/>
      <c r="AA146" s="4"/>
      <c r="AB146" s="4" t="e">
        <f ca="1">_xll.ciqfunctions.udf.CIQ("^SPX", "IQ_PRICEDATE", "7/22/2014")</f>
        <v>#NAME?</v>
      </c>
      <c r="AC146" s="16">
        <v>1983.5281525706</v>
      </c>
    </row>
    <row r="147" spans="1:29" x14ac:dyDescent="0.35">
      <c r="A147" s="2" t="s">
        <v>157</v>
      </c>
      <c r="B147" s="4" t="s">
        <v>931</v>
      </c>
      <c r="C147" s="4" t="s">
        <v>601</v>
      </c>
      <c r="D147" s="4" t="s">
        <v>601</v>
      </c>
      <c r="E147" s="4" t="s">
        <v>602</v>
      </c>
      <c r="F147" s="4" t="s">
        <v>647</v>
      </c>
      <c r="G147" s="14">
        <v>110.93</v>
      </c>
      <c r="H147" s="10">
        <v>21.229939000000002</v>
      </c>
      <c r="I147" s="10">
        <v>109.680627</v>
      </c>
      <c r="J147" s="10">
        <v>7.973274</v>
      </c>
      <c r="K147" s="15">
        <v>3.6419E-2</v>
      </c>
      <c r="L147" s="17">
        <v>22868.219499999999</v>
      </c>
      <c r="M147" s="4" t="s">
        <v>932</v>
      </c>
      <c r="N147" s="19">
        <v>1.0113909999999999</v>
      </c>
      <c r="O147" s="19">
        <v>1.3041</v>
      </c>
      <c r="P147" s="19">
        <v>0.98999899999999996</v>
      </c>
      <c r="Q147" s="19">
        <v>1.6814</v>
      </c>
      <c r="R147" s="19">
        <v>2.2000000000000002</v>
      </c>
      <c r="S147" s="19">
        <v>1.4057999999999999</v>
      </c>
      <c r="T147" s="19">
        <v>2.2000000000000002</v>
      </c>
      <c r="U147" s="19">
        <v>1.1819999999999999</v>
      </c>
      <c r="V147" s="19">
        <v>0.99</v>
      </c>
      <c r="W147" s="19">
        <v>1.0226</v>
      </c>
      <c r="X147" s="19">
        <v>0.99</v>
      </c>
      <c r="Y147" s="19">
        <v>1.0226</v>
      </c>
      <c r="Z147" s="4"/>
      <c r="AA147" s="4"/>
      <c r="AB147" s="4" t="e">
        <f ca="1">_xll.ciqfunctions.udf.CIQ("^SPX", "IQ_PRICEDATE", "7/23/2014")</f>
        <v>#NAME?</v>
      </c>
      <c r="AC147" s="16">
        <v>1987.0051750061</v>
      </c>
    </row>
    <row r="148" spans="1:29" x14ac:dyDescent="0.35">
      <c r="A148" s="2" t="s">
        <v>158</v>
      </c>
      <c r="B148" s="4" t="s">
        <v>933</v>
      </c>
      <c r="C148" s="4" t="s">
        <v>573</v>
      </c>
      <c r="D148" s="4" t="s">
        <v>574</v>
      </c>
      <c r="E148" s="4" t="s">
        <v>641</v>
      </c>
      <c r="F148" s="4" t="s">
        <v>641</v>
      </c>
      <c r="G148" s="14">
        <v>75.89</v>
      </c>
      <c r="H148" s="10">
        <v>0</v>
      </c>
      <c r="I148" s="10">
        <v>12.084429</v>
      </c>
      <c r="J148" s="10">
        <v>2.6338300000000001</v>
      </c>
      <c r="K148" s="15">
        <v>2.1082999999999998E-2</v>
      </c>
      <c r="L148" s="17">
        <v>26004.33611</v>
      </c>
      <c r="M148" s="4" t="s">
        <v>934</v>
      </c>
      <c r="N148" s="19">
        <v>6.2799820000000004</v>
      </c>
      <c r="O148" s="19">
        <v>8.2516999999999996</v>
      </c>
      <c r="P148" s="19">
        <v>5.42</v>
      </c>
      <c r="Q148" s="19">
        <v>6.4844999999999997</v>
      </c>
      <c r="R148" s="19">
        <v>5.77</v>
      </c>
      <c r="S148" s="19">
        <v>6.0126999999999997</v>
      </c>
      <c r="T148" s="19">
        <v>5.77</v>
      </c>
      <c r="U148" s="19">
        <v>5.5625</v>
      </c>
      <c r="V148" s="19">
        <v>4.9000000000000004</v>
      </c>
      <c r="W148" s="19">
        <v>5.3948</v>
      </c>
      <c r="X148" s="19">
        <v>4.9000000000000004</v>
      </c>
      <c r="Y148" s="19">
        <v>5.3948</v>
      </c>
      <c r="Z148" s="4"/>
      <c r="AA148" s="4"/>
      <c r="AB148" s="4" t="e">
        <f ca="1">_xll.ciqfunctions.udf.CIQ("^SPX", "IQ_PRICEDATE", "7/24/2014")</f>
        <v>#NAME?</v>
      </c>
      <c r="AC148" s="16">
        <v>1987.980474964</v>
      </c>
    </row>
    <row r="149" spans="1:29" x14ac:dyDescent="0.35">
      <c r="A149" s="2" t="s">
        <v>159</v>
      </c>
      <c r="B149" s="4" t="s">
        <v>935</v>
      </c>
      <c r="C149" s="4" t="s">
        <v>549</v>
      </c>
      <c r="D149" s="4" t="s">
        <v>550</v>
      </c>
      <c r="E149" s="4" t="s">
        <v>814</v>
      </c>
      <c r="F149" s="4" t="s">
        <v>815</v>
      </c>
      <c r="G149" s="14">
        <v>33.049999999999997</v>
      </c>
      <c r="H149" s="10">
        <v>15.319791</v>
      </c>
      <c r="I149" s="10" t="s">
        <v>534</v>
      </c>
      <c r="J149" s="10" t="s">
        <v>534</v>
      </c>
      <c r="K149" s="15">
        <v>0</v>
      </c>
      <c r="L149" s="17">
        <v>22389.863355000001</v>
      </c>
      <c r="M149" s="4" t="s">
        <v>936</v>
      </c>
      <c r="N149" s="19">
        <v>-1.2573890000000001</v>
      </c>
      <c r="O149" s="19">
        <v>3.1124000000000001</v>
      </c>
      <c r="P149" s="19">
        <v>-0.59177599999999997</v>
      </c>
      <c r="Q149" s="19">
        <v>2.2099000000000002</v>
      </c>
      <c r="R149" s="19">
        <v>1.601494</v>
      </c>
      <c r="S149" s="19">
        <v>2.2747000000000002</v>
      </c>
      <c r="T149" s="19">
        <v>1.601494</v>
      </c>
      <c r="U149" s="19">
        <v>2.0402999999999998</v>
      </c>
      <c r="V149" s="19">
        <v>1.472186</v>
      </c>
      <c r="W149" s="19">
        <v>1.9071</v>
      </c>
      <c r="X149" s="19">
        <v>1.472186</v>
      </c>
      <c r="Y149" s="19">
        <v>1.9071</v>
      </c>
      <c r="Z149" s="4"/>
      <c r="AA149" s="4"/>
      <c r="AB149" s="4" t="e">
        <f ca="1">_xll.ciqfunctions.udf.CIQ("^SPX", "IQ_PRICEDATE", "7/25/2014")</f>
        <v>#NAME?</v>
      </c>
      <c r="AC149" s="16">
        <v>1978.3388878225001</v>
      </c>
    </row>
    <row r="150" spans="1:29" x14ac:dyDescent="0.35">
      <c r="A150" s="2" t="s">
        <v>160</v>
      </c>
      <c r="B150" s="4" t="s">
        <v>935</v>
      </c>
      <c r="C150" s="4" t="s">
        <v>549</v>
      </c>
      <c r="D150" s="4" t="s">
        <v>550</v>
      </c>
      <c r="E150" s="4" t="s">
        <v>814</v>
      </c>
      <c r="F150" s="4" t="s">
        <v>815</v>
      </c>
      <c r="G150" s="14">
        <v>30.1</v>
      </c>
      <c r="H150" s="10">
        <v>15.319791</v>
      </c>
      <c r="I150" s="10">
        <v>0</v>
      </c>
      <c r="J150" s="10">
        <v>0</v>
      </c>
      <c r="K150" s="15">
        <v>0</v>
      </c>
      <c r="L150" s="17">
        <v>22389.863355000001</v>
      </c>
      <c r="M150" s="4" t="s">
        <v>936</v>
      </c>
      <c r="N150" s="19">
        <v>-1.2573890000000001</v>
      </c>
      <c r="O150" s="19">
        <v>3.1095999999999999</v>
      </c>
      <c r="P150" s="19">
        <v>-0.59177599999999997</v>
      </c>
      <c r="Q150" s="19">
        <v>2.2099000000000002</v>
      </c>
      <c r="R150" s="19">
        <v>1.601494</v>
      </c>
      <c r="S150" s="19">
        <v>2.2747000000000002</v>
      </c>
      <c r="T150" s="19">
        <v>1.601494</v>
      </c>
      <c r="U150" s="19">
        <v>2.0402999999999998</v>
      </c>
      <c r="V150" s="19">
        <v>1.472186</v>
      </c>
      <c r="W150" s="19">
        <v>1.905</v>
      </c>
      <c r="X150" s="19">
        <v>1.472186</v>
      </c>
      <c r="Y150" s="19">
        <v>1.905</v>
      </c>
      <c r="Z150" s="4"/>
      <c r="AA150" s="4"/>
      <c r="AB150" s="4" t="e">
        <f ca="1">_xll.ciqfunctions.udf.CIQ("^SPX", "IQ_PRICEDATE", "7/28/2014")</f>
        <v>#NAME?</v>
      </c>
      <c r="AC150" s="16">
        <v>1978.9113478934</v>
      </c>
    </row>
    <row r="151" spans="1:29" x14ac:dyDescent="0.35">
      <c r="A151" s="2" t="s">
        <v>161</v>
      </c>
      <c r="B151" s="4" t="s">
        <v>937</v>
      </c>
      <c r="C151" s="4" t="s">
        <v>549</v>
      </c>
      <c r="D151" s="4" t="s">
        <v>550</v>
      </c>
      <c r="E151" s="4" t="s">
        <v>814</v>
      </c>
      <c r="F151" s="4" t="s">
        <v>833</v>
      </c>
      <c r="G151" s="14">
        <v>34.44</v>
      </c>
      <c r="H151" s="10">
        <v>11.009216</v>
      </c>
      <c r="I151" s="10">
        <v>7.2768759999999997</v>
      </c>
      <c r="J151" s="10" t="s">
        <v>534</v>
      </c>
      <c r="K151" s="15">
        <v>0</v>
      </c>
      <c r="L151" s="17">
        <v>16101.261406</v>
      </c>
      <c r="M151" s="4" t="s">
        <v>938</v>
      </c>
      <c r="N151" s="19">
        <v>4.7328000000000001</v>
      </c>
      <c r="O151" s="19">
        <v>2.6312000000000002</v>
      </c>
      <c r="P151" s="19">
        <v>4.0733509999999997</v>
      </c>
      <c r="Q151" s="19">
        <v>2.1316999999999999</v>
      </c>
      <c r="R151" s="19">
        <v>3.150709</v>
      </c>
      <c r="S151" s="19">
        <v>2.7755000000000001</v>
      </c>
      <c r="T151" s="19">
        <v>3.150709</v>
      </c>
      <c r="U151" s="19">
        <v>1.4694</v>
      </c>
      <c r="V151" s="19">
        <v>2.04</v>
      </c>
      <c r="W151" s="19">
        <v>1.7709999999999999</v>
      </c>
      <c r="X151" s="19">
        <v>2.04</v>
      </c>
      <c r="Y151" s="19">
        <v>1.7709999999999999</v>
      </c>
      <c r="Z151" s="4"/>
      <c r="AA151" s="4"/>
      <c r="AB151" s="4" t="e">
        <f ca="1">_xll.ciqfunctions.udf.CIQ("^SPX", "IQ_PRICEDATE", "7/29/2014")</f>
        <v>#NAME?</v>
      </c>
      <c r="AC151" s="16">
        <v>1969.9523243767001</v>
      </c>
    </row>
    <row r="152" spans="1:29" x14ac:dyDescent="0.35">
      <c r="A152" s="2" t="s">
        <v>162</v>
      </c>
      <c r="B152" s="4" t="s">
        <v>939</v>
      </c>
      <c r="C152" s="4" t="s">
        <v>559</v>
      </c>
      <c r="D152" s="4" t="s">
        <v>560</v>
      </c>
      <c r="E152" s="4" t="s">
        <v>940</v>
      </c>
      <c r="F152" s="4" t="s">
        <v>941</v>
      </c>
      <c r="G152" s="14">
        <v>109.77</v>
      </c>
      <c r="H152" s="10">
        <v>12.601635</v>
      </c>
      <c r="I152" s="10">
        <v>17.066841</v>
      </c>
      <c r="J152" s="10">
        <v>34.698382000000002</v>
      </c>
      <c r="K152" s="15">
        <v>1.0567E-2</v>
      </c>
      <c r="L152" s="17">
        <v>29147.711198000001</v>
      </c>
      <c r="M152" s="4" t="s">
        <v>942</v>
      </c>
      <c r="N152" s="19">
        <v>6.4317700000000002</v>
      </c>
      <c r="O152" s="19">
        <v>6.4134000000000002</v>
      </c>
      <c r="P152" s="19">
        <v>4.5134610000000004</v>
      </c>
      <c r="Q152" s="19">
        <v>4.8853999999999997</v>
      </c>
      <c r="R152" s="19">
        <v>4.2629200000000003</v>
      </c>
      <c r="S152" s="19">
        <v>4.6322000000000001</v>
      </c>
      <c r="T152" s="19">
        <v>4.2629200000000003</v>
      </c>
      <c r="U152" s="19">
        <v>4.327</v>
      </c>
      <c r="V152" s="19">
        <v>3.3419159999999999</v>
      </c>
      <c r="W152" s="19">
        <v>3.8633999999999999</v>
      </c>
      <c r="X152" s="19">
        <v>3.3419159999999999</v>
      </c>
      <c r="Y152" s="19">
        <v>3.8633999999999999</v>
      </c>
      <c r="Z152" s="4"/>
      <c r="AA152" s="4"/>
      <c r="AB152" s="4" t="e">
        <f ca="1">_xll.ciqfunctions.udf.CIQ("^SPX", "IQ_PRICEDATE", "7/30/2014")</f>
        <v>#NAME?</v>
      </c>
      <c r="AC152" s="16">
        <v>1970.0681100864999</v>
      </c>
    </row>
    <row r="153" spans="1:29" x14ac:dyDescent="0.35">
      <c r="A153" s="2" t="s">
        <v>163</v>
      </c>
      <c r="B153" s="4" t="s">
        <v>943</v>
      </c>
      <c r="C153" s="4" t="s">
        <v>559</v>
      </c>
      <c r="D153" s="4" t="s">
        <v>560</v>
      </c>
      <c r="E153" s="4" t="s">
        <v>940</v>
      </c>
      <c r="F153" s="4" t="s">
        <v>941</v>
      </c>
      <c r="G153" s="14">
        <v>85.3</v>
      </c>
      <c r="H153" s="10">
        <v>9.3989650000000005</v>
      </c>
      <c r="I153" s="10">
        <v>11.86074</v>
      </c>
      <c r="J153" s="10" t="s">
        <v>534</v>
      </c>
      <c r="K153" s="15">
        <v>0</v>
      </c>
      <c r="L153" s="17">
        <v>20291.883676000001</v>
      </c>
      <c r="M153" s="4" t="s">
        <v>944</v>
      </c>
      <c r="N153" s="19">
        <v>7.1917939999999998</v>
      </c>
      <c r="O153" s="19">
        <v>5.7887000000000004</v>
      </c>
      <c r="P153" s="19">
        <v>4.1888069999999997</v>
      </c>
      <c r="Q153" s="19">
        <v>5.2915999999999999</v>
      </c>
      <c r="R153" s="19">
        <v>3.4005070000000002</v>
      </c>
      <c r="S153" s="19">
        <v>4.2846000000000002</v>
      </c>
      <c r="T153" s="19">
        <v>3.4005070000000002</v>
      </c>
      <c r="U153" s="19">
        <v>3.4607000000000001</v>
      </c>
      <c r="V153" s="19">
        <v>2.9125510000000001</v>
      </c>
      <c r="W153" s="19">
        <v>3.3856999999999999</v>
      </c>
      <c r="X153" s="19">
        <v>2.9125510000000001</v>
      </c>
      <c r="Y153" s="19">
        <v>3.3856999999999999</v>
      </c>
      <c r="Z153" s="4"/>
      <c r="AA153" s="4"/>
      <c r="AB153" s="4" t="e">
        <f ca="1">_xll.ciqfunctions.udf.CIQ("^SPX", "IQ_PRICEDATE", "7/31/2014")</f>
        <v>#NAME?</v>
      </c>
      <c r="AC153" s="16">
        <v>1930.6738707454999</v>
      </c>
    </row>
    <row r="154" spans="1:29" x14ac:dyDescent="0.35">
      <c r="A154" s="2" t="s">
        <v>164</v>
      </c>
      <c r="B154" s="4" t="s">
        <v>945</v>
      </c>
      <c r="C154" s="4" t="s">
        <v>619</v>
      </c>
      <c r="D154" s="4" t="s">
        <v>619</v>
      </c>
      <c r="E154" s="4" t="s">
        <v>634</v>
      </c>
      <c r="F154" s="4" t="s">
        <v>634</v>
      </c>
      <c r="G154" s="14">
        <v>72.3</v>
      </c>
      <c r="H154" s="10">
        <v>13.939857999999999</v>
      </c>
      <c r="I154" s="10">
        <v>16.009725</v>
      </c>
      <c r="J154" s="10">
        <v>4.0555960000000004</v>
      </c>
      <c r="K154" s="15">
        <v>4.6196000000000001E-2</v>
      </c>
      <c r="L154" s="17">
        <v>47267.258012999999</v>
      </c>
      <c r="M154" s="4" t="s">
        <v>946</v>
      </c>
      <c r="N154" s="19">
        <v>4.5160049999999998</v>
      </c>
      <c r="O154" s="19">
        <v>4.0656999999999996</v>
      </c>
      <c r="P154" s="19">
        <v>4.715408</v>
      </c>
      <c r="Q154" s="19">
        <v>4.0162000000000004</v>
      </c>
      <c r="R154" s="19">
        <v>3.44</v>
      </c>
      <c r="S154" s="19">
        <v>3.8892000000000002</v>
      </c>
      <c r="T154" s="19">
        <v>3.44</v>
      </c>
      <c r="U154" s="19">
        <v>3.76</v>
      </c>
      <c r="V154" s="19">
        <v>2.2400000000000002</v>
      </c>
      <c r="W154" s="19">
        <v>3.6734</v>
      </c>
      <c r="X154" s="19">
        <v>2.2400000000000002</v>
      </c>
      <c r="Y154" s="19">
        <v>3.6734</v>
      </c>
      <c r="Z154" s="4"/>
      <c r="AA154" s="4"/>
      <c r="AB154" s="4" t="e">
        <f ca="1">_xll.ciqfunctions.udf.CIQ("^SPX", "IQ_PRICEDATE", "8/1/2014")</f>
        <v>#NAME?</v>
      </c>
      <c r="AC154" s="16">
        <v>1925.1518001969</v>
      </c>
    </row>
    <row r="155" spans="1:29" x14ac:dyDescent="0.35">
      <c r="A155" s="2" t="s">
        <v>165</v>
      </c>
      <c r="B155" s="4" t="s">
        <v>947</v>
      </c>
      <c r="C155" s="4" t="s">
        <v>525</v>
      </c>
      <c r="D155" s="4" t="s">
        <v>526</v>
      </c>
      <c r="E155" s="4" t="s">
        <v>803</v>
      </c>
      <c r="F155" s="4" t="s">
        <v>948</v>
      </c>
      <c r="G155" s="14">
        <v>82.23</v>
      </c>
      <c r="H155" s="10">
        <v>10.735773999999999</v>
      </c>
      <c r="I155" s="10">
        <v>16.318162999999998</v>
      </c>
      <c r="J155" s="10" t="s">
        <v>534</v>
      </c>
      <c r="K155" s="15">
        <v>2.3349000000000002E-2</v>
      </c>
      <c r="L155" s="17">
        <v>12145.668755000001</v>
      </c>
      <c r="M155" s="4" t="s">
        <v>949</v>
      </c>
      <c r="N155" s="19">
        <v>5.0391700000000004</v>
      </c>
      <c r="O155" s="19">
        <v>5.2138999999999998</v>
      </c>
      <c r="P155" s="19">
        <v>5.15</v>
      </c>
      <c r="Q155" s="19">
        <v>4.3601000000000001</v>
      </c>
      <c r="R155" s="19">
        <v>3.25</v>
      </c>
      <c r="S155" s="19">
        <v>3.4489000000000001</v>
      </c>
      <c r="T155" s="19">
        <v>3.25</v>
      </c>
      <c r="U155" s="19">
        <v>3.7324999999999999</v>
      </c>
      <c r="V155" s="19">
        <v>4.6100000000000003</v>
      </c>
      <c r="W155" s="19">
        <v>4.9080000000000004</v>
      </c>
      <c r="X155" s="19">
        <v>4.6100000000000003</v>
      </c>
      <c r="Y155" s="19">
        <v>4.9080000000000004</v>
      </c>
      <c r="Z155" s="4"/>
      <c r="AA155" s="4"/>
      <c r="AB155" s="4" t="e">
        <f ca="1">_xll.ciqfunctions.udf.CIQ("^SPX", "IQ_PRICEDATE", "8/4/2014")</f>
        <v>#NAME?</v>
      </c>
      <c r="AC155" s="16">
        <v>1938.9861642804001</v>
      </c>
    </row>
    <row r="156" spans="1:29" x14ac:dyDescent="0.35">
      <c r="A156" s="2" t="s">
        <v>166</v>
      </c>
      <c r="B156" s="4" t="s">
        <v>950</v>
      </c>
      <c r="C156" s="4" t="s">
        <v>586</v>
      </c>
      <c r="D156" s="4" t="s">
        <v>586</v>
      </c>
      <c r="E156" s="4" t="s">
        <v>587</v>
      </c>
      <c r="F156" s="4" t="s">
        <v>951</v>
      </c>
      <c r="G156" s="14">
        <v>59.57</v>
      </c>
      <c r="H156" s="10">
        <v>9.7027640000000002</v>
      </c>
      <c r="I156" s="10">
        <v>58.49877</v>
      </c>
      <c r="J156" s="10">
        <v>20.342451000000001</v>
      </c>
      <c r="K156" s="15">
        <v>2.5516E-2</v>
      </c>
      <c r="L156" s="17">
        <v>137450.44044400001</v>
      </c>
      <c r="M156" s="4" t="s">
        <v>952</v>
      </c>
      <c r="N156" s="19">
        <v>1.0183120000000001</v>
      </c>
      <c r="O156" s="19">
        <v>4.4066999999999998</v>
      </c>
      <c r="P156" s="19">
        <v>0.95</v>
      </c>
      <c r="Q156" s="19">
        <v>3.8010999999999999</v>
      </c>
      <c r="R156" s="19">
        <v>3.52</v>
      </c>
      <c r="S156" s="19">
        <v>0</v>
      </c>
      <c r="T156" s="19">
        <v>3.52</v>
      </c>
      <c r="U156" s="19">
        <v>0</v>
      </c>
      <c r="V156" s="19">
        <v>2.87</v>
      </c>
      <c r="W156" s="19">
        <v>0</v>
      </c>
      <c r="X156" s="19">
        <v>2.87</v>
      </c>
      <c r="Y156" s="19">
        <v>0</v>
      </c>
      <c r="Z156" s="4"/>
      <c r="AA156" s="4"/>
      <c r="AB156" s="4" t="e">
        <f ca="1">_xll.ciqfunctions.udf.CIQ("^SPX", "IQ_PRICEDATE", "8/5/2014")</f>
        <v>#NAME?</v>
      </c>
      <c r="AC156" s="16">
        <v>1920.2111643633</v>
      </c>
    </row>
    <row r="157" spans="1:29" x14ac:dyDescent="0.35">
      <c r="A157" s="2" t="s">
        <v>167</v>
      </c>
      <c r="B157" s="4" t="s">
        <v>953</v>
      </c>
      <c r="C157" s="4" t="s">
        <v>619</v>
      </c>
      <c r="D157" s="4" t="s">
        <v>619</v>
      </c>
      <c r="E157" s="4" t="s">
        <v>634</v>
      </c>
      <c r="F157" s="4" t="s">
        <v>634</v>
      </c>
      <c r="G157" s="14">
        <v>111.29</v>
      </c>
      <c r="H157" s="10">
        <v>12.954603000000001</v>
      </c>
      <c r="I157" s="10">
        <v>17.387701</v>
      </c>
      <c r="J157" s="10">
        <v>3.024289</v>
      </c>
      <c r="K157" s="15">
        <v>3.1718000000000003E-2</v>
      </c>
      <c r="L157" s="17">
        <v>20229.46976</v>
      </c>
      <c r="M157" s="4" t="s">
        <v>954</v>
      </c>
      <c r="N157" s="19">
        <v>6.4005010000000002</v>
      </c>
      <c r="O157" s="19">
        <v>5.9055999999999997</v>
      </c>
      <c r="P157" s="19">
        <v>6.32</v>
      </c>
      <c r="Q157" s="19">
        <v>5.4972000000000003</v>
      </c>
      <c r="R157" s="19">
        <v>4.83</v>
      </c>
      <c r="S157" s="19">
        <v>5.1742999999999997</v>
      </c>
      <c r="T157" s="19">
        <v>4.83</v>
      </c>
      <c r="U157" s="19">
        <v>5.2446000000000002</v>
      </c>
      <c r="V157" s="19">
        <v>5.0999999999999996</v>
      </c>
      <c r="W157" s="19">
        <v>4.8289999999999997</v>
      </c>
      <c r="X157" s="19">
        <v>5.0999999999999996</v>
      </c>
      <c r="Y157" s="19">
        <v>4.8289999999999997</v>
      </c>
      <c r="Z157" s="4"/>
      <c r="AA157" s="4"/>
      <c r="AB157" s="4" t="e">
        <f ca="1">_xll.ciqfunctions.udf.CIQ("^SPX", "IQ_PRICEDATE", "8/6/2014")</f>
        <v>#NAME?</v>
      </c>
      <c r="AC157" s="16">
        <v>1920.2360031712999</v>
      </c>
    </row>
    <row r="158" spans="1:29" x14ac:dyDescent="0.35">
      <c r="A158" s="2" t="s">
        <v>168</v>
      </c>
      <c r="B158" s="4" t="s">
        <v>955</v>
      </c>
      <c r="C158" s="4" t="s">
        <v>619</v>
      </c>
      <c r="D158" s="4" t="s">
        <v>619</v>
      </c>
      <c r="E158" s="4" t="s">
        <v>620</v>
      </c>
      <c r="F158" s="4" t="s">
        <v>620</v>
      </c>
      <c r="G158" s="14">
        <v>80.77</v>
      </c>
      <c r="H158" s="10">
        <v>10.986605000000001</v>
      </c>
      <c r="I158" s="10">
        <v>20.366824000000001</v>
      </c>
      <c r="J158" s="10">
        <v>2.4883489999999999</v>
      </c>
      <c r="K158" s="15">
        <v>4.5932000000000001E-2</v>
      </c>
      <c r="L158" s="17">
        <v>57536.891057000001</v>
      </c>
      <c r="M158" s="4" t="s">
        <v>956</v>
      </c>
      <c r="N158" s="19">
        <v>3.9657629999999999</v>
      </c>
      <c r="O158" s="19">
        <v>4.8086000000000002</v>
      </c>
      <c r="P158" s="19">
        <v>4.37</v>
      </c>
      <c r="Q158" s="19">
        <v>4.6947999999999999</v>
      </c>
      <c r="R158" s="19">
        <v>3.71</v>
      </c>
      <c r="S158" s="19">
        <v>4.6501000000000001</v>
      </c>
      <c r="T158" s="19">
        <v>3.71</v>
      </c>
      <c r="U158" s="19">
        <v>4.5971000000000002</v>
      </c>
      <c r="V158" s="19">
        <v>3.577086</v>
      </c>
      <c r="W158" s="19">
        <v>4.6863999999999999</v>
      </c>
      <c r="X158" s="19">
        <v>3.577086</v>
      </c>
      <c r="Y158" s="19">
        <v>4.6863999999999999</v>
      </c>
      <c r="Z158" s="4"/>
      <c r="AA158" s="4"/>
      <c r="AB158" s="4" t="e">
        <f ca="1">_xll.ciqfunctions.udf.CIQ("^SPX", "IQ_PRICEDATE", "8/7/2014")</f>
        <v>#NAME?</v>
      </c>
      <c r="AC158" s="16">
        <v>1909.5707789905</v>
      </c>
    </row>
    <row r="159" spans="1:29" x14ac:dyDescent="0.35">
      <c r="A159" s="2" t="s">
        <v>169</v>
      </c>
      <c r="B159" s="4" t="s">
        <v>957</v>
      </c>
      <c r="C159" s="4" t="s">
        <v>601</v>
      </c>
      <c r="D159" s="4" t="s">
        <v>601</v>
      </c>
      <c r="E159" s="4" t="s">
        <v>602</v>
      </c>
      <c r="F159" s="4" t="s">
        <v>958</v>
      </c>
      <c r="G159" s="14">
        <v>27.43</v>
      </c>
      <c r="H159" s="10">
        <v>27.522023999999998</v>
      </c>
      <c r="I159" s="10">
        <v>27.700271000000001</v>
      </c>
      <c r="J159" s="10">
        <v>2.1021519999999998</v>
      </c>
      <c r="K159" s="15">
        <v>2.9165E-2</v>
      </c>
      <c r="L159" s="17">
        <v>9799.9187330000004</v>
      </c>
      <c r="M159" s="4" t="s">
        <v>959</v>
      </c>
      <c r="N159" s="19">
        <v>0.99024299999999998</v>
      </c>
      <c r="O159" s="19">
        <v>0.43330000000000002</v>
      </c>
      <c r="P159" s="19">
        <v>0.74966100000000002</v>
      </c>
      <c r="Q159" s="19">
        <v>0.39989999999999998</v>
      </c>
      <c r="R159" s="19">
        <v>0.83560599999999996</v>
      </c>
      <c r="S159" s="19">
        <v>0.30209999999999998</v>
      </c>
      <c r="T159" s="19">
        <v>0.83560599999999996</v>
      </c>
      <c r="U159" s="19">
        <v>0.19550000000000001</v>
      </c>
      <c r="V159" s="19">
        <v>0.51057600000000003</v>
      </c>
      <c r="W159" s="19">
        <v>5.9799999999999999E-2</v>
      </c>
      <c r="X159" s="19">
        <v>0.51057600000000003</v>
      </c>
      <c r="Y159" s="19">
        <v>5.9799999999999999E-2</v>
      </c>
      <c r="Z159" s="4"/>
      <c r="AA159" s="4"/>
      <c r="AB159" s="4" t="e">
        <f ca="1">_xll.ciqfunctions.udf.CIQ("^SPX", "IQ_PRICEDATE", "8/8/2014")</f>
        <v>#NAME?</v>
      </c>
      <c r="AC159" s="16">
        <v>1931.5931512780001</v>
      </c>
    </row>
    <row r="160" spans="1:29" x14ac:dyDescent="0.35">
      <c r="A160" s="2" t="s">
        <v>170</v>
      </c>
      <c r="B160" s="4" t="s">
        <v>960</v>
      </c>
      <c r="C160" s="4" t="s">
        <v>543</v>
      </c>
      <c r="D160" s="4" t="s">
        <v>544</v>
      </c>
      <c r="E160" s="4" t="s">
        <v>545</v>
      </c>
      <c r="F160" s="4" t="s">
        <v>546</v>
      </c>
      <c r="G160" s="14">
        <v>89.47</v>
      </c>
      <c r="H160" s="10">
        <v>5.5289520000000003</v>
      </c>
      <c r="I160" s="10">
        <v>13.785764</v>
      </c>
      <c r="J160" s="10" t="s">
        <v>534</v>
      </c>
      <c r="K160" s="15">
        <v>8.4939999999999998E-3</v>
      </c>
      <c r="L160" s="17">
        <v>25155.450513</v>
      </c>
      <c r="M160" s="4" t="s">
        <v>961</v>
      </c>
      <c r="N160" s="19">
        <v>6.4900279999999997</v>
      </c>
      <c r="O160" s="19">
        <v>8.3515999999999995</v>
      </c>
      <c r="P160" s="19">
        <v>3.9199169999999999</v>
      </c>
      <c r="Q160" s="19">
        <v>8.0617000000000001</v>
      </c>
      <c r="R160" s="19">
        <v>-0.59858800000000001</v>
      </c>
      <c r="S160" s="19">
        <v>0</v>
      </c>
      <c r="T160" s="19">
        <v>-0.59858800000000001</v>
      </c>
      <c r="U160" s="19">
        <v>0</v>
      </c>
      <c r="V160" s="19">
        <v>4.3897409999999999</v>
      </c>
      <c r="W160" s="19">
        <v>0</v>
      </c>
      <c r="X160" s="19">
        <v>4.3897409999999999</v>
      </c>
      <c r="Y160" s="19">
        <v>0</v>
      </c>
      <c r="Z160" s="4"/>
      <c r="AA160" s="4"/>
      <c r="AB160" s="4" t="e">
        <f ca="1">_xll.ciqfunctions.udf.CIQ("^SPX", "IQ_PRICEDATE", "8/11/2014")</f>
        <v>#NAME?</v>
      </c>
      <c r="AC160" s="16">
        <v>1936.9155999371001</v>
      </c>
    </row>
    <row r="161" spans="1:29" x14ac:dyDescent="0.35">
      <c r="A161" s="2" t="s">
        <v>171</v>
      </c>
      <c r="B161" s="4" t="s">
        <v>962</v>
      </c>
      <c r="C161" s="4" t="s">
        <v>573</v>
      </c>
      <c r="D161" s="4" t="s">
        <v>574</v>
      </c>
      <c r="E161" s="4" t="s">
        <v>575</v>
      </c>
      <c r="F161" s="4" t="s">
        <v>963</v>
      </c>
      <c r="G161" s="14">
        <v>50.57</v>
      </c>
      <c r="H161" s="10">
        <v>0</v>
      </c>
      <c r="I161" s="10">
        <v>18.130347</v>
      </c>
      <c r="J161" s="10">
        <v>4.0110700000000001</v>
      </c>
      <c r="K161" s="15">
        <v>0</v>
      </c>
      <c r="L161" s="17">
        <v>13128.831690000001</v>
      </c>
      <c r="M161" s="4" t="s">
        <v>964</v>
      </c>
      <c r="N161" s="19">
        <v>2.7892459999999999</v>
      </c>
      <c r="O161" s="19">
        <v>3.7160000000000002</v>
      </c>
      <c r="P161" s="19">
        <v>2.15</v>
      </c>
      <c r="Q161" s="19">
        <v>2.4701</v>
      </c>
      <c r="R161" s="19">
        <v>1.98</v>
      </c>
      <c r="S161" s="19">
        <v>1.7403</v>
      </c>
      <c r="T161" s="19">
        <v>1.98</v>
      </c>
      <c r="U161" s="19">
        <v>1.4527000000000001</v>
      </c>
      <c r="V161" s="19">
        <v>1</v>
      </c>
      <c r="W161" s="19">
        <v>1.0808</v>
      </c>
      <c r="X161" s="19">
        <v>1</v>
      </c>
      <c r="Y161" s="19">
        <v>1.0808</v>
      </c>
      <c r="Z161" s="4"/>
      <c r="AA161" s="4"/>
      <c r="AB161" s="4" t="e">
        <f ca="1">_xll.ciqfunctions.udf.CIQ("^SPX", "IQ_PRICEDATE", "8/12/2014")</f>
        <v>#NAME?</v>
      </c>
      <c r="AC161" s="16">
        <v>1933.7466377295</v>
      </c>
    </row>
    <row r="162" spans="1:29" x14ac:dyDescent="0.35">
      <c r="A162" s="2" t="s">
        <v>172</v>
      </c>
      <c r="B162" s="4" t="s">
        <v>965</v>
      </c>
      <c r="C162" s="4" t="s">
        <v>586</v>
      </c>
      <c r="D162" s="4" t="s">
        <v>586</v>
      </c>
      <c r="E162" s="4" t="s">
        <v>587</v>
      </c>
      <c r="F162" s="4" t="s">
        <v>951</v>
      </c>
      <c r="G162" s="14">
        <v>83.33</v>
      </c>
      <c r="H162" s="10">
        <v>7.8055570000000003</v>
      </c>
      <c r="I162" s="10">
        <v>8.3477999999999994</v>
      </c>
      <c r="J162" s="10" t="s">
        <v>534</v>
      </c>
      <c r="K162" s="15">
        <v>2.6880999999999999E-2</v>
      </c>
      <c r="L162" s="17">
        <v>11772.866233000001</v>
      </c>
      <c r="M162" s="4" t="s">
        <v>966</v>
      </c>
      <c r="N162" s="19">
        <v>9.9822699999999998</v>
      </c>
      <c r="O162" s="19">
        <v>8.8890999999999991</v>
      </c>
      <c r="P162" s="19">
        <v>9.4700000000000006</v>
      </c>
      <c r="Q162" s="19">
        <v>7.6932999999999998</v>
      </c>
      <c r="R162" s="19">
        <v>5.75</v>
      </c>
      <c r="S162" s="19">
        <v>7.2042999999999999</v>
      </c>
      <c r="T162" s="19">
        <v>5.75</v>
      </c>
      <c r="U162" s="19">
        <v>7.4515000000000002</v>
      </c>
      <c r="V162" s="19">
        <v>4.95</v>
      </c>
      <c r="W162" s="19">
        <v>7.5366</v>
      </c>
      <c r="X162" s="19">
        <v>4.95</v>
      </c>
      <c r="Y162" s="19">
        <v>7.5366</v>
      </c>
      <c r="Z162" s="4"/>
      <c r="AA162" s="4"/>
      <c r="AB162" s="4" t="e">
        <f ca="1">_xll.ciqfunctions.udf.CIQ("^SPX", "IQ_PRICEDATE", "8/13/2014")</f>
        <v>#NAME?</v>
      </c>
      <c r="AC162" s="16">
        <v>1946.7220009985001</v>
      </c>
    </row>
    <row r="163" spans="1:29" x14ac:dyDescent="0.35">
      <c r="A163" s="2" t="s">
        <v>173</v>
      </c>
      <c r="B163" s="4" t="s">
        <v>967</v>
      </c>
      <c r="C163" s="4" t="s">
        <v>525</v>
      </c>
      <c r="D163" s="4" t="s">
        <v>526</v>
      </c>
      <c r="E163" s="4" t="s">
        <v>658</v>
      </c>
      <c r="F163" s="4" t="s">
        <v>659</v>
      </c>
      <c r="G163" s="14">
        <v>79.81</v>
      </c>
      <c r="H163" s="10">
        <v>11.446998000000001</v>
      </c>
      <c r="I163" s="10">
        <v>11.246233</v>
      </c>
      <c r="J163" s="10" t="s">
        <v>534</v>
      </c>
      <c r="K163" s="15">
        <v>3.3077999999999996E-2</v>
      </c>
      <c r="L163" s="17">
        <v>34581.673000000003</v>
      </c>
      <c r="M163" s="4" t="s">
        <v>968</v>
      </c>
      <c r="N163" s="19">
        <v>7.0965980000000002</v>
      </c>
      <c r="O163" s="19">
        <v>5.6635999999999997</v>
      </c>
      <c r="P163" s="19">
        <v>6.68</v>
      </c>
      <c r="Q163" s="19">
        <v>4.9957000000000003</v>
      </c>
      <c r="R163" s="19">
        <v>4.2</v>
      </c>
      <c r="S163" s="19">
        <v>4.2914000000000003</v>
      </c>
      <c r="T163" s="19">
        <v>4.2</v>
      </c>
      <c r="U163" s="19">
        <v>4.2538</v>
      </c>
      <c r="V163" s="19">
        <v>3.76</v>
      </c>
      <c r="W163" s="19">
        <v>4.9215</v>
      </c>
      <c r="X163" s="19">
        <v>3.76</v>
      </c>
      <c r="Y163" s="19">
        <v>4.9215</v>
      </c>
      <c r="Z163" s="4"/>
      <c r="AA163" s="4"/>
      <c r="AB163" s="4" t="e">
        <f ca="1">_xll.ciqfunctions.udf.CIQ("^SPX", "IQ_PRICEDATE", "8/14/2014")</f>
        <v>#NAME?</v>
      </c>
      <c r="AC163" s="16">
        <v>1955.1824066605</v>
      </c>
    </row>
    <row r="164" spans="1:29" x14ac:dyDescent="0.35">
      <c r="A164" s="2" t="s">
        <v>174</v>
      </c>
      <c r="B164" s="4" t="s">
        <v>969</v>
      </c>
      <c r="C164" s="4" t="s">
        <v>559</v>
      </c>
      <c r="D164" s="4" t="s">
        <v>560</v>
      </c>
      <c r="E164" s="4" t="s">
        <v>631</v>
      </c>
      <c r="F164" s="4" t="s">
        <v>631</v>
      </c>
      <c r="G164" s="14">
        <v>32.020000000000003</v>
      </c>
      <c r="H164" s="10">
        <v>12.302358</v>
      </c>
      <c r="I164" s="10" t="s">
        <v>534</v>
      </c>
      <c r="J164" s="10">
        <v>17.361722</v>
      </c>
      <c r="K164" s="15">
        <v>0</v>
      </c>
      <c r="L164" s="17">
        <v>31685.378543999999</v>
      </c>
      <c r="M164" s="4" t="s">
        <v>970</v>
      </c>
      <c r="N164" s="19">
        <v>-1.0063439999999999</v>
      </c>
      <c r="O164" s="19">
        <v>2.4251</v>
      </c>
      <c r="P164" s="19">
        <v>-0.95112699999999994</v>
      </c>
      <c r="Q164" s="19">
        <v>2.1625000000000001</v>
      </c>
      <c r="R164" s="19">
        <v>6.37</v>
      </c>
      <c r="S164" s="19">
        <v>2.0257999999999998</v>
      </c>
      <c r="T164" s="19">
        <v>6.37</v>
      </c>
      <c r="U164" s="19">
        <v>1.9221999999999999</v>
      </c>
      <c r="V164" s="19">
        <v>-0.69144600000000001</v>
      </c>
      <c r="W164" s="19">
        <v>3.1837</v>
      </c>
      <c r="X164" s="19">
        <v>-0.69144600000000001</v>
      </c>
      <c r="Y164" s="19">
        <v>3.1837</v>
      </c>
      <c r="Z164" s="4"/>
      <c r="AA164" s="4"/>
      <c r="AB164" s="4" t="e">
        <f ca="1">_xll.ciqfunctions.udf.CIQ("^SPX", "IQ_PRICEDATE", "8/15/2014")</f>
        <v>#NAME?</v>
      </c>
      <c r="AC164" s="16">
        <v>1955.0626293536</v>
      </c>
    </row>
    <row r="165" spans="1:29" x14ac:dyDescent="0.35">
      <c r="A165" s="2" t="s">
        <v>175</v>
      </c>
      <c r="B165" s="4" t="s">
        <v>971</v>
      </c>
      <c r="C165" s="4" t="s">
        <v>586</v>
      </c>
      <c r="D165" s="4" t="s">
        <v>586</v>
      </c>
      <c r="E165" s="4" t="s">
        <v>587</v>
      </c>
      <c r="F165" s="4" t="s">
        <v>598</v>
      </c>
      <c r="G165" s="14">
        <v>148.52000000000001</v>
      </c>
      <c r="H165" s="10">
        <v>16.581890000000001</v>
      </c>
      <c r="I165" s="10">
        <v>27.950265999999999</v>
      </c>
      <c r="J165" s="10" t="s">
        <v>534</v>
      </c>
      <c r="K165" s="15">
        <v>1.1042000000000001E-2</v>
      </c>
      <c r="L165" s="17">
        <v>42907.971879999997</v>
      </c>
      <c r="M165" s="4" t="s">
        <v>972</v>
      </c>
      <c r="N165" s="19">
        <v>5.3137239999999997</v>
      </c>
      <c r="O165" s="19">
        <v>5.7054</v>
      </c>
      <c r="P165" s="19">
        <v>5.13</v>
      </c>
      <c r="Q165" s="19">
        <v>5.1037999999999997</v>
      </c>
      <c r="R165" s="19">
        <v>4.1399999999999997</v>
      </c>
      <c r="S165" s="19">
        <v>4.7667999999999999</v>
      </c>
      <c r="T165" s="19">
        <v>4.1399999999999997</v>
      </c>
      <c r="U165" s="19">
        <v>4.7922000000000002</v>
      </c>
      <c r="V165" s="19">
        <v>3.93</v>
      </c>
      <c r="W165" s="19">
        <v>4.6219000000000001</v>
      </c>
      <c r="X165" s="19">
        <v>3.93</v>
      </c>
      <c r="Y165" s="19">
        <v>4.6219000000000001</v>
      </c>
      <c r="Z165" s="4"/>
      <c r="AA165" s="4"/>
      <c r="AB165" s="4" t="e">
        <f ca="1">_xll.ciqfunctions.udf.CIQ("^SPX", "IQ_PRICEDATE", "8/18/2014")</f>
        <v>#NAME?</v>
      </c>
      <c r="AC165" s="16">
        <v>1971.7400377105</v>
      </c>
    </row>
    <row r="166" spans="1:29" x14ac:dyDescent="0.35">
      <c r="A166" s="2" t="s">
        <v>176</v>
      </c>
      <c r="B166" s="4" t="s">
        <v>973</v>
      </c>
      <c r="C166" s="4" t="s">
        <v>619</v>
      </c>
      <c r="D166" s="4" t="s">
        <v>619</v>
      </c>
      <c r="E166" s="4" t="s">
        <v>620</v>
      </c>
      <c r="F166" s="4" t="s">
        <v>620</v>
      </c>
      <c r="G166" s="14">
        <v>69.58</v>
      </c>
      <c r="H166" s="10">
        <v>9.8519109999999994</v>
      </c>
      <c r="I166" s="10">
        <v>54.643993000000002</v>
      </c>
      <c r="J166" s="10">
        <v>1.924606</v>
      </c>
      <c r="K166" s="15">
        <v>3.4780000000000005E-2</v>
      </c>
      <c r="L166" s="17">
        <v>22669.943713000001</v>
      </c>
      <c r="M166" s="4" t="s">
        <v>974</v>
      </c>
      <c r="N166" s="19">
        <v>1.273333</v>
      </c>
      <c r="O166" s="19">
        <v>4.3735999999999997</v>
      </c>
      <c r="P166" s="19">
        <v>1.72</v>
      </c>
      <c r="Q166" s="19">
        <v>4.4199000000000002</v>
      </c>
      <c r="R166" s="19">
        <v>3.9393929999999999</v>
      </c>
      <c r="S166" s="19">
        <v>4.1204000000000001</v>
      </c>
      <c r="T166" s="19">
        <v>3.9393929999999999</v>
      </c>
      <c r="U166" s="19">
        <v>3.6566000000000001</v>
      </c>
      <c r="V166" s="19">
        <v>4.3373860000000004</v>
      </c>
      <c r="W166" s="19">
        <v>3.7683</v>
      </c>
      <c r="X166" s="19">
        <v>4.3373860000000004</v>
      </c>
      <c r="Y166" s="19">
        <v>3.7683</v>
      </c>
      <c r="Z166" s="4"/>
      <c r="AA166" s="4"/>
      <c r="AB166" s="4" t="e">
        <f ca="1">_xll.ciqfunctions.udf.CIQ("^SPX", "IQ_PRICEDATE", "8/19/2014")</f>
        <v>#NAME?</v>
      </c>
      <c r="AC166" s="16">
        <v>1981.6009829652</v>
      </c>
    </row>
    <row r="167" spans="1:29" x14ac:dyDescent="0.35">
      <c r="A167" s="2" t="s">
        <v>177</v>
      </c>
      <c r="B167" s="4" t="s">
        <v>975</v>
      </c>
      <c r="C167" s="4" t="s">
        <v>530</v>
      </c>
      <c r="D167" s="4" t="s">
        <v>531</v>
      </c>
      <c r="E167" s="4" t="s">
        <v>532</v>
      </c>
      <c r="F167" s="4" t="s">
        <v>533</v>
      </c>
      <c r="G167" s="14">
        <v>148.63</v>
      </c>
      <c r="H167" s="10">
        <v>28.791409999999999</v>
      </c>
      <c r="I167" s="10">
        <v>48.815831000000003</v>
      </c>
      <c r="J167" s="10">
        <v>19.684348</v>
      </c>
      <c r="K167" s="15">
        <v>0</v>
      </c>
      <c r="L167" s="17">
        <v>31121.037909999999</v>
      </c>
      <c r="M167" s="4" t="s">
        <v>976</v>
      </c>
      <c r="N167" s="19">
        <v>3.0447090000000001</v>
      </c>
      <c r="O167" s="19">
        <v>4.8441000000000001</v>
      </c>
      <c r="P167" s="19">
        <v>2.7</v>
      </c>
      <c r="Q167" s="19">
        <v>4.0354000000000001</v>
      </c>
      <c r="R167" s="19">
        <v>2.61</v>
      </c>
      <c r="S167" s="19">
        <v>3.2158000000000002</v>
      </c>
      <c r="T167" s="19">
        <v>2.61</v>
      </c>
      <c r="U167" s="19">
        <v>2.3344</v>
      </c>
      <c r="V167" s="19">
        <v>3.74</v>
      </c>
      <c r="W167" s="19">
        <v>1.9337</v>
      </c>
      <c r="X167" s="19">
        <v>3.74</v>
      </c>
      <c r="Y167" s="19">
        <v>1.9337</v>
      </c>
      <c r="Z167" s="4"/>
      <c r="AA167" s="4"/>
      <c r="AB167" s="4" t="e">
        <f ca="1">_xll.ciqfunctions.udf.CIQ("^SPX", "IQ_PRICEDATE", "8/20/2014")</f>
        <v>#NAME?</v>
      </c>
      <c r="AC167" s="16">
        <v>1986.5059612120999</v>
      </c>
    </row>
    <row r="168" spans="1:29" x14ac:dyDescent="0.35">
      <c r="A168" s="2" t="s">
        <v>178</v>
      </c>
      <c r="B168" s="4" t="s">
        <v>977</v>
      </c>
      <c r="C168" s="4" t="s">
        <v>549</v>
      </c>
      <c r="D168" s="4" t="s">
        <v>550</v>
      </c>
      <c r="E168" s="4" t="s">
        <v>551</v>
      </c>
      <c r="F168" s="4" t="s">
        <v>552</v>
      </c>
      <c r="G168" s="14">
        <v>108.79</v>
      </c>
      <c r="H168" s="10">
        <v>25.780193000000001</v>
      </c>
      <c r="I168" s="10">
        <v>48.946077000000002</v>
      </c>
      <c r="J168" s="10">
        <v>10.156397</v>
      </c>
      <c r="K168" s="15">
        <v>0</v>
      </c>
      <c r="L168" s="17">
        <v>33161.178505000003</v>
      </c>
      <c r="M168" s="4" t="s">
        <v>978</v>
      </c>
      <c r="N168" s="19">
        <v>2.2226499999999998</v>
      </c>
      <c r="O168" s="19">
        <v>4.9043000000000001</v>
      </c>
      <c r="P168" s="19">
        <v>3.2063999999999999</v>
      </c>
      <c r="Q168" s="19">
        <v>4.4755000000000003</v>
      </c>
      <c r="R168" s="19">
        <v>4.1187959999999997</v>
      </c>
      <c r="S168" s="19">
        <v>4.0602999999999998</v>
      </c>
      <c r="T168" s="19">
        <v>4.1187959999999997</v>
      </c>
      <c r="U168" s="19">
        <v>3.3176999999999999</v>
      </c>
      <c r="V168" s="19">
        <v>2.5926659999999999</v>
      </c>
      <c r="W168" s="19">
        <v>2.0335999999999999</v>
      </c>
      <c r="X168" s="19">
        <v>2.5926659999999999</v>
      </c>
      <c r="Y168" s="19">
        <v>2.0335999999999999</v>
      </c>
      <c r="Z168" s="4"/>
      <c r="AA168" s="4"/>
      <c r="AB168" s="4" t="e">
        <f ca="1">_xll.ciqfunctions.udf.CIQ("^SPX", "IQ_PRICEDATE", "8/21/2014")</f>
        <v>#NAME?</v>
      </c>
      <c r="AC168" s="16">
        <v>1992.3660382058999</v>
      </c>
    </row>
    <row r="169" spans="1:29" x14ac:dyDescent="0.35">
      <c r="A169" s="2" t="s">
        <v>179</v>
      </c>
      <c r="B169" s="4" t="s">
        <v>979</v>
      </c>
      <c r="C169" s="4" t="s">
        <v>530</v>
      </c>
      <c r="D169" s="4" t="s">
        <v>537</v>
      </c>
      <c r="E169" s="4" t="s">
        <v>613</v>
      </c>
      <c r="F169" s="4" t="s">
        <v>613</v>
      </c>
      <c r="G169" s="14">
        <v>113.59</v>
      </c>
      <c r="H169" s="10">
        <v>16.094757999999999</v>
      </c>
      <c r="I169" s="10" t="s">
        <v>534</v>
      </c>
      <c r="J169" s="10">
        <v>33.918964000000003</v>
      </c>
      <c r="K169" s="15">
        <v>1.9807999999999999E-2</v>
      </c>
      <c r="L169" s="17">
        <v>113306.331693</v>
      </c>
      <c r="M169" s="4" t="s">
        <v>980</v>
      </c>
      <c r="N169" s="19">
        <v>-0.137736</v>
      </c>
      <c r="O169" s="19">
        <v>5.5380000000000003</v>
      </c>
      <c r="P169" s="19">
        <v>-0.19400700000000001</v>
      </c>
      <c r="Q169" s="19">
        <v>4.5490000000000004</v>
      </c>
      <c r="R169" s="19">
        <v>2.58</v>
      </c>
      <c r="S169" s="19">
        <v>3.9485999999999999</v>
      </c>
      <c r="T169" s="19">
        <v>2.58</v>
      </c>
      <c r="U169" s="19">
        <v>3.448</v>
      </c>
      <c r="V169" s="19">
        <v>2.23</v>
      </c>
      <c r="W169" s="19">
        <v>3.0585</v>
      </c>
      <c r="X169" s="19">
        <v>2.23</v>
      </c>
      <c r="Y169" s="19">
        <v>3.0585</v>
      </c>
      <c r="Z169" s="4"/>
      <c r="AA169" s="4"/>
      <c r="AB169" s="4" t="e">
        <f ca="1">_xll.ciqfunctions.udf.CIQ("^SPX", "IQ_PRICEDATE", "8/22/2014")</f>
        <v>#NAME?</v>
      </c>
      <c r="AC169" s="16">
        <v>1988.4024349268</v>
      </c>
    </row>
    <row r="170" spans="1:29" x14ac:dyDescent="0.35">
      <c r="A170" s="2" t="s">
        <v>180</v>
      </c>
      <c r="B170" s="4" t="s">
        <v>981</v>
      </c>
      <c r="C170" s="4" t="s">
        <v>525</v>
      </c>
      <c r="D170" s="4" t="s">
        <v>526</v>
      </c>
      <c r="E170" s="4" t="s">
        <v>658</v>
      </c>
      <c r="F170" s="4" t="s">
        <v>659</v>
      </c>
      <c r="G170" s="14">
        <v>74</v>
      </c>
      <c r="H170" s="10">
        <v>13.781332000000001</v>
      </c>
      <c r="I170" s="10">
        <v>22.696148999999998</v>
      </c>
      <c r="J170" s="10">
        <v>91.002887999999999</v>
      </c>
      <c r="K170" s="15">
        <v>2.6216E-2</v>
      </c>
      <c r="L170" s="17">
        <v>46506.450773999997</v>
      </c>
      <c r="M170" s="4" t="s">
        <v>982</v>
      </c>
      <c r="N170" s="19">
        <v>3.2604649999999999</v>
      </c>
      <c r="O170" s="19">
        <v>3.5472999999999999</v>
      </c>
      <c r="P170" s="19">
        <v>2.5902910000000001</v>
      </c>
      <c r="Q170" s="19">
        <v>2.95017</v>
      </c>
      <c r="R170" s="19">
        <v>2.5518689999999999</v>
      </c>
      <c r="S170" s="19">
        <v>2.40157</v>
      </c>
      <c r="T170" s="19">
        <v>2.5518689999999999</v>
      </c>
      <c r="U170" s="19">
        <v>3.0723799999999999</v>
      </c>
      <c r="V170" s="19">
        <v>3.131192</v>
      </c>
      <c r="W170" s="19">
        <v>3.9719000000000002</v>
      </c>
      <c r="X170" s="19">
        <v>3.131192</v>
      </c>
      <c r="Y170" s="19">
        <v>3.9719000000000002</v>
      </c>
      <c r="Z170" s="4"/>
      <c r="AA170" s="4"/>
      <c r="AB170" s="4" t="e">
        <f ca="1">_xll.ciqfunctions.udf.CIQ("^SPX", "IQ_PRICEDATE", "8/25/2014")</f>
        <v>#NAME?</v>
      </c>
      <c r="AC170" s="16">
        <v>1997.9218098548999</v>
      </c>
    </row>
    <row r="171" spans="1:29" x14ac:dyDescent="0.35">
      <c r="A171" s="2" t="s">
        <v>181</v>
      </c>
      <c r="B171" s="4" t="s">
        <v>983</v>
      </c>
      <c r="C171" s="4" t="s">
        <v>619</v>
      </c>
      <c r="D171" s="4" t="s">
        <v>619</v>
      </c>
      <c r="E171" s="4" t="s">
        <v>620</v>
      </c>
      <c r="F171" s="4" t="s">
        <v>620</v>
      </c>
      <c r="G171" s="14">
        <v>82.63</v>
      </c>
      <c r="H171" s="10">
        <v>9.4988519999999994</v>
      </c>
      <c r="I171" s="10">
        <v>50.475062999999999</v>
      </c>
      <c r="J171" s="10">
        <v>1.954523</v>
      </c>
      <c r="K171" s="15">
        <v>4.3083000000000003E-2</v>
      </c>
      <c r="L171" s="17">
        <v>14944.051294000001</v>
      </c>
      <c r="M171" s="4" t="s">
        <v>984</v>
      </c>
      <c r="N171" s="19">
        <v>1.637046</v>
      </c>
      <c r="O171" s="19">
        <v>6.2205000000000004</v>
      </c>
      <c r="P171" s="19">
        <v>2.2799990000000001</v>
      </c>
      <c r="Q171" s="19">
        <v>5.3472</v>
      </c>
      <c r="R171" s="19">
        <v>-3.2625190000000002</v>
      </c>
      <c r="S171" s="19">
        <v>4.5500999999999996</v>
      </c>
      <c r="T171" s="19">
        <v>-3.2625190000000002</v>
      </c>
      <c r="U171" s="19">
        <v>5.7759</v>
      </c>
      <c r="V171" s="19">
        <v>5.22</v>
      </c>
      <c r="W171" s="19">
        <v>5.6532999999999998</v>
      </c>
      <c r="X171" s="19">
        <v>5.22</v>
      </c>
      <c r="Y171" s="19">
        <v>5.6532999999999998</v>
      </c>
      <c r="Z171" s="4"/>
      <c r="AA171" s="4"/>
      <c r="AB171" s="4" t="e">
        <f ca="1">_xll.ciqfunctions.udf.CIQ("^SPX", "IQ_PRICEDATE", "8/26/2014")</f>
        <v>#NAME?</v>
      </c>
      <c r="AC171" s="16">
        <v>2000.0200490082</v>
      </c>
    </row>
    <row r="172" spans="1:29" x14ac:dyDescent="0.35">
      <c r="A172" s="2" t="s">
        <v>182</v>
      </c>
      <c r="B172" s="4" t="s">
        <v>985</v>
      </c>
      <c r="C172" s="4" t="s">
        <v>669</v>
      </c>
      <c r="D172" s="4" t="s">
        <v>669</v>
      </c>
      <c r="E172" s="4" t="s">
        <v>670</v>
      </c>
      <c r="F172" s="4" t="s">
        <v>671</v>
      </c>
      <c r="G172" s="14">
        <v>120.14</v>
      </c>
      <c r="H172" s="10">
        <v>11.950936</v>
      </c>
      <c r="I172" s="10">
        <v>18.020153000000001</v>
      </c>
      <c r="J172" s="10">
        <v>3.987047</v>
      </c>
      <c r="K172" s="15">
        <v>7.3240000000000006E-3</v>
      </c>
      <c r="L172" s="17">
        <v>69585.182190000007</v>
      </c>
      <c r="M172" s="4" t="s">
        <v>986</v>
      </c>
      <c r="N172" s="19">
        <v>6.6669799999999997</v>
      </c>
      <c r="O172" s="19">
        <v>6.6513</v>
      </c>
      <c r="P172" s="19">
        <v>4.46</v>
      </c>
      <c r="Q172" s="19">
        <v>1.89</v>
      </c>
      <c r="R172" s="19">
        <v>-1.981781</v>
      </c>
      <c r="S172" s="19">
        <v>7.17E-2</v>
      </c>
      <c r="T172" s="19">
        <v>-1.981781</v>
      </c>
      <c r="U172" s="19">
        <v>-0.29499999999999998</v>
      </c>
      <c r="V172" s="19">
        <v>5.32</v>
      </c>
      <c r="W172" s="19">
        <v>3.0949</v>
      </c>
      <c r="X172" s="19">
        <v>5.32</v>
      </c>
      <c r="Y172" s="19">
        <v>3.0949</v>
      </c>
      <c r="Z172" s="4"/>
      <c r="AA172" s="4"/>
      <c r="AB172" s="4" t="e">
        <f ca="1">_xll.ciqfunctions.udf.CIQ("^SPX", "IQ_PRICEDATE", "8/27/2014")</f>
        <v>#NAME?</v>
      </c>
      <c r="AC172" s="16">
        <v>2000.1177053447</v>
      </c>
    </row>
    <row r="173" spans="1:29" x14ac:dyDescent="0.35">
      <c r="A173" s="2" t="s">
        <v>183</v>
      </c>
      <c r="B173" s="4" t="s">
        <v>987</v>
      </c>
      <c r="C173" s="4" t="s">
        <v>669</v>
      </c>
      <c r="D173" s="4" t="s">
        <v>669</v>
      </c>
      <c r="E173" s="4" t="s">
        <v>670</v>
      </c>
      <c r="F173" s="4" t="s">
        <v>671</v>
      </c>
      <c r="G173" s="14">
        <v>47.36</v>
      </c>
      <c r="H173" s="10">
        <v>8.3941149999999993</v>
      </c>
      <c r="I173" s="10" t="s">
        <v>534</v>
      </c>
      <c r="J173" s="10">
        <v>1.393189</v>
      </c>
      <c r="K173" s="15">
        <v>2.5330000000000001E-3</v>
      </c>
      <c r="L173" s="17">
        <v>12518.71616</v>
      </c>
      <c r="M173" s="4" t="s">
        <v>988</v>
      </c>
      <c r="N173" s="19">
        <v>-1.1355040000000001</v>
      </c>
      <c r="O173" s="19">
        <v>2.0722</v>
      </c>
      <c r="P173" s="19">
        <v>8.0399999999999991</v>
      </c>
      <c r="Q173" s="19">
        <v>1.4916</v>
      </c>
      <c r="R173" s="19">
        <v>-2.7128299999999999</v>
      </c>
      <c r="S173" s="19">
        <v>0.21540000000000001</v>
      </c>
      <c r="T173" s="19">
        <v>-2.7128299999999999</v>
      </c>
      <c r="U173" s="19">
        <v>-0.4002</v>
      </c>
      <c r="V173" s="19">
        <v>2.5299999999999998</v>
      </c>
      <c r="W173" s="19">
        <v>2.6046</v>
      </c>
      <c r="X173" s="19">
        <v>2.5299999999999998</v>
      </c>
      <c r="Y173" s="19">
        <v>2.6046</v>
      </c>
      <c r="Z173" s="4"/>
      <c r="AA173" s="4"/>
      <c r="AB173" s="4" t="e">
        <f ca="1">_xll.ciqfunctions.udf.CIQ("^SPX", "IQ_PRICEDATE", "8/28/2014")</f>
        <v>#NAME?</v>
      </c>
      <c r="AC173" s="16">
        <v>1996.740450988</v>
      </c>
    </row>
    <row r="174" spans="1:29" x14ac:dyDescent="0.35">
      <c r="A174" s="2" t="s">
        <v>184</v>
      </c>
      <c r="B174" s="4" t="s">
        <v>989</v>
      </c>
      <c r="C174" s="4" t="s">
        <v>525</v>
      </c>
      <c r="D174" s="4" t="s">
        <v>855</v>
      </c>
      <c r="E174" s="4" t="s">
        <v>990</v>
      </c>
      <c r="F174" s="4" t="s">
        <v>991</v>
      </c>
      <c r="G174" s="14">
        <v>124.27</v>
      </c>
      <c r="H174" s="10">
        <v>17.628937000000001</v>
      </c>
      <c r="I174" s="10">
        <v>29.884326999999999</v>
      </c>
      <c r="J174" s="10" t="s">
        <v>534</v>
      </c>
      <c r="K174" s="15">
        <v>1.2553000000000002E-2</v>
      </c>
      <c r="L174" s="17">
        <v>14963.620117</v>
      </c>
      <c r="M174" s="4" t="s">
        <v>992</v>
      </c>
      <c r="N174" s="19">
        <v>4.1583670000000001</v>
      </c>
      <c r="O174" s="19">
        <v>5.9768999999999997</v>
      </c>
      <c r="P174" s="19">
        <v>4.83</v>
      </c>
      <c r="Q174" s="19">
        <v>5.7621000000000002</v>
      </c>
      <c r="R174" s="19">
        <v>4.04</v>
      </c>
      <c r="S174" s="19">
        <v>5.8643999999999998</v>
      </c>
      <c r="T174" s="19">
        <v>4.04</v>
      </c>
      <c r="U174" s="19">
        <v>4.8018999999999998</v>
      </c>
      <c r="V174" s="19">
        <v>2.97</v>
      </c>
      <c r="W174" s="19">
        <v>4.1630000000000003</v>
      </c>
      <c r="X174" s="19">
        <v>2.97</v>
      </c>
      <c r="Y174" s="19">
        <v>4.1630000000000003</v>
      </c>
      <c r="Z174" s="4"/>
      <c r="AA174" s="4"/>
      <c r="AB174" s="4" t="e">
        <f ca="1">_xll.ciqfunctions.udf.CIQ("^SPX", "IQ_PRICEDATE", "8/29/2014")</f>
        <v>#NAME?</v>
      </c>
      <c r="AC174" s="16">
        <v>2003.3676954513001</v>
      </c>
    </row>
    <row r="175" spans="1:29" x14ac:dyDescent="0.35">
      <c r="A175" s="2" t="s">
        <v>185</v>
      </c>
      <c r="B175" s="4" t="s">
        <v>993</v>
      </c>
      <c r="C175" s="4" t="s">
        <v>601</v>
      </c>
      <c r="D175" s="4" t="s">
        <v>601</v>
      </c>
      <c r="E175" s="4" t="s">
        <v>602</v>
      </c>
      <c r="F175" s="4" t="s">
        <v>647</v>
      </c>
      <c r="G175" s="14">
        <v>410.44</v>
      </c>
      <c r="H175" s="10">
        <v>20.167192</v>
      </c>
      <c r="I175" s="10">
        <v>118.416842</v>
      </c>
      <c r="J175" s="10" t="s">
        <v>534</v>
      </c>
      <c r="K175" s="15">
        <v>2.222E-2</v>
      </c>
      <c r="L175" s="17">
        <v>32633.279116999998</v>
      </c>
      <c r="M175" s="4" t="s">
        <v>994</v>
      </c>
      <c r="N175" s="19">
        <v>3.4660609999999998</v>
      </c>
      <c r="O175" s="19">
        <v>5.2591000000000001</v>
      </c>
      <c r="P175" s="19">
        <v>3</v>
      </c>
      <c r="Q175" s="19">
        <v>5.9145000000000003</v>
      </c>
      <c r="R175" s="19">
        <v>1.62</v>
      </c>
      <c r="S175" s="19">
        <v>4.3853999999999997</v>
      </c>
      <c r="T175" s="19">
        <v>1.62</v>
      </c>
      <c r="U175" s="19">
        <v>5.8022</v>
      </c>
      <c r="V175" s="19">
        <v>-4.9570650000000001</v>
      </c>
      <c r="W175" s="19">
        <v>5.0716999999999999</v>
      </c>
      <c r="X175" s="19">
        <v>-4.9570650000000001</v>
      </c>
      <c r="Y175" s="19">
        <v>5.0716999999999999</v>
      </c>
      <c r="Z175" s="4"/>
      <c r="AA175" s="4"/>
      <c r="AB175" s="4" t="e">
        <f ca="1">_xll.ciqfunctions.udf.CIQ("^SPX", "IQ_PRICEDATE", "9/2/2014")</f>
        <v>#NAME?</v>
      </c>
      <c r="AC175" s="16">
        <v>2002.2844031136001</v>
      </c>
    </row>
    <row r="176" spans="1:29" x14ac:dyDescent="0.35">
      <c r="A176" s="2" t="s">
        <v>186</v>
      </c>
      <c r="B176" s="4" t="s">
        <v>995</v>
      </c>
      <c r="C176" s="4" t="s">
        <v>601</v>
      </c>
      <c r="D176" s="4" t="s">
        <v>601</v>
      </c>
      <c r="E176" s="4" t="s">
        <v>602</v>
      </c>
      <c r="F176" s="4" t="s">
        <v>685</v>
      </c>
      <c r="G176" s="14">
        <v>64.069999999999993</v>
      </c>
      <c r="H176" s="10">
        <v>20.299168999999999</v>
      </c>
      <c r="I176" s="10">
        <v>40.351301999999997</v>
      </c>
      <c r="J176" s="10">
        <v>2.3589289999999998</v>
      </c>
      <c r="K176" s="15">
        <v>3.3713E-2</v>
      </c>
      <c r="L176" s="17">
        <v>23595.826138</v>
      </c>
      <c r="M176" s="4" t="s">
        <v>996</v>
      </c>
      <c r="N176" s="19">
        <v>1.5878049999999999</v>
      </c>
      <c r="O176" s="19">
        <v>1.5105999999999999</v>
      </c>
      <c r="P176" s="19">
        <v>1.6279140000000001</v>
      </c>
      <c r="Q176" s="19">
        <v>1.3</v>
      </c>
      <c r="R176" s="19">
        <v>11.675807000000001</v>
      </c>
      <c r="S176" s="19">
        <v>1.2935000000000001</v>
      </c>
      <c r="T176" s="19">
        <v>11.675807000000001</v>
      </c>
      <c r="U176" s="19">
        <v>1.4645999999999999</v>
      </c>
      <c r="V176" s="19">
        <v>1.721873</v>
      </c>
      <c r="W176" s="19">
        <v>1.1733</v>
      </c>
      <c r="X176" s="19">
        <v>1.721873</v>
      </c>
      <c r="Y176" s="19">
        <v>1.1733</v>
      </c>
      <c r="Z176" s="4"/>
      <c r="AA176" s="4"/>
      <c r="AB176" s="4" t="e">
        <f ca="1">_xll.ciqfunctions.udf.CIQ("^SPX", "IQ_PRICEDATE", "9/3/2014")</f>
        <v>#NAME?</v>
      </c>
      <c r="AC176" s="16">
        <v>2000.7236315149</v>
      </c>
    </row>
    <row r="177" spans="1:29" x14ac:dyDescent="0.35">
      <c r="A177" s="2" t="s">
        <v>187</v>
      </c>
      <c r="B177" s="4" t="s">
        <v>997</v>
      </c>
      <c r="C177" s="4" t="s">
        <v>601</v>
      </c>
      <c r="D177" s="4" t="s">
        <v>601</v>
      </c>
      <c r="E177" s="4" t="s">
        <v>602</v>
      </c>
      <c r="F177" s="4" t="s">
        <v>685</v>
      </c>
      <c r="G177" s="14">
        <v>242.8</v>
      </c>
      <c r="H177" s="10">
        <v>22.115749000000001</v>
      </c>
      <c r="I177" s="10">
        <v>42.851011</v>
      </c>
      <c r="J177" s="10">
        <v>2.5238239999999998</v>
      </c>
      <c r="K177" s="15">
        <v>3.0641999999999999E-2</v>
      </c>
      <c r="L177" s="17">
        <v>16036.964523000001</v>
      </c>
      <c r="M177" s="4" t="s">
        <v>998</v>
      </c>
      <c r="N177" s="19">
        <v>5.6661440000000001</v>
      </c>
      <c r="O177" s="19">
        <v>5.0091000000000001</v>
      </c>
      <c r="P177" s="19">
        <v>6.5699990000000001</v>
      </c>
      <c r="Q177" s="19">
        <v>4.6839000000000004</v>
      </c>
      <c r="R177" s="19">
        <v>6.2699990000000003</v>
      </c>
      <c r="S177" s="19">
        <v>4.2704000000000004</v>
      </c>
      <c r="T177" s="19">
        <v>6.2699990000000003</v>
      </c>
      <c r="U177" s="19">
        <v>2.9306999999999999</v>
      </c>
      <c r="V177" s="19">
        <v>2.06</v>
      </c>
      <c r="W177" s="19">
        <v>2.1476000000000002</v>
      </c>
      <c r="X177" s="19">
        <v>2.06</v>
      </c>
      <c r="Y177" s="19">
        <v>2.1476000000000002</v>
      </c>
      <c r="Z177" s="4"/>
      <c r="AA177" s="4"/>
      <c r="AB177" s="4" t="e">
        <f ca="1">_xll.ciqfunctions.udf.CIQ("^SPX", "IQ_PRICEDATE", "9/4/2014")</f>
        <v>#NAME?</v>
      </c>
      <c r="AC177" s="16">
        <v>1997.6509320497</v>
      </c>
    </row>
    <row r="178" spans="1:29" x14ac:dyDescent="0.35">
      <c r="A178" s="2" t="s">
        <v>188</v>
      </c>
      <c r="B178" s="4" t="s">
        <v>999</v>
      </c>
      <c r="C178" s="4" t="s">
        <v>573</v>
      </c>
      <c r="D178" s="4" t="s">
        <v>579</v>
      </c>
      <c r="E178" s="4" t="s">
        <v>579</v>
      </c>
      <c r="F178" s="4" t="s">
        <v>1000</v>
      </c>
      <c r="G178" s="14">
        <v>216.01</v>
      </c>
      <c r="H178" s="10">
        <v>0</v>
      </c>
      <c r="I178" s="10">
        <v>42.051177000000003</v>
      </c>
      <c r="J178" s="10">
        <v>1.0709660000000001</v>
      </c>
      <c r="K178" s="15">
        <v>2.4072E-2</v>
      </c>
      <c r="L178" s="17">
        <v>8825.1840260000008</v>
      </c>
      <c r="M178" s="4" t="s">
        <v>1001</v>
      </c>
      <c r="N178" s="19">
        <v>5.1368359999999997</v>
      </c>
      <c r="O178" s="19">
        <v>23.686399999999999</v>
      </c>
      <c r="P178" s="19">
        <v>11.36</v>
      </c>
      <c r="Q178" s="19">
        <v>19.404699999999998</v>
      </c>
      <c r="R178" s="19">
        <v>23.68</v>
      </c>
      <c r="S178" s="19">
        <v>16.449300000000001</v>
      </c>
      <c r="T178" s="19">
        <v>23.68</v>
      </c>
      <c r="U178" s="19">
        <v>18.015499999999999</v>
      </c>
      <c r="V178" s="19">
        <v>25.91</v>
      </c>
      <c r="W178" s="19">
        <v>17.809699999999999</v>
      </c>
      <c r="X178" s="19">
        <v>25.91</v>
      </c>
      <c r="Y178" s="19">
        <v>17.809699999999999</v>
      </c>
      <c r="Z178" s="4"/>
      <c r="AA178" s="4"/>
      <c r="AB178" s="4" t="e">
        <f ca="1">_xll.ciqfunctions.udf.CIQ("^SPX", "IQ_PRICEDATE", "9/5/2014")</f>
        <v>#NAME?</v>
      </c>
      <c r="AC178" s="16">
        <v>2007.7119082391</v>
      </c>
    </row>
    <row r="179" spans="1:29" x14ac:dyDescent="0.35">
      <c r="A179" s="2" t="s">
        <v>189</v>
      </c>
      <c r="B179" s="4" t="s">
        <v>1002</v>
      </c>
      <c r="C179" s="4" t="s">
        <v>619</v>
      </c>
      <c r="D179" s="4" t="s">
        <v>619</v>
      </c>
      <c r="E179" s="4" t="s">
        <v>620</v>
      </c>
      <c r="F179" s="4" t="s">
        <v>620</v>
      </c>
      <c r="G179" s="14">
        <v>56.01</v>
      </c>
      <c r="H179" s="10">
        <v>20.242328000000001</v>
      </c>
      <c r="I179" s="10">
        <v>24.079768000000001</v>
      </c>
      <c r="J179" s="10">
        <v>1.76854</v>
      </c>
      <c r="K179" s="15">
        <v>2.8565999999999998E-2</v>
      </c>
      <c r="L179" s="17">
        <v>15217.236422</v>
      </c>
      <c r="M179" s="4" t="s">
        <v>1003</v>
      </c>
      <c r="N179" s="19">
        <v>2.3260190000000001</v>
      </c>
      <c r="O179" s="19">
        <v>2.7218</v>
      </c>
      <c r="P179" s="19">
        <v>2.2696000000000001</v>
      </c>
      <c r="Q179" s="19">
        <v>0</v>
      </c>
      <c r="R179" s="19">
        <v>2.4300000000000002</v>
      </c>
      <c r="S179" s="19">
        <v>0</v>
      </c>
      <c r="T179" s="19">
        <v>2.4300000000000002</v>
      </c>
      <c r="U179" s="19">
        <v>0</v>
      </c>
      <c r="V179" s="19">
        <v>2.35</v>
      </c>
      <c r="W179" s="19">
        <v>0</v>
      </c>
      <c r="X179" s="19">
        <v>2.35</v>
      </c>
      <c r="Y179" s="19">
        <v>0</v>
      </c>
      <c r="Z179" s="4"/>
      <c r="AA179" s="4"/>
      <c r="AB179" s="4" t="e">
        <f ca="1">_xll.ciqfunctions.udf.CIQ("^SPX", "IQ_PRICEDATE", "9/8/2014")</f>
        <v>#NAME?</v>
      </c>
      <c r="AC179" s="16">
        <v>2001.5407326029001</v>
      </c>
    </row>
    <row r="180" spans="1:29" x14ac:dyDescent="0.35">
      <c r="A180" s="2" t="s">
        <v>190</v>
      </c>
      <c r="B180" s="4" t="s">
        <v>1004</v>
      </c>
      <c r="C180" s="4" t="s">
        <v>619</v>
      </c>
      <c r="D180" s="4" t="s">
        <v>619</v>
      </c>
      <c r="E180" s="4" t="s">
        <v>620</v>
      </c>
      <c r="F180" s="4" t="s">
        <v>620</v>
      </c>
      <c r="G180" s="14">
        <v>62.49</v>
      </c>
      <c r="H180" s="10">
        <v>12.843249999999999</v>
      </c>
      <c r="I180" s="10">
        <v>19.650980000000001</v>
      </c>
      <c r="J180" s="10">
        <v>2.8925380000000001</v>
      </c>
      <c r="K180" s="15">
        <v>3.2325E-2</v>
      </c>
      <c r="L180" s="17">
        <v>19802.194142</v>
      </c>
      <c r="M180" s="4" t="s">
        <v>1005</v>
      </c>
      <c r="N180" s="19">
        <v>3.1799940000000002</v>
      </c>
      <c r="O180" s="19">
        <v>3.3603000000000001</v>
      </c>
      <c r="P180" s="19">
        <v>3.11</v>
      </c>
      <c r="Q180" s="19">
        <v>3.3008000000000002</v>
      </c>
      <c r="R180" s="19">
        <v>2.9599989999999998</v>
      </c>
      <c r="S180" s="19">
        <v>3.1556000000000002</v>
      </c>
      <c r="T180" s="19">
        <v>2.9599989999999998</v>
      </c>
      <c r="U180" s="19">
        <v>2.9214000000000002</v>
      </c>
      <c r="V180" s="19">
        <v>2.5799989999999999</v>
      </c>
      <c r="W180" s="19">
        <v>2.8431000000000002</v>
      </c>
      <c r="X180" s="19">
        <v>2.5799989999999999</v>
      </c>
      <c r="Y180" s="19">
        <v>2.8431000000000002</v>
      </c>
      <c r="Z180" s="4"/>
      <c r="AA180" s="4"/>
      <c r="AB180" s="4" t="e">
        <f ca="1">_xll.ciqfunctions.udf.CIQ("^SPX", "IQ_PRICEDATE", "9/9/2014")</f>
        <v>#NAME?</v>
      </c>
      <c r="AC180" s="16">
        <v>1988.4448927521</v>
      </c>
    </row>
    <row r="181" spans="1:29" x14ac:dyDescent="0.35">
      <c r="A181" s="2" t="s">
        <v>191</v>
      </c>
      <c r="B181" s="4" t="s">
        <v>1006</v>
      </c>
      <c r="C181" s="4" t="s">
        <v>619</v>
      </c>
      <c r="D181" s="4" t="s">
        <v>619</v>
      </c>
      <c r="E181" s="4" t="s">
        <v>620</v>
      </c>
      <c r="F181" s="4" t="s">
        <v>620</v>
      </c>
      <c r="G181" s="14">
        <v>42.99</v>
      </c>
      <c r="H181" s="10">
        <v>7.7756040000000004</v>
      </c>
      <c r="I181" s="10">
        <v>10.939911</v>
      </c>
      <c r="J181" s="10">
        <v>1.741938</v>
      </c>
      <c r="K181" s="15">
        <v>3.2099999999999997E-2</v>
      </c>
      <c r="L181" s="17">
        <v>41524.329076000002</v>
      </c>
      <c r="M181" s="4" t="s">
        <v>1007</v>
      </c>
      <c r="N181" s="19">
        <v>3.9296479999999998</v>
      </c>
      <c r="O181" s="19">
        <v>3.0278</v>
      </c>
      <c r="P181" s="19">
        <v>3.97</v>
      </c>
      <c r="Q181" s="19">
        <v>2.9451000000000001</v>
      </c>
      <c r="R181" s="19">
        <v>1.22</v>
      </c>
      <c r="S181" s="19">
        <v>2.5779000000000001</v>
      </c>
      <c r="T181" s="19">
        <v>1.22</v>
      </c>
      <c r="U181" s="19">
        <v>2.3527</v>
      </c>
      <c r="V181" s="19">
        <v>1.88</v>
      </c>
      <c r="W181" s="19">
        <v>2.4390000000000001</v>
      </c>
      <c r="X181" s="19">
        <v>1.88</v>
      </c>
      <c r="Y181" s="19">
        <v>2.4390000000000001</v>
      </c>
      <c r="Z181" s="4"/>
      <c r="AA181" s="4"/>
      <c r="AB181" s="4" t="e">
        <f ca="1">_xll.ciqfunctions.udf.CIQ("^SPX", "IQ_PRICEDATE", "9/10/2014")</f>
        <v>#NAME?</v>
      </c>
      <c r="AC181" s="16">
        <v>1995.6923062226001</v>
      </c>
    </row>
    <row r="182" spans="1:29" x14ac:dyDescent="0.35">
      <c r="A182" s="2" t="s">
        <v>192</v>
      </c>
      <c r="B182" s="4" t="s">
        <v>1008</v>
      </c>
      <c r="C182" s="4" t="s">
        <v>559</v>
      </c>
      <c r="D182" s="4" t="s">
        <v>560</v>
      </c>
      <c r="E182" s="4" t="s">
        <v>631</v>
      </c>
      <c r="F182" s="4" t="s">
        <v>631</v>
      </c>
      <c r="G182" s="14">
        <v>120.55</v>
      </c>
      <c r="H182" s="10">
        <v>16.656531999999999</v>
      </c>
      <c r="I182" s="10">
        <v>69.460890000000006</v>
      </c>
      <c r="J182" s="10" t="s">
        <v>534</v>
      </c>
      <c r="K182" s="15">
        <v>1.0618000000000001E-2</v>
      </c>
      <c r="L182" s="17">
        <v>18016.330587</v>
      </c>
      <c r="M182" s="4" t="s">
        <v>1009</v>
      </c>
      <c r="N182" s="19">
        <v>1.735509</v>
      </c>
      <c r="O182" s="19">
        <v>5.5917000000000003</v>
      </c>
      <c r="P182" s="19">
        <v>2.42</v>
      </c>
      <c r="Q182" s="19">
        <v>5.1760999999999999</v>
      </c>
      <c r="R182" s="19">
        <v>1.82</v>
      </c>
      <c r="S182" s="19">
        <v>6.0576999999999996</v>
      </c>
      <c r="T182" s="19">
        <v>1.82</v>
      </c>
      <c r="U182" s="19">
        <v>5.4242999999999997</v>
      </c>
      <c r="V182" s="19">
        <v>2.99</v>
      </c>
      <c r="W182" s="19">
        <v>4.4554</v>
      </c>
      <c r="X182" s="19">
        <v>2.99</v>
      </c>
      <c r="Y182" s="19">
        <v>4.4554</v>
      </c>
      <c r="Z182" s="4"/>
      <c r="AA182" s="4"/>
      <c r="AB182" s="4" t="e">
        <f ca="1">_xll.ciqfunctions.udf.CIQ("^SPX", "IQ_PRICEDATE", "9/11/2014")</f>
        <v>#NAME?</v>
      </c>
      <c r="AC182" s="16">
        <v>1997.4459678967</v>
      </c>
    </row>
    <row r="183" spans="1:29" x14ac:dyDescent="0.35">
      <c r="A183" s="2" t="s">
        <v>193</v>
      </c>
      <c r="B183" s="4" t="s">
        <v>1010</v>
      </c>
      <c r="C183" s="4" t="s">
        <v>525</v>
      </c>
      <c r="D183" s="4" t="s">
        <v>594</v>
      </c>
      <c r="E183" s="4" t="s">
        <v>779</v>
      </c>
      <c r="F183" s="4" t="s">
        <v>779</v>
      </c>
      <c r="G183" s="14">
        <v>68.8</v>
      </c>
      <c r="H183" s="10">
        <v>13.531746</v>
      </c>
      <c r="I183" s="10">
        <v>22.041786999999999</v>
      </c>
      <c r="J183" s="10">
        <v>6.3460190000000001</v>
      </c>
      <c r="K183" s="15">
        <v>1.3081000000000001E-2</v>
      </c>
      <c r="L183" s="17">
        <v>11994.282469</v>
      </c>
      <c r="M183" s="4" t="s">
        <v>1011</v>
      </c>
      <c r="N183" s="19">
        <v>3.1213440000000001</v>
      </c>
      <c r="O183" s="19">
        <v>3.1850999999999998</v>
      </c>
      <c r="P183" s="19">
        <v>2.69</v>
      </c>
      <c r="Q183" s="19">
        <v>2.5196000000000001</v>
      </c>
      <c r="R183" s="19">
        <v>2.36</v>
      </c>
      <c r="S183" s="19">
        <v>2.4504999999999999</v>
      </c>
      <c r="T183" s="19">
        <v>2.36</v>
      </c>
      <c r="U183" s="19">
        <v>2.4470000000000001</v>
      </c>
      <c r="V183" s="19">
        <v>1.92</v>
      </c>
      <c r="W183" s="19">
        <v>2.0312999999999999</v>
      </c>
      <c r="X183" s="19">
        <v>1.92</v>
      </c>
      <c r="Y183" s="19">
        <v>2.0312999999999999</v>
      </c>
      <c r="Z183" s="4"/>
      <c r="AA183" s="4"/>
      <c r="AB183" s="4" t="e">
        <f ca="1">_xll.ciqfunctions.udf.CIQ("^SPX", "IQ_PRICEDATE", "9/12/2014")</f>
        <v>#NAME?</v>
      </c>
      <c r="AC183" s="16">
        <v>1985.5362909214</v>
      </c>
    </row>
    <row r="184" spans="1:29" x14ac:dyDescent="0.35">
      <c r="A184" s="2" t="s">
        <v>194</v>
      </c>
      <c r="B184" s="4" t="s">
        <v>1012</v>
      </c>
      <c r="C184" s="4" t="s">
        <v>530</v>
      </c>
      <c r="D184" s="4" t="s">
        <v>531</v>
      </c>
      <c r="E184" s="4" t="s">
        <v>569</v>
      </c>
      <c r="F184" s="4" t="s">
        <v>909</v>
      </c>
      <c r="G184" s="14">
        <v>95.77</v>
      </c>
      <c r="H184" s="10">
        <v>9.1142730000000007</v>
      </c>
      <c r="I184" s="10">
        <v>11.664173</v>
      </c>
      <c r="J184" s="10" t="s">
        <v>534</v>
      </c>
      <c r="K184" s="15">
        <v>0</v>
      </c>
      <c r="L184" s="17">
        <v>53834.2958</v>
      </c>
      <c r="M184" s="4" t="s">
        <v>1013</v>
      </c>
      <c r="N184" s="19">
        <v>8.2106119999999994</v>
      </c>
      <c r="O184" s="19">
        <v>9.2988</v>
      </c>
      <c r="P184" s="19">
        <v>7.74</v>
      </c>
      <c r="Q184" s="19">
        <v>7.5823</v>
      </c>
      <c r="R184" s="19">
        <v>5.39</v>
      </c>
      <c r="S184" s="19">
        <v>6.8129</v>
      </c>
      <c r="T184" s="19">
        <v>5.39</v>
      </c>
      <c r="U184" s="19">
        <v>5.9778000000000002</v>
      </c>
      <c r="V184" s="19">
        <v>2.64</v>
      </c>
      <c r="W184" s="19">
        <v>5.3201999999999998</v>
      </c>
      <c r="X184" s="19">
        <v>2.64</v>
      </c>
      <c r="Y184" s="19">
        <v>5.3201999999999998</v>
      </c>
      <c r="Z184" s="4"/>
      <c r="AA184" s="4"/>
      <c r="AB184" s="4" t="e">
        <f ca="1">_xll.ciqfunctions.udf.CIQ("^SPX", "IQ_PRICEDATE", "9/15/2014")</f>
        <v>#NAME?</v>
      </c>
      <c r="AC184" s="16">
        <v>1984.1323104619</v>
      </c>
    </row>
    <row r="185" spans="1:29" x14ac:dyDescent="0.35">
      <c r="A185" s="2" t="s">
        <v>195</v>
      </c>
      <c r="B185" s="4" t="s">
        <v>1014</v>
      </c>
      <c r="C185" s="4" t="s">
        <v>601</v>
      </c>
      <c r="D185" s="4" t="s">
        <v>601</v>
      </c>
      <c r="E185" s="4" t="s">
        <v>602</v>
      </c>
      <c r="F185" s="4" t="s">
        <v>647</v>
      </c>
      <c r="G185" s="14">
        <v>86.06</v>
      </c>
      <c r="H185" s="10">
        <v>20.517057999999999</v>
      </c>
      <c r="I185" s="10">
        <v>22.209793999999999</v>
      </c>
      <c r="J185" s="10">
        <v>4.6355079999999997</v>
      </c>
      <c r="K185" s="15">
        <v>3.9972000000000001E-2</v>
      </c>
      <c r="L185" s="17">
        <v>10886.770726000001</v>
      </c>
      <c r="M185" s="4" t="s">
        <v>1015</v>
      </c>
      <c r="N185" s="19">
        <v>3.8748670000000001</v>
      </c>
      <c r="O185" s="19">
        <v>2.9083000000000001</v>
      </c>
      <c r="P185" s="19">
        <v>3.7643330000000002</v>
      </c>
      <c r="Q185" s="19">
        <v>2.8325999999999998</v>
      </c>
      <c r="R185" s="19">
        <v>2.9069669999999999</v>
      </c>
      <c r="S185" s="19">
        <v>2.3908999999999998</v>
      </c>
      <c r="T185" s="19">
        <v>2.9069669999999999</v>
      </c>
      <c r="U185" s="19">
        <v>1.633</v>
      </c>
      <c r="V185" s="19">
        <v>1.5304770000000001</v>
      </c>
      <c r="W185" s="19">
        <v>1.9904999999999999</v>
      </c>
      <c r="X185" s="19">
        <v>1.5304770000000001</v>
      </c>
      <c r="Y185" s="19">
        <v>1.9904999999999999</v>
      </c>
      <c r="Z185" s="4"/>
      <c r="AA185" s="4"/>
      <c r="AB185" s="4" t="e">
        <f ca="1">_xll.ciqfunctions.udf.CIQ("^SPX", "IQ_PRICEDATE", "9/16/2014")</f>
        <v>#NAME?</v>
      </c>
      <c r="AC185" s="16">
        <v>1998.9814103547001</v>
      </c>
    </row>
    <row r="186" spans="1:29" x14ac:dyDescent="0.35">
      <c r="A186" s="2" t="s">
        <v>196</v>
      </c>
      <c r="B186" s="4" t="s">
        <v>1016</v>
      </c>
      <c r="C186" s="4" t="s">
        <v>669</v>
      </c>
      <c r="D186" s="4" t="s">
        <v>669</v>
      </c>
      <c r="E186" s="4" t="s">
        <v>670</v>
      </c>
      <c r="F186" s="4" t="s">
        <v>836</v>
      </c>
      <c r="G186" s="14">
        <v>81.5</v>
      </c>
      <c r="H186" s="10">
        <v>9.1280590000000004</v>
      </c>
      <c r="I186" s="10">
        <v>16.610835000000002</v>
      </c>
      <c r="J186" s="10">
        <v>1.8430280000000001</v>
      </c>
      <c r="K186" s="15">
        <v>4.0244999999999996E-2</v>
      </c>
      <c r="L186" s="17">
        <v>345055.54336200003</v>
      </c>
      <c r="M186" s="4" t="s">
        <v>1017</v>
      </c>
      <c r="N186" s="19">
        <v>4.9064360000000002</v>
      </c>
      <c r="O186" s="19">
        <v>5.3441999999999998</v>
      </c>
      <c r="P186" s="19">
        <v>4.63</v>
      </c>
      <c r="Q186" s="19">
        <v>4.1340000000000003</v>
      </c>
      <c r="R186" s="19">
        <v>1.8769450000000001</v>
      </c>
      <c r="S186" s="19">
        <v>4.0216000000000003</v>
      </c>
      <c r="T186" s="19">
        <v>1.8769450000000001</v>
      </c>
      <c r="U186" s="19">
        <v>3.4946000000000002</v>
      </c>
      <c r="V186" s="19">
        <v>7.5945809999999998</v>
      </c>
      <c r="W186" s="19">
        <v>5.2165999999999997</v>
      </c>
      <c r="X186" s="19">
        <v>7.5945809999999998</v>
      </c>
      <c r="Y186" s="19">
        <v>5.2165999999999997</v>
      </c>
      <c r="Z186" s="4"/>
      <c r="AA186" s="4"/>
      <c r="AB186" s="4" t="e">
        <f ca="1">_xll.ciqfunctions.udf.CIQ("^SPX", "IQ_PRICEDATE", "9/17/2014")</f>
        <v>#NAME?</v>
      </c>
      <c r="AC186" s="16">
        <v>2001.5651818327999</v>
      </c>
    </row>
    <row r="187" spans="1:29" x14ac:dyDescent="0.35">
      <c r="A187" s="2" t="s">
        <v>197</v>
      </c>
      <c r="B187" s="4" t="s">
        <v>1018</v>
      </c>
      <c r="C187" s="4" t="s">
        <v>543</v>
      </c>
      <c r="D187" s="4" t="s">
        <v>664</v>
      </c>
      <c r="E187" s="4" t="s">
        <v>706</v>
      </c>
      <c r="F187" s="4" t="s">
        <v>706</v>
      </c>
      <c r="G187" s="14">
        <v>170.54</v>
      </c>
      <c r="H187" s="10">
        <v>14.283758000000001</v>
      </c>
      <c r="I187" s="10">
        <v>23.367546000000001</v>
      </c>
      <c r="J187" s="10">
        <v>14.608107</v>
      </c>
      <c r="K187" s="15">
        <v>0</v>
      </c>
      <c r="L187" s="17">
        <v>10371.956803999999</v>
      </c>
      <c r="M187" s="4" t="s">
        <v>1019</v>
      </c>
      <c r="N187" s="19">
        <v>7.2981559999999996</v>
      </c>
      <c r="O187" s="19">
        <v>10.2645</v>
      </c>
      <c r="P187" s="19">
        <v>6.4796259999999997</v>
      </c>
      <c r="Q187" s="19">
        <v>8.6733399999999996</v>
      </c>
      <c r="R187" s="19">
        <v>5.5410490000000001</v>
      </c>
      <c r="S187" s="19">
        <v>8.2807499999999994</v>
      </c>
      <c r="T187" s="19">
        <v>5.5410490000000001</v>
      </c>
      <c r="U187" s="19">
        <v>7.0302199999999999</v>
      </c>
      <c r="V187" s="19">
        <v>4.4324199999999996</v>
      </c>
      <c r="W187" s="19">
        <v>6.3712600000000004</v>
      </c>
      <c r="X187" s="19">
        <v>4.4324199999999996</v>
      </c>
      <c r="Y187" s="19">
        <v>6.3712600000000004</v>
      </c>
      <c r="Z187" s="4"/>
      <c r="AA187" s="4"/>
      <c r="AB187" s="4" t="e">
        <f ca="1">_xll.ciqfunctions.udf.CIQ("^SPX", "IQ_PRICEDATE", "9/18/2014")</f>
        <v>#NAME?</v>
      </c>
      <c r="AC187" s="16">
        <v>2011.3638145702</v>
      </c>
    </row>
    <row r="188" spans="1:29" x14ac:dyDescent="0.35">
      <c r="A188" s="2" t="s">
        <v>198</v>
      </c>
      <c r="B188" s="4" t="s">
        <v>1020</v>
      </c>
      <c r="C188" s="4" t="s">
        <v>549</v>
      </c>
      <c r="D188" s="4" t="s">
        <v>550</v>
      </c>
      <c r="E188" s="4" t="s">
        <v>623</v>
      </c>
      <c r="F188" s="4" t="s">
        <v>623</v>
      </c>
      <c r="G188" s="14">
        <v>159.41999999999999</v>
      </c>
      <c r="H188" s="10">
        <v>15.261631</v>
      </c>
      <c r="I188" s="10">
        <v>24.667964000000001</v>
      </c>
      <c r="J188" s="10">
        <v>7.7399519999999997</v>
      </c>
      <c r="K188" s="15">
        <v>0</v>
      </c>
      <c r="L188" s="17">
        <v>460280.39941499999</v>
      </c>
      <c r="M188" s="4" t="s">
        <v>1021</v>
      </c>
      <c r="N188" s="19">
        <v>6.4626330000000003</v>
      </c>
      <c r="O188" s="19">
        <v>7.3093000000000004</v>
      </c>
      <c r="P188" s="19">
        <v>5.3903920000000003</v>
      </c>
      <c r="Q188" s="19">
        <v>6.3734999999999999</v>
      </c>
      <c r="R188" s="19">
        <v>3.492991</v>
      </c>
      <c r="S188" s="19">
        <v>4.9748999999999999</v>
      </c>
      <c r="T188" s="19">
        <v>3.492991</v>
      </c>
      <c r="U188" s="19">
        <v>2.6558999999999999</v>
      </c>
      <c r="V188" s="19">
        <v>1.1036029999999999</v>
      </c>
      <c r="W188" s="19">
        <v>1.8602000000000001</v>
      </c>
      <c r="X188" s="19">
        <v>1.1036029999999999</v>
      </c>
      <c r="Y188" s="19">
        <v>1.8602000000000001</v>
      </c>
      <c r="Z188" s="4"/>
      <c r="AA188" s="4"/>
      <c r="AB188" s="4" t="e">
        <f ca="1">_xll.ciqfunctions.udf.CIQ("^SPX", "IQ_PRICEDATE", "9/19/2014")</f>
        <v>#NAME?</v>
      </c>
      <c r="AC188" s="16">
        <v>2010.3967236043</v>
      </c>
    </row>
    <row r="189" spans="1:29" x14ac:dyDescent="0.35">
      <c r="A189" s="2" t="s">
        <v>199</v>
      </c>
      <c r="B189" s="4" t="s">
        <v>1022</v>
      </c>
      <c r="C189" s="4" t="s">
        <v>525</v>
      </c>
      <c r="D189" s="4" t="s">
        <v>526</v>
      </c>
      <c r="E189" s="4" t="s">
        <v>1023</v>
      </c>
      <c r="F189" s="4" t="s">
        <v>1023</v>
      </c>
      <c r="G189" s="14">
        <v>52.65</v>
      </c>
      <c r="H189" s="10">
        <v>13.934405999999999</v>
      </c>
      <c r="I189" s="10">
        <v>20.566711000000002</v>
      </c>
      <c r="J189" s="10">
        <v>6.5268309999999996</v>
      </c>
      <c r="K189" s="15">
        <v>3.0388999999999999E-2</v>
      </c>
      <c r="L189" s="17">
        <v>15113.530938</v>
      </c>
      <c r="M189" s="4" t="s">
        <v>1024</v>
      </c>
      <c r="N189" s="19">
        <v>2.5599620000000001</v>
      </c>
      <c r="O189" s="19">
        <v>2.7456999999999998</v>
      </c>
      <c r="P189" s="19">
        <v>2.0076329999999998</v>
      </c>
      <c r="Q189" s="19">
        <v>2.0848</v>
      </c>
      <c r="R189" s="19">
        <v>1.7286250000000001</v>
      </c>
      <c r="S189" s="19">
        <v>1.7639</v>
      </c>
      <c r="T189" s="19">
        <v>1.7286250000000001</v>
      </c>
      <c r="U189" s="19">
        <v>1.8460000000000001</v>
      </c>
      <c r="V189" s="19">
        <v>1.659999</v>
      </c>
      <c r="W189" s="19">
        <v>1.8540000000000001</v>
      </c>
      <c r="X189" s="19">
        <v>1.659999</v>
      </c>
      <c r="Y189" s="19">
        <v>1.8540000000000001</v>
      </c>
      <c r="Z189" s="4"/>
      <c r="AA189" s="4"/>
      <c r="AB189" s="4" t="e">
        <f ca="1">_xll.ciqfunctions.udf.CIQ("^SPX", "IQ_PRICEDATE", "9/22/2014")</f>
        <v>#NAME?</v>
      </c>
      <c r="AC189" s="16">
        <v>1994.2887580788999</v>
      </c>
    </row>
    <row r="190" spans="1:29" x14ac:dyDescent="0.35">
      <c r="A190" s="2" t="s">
        <v>200</v>
      </c>
      <c r="B190" s="4" t="s">
        <v>1025</v>
      </c>
      <c r="C190" s="4" t="s">
        <v>601</v>
      </c>
      <c r="D190" s="4" t="s">
        <v>601</v>
      </c>
      <c r="E190" s="4" t="s">
        <v>602</v>
      </c>
      <c r="F190" s="4" t="s">
        <v>1026</v>
      </c>
      <c r="G190" s="14">
        <v>122</v>
      </c>
      <c r="H190" s="10">
        <v>22.317208000000001</v>
      </c>
      <c r="I190" s="10">
        <v>32.213168000000003</v>
      </c>
      <c r="J190" s="10">
        <v>4.2561939999999998</v>
      </c>
      <c r="K190" s="15">
        <v>3.2786000000000003E-2</v>
      </c>
      <c r="L190" s="17">
        <v>8965.9389659999997</v>
      </c>
      <c r="M190" s="4" t="s">
        <v>1027</v>
      </c>
      <c r="N190" s="19">
        <v>3.7872710000000001</v>
      </c>
      <c r="O190" s="19">
        <v>3.3325</v>
      </c>
      <c r="P190" s="19">
        <v>3.97</v>
      </c>
      <c r="Q190" s="19">
        <v>3.1652999999999998</v>
      </c>
      <c r="R190" s="19">
        <v>3.5</v>
      </c>
      <c r="S190" s="19">
        <v>3.2105000000000001</v>
      </c>
      <c r="T190" s="19">
        <v>3.5</v>
      </c>
      <c r="U190" s="19">
        <v>3.1619999999999999</v>
      </c>
      <c r="V190" s="19">
        <v>2.41</v>
      </c>
      <c r="W190" s="19">
        <v>3.1360000000000001</v>
      </c>
      <c r="X190" s="19">
        <v>2.41</v>
      </c>
      <c r="Y190" s="19">
        <v>3.1360000000000001</v>
      </c>
      <c r="Z190" s="4"/>
      <c r="AA190" s="4"/>
      <c r="AB190" s="4" t="e">
        <f ca="1">_xll.ciqfunctions.udf.CIQ("^SPX", "IQ_PRICEDATE", "9/23/2014")</f>
        <v>#NAME?</v>
      </c>
      <c r="AC190" s="16">
        <v>1982.7654266515999</v>
      </c>
    </row>
    <row r="191" spans="1:29" x14ac:dyDescent="0.35">
      <c r="A191" s="2" t="s">
        <v>201</v>
      </c>
      <c r="B191" s="4" t="s">
        <v>1028</v>
      </c>
      <c r="C191" s="4" t="s">
        <v>525</v>
      </c>
      <c r="D191" s="4" t="s">
        <v>594</v>
      </c>
      <c r="E191" s="4" t="s">
        <v>779</v>
      </c>
      <c r="F191" s="4" t="s">
        <v>779</v>
      </c>
      <c r="G191" s="14">
        <v>223.46</v>
      </c>
      <c r="H191" s="10">
        <v>8.630198</v>
      </c>
      <c r="I191" s="10">
        <v>12.614414999999999</v>
      </c>
      <c r="J191" s="10">
        <v>4.7858619999999998</v>
      </c>
      <c r="K191" s="15">
        <v>1.1635E-2</v>
      </c>
      <c r="L191" s="17">
        <v>58885.253405000003</v>
      </c>
      <c r="M191" s="4" t="s">
        <v>1029</v>
      </c>
      <c r="N191" s="19">
        <v>17.714653999999999</v>
      </c>
      <c r="O191" s="19">
        <v>18.309899999999999</v>
      </c>
      <c r="P191" s="19">
        <v>10.857047</v>
      </c>
      <c r="Q191" s="19">
        <v>14.5974</v>
      </c>
      <c r="R191" s="19">
        <v>6.8045949999999999</v>
      </c>
      <c r="S191" s="19">
        <v>12.7448</v>
      </c>
      <c r="T191" s="19">
        <v>6.8045949999999999</v>
      </c>
      <c r="U191" s="19">
        <v>11.2727</v>
      </c>
      <c r="V191" s="19">
        <v>8.9849230000000002</v>
      </c>
      <c r="W191" s="19">
        <v>10.058999999999999</v>
      </c>
      <c r="X191" s="19">
        <v>8.9849230000000002</v>
      </c>
      <c r="Y191" s="19">
        <v>10.058999999999999</v>
      </c>
      <c r="Z191" s="4"/>
      <c r="AA191" s="4"/>
      <c r="AB191" s="4" t="e">
        <f ca="1">_xll.ciqfunctions.udf.CIQ("^SPX", "IQ_PRICEDATE", "9/24/2014")</f>
        <v>#NAME?</v>
      </c>
      <c r="AC191" s="16">
        <v>1998.3021538749999</v>
      </c>
    </row>
    <row r="192" spans="1:29" x14ac:dyDescent="0.35">
      <c r="A192" s="2" t="s">
        <v>202</v>
      </c>
      <c r="B192" s="4" t="s">
        <v>1030</v>
      </c>
      <c r="C192" s="4" t="s">
        <v>543</v>
      </c>
      <c r="D192" s="4" t="s">
        <v>544</v>
      </c>
      <c r="E192" s="4" t="s">
        <v>545</v>
      </c>
      <c r="F192" s="4" t="s">
        <v>616</v>
      </c>
      <c r="G192" s="14">
        <v>104.87</v>
      </c>
      <c r="H192" s="10">
        <v>16.803070999999999</v>
      </c>
      <c r="I192" s="10">
        <v>24.400873000000001</v>
      </c>
      <c r="J192" s="10" t="s">
        <v>534</v>
      </c>
      <c r="K192" s="15">
        <v>1.2204999999999999E-2</v>
      </c>
      <c r="L192" s="17">
        <v>34483.424081999998</v>
      </c>
      <c r="M192" s="4" t="s">
        <v>1031</v>
      </c>
      <c r="N192" s="19">
        <v>4.2977970000000001</v>
      </c>
      <c r="O192" s="19">
        <v>5.5087999999999999</v>
      </c>
      <c r="P192" s="19">
        <v>3.93</v>
      </c>
      <c r="Q192" s="19">
        <v>4.7202999999999999</v>
      </c>
      <c r="R192" s="19">
        <v>1.72</v>
      </c>
      <c r="S192" s="19">
        <v>4.1878000000000002</v>
      </c>
      <c r="T192" s="19">
        <v>1.72</v>
      </c>
      <c r="U192" s="19">
        <v>3.6000999999999999</v>
      </c>
      <c r="V192" s="19">
        <v>2.39</v>
      </c>
      <c r="W192" s="19">
        <v>3.3702999999999999</v>
      </c>
      <c r="X192" s="19">
        <v>2.39</v>
      </c>
      <c r="Y192" s="19">
        <v>3.3702999999999999</v>
      </c>
      <c r="Z192" s="4"/>
      <c r="AA192" s="4"/>
      <c r="AB192" s="4" t="e">
        <f ca="1">_xll.ciqfunctions.udf.CIQ("^SPX", "IQ_PRICEDATE", "9/25/2014")</f>
        <v>#NAME?</v>
      </c>
      <c r="AC192" s="16">
        <v>1965.9897033397999</v>
      </c>
    </row>
    <row r="193" spans="1:29" x14ac:dyDescent="0.35">
      <c r="A193" s="2" t="s">
        <v>203</v>
      </c>
      <c r="B193" s="4" t="s">
        <v>1032</v>
      </c>
      <c r="C193" s="4" t="s">
        <v>573</v>
      </c>
      <c r="D193" s="4" t="s">
        <v>737</v>
      </c>
      <c r="E193" s="4" t="s">
        <v>737</v>
      </c>
      <c r="F193" s="4" t="s">
        <v>743</v>
      </c>
      <c r="G193" s="14">
        <v>27.03</v>
      </c>
      <c r="H193" s="10">
        <v>0</v>
      </c>
      <c r="I193" s="10">
        <v>7.1141519999999998</v>
      </c>
      <c r="J193" s="10">
        <v>1.4772110000000001</v>
      </c>
      <c r="K193" s="15">
        <v>2.6637000000000001E-2</v>
      </c>
      <c r="L193" s="17">
        <v>18011.1702</v>
      </c>
      <c r="M193" s="4" t="s">
        <v>1033</v>
      </c>
      <c r="N193" s="19">
        <v>3.7994690000000002</v>
      </c>
      <c r="O193" s="19">
        <v>2.5295999999999998</v>
      </c>
      <c r="P193" s="19">
        <v>2.8311380000000002</v>
      </c>
      <c r="Q193" s="19">
        <v>1.9758</v>
      </c>
      <c r="R193" s="19">
        <v>1.929999</v>
      </c>
      <c r="S193" s="19">
        <v>1.7267999999999999</v>
      </c>
      <c r="T193" s="19">
        <v>1.929999</v>
      </c>
      <c r="U193" s="19">
        <v>1.6577999999999999</v>
      </c>
      <c r="V193" s="19">
        <v>1.66</v>
      </c>
      <c r="W193" s="19">
        <v>1.7027000000000001</v>
      </c>
      <c r="X193" s="19">
        <v>1.66</v>
      </c>
      <c r="Y193" s="19">
        <v>1.7027000000000001</v>
      </c>
      <c r="Z193" s="4"/>
      <c r="AA193" s="4"/>
      <c r="AB193" s="4" t="e">
        <f ca="1">_xll.ciqfunctions.udf.CIQ("^SPX", "IQ_PRICEDATE", "9/26/2014")</f>
        <v>#NAME?</v>
      </c>
      <c r="AC193" s="16">
        <v>1982.8459381288999</v>
      </c>
    </row>
    <row r="194" spans="1:29" x14ac:dyDescent="0.35">
      <c r="A194" s="2" t="s">
        <v>204</v>
      </c>
      <c r="B194" s="4" t="s">
        <v>1034</v>
      </c>
      <c r="C194" s="4" t="s">
        <v>619</v>
      </c>
      <c r="D194" s="4" t="s">
        <v>619</v>
      </c>
      <c r="E194" s="4" t="s">
        <v>620</v>
      </c>
      <c r="F194" s="4" t="s">
        <v>620</v>
      </c>
      <c r="G194" s="14">
        <v>37.92</v>
      </c>
      <c r="H194" s="10">
        <v>8.8599890000000006</v>
      </c>
      <c r="I194" s="10" t="s">
        <v>534</v>
      </c>
      <c r="J194" s="10">
        <v>9.4358120000000003</v>
      </c>
      <c r="K194" s="15">
        <v>3.7974000000000001E-2</v>
      </c>
      <c r="L194" s="17">
        <v>18429.935242</v>
      </c>
      <c r="M194" s="4" t="s">
        <v>1035</v>
      </c>
      <c r="N194" s="19">
        <v>-4.4685459999999999</v>
      </c>
      <c r="O194" s="19">
        <v>2.4723999999999999</v>
      </c>
      <c r="P194" s="19">
        <v>-3.8828819999999999</v>
      </c>
      <c r="Q194" s="19">
        <v>2.6896</v>
      </c>
      <c r="R194" s="19">
        <v>-14.5</v>
      </c>
      <c r="S194" s="19">
        <v>2.5583</v>
      </c>
      <c r="T194" s="19">
        <v>-14.5</v>
      </c>
      <c r="U194" s="19">
        <v>2.9411</v>
      </c>
      <c r="V194" s="19">
        <v>0.50714199999999998</v>
      </c>
      <c r="W194" s="19">
        <v>2.8877000000000002</v>
      </c>
      <c r="X194" s="19">
        <v>0.50714199999999998</v>
      </c>
      <c r="Y194" s="19">
        <v>2.8877000000000002</v>
      </c>
      <c r="Z194" s="4"/>
      <c r="AA194" s="4"/>
      <c r="AB194" s="4" t="e">
        <f ca="1">_xll.ciqfunctions.udf.CIQ("^SPX", "IQ_PRICEDATE", "9/29/2014")</f>
        <v>#NAME?</v>
      </c>
      <c r="AC194" s="16">
        <v>1977.8010672518999</v>
      </c>
    </row>
    <row r="195" spans="1:29" x14ac:dyDescent="0.35">
      <c r="A195" s="2" t="s">
        <v>205</v>
      </c>
      <c r="B195" s="4" t="s">
        <v>1036</v>
      </c>
      <c r="C195" s="4" t="s">
        <v>543</v>
      </c>
      <c r="D195" s="4" t="s">
        <v>544</v>
      </c>
      <c r="E195" s="4" t="s">
        <v>545</v>
      </c>
      <c r="F195" s="4" t="s">
        <v>616</v>
      </c>
      <c r="G195" s="14">
        <v>79.06</v>
      </c>
      <c r="H195" s="10">
        <v>19.587291</v>
      </c>
      <c r="I195" s="10">
        <v>23.296752000000001</v>
      </c>
      <c r="J195" s="10" t="s">
        <v>534</v>
      </c>
      <c r="K195" s="15">
        <v>0</v>
      </c>
      <c r="L195" s="17">
        <v>32013.536051999999</v>
      </c>
      <c r="M195" s="4" t="s">
        <v>1037</v>
      </c>
      <c r="N195" s="19">
        <v>3.3936060000000001</v>
      </c>
      <c r="O195" s="19">
        <v>3.3001999999999998</v>
      </c>
      <c r="P195" s="19">
        <v>2.855</v>
      </c>
      <c r="Q195" s="19">
        <v>2.7753000000000001</v>
      </c>
      <c r="R195" s="19">
        <v>2.0750000000000002</v>
      </c>
      <c r="S195" s="19">
        <v>2.4135</v>
      </c>
      <c r="T195" s="19">
        <v>2.0750000000000002</v>
      </c>
      <c r="U195" s="19">
        <v>2.0950000000000002</v>
      </c>
      <c r="V195" s="19">
        <v>1.4950000000000001</v>
      </c>
      <c r="W195" s="19">
        <v>1.8223</v>
      </c>
      <c r="X195" s="19">
        <v>1.4950000000000001</v>
      </c>
      <c r="Y195" s="19">
        <v>1.8223</v>
      </c>
      <c r="Z195" s="4"/>
      <c r="AA195" s="4"/>
      <c r="AB195" s="4" t="e">
        <f ca="1">_xll.ciqfunctions.udf.CIQ("^SPX", "IQ_PRICEDATE", "9/30/2014")</f>
        <v>#NAME?</v>
      </c>
      <c r="AC195" s="16">
        <v>1972.28514505</v>
      </c>
    </row>
    <row r="196" spans="1:29" x14ac:dyDescent="0.35">
      <c r="A196" s="2" t="s">
        <v>206</v>
      </c>
      <c r="B196" s="4" t="s">
        <v>1038</v>
      </c>
      <c r="C196" s="4" t="s">
        <v>543</v>
      </c>
      <c r="D196" s="4" t="s">
        <v>544</v>
      </c>
      <c r="E196" s="4" t="s">
        <v>545</v>
      </c>
      <c r="F196" s="4" t="s">
        <v>616</v>
      </c>
      <c r="G196" s="14">
        <v>212.89</v>
      </c>
      <c r="H196" s="10">
        <v>18.159928000000001</v>
      </c>
      <c r="I196" s="10">
        <v>23.627600000000001</v>
      </c>
      <c r="J196" s="10" t="s">
        <v>534</v>
      </c>
      <c r="K196" s="15">
        <v>0</v>
      </c>
      <c r="L196" s="17">
        <v>18817.037345000001</v>
      </c>
      <c r="M196" s="4" t="s">
        <v>1039</v>
      </c>
      <c r="N196" s="19">
        <v>9.0102250000000002</v>
      </c>
      <c r="O196" s="19">
        <v>11.138</v>
      </c>
      <c r="P196" s="19">
        <v>7.91</v>
      </c>
      <c r="Q196" s="19">
        <v>9.4730000000000008</v>
      </c>
      <c r="R196" s="19">
        <v>4.75</v>
      </c>
      <c r="S196" s="19">
        <v>7.8821000000000003</v>
      </c>
      <c r="T196" s="19">
        <v>4.75</v>
      </c>
      <c r="U196" s="19">
        <v>6.8907999999999996</v>
      </c>
      <c r="V196" s="19">
        <v>4.24</v>
      </c>
      <c r="W196" s="19">
        <v>6.0678999999999998</v>
      </c>
      <c r="X196" s="19">
        <v>4.24</v>
      </c>
      <c r="Y196" s="19">
        <v>6.0678999999999998</v>
      </c>
      <c r="Z196" s="4"/>
      <c r="AA196" s="4"/>
      <c r="AB196" s="4" t="e">
        <f ca="1">_xll.ciqfunctions.udf.CIQ("^SPX", "IQ_PRICEDATE", "10/1/2014")</f>
        <v>#NAME?</v>
      </c>
      <c r="AC196" s="16">
        <v>1946.1608292694</v>
      </c>
    </row>
    <row r="197" spans="1:29" x14ac:dyDescent="0.35">
      <c r="A197" s="2" t="s">
        <v>207</v>
      </c>
      <c r="B197" s="4" t="s">
        <v>1040</v>
      </c>
      <c r="C197" s="4" t="s">
        <v>543</v>
      </c>
      <c r="D197" s="4" t="s">
        <v>664</v>
      </c>
      <c r="E197" s="4" t="s">
        <v>665</v>
      </c>
      <c r="F197" s="4" t="s">
        <v>1041</v>
      </c>
      <c r="G197" s="14">
        <v>57.38</v>
      </c>
      <c r="H197" s="10">
        <v>19.104572000000001</v>
      </c>
      <c r="I197" s="10">
        <v>64.862982000000002</v>
      </c>
      <c r="J197" s="10">
        <v>10.855072</v>
      </c>
      <c r="K197" s="15">
        <v>1.1153E-2</v>
      </c>
      <c r="L197" s="17">
        <v>7919.563099</v>
      </c>
      <c r="M197" s="4" t="s">
        <v>1042</v>
      </c>
      <c r="N197" s="19">
        <v>0.88463400000000003</v>
      </c>
      <c r="O197" s="19">
        <v>2.3037999999999998</v>
      </c>
      <c r="P197" s="19">
        <v>0.77</v>
      </c>
      <c r="Q197" s="19">
        <v>2.0055999999999998</v>
      </c>
      <c r="R197" s="19">
        <v>1.2</v>
      </c>
      <c r="S197" s="19">
        <v>1.7371000000000001</v>
      </c>
      <c r="T197" s="19">
        <v>1.2</v>
      </c>
      <c r="U197" s="19">
        <v>1.6857</v>
      </c>
      <c r="V197" s="19">
        <v>1.39</v>
      </c>
      <c r="W197" s="19">
        <v>1.619</v>
      </c>
      <c r="X197" s="19">
        <v>1.39</v>
      </c>
      <c r="Y197" s="19">
        <v>1.619</v>
      </c>
      <c r="Z197" s="4"/>
      <c r="AA197" s="4"/>
      <c r="AB197" s="4" t="e">
        <f ca="1">_xll.ciqfunctions.udf.CIQ("^SPX", "IQ_PRICEDATE", "10/2/2014")</f>
        <v>#NAME?</v>
      </c>
      <c r="AC197" s="16">
        <v>1946.1668289931999</v>
      </c>
    </row>
    <row r="198" spans="1:29" x14ac:dyDescent="0.35">
      <c r="A198" s="2" t="s">
        <v>208</v>
      </c>
      <c r="B198" s="4" t="s">
        <v>1043</v>
      </c>
      <c r="C198" s="4" t="s">
        <v>525</v>
      </c>
      <c r="D198" s="4" t="s">
        <v>526</v>
      </c>
      <c r="E198" s="4" t="s">
        <v>803</v>
      </c>
      <c r="F198" s="4" t="s">
        <v>948</v>
      </c>
      <c r="G198" s="14">
        <v>51.52</v>
      </c>
      <c r="H198" s="10">
        <v>18.082388000000002</v>
      </c>
      <c r="I198" s="10" t="s">
        <v>534</v>
      </c>
      <c r="J198" s="10">
        <v>31.352444999999999</v>
      </c>
      <c r="K198" s="15">
        <v>1.4751E-2</v>
      </c>
      <c r="L198" s="17">
        <v>6741.525952</v>
      </c>
      <c r="M198" s="4" t="s">
        <v>1044</v>
      </c>
      <c r="N198" s="19">
        <v>-0.22873299999999999</v>
      </c>
      <c r="O198" s="19">
        <v>1.9103000000000001</v>
      </c>
      <c r="P198" s="19">
        <v>0.02</v>
      </c>
      <c r="Q198" s="19">
        <v>1.7213000000000001</v>
      </c>
      <c r="R198" s="19">
        <v>1.01</v>
      </c>
      <c r="S198" s="19">
        <v>2.1114000000000002</v>
      </c>
      <c r="T198" s="19">
        <v>1.01</v>
      </c>
      <c r="U198" s="19">
        <v>3.0177</v>
      </c>
      <c r="V198" s="19">
        <v>3.72</v>
      </c>
      <c r="W198" s="19">
        <v>3.9249999999999998</v>
      </c>
      <c r="X198" s="19">
        <v>3.72</v>
      </c>
      <c r="Y198" s="19">
        <v>3.9249999999999998</v>
      </c>
      <c r="Z198" s="4"/>
      <c r="AA198" s="4"/>
      <c r="AB198" s="4" t="e">
        <f ca="1">_xll.ciqfunctions.udf.CIQ("^SPX", "IQ_PRICEDATE", "10/3/2014")</f>
        <v>#NAME?</v>
      </c>
      <c r="AC198" s="16">
        <v>1967.9020787575</v>
      </c>
    </row>
    <row r="199" spans="1:29" x14ac:dyDescent="0.35">
      <c r="A199" s="2" t="s">
        <v>209</v>
      </c>
      <c r="B199" s="4" t="s">
        <v>1045</v>
      </c>
      <c r="C199" s="4" t="s">
        <v>525</v>
      </c>
      <c r="D199" s="4" t="s">
        <v>526</v>
      </c>
      <c r="E199" s="4" t="s">
        <v>1046</v>
      </c>
      <c r="F199" s="4" t="s">
        <v>1046</v>
      </c>
      <c r="G199" s="14">
        <v>46.74</v>
      </c>
      <c r="H199" s="10">
        <v>8.4956359999999993</v>
      </c>
      <c r="I199" s="10">
        <v>26.122253000000001</v>
      </c>
      <c r="J199" s="10">
        <v>2.6463519999999998</v>
      </c>
      <c r="K199" s="15">
        <v>1.7971000000000001E-2</v>
      </c>
      <c r="L199" s="17">
        <v>6572.5307050000001</v>
      </c>
      <c r="M199" s="4" t="s">
        <v>1047</v>
      </c>
      <c r="N199" s="19">
        <v>1.7892790000000001</v>
      </c>
      <c r="O199" s="19">
        <v>2.7768000000000002</v>
      </c>
      <c r="P199" s="19">
        <v>1.36</v>
      </c>
      <c r="Q199" s="19">
        <v>2.4192</v>
      </c>
      <c r="R199" s="19">
        <v>2</v>
      </c>
      <c r="S199" s="19">
        <v>3.0295999999999998</v>
      </c>
      <c r="T199" s="19">
        <v>2</v>
      </c>
      <c r="U199" s="19">
        <v>3.7012999999999998</v>
      </c>
      <c r="V199" s="19">
        <v>4.4800000000000004</v>
      </c>
      <c r="W199" s="19">
        <v>4.5789999999999997</v>
      </c>
      <c r="X199" s="19">
        <v>4.4800000000000004</v>
      </c>
      <c r="Y199" s="19">
        <v>4.5789999999999997</v>
      </c>
      <c r="Z199" s="4"/>
      <c r="AA199" s="4"/>
      <c r="AB199" s="4" t="e">
        <f ca="1">_xll.ciqfunctions.udf.CIQ("^SPX", "IQ_PRICEDATE", "10/6/2014")</f>
        <v>#NAME?</v>
      </c>
      <c r="AC199" s="16">
        <v>1964.8246437980999</v>
      </c>
    </row>
    <row r="200" spans="1:29" x14ac:dyDescent="0.35">
      <c r="A200" s="2" t="s">
        <v>210</v>
      </c>
      <c r="B200" s="4" t="s">
        <v>1048</v>
      </c>
      <c r="C200" s="4" t="s">
        <v>586</v>
      </c>
      <c r="D200" s="4" t="s">
        <v>586</v>
      </c>
      <c r="E200" s="4" t="s">
        <v>587</v>
      </c>
      <c r="F200" s="4" t="s">
        <v>830</v>
      </c>
      <c r="G200" s="14">
        <v>83.62</v>
      </c>
      <c r="H200" s="10">
        <v>12.268874</v>
      </c>
      <c r="I200" s="10">
        <v>51.965871999999997</v>
      </c>
      <c r="J200" s="10" t="s">
        <v>534</v>
      </c>
      <c r="K200" s="15">
        <v>7.8919999999999997E-3</v>
      </c>
      <c r="L200" s="17">
        <v>11257.731333</v>
      </c>
      <c r="M200" s="4" t="s">
        <v>1049</v>
      </c>
      <c r="N200" s="19">
        <v>1.6091329999999999</v>
      </c>
      <c r="O200" s="19">
        <v>6.4019000000000004</v>
      </c>
      <c r="P200" s="19">
        <v>-0.64</v>
      </c>
      <c r="Q200" s="19">
        <v>4.6971999999999996</v>
      </c>
      <c r="R200" s="19">
        <v>0.95376799999999995</v>
      </c>
      <c r="S200" s="19">
        <v>3.2039</v>
      </c>
      <c r="T200" s="19">
        <v>0.95376799999999995</v>
      </c>
      <c r="U200" s="19">
        <v>2.8307000000000002</v>
      </c>
      <c r="V200" s="19">
        <v>2.1820179999999998</v>
      </c>
      <c r="W200" s="19">
        <v>4.1289999999999996</v>
      </c>
      <c r="X200" s="19">
        <v>2.1820179999999998</v>
      </c>
      <c r="Y200" s="19">
        <v>4.1289999999999996</v>
      </c>
      <c r="Z200" s="4"/>
      <c r="AA200" s="4"/>
      <c r="AB200" s="4" t="e">
        <f ca="1">_xll.ciqfunctions.udf.CIQ("^SPX", "IQ_PRICEDATE", "10/7/2014")</f>
        <v>#NAME?</v>
      </c>
      <c r="AC200" s="16">
        <v>1935.0991107952</v>
      </c>
    </row>
    <row r="201" spans="1:29" x14ac:dyDescent="0.35">
      <c r="A201" s="2" t="s">
        <v>211</v>
      </c>
      <c r="B201" s="4" t="s">
        <v>1050</v>
      </c>
      <c r="C201" s="4" t="s">
        <v>559</v>
      </c>
      <c r="D201" s="4" t="s">
        <v>560</v>
      </c>
      <c r="E201" s="4" t="s">
        <v>561</v>
      </c>
      <c r="F201" s="4" t="s">
        <v>1051</v>
      </c>
      <c r="G201" s="14">
        <v>48.984999999999999</v>
      </c>
      <c r="H201" s="10">
        <v>5.2743140000000004</v>
      </c>
      <c r="I201" s="10">
        <v>19.444202000000001</v>
      </c>
      <c r="J201" s="10">
        <v>2.4875470000000002</v>
      </c>
      <c r="K201" s="15">
        <v>2.7974000000000002E-2</v>
      </c>
      <c r="L201" s="17">
        <v>5667.8208640000003</v>
      </c>
      <c r="M201" s="4" t="s">
        <v>1052</v>
      </c>
      <c r="N201" s="19">
        <v>2.5370029999999999</v>
      </c>
      <c r="O201" s="19">
        <v>4.6399999999999997</v>
      </c>
      <c r="P201" s="19">
        <v>3.9729559999999999</v>
      </c>
      <c r="Q201" s="19">
        <v>4.0750999999999999</v>
      </c>
      <c r="R201" s="19">
        <v>4.6323230000000004</v>
      </c>
      <c r="S201" s="19">
        <v>5.0991999999999997</v>
      </c>
      <c r="T201" s="19">
        <v>4.6323230000000004</v>
      </c>
      <c r="U201" s="19">
        <v>4.6013000000000002</v>
      </c>
      <c r="V201" s="19">
        <v>3.3614890000000002</v>
      </c>
      <c r="W201" s="19">
        <v>3.8348</v>
      </c>
      <c r="X201" s="19">
        <v>3.3614890000000002</v>
      </c>
      <c r="Y201" s="19">
        <v>3.8348</v>
      </c>
      <c r="Z201" s="4"/>
      <c r="AA201" s="4"/>
      <c r="AB201" s="4" t="e">
        <f ca="1">_xll.ciqfunctions.udf.CIQ("^SPX", "IQ_PRICEDATE", "10/8/2014")</f>
        <v>#NAME?</v>
      </c>
      <c r="AC201" s="16">
        <v>1968.8892822498999</v>
      </c>
    </row>
    <row r="202" spans="1:29" x14ac:dyDescent="0.35">
      <c r="A202" s="2" t="s">
        <v>212</v>
      </c>
      <c r="B202" s="4" t="s">
        <v>1053</v>
      </c>
      <c r="C202" s="4" t="s">
        <v>559</v>
      </c>
      <c r="D202" s="4" t="s">
        <v>694</v>
      </c>
      <c r="E202" s="4" t="s">
        <v>1054</v>
      </c>
      <c r="F202" s="4" t="s">
        <v>1055</v>
      </c>
      <c r="G202" s="14">
        <v>8.76</v>
      </c>
      <c r="H202" s="10">
        <v>11.090411</v>
      </c>
      <c r="I202" s="10">
        <v>5.1834309999999997</v>
      </c>
      <c r="J202" s="10">
        <v>0.95812299999999995</v>
      </c>
      <c r="K202" s="15">
        <v>6.8492999999999998E-2</v>
      </c>
      <c r="L202" s="17">
        <v>34914.964473</v>
      </c>
      <c r="M202" s="4" t="s">
        <v>1056</v>
      </c>
      <c r="N202" s="19">
        <v>1.69</v>
      </c>
      <c r="O202" s="19">
        <v>1.3078000000000001</v>
      </c>
      <c r="P202" s="19">
        <v>1.9</v>
      </c>
      <c r="Q202" s="19">
        <v>1.6795</v>
      </c>
      <c r="R202" s="19">
        <v>1.1499999999999999</v>
      </c>
      <c r="S202" s="19">
        <v>1.6519999999999999</v>
      </c>
      <c r="T202" s="19">
        <v>1.1499999999999999</v>
      </c>
      <c r="U202" s="19">
        <v>1.9735</v>
      </c>
      <c r="V202" s="19">
        <v>0.31</v>
      </c>
      <c r="W202" s="19">
        <v>1.5533999999999999</v>
      </c>
      <c r="X202" s="19">
        <v>0.31</v>
      </c>
      <c r="Y202" s="19">
        <v>1.5533999999999999</v>
      </c>
      <c r="Z202" s="4"/>
      <c r="AA202" s="4"/>
      <c r="AB202" s="4" t="e">
        <f ca="1">_xll.ciqfunctions.udf.CIQ("^SPX", "IQ_PRICEDATE", "10/9/2014")</f>
        <v>#NAME?</v>
      </c>
      <c r="AC202" s="16">
        <v>1928.2076767870001</v>
      </c>
    </row>
    <row r="203" spans="1:29" x14ac:dyDescent="0.35">
      <c r="A203" s="2" t="s">
        <v>213</v>
      </c>
      <c r="B203" s="4" t="s">
        <v>1057</v>
      </c>
      <c r="C203" s="4" t="s">
        <v>543</v>
      </c>
      <c r="D203" s="4" t="s">
        <v>544</v>
      </c>
      <c r="E203" s="4" t="s">
        <v>555</v>
      </c>
      <c r="F203" s="4" t="s">
        <v>782</v>
      </c>
      <c r="G203" s="14">
        <v>81.66</v>
      </c>
      <c r="H203" s="10">
        <v>57.406658999999998</v>
      </c>
      <c r="I203" s="10">
        <v>159.52053900000001</v>
      </c>
      <c r="J203" s="10">
        <v>18.809512999999999</v>
      </c>
      <c r="K203" s="15">
        <v>0</v>
      </c>
      <c r="L203" s="17">
        <v>13811.72399</v>
      </c>
      <c r="M203" s="4" t="s">
        <v>1058</v>
      </c>
      <c r="N203" s="19">
        <v>0.51190899999999995</v>
      </c>
      <c r="O203" s="19">
        <v>1.7788999999999999</v>
      </c>
      <c r="P203" s="19">
        <v>0.18</v>
      </c>
      <c r="Q203" s="19">
        <v>1.1189</v>
      </c>
      <c r="R203" s="19">
        <v>0.18</v>
      </c>
      <c r="S203" s="19">
        <v>0.74650000000000005</v>
      </c>
      <c r="T203" s="19">
        <v>0.18</v>
      </c>
      <c r="U203" s="19">
        <v>0.63109999999999999</v>
      </c>
      <c r="V203" s="19">
        <v>0.15</v>
      </c>
      <c r="W203" s="19">
        <v>0.54530000000000001</v>
      </c>
      <c r="X203" s="19">
        <v>0.15</v>
      </c>
      <c r="Y203" s="19">
        <v>0.54530000000000001</v>
      </c>
      <c r="Z203" s="4"/>
      <c r="AA203" s="4"/>
      <c r="AB203" s="4" t="e">
        <f ca="1">_xll.ciqfunctions.udf.CIQ("^SPX", "IQ_PRICEDATE", "10/10/2014")</f>
        <v>#NAME?</v>
      </c>
      <c r="AC203" s="16">
        <v>1906.1296827210001</v>
      </c>
    </row>
    <row r="204" spans="1:29" x14ac:dyDescent="0.35">
      <c r="A204" s="2" t="s">
        <v>214</v>
      </c>
      <c r="B204" s="4" t="s">
        <v>1059</v>
      </c>
      <c r="C204" s="4" t="s">
        <v>525</v>
      </c>
      <c r="D204" s="4" t="s">
        <v>526</v>
      </c>
      <c r="E204" s="4" t="s">
        <v>803</v>
      </c>
      <c r="F204" s="4" t="s">
        <v>948</v>
      </c>
      <c r="G204" s="14">
        <v>80.22</v>
      </c>
      <c r="H204" s="10">
        <v>16.869975</v>
      </c>
      <c r="I204" s="10">
        <v>24.466991</v>
      </c>
      <c r="J204" s="10" t="s">
        <v>534</v>
      </c>
      <c r="K204" s="15">
        <v>3.4899999999999996E-3</v>
      </c>
      <c r="L204" s="17">
        <v>26768.379402999999</v>
      </c>
      <c r="M204" s="4" t="s">
        <v>1060</v>
      </c>
      <c r="N204" s="19">
        <v>3.2787030000000001</v>
      </c>
      <c r="O204" s="19">
        <v>3.5583</v>
      </c>
      <c r="P204" s="19">
        <v>2.96</v>
      </c>
      <c r="Q204" s="19">
        <v>3.1240000000000001</v>
      </c>
      <c r="R204" s="19">
        <v>2.5099999999999998</v>
      </c>
      <c r="S204" s="19">
        <v>2.6353</v>
      </c>
      <c r="T204" s="19">
        <v>2.5099999999999998</v>
      </c>
      <c r="U204" s="19">
        <v>0</v>
      </c>
      <c r="V204" s="19">
        <v>2.5590959999999998</v>
      </c>
      <c r="W204" s="19">
        <v>0</v>
      </c>
      <c r="X204" s="19">
        <v>2.5590959999999998</v>
      </c>
      <c r="Y204" s="19">
        <v>0</v>
      </c>
      <c r="Z204" s="4"/>
      <c r="AA204" s="4"/>
      <c r="AB204" s="4" t="e">
        <f ca="1">_xll.ciqfunctions.udf.CIQ("^SPX", "IQ_PRICEDATE", "10/13/2014")</f>
        <v>#NAME?</v>
      </c>
      <c r="AC204" s="16">
        <v>1874.7355245566</v>
      </c>
    </row>
    <row r="205" spans="1:29" x14ac:dyDescent="0.35">
      <c r="A205" s="2" t="s">
        <v>215</v>
      </c>
      <c r="B205" s="4" t="s">
        <v>1061</v>
      </c>
      <c r="C205" s="4" t="s">
        <v>525</v>
      </c>
      <c r="D205" s="4" t="s">
        <v>526</v>
      </c>
      <c r="E205" s="4" t="s">
        <v>527</v>
      </c>
      <c r="F205" s="4" t="s">
        <v>527</v>
      </c>
      <c r="G205" s="14">
        <v>48.06</v>
      </c>
      <c r="H205" s="10">
        <v>10.173107</v>
      </c>
      <c r="I205" s="10">
        <v>15.826988999999999</v>
      </c>
      <c r="J205" s="10" t="s">
        <v>534</v>
      </c>
      <c r="K205" s="15">
        <v>1.6645E-2</v>
      </c>
      <c r="L205" s="17">
        <v>6844.689292</v>
      </c>
      <c r="M205" s="4" t="s">
        <v>1062</v>
      </c>
      <c r="N205" s="19">
        <v>3.0365850000000001</v>
      </c>
      <c r="O205" s="19">
        <v>3.9361999999999999</v>
      </c>
      <c r="P205" s="19">
        <v>3.05</v>
      </c>
      <c r="Q205" s="19">
        <v>3.3161999999999998</v>
      </c>
      <c r="R205" s="19">
        <v>2.61</v>
      </c>
      <c r="S205" s="19">
        <v>2.9676999999999998</v>
      </c>
      <c r="T205" s="19">
        <v>2.61</v>
      </c>
      <c r="U205" s="19">
        <v>2.4134000000000002</v>
      </c>
      <c r="V205" s="19">
        <v>1.64</v>
      </c>
      <c r="W205" s="19">
        <v>2.2147999999999999</v>
      </c>
      <c r="X205" s="19">
        <v>1.64</v>
      </c>
      <c r="Y205" s="19">
        <v>2.2147999999999999</v>
      </c>
      <c r="Z205" s="4"/>
      <c r="AA205" s="4"/>
      <c r="AB205" s="4" t="e">
        <f ca="1">_xll.ciqfunctions.udf.CIQ("^SPX", "IQ_PRICEDATE", "10/14/2014")</f>
        <v>#NAME?</v>
      </c>
      <c r="AC205" s="16">
        <v>1877.6980893514001</v>
      </c>
    </row>
    <row r="206" spans="1:29" x14ac:dyDescent="0.35">
      <c r="A206" s="2" t="s">
        <v>216</v>
      </c>
      <c r="B206" s="4" t="s">
        <v>1063</v>
      </c>
      <c r="C206" s="4" t="s">
        <v>573</v>
      </c>
      <c r="D206" s="4" t="s">
        <v>574</v>
      </c>
      <c r="E206" s="4" t="s">
        <v>575</v>
      </c>
      <c r="F206" s="4" t="s">
        <v>576</v>
      </c>
      <c r="G206" s="14">
        <v>29.89</v>
      </c>
      <c r="H206" s="10">
        <v>3.8271169999999999</v>
      </c>
      <c r="I206" s="10">
        <v>24.524041</v>
      </c>
      <c r="J206" s="10">
        <v>2.1056889999999999</v>
      </c>
      <c r="K206" s="15">
        <v>3.0779000000000001E-2</v>
      </c>
      <c r="L206" s="17">
        <v>15753.771182</v>
      </c>
      <c r="M206" s="4" t="s">
        <v>1064</v>
      </c>
      <c r="N206" s="19">
        <v>1.218804</v>
      </c>
      <c r="O206" s="19">
        <v>2.9811000000000001</v>
      </c>
      <c r="P206" s="19">
        <v>1.1938040000000001</v>
      </c>
      <c r="Q206" s="19">
        <v>2.9167000000000001</v>
      </c>
      <c r="R206" s="19">
        <v>2.9667780000000001</v>
      </c>
      <c r="S206" s="19">
        <v>2.68207</v>
      </c>
      <c r="T206" s="19">
        <v>2.9667780000000001</v>
      </c>
      <c r="U206" s="19">
        <v>3.0409700000000002</v>
      </c>
      <c r="V206" s="19">
        <v>3.7400679999999999</v>
      </c>
      <c r="W206" s="19">
        <v>3.8366699999999998</v>
      </c>
      <c r="X206" s="19">
        <v>3.7400679999999999</v>
      </c>
      <c r="Y206" s="19">
        <v>3.8366699999999998</v>
      </c>
      <c r="Z206" s="4"/>
      <c r="AA206" s="4"/>
      <c r="AB206" s="4" t="e">
        <f ca="1">_xll.ciqfunctions.udf.CIQ("^SPX", "IQ_PRICEDATE", "10/15/2014")</f>
        <v>#NAME?</v>
      </c>
      <c r="AC206" s="16">
        <v>1862.4911375250001</v>
      </c>
    </row>
    <row r="207" spans="1:29" x14ac:dyDescent="0.35">
      <c r="A207" s="2" t="s">
        <v>217</v>
      </c>
      <c r="B207" s="4" t="s">
        <v>1065</v>
      </c>
      <c r="C207" s="4" t="s">
        <v>586</v>
      </c>
      <c r="D207" s="4" t="s">
        <v>586</v>
      </c>
      <c r="E207" s="4" t="s">
        <v>1066</v>
      </c>
      <c r="F207" s="4" t="s">
        <v>1067</v>
      </c>
      <c r="G207" s="14">
        <v>12.4</v>
      </c>
      <c r="H207" s="10">
        <v>3.7355580000000002</v>
      </c>
      <c r="I207" s="10">
        <v>6.2633219999999996</v>
      </c>
      <c r="J207" s="10">
        <v>1.8965160000000001</v>
      </c>
      <c r="K207" s="15">
        <v>1.6129000000000001E-2</v>
      </c>
      <c r="L207" s="17">
        <v>17967.634905999999</v>
      </c>
      <c r="M207" s="4" t="s">
        <v>1068</v>
      </c>
      <c r="N207" s="19">
        <v>1.9797800000000001</v>
      </c>
      <c r="O207" s="19">
        <v>1.0989</v>
      </c>
      <c r="P207" s="19">
        <v>1.21</v>
      </c>
      <c r="Q207" s="19">
        <v>1.7296</v>
      </c>
      <c r="R207" s="19">
        <v>-2.96</v>
      </c>
      <c r="S207" s="19">
        <v>1.327</v>
      </c>
      <c r="T207" s="19">
        <v>-2.96</v>
      </c>
      <c r="U207" s="19">
        <v>0.66510000000000002</v>
      </c>
      <c r="V207" s="19">
        <v>-1.37</v>
      </c>
      <c r="W207" s="19">
        <v>1.8766</v>
      </c>
      <c r="X207" s="19">
        <v>-1.37</v>
      </c>
      <c r="Y207" s="19">
        <v>1.8766</v>
      </c>
      <c r="Z207" s="4"/>
      <c r="AA207" s="4"/>
      <c r="AB207" s="4" t="e">
        <f ca="1">_xll.ciqfunctions.udf.CIQ("^SPX", "IQ_PRICEDATE", "10/16/2014")</f>
        <v>#NAME?</v>
      </c>
      <c r="AC207" s="16">
        <v>1862.7640764024</v>
      </c>
    </row>
    <row r="208" spans="1:29" x14ac:dyDescent="0.35">
      <c r="A208" s="2" t="s">
        <v>218</v>
      </c>
      <c r="B208" s="4" t="s">
        <v>1069</v>
      </c>
      <c r="C208" s="4" t="s">
        <v>559</v>
      </c>
      <c r="D208" s="4" t="s">
        <v>912</v>
      </c>
      <c r="E208" s="4" t="s">
        <v>913</v>
      </c>
      <c r="F208" s="4" t="s">
        <v>1070</v>
      </c>
      <c r="G208" s="14">
        <v>63.05</v>
      </c>
      <c r="H208" s="10">
        <v>13.58897</v>
      </c>
      <c r="I208" s="10">
        <v>19.886509</v>
      </c>
      <c r="J208" s="10">
        <v>3.553941</v>
      </c>
      <c r="K208" s="15">
        <v>3.3624000000000001E-2</v>
      </c>
      <c r="L208" s="17">
        <v>11903.65085</v>
      </c>
      <c r="M208" s="4" t="s">
        <v>1071</v>
      </c>
      <c r="N208" s="19">
        <v>3.1704910000000002</v>
      </c>
      <c r="O208" s="19">
        <v>3.3020999999999998</v>
      </c>
      <c r="P208" s="19">
        <v>3.68</v>
      </c>
      <c r="Q208" s="19">
        <v>2.9405999999999999</v>
      </c>
      <c r="R208" s="19">
        <v>2.7</v>
      </c>
      <c r="S208" s="19">
        <v>2.5659999999999998</v>
      </c>
      <c r="T208" s="19">
        <v>2.7</v>
      </c>
      <c r="U208" s="19">
        <v>2.1513</v>
      </c>
      <c r="V208" s="19">
        <v>1.88</v>
      </c>
      <c r="W208" s="19">
        <v>3.1324999999999998</v>
      </c>
      <c r="X208" s="19">
        <v>1.88</v>
      </c>
      <c r="Y208" s="19">
        <v>3.1324999999999998</v>
      </c>
      <c r="Z208" s="4"/>
      <c r="AA208" s="4"/>
      <c r="AB208" s="4" t="e">
        <f ca="1">_xll.ciqfunctions.udf.CIQ("^SPX", "IQ_PRICEDATE", "10/17/2014")</f>
        <v>#NAME?</v>
      </c>
      <c r="AC208" s="16">
        <v>1886.7640399166</v>
      </c>
    </row>
    <row r="209" spans="1:29" x14ac:dyDescent="0.35">
      <c r="A209" s="2" t="s">
        <v>219</v>
      </c>
      <c r="B209" s="4" t="s">
        <v>1072</v>
      </c>
      <c r="C209" s="4" t="s">
        <v>543</v>
      </c>
      <c r="D209" s="4" t="s">
        <v>544</v>
      </c>
      <c r="E209" s="4" t="s">
        <v>545</v>
      </c>
      <c r="F209" s="4" t="s">
        <v>546</v>
      </c>
      <c r="G209" s="14">
        <v>149.31</v>
      </c>
      <c r="H209" s="10">
        <v>31.25545</v>
      </c>
      <c r="I209" s="10">
        <v>160.722589</v>
      </c>
      <c r="J209" s="10" t="s">
        <v>534</v>
      </c>
      <c r="K209" s="15">
        <v>0</v>
      </c>
      <c r="L209" s="17">
        <v>13560.043195</v>
      </c>
      <c r="M209" s="4" t="s">
        <v>1073</v>
      </c>
      <c r="N209" s="19">
        <v>0.92899200000000004</v>
      </c>
      <c r="O209" s="19">
        <v>3.9851000000000001</v>
      </c>
      <c r="P209" s="19">
        <v>3.7065000000000001E-2</v>
      </c>
      <c r="Q209" s="19">
        <v>3.8176000000000001</v>
      </c>
      <c r="R209" s="19">
        <v>2.31</v>
      </c>
      <c r="S209" s="19">
        <v>3.0979000000000001</v>
      </c>
      <c r="T209" s="19">
        <v>2.31</v>
      </c>
      <c r="U209" s="19">
        <v>2.6688000000000001</v>
      </c>
      <c r="V209" s="19">
        <v>2.0299999999999998</v>
      </c>
      <c r="W209" s="19">
        <v>2.6522000000000001</v>
      </c>
      <c r="X209" s="19">
        <v>2.0299999999999998</v>
      </c>
      <c r="Y209" s="19">
        <v>2.6522000000000001</v>
      </c>
      <c r="Z209" s="4"/>
      <c r="AA209" s="4"/>
      <c r="AB209" s="4" t="e">
        <f ca="1">_xll.ciqfunctions.udf.CIQ("^SPX", "IQ_PRICEDATE", "10/20/2014")</f>
        <v>#NAME?</v>
      </c>
      <c r="AC209" s="16">
        <v>1904.0114248211</v>
      </c>
    </row>
    <row r="210" spans="1:29" x14ac:dyDescent="0.35">
      <c r="A210" s="2" t="s">
        <v>220</v>
      </c>
      <c r="B210" s="4" t="s">
        <v>1074</v>
      </c>
      <c r="C210" s="4" t="s">
        <v>525</v>
      </c>
      <c r="D210" s="4" t="s">
        <v>526</v>
      </c>
      <c r="E210" s="4" t="s">
        <v>703</v>
      </c>
      <c r="F210" s="4" t="s">
        <v>703</v>
      </c>
      <c r="G210" s="14">
        <v>193.84</v>
      </c>
      <c r="H210" s="10">
        <v>14.835851999999999</v>
      </c>
      <c r="I210" s="10">
        <v>19.608174000000002</v>
      </c>
      <c r="J210" s="10" t="s">
        <v>534</v>
      </c>
      <c r="K210" s="15">
        <v>1.9191E-2</v>
      </c>
      <c r="L210" s="17">
        <v>57431.192778999997</v>
      </c>
      <c r="M210" s="4" t="s">
        <v>1075</v>
      </c>
      <c r="N210" s="19">
        <v>9.8856730000000006</v>
      </c>
      <c r="O210" s="19">
        <v>11.714399999999999</v>
      </c>
      <c r="P210" s="19">
        <v>9.56</v>
      </c>
      <c r="Q210" s="19">
        <v>10.0091</v>
      </c>
      <c r="R210" s="19">
        <v>8.64</v>
      </c>
      <c r="S210" s="19">
        <v>9.9268000000000001</v>
      </c>
      <c r="T210" s="19">
        <v>8.64</v>
      </c>
      <c r="U210" s="19">
        <v>9.2800999999999991</v>
      </c>
      <c r="V210" s="19">
        <v>7.83</v>
      </c>
      <c r="W210" s="19">
        <v>8.1577999999999999</v>
      </c>
      <c r="X210" s="19">
        <v>7.83</v>
      </c>
      <c r="Y210" s="19">
        <v>8.1577999999999999</v>
      </c>
      <c r="Z210" s="4"/>
      <c r="AA210" s="4"/>
      <c r="AB210" s="4" t="e">
        <f ca="1">_xll.ciqfunctions.udf.CIQ("^SPX", "IQ_PRICEDATE", "10/21/2014")</f>
        <v>#NAME?</v>
      </c>
      <c r="AC210" s="16">
        <v>1941.2824878514</v>
      </c>
    </row>
    <row r="211" spans="1:29" x14ac:dyDescent="0.35">
      <c r="A211" s="2" t="s">
        <v>221</v>
      </c>
      <c r="B211" s="4" t="s">
        <v>1076</v>
      </c>
      <c r="C211" s="4" t="s">
        <v>525</v>
      </c>
      <c r="D211" s="4" t="s">
        <v>526</v>
      </c>
      <c r="E211" s="4" t="s">
        <v>1077</v>
      </c>
      <c r="F211" s="4" t="s">
        <v>1077</v>
      </c>
      <c r="G211" s="14">
        <v>12.19</v>
      </c>
      <c r="H211" s="10">
        <v>40.009340999999999</v>
      </c>
      <c r="I211" s="10" t="s">
        <v>534</v>
      </c>
      <c r="J211" s="10" t="s">
        <v>534</v>
      </c>
      <c r="K211" s="15">
        <v>3.9376000000000001E-2</v>
      </c>
      <c r="L211" s="17">
        <v>105944.27739</v>
      </c>
      <c r="M211" s="4" t="s">
        <v>1078</v>
      </c>
      <c r="N211" s="19">
        <v>-0.68674400000000002</v>
      </c>
      <c r="O211" s="19">
        <v>0.95369999999999999</v>
      </c>
      <c r="P211" s="19">
        <v>-0.68270500000000001</v>
      </c>
      <c r="Q211" s="19">
        <v>1.0002</v>
      </c>
      <c r="R211" s="19">
        <v>0.99780899999999995</v>
      </c>
      <c r="S211" s="19">
        <v>1.5349999999999999</v>
      </c>
      <c r="T211" s="19">
        <v>0.99780899999999995</v>
      </c>
      <c r="U211" s="19">
        <v>1.4945999999999999</v>
      </c>
      <c r="V211" s="19">
        <v>0.93993800000000005</v>
      </c>
      <c r="W211" s="19">
        <v>1.7267999999999999</v>
      </c>
      <c r="X211" s="19">
        <v>0.93993800000000005</v>
      </c>
      <c r="Y211" s="19">
        <v>1.7267999999999999</v>
      </c>
      <c r="Z211" s="4"/>
      <c r="AA211" s="4"/>
      <c r="AB211" s="4" t="e">
        <f ca="1">_xll.ciqfunctions.udf.CIQ("^SPX", "IQ_PRICEDATE", "10/22/2014")</f>
        <v>#NAME?</v>
      </c>
      <c r="AC211" s="16">
        <v>1927.1103570503999</v>
      </c>
    </row>
    <row r="212" spans="1:29" x14ac:dyDescent="0.35">
      <c r="A212" s="2" t="s">
        <v>222</v>
      </c>
      <c r="B212" s="4" t="s">
        <v>1079</v>
      </c>
      <c r="C212" s="4" t="s">
        <v>626</v>
      </c>
      <c r="D212" s="4" t="s">
        <v>627</v>
      </c>
      <c r="E212" s="4" t="s">
        <v>699</v>
      </c>
      <c r="F212" s="4" t="s">
        <v>789</v>
      </c>
      <c r="G212" s="14">
        <v>44.06</v>
      </c>
      <c r="H212" s="10">
        <v>12.273471000000001</v>
      </c>
      <c r="I212" s="10">
        <v>12.262845</v>
      </c>
      <c r="J212" s="10" t="s">
        <v>534</v>
      </c>
      <c r="K212" s="15">
        <v>4.4484000000000003E-2</v>
      </c>
      <c r="L212" s="17">
        <v>26269.890803999999</v>
      </c>
      <c r="M212" s="4" t="s">
        <v>1080</v>
      </c>
      <c r="N212" s="19">
        <v>3.5929669999999998</v>
      </c>
      <c r="O212" s="19">
        <v>3.1387</v>
      </c>
      <c r="P212" s="19">
        <v>2.7266919999999999</v>
      </c>
      <c r="Q212" s="19">
        <v>3.2000999999999999</v>
      </c>
      <c r="R212" s="19">
        <v>2.6779410000000001</v>
      </c>
      <c r="S212" s="19">
        <v>3.2629999999999999</v>
      </c>
      <c r="T212" s="19">
        <v>2.6779410000000001</v>
      </c>
      <c r="U212" s="19">
        <v>2.9365000000000001</v>
      </c>
      <c r="V212" s="19">
        <v>2.3980549999999998</v>
      </c>
      <c r="W212" s="19">
        <v>3.0118999999999998</v>
      </c>
      <c r="X212" s="19">
        <v>2.3980549999999998</v>
      </c>
      <c r="Y212" s="19">
        <v>3.0118999999999998</v>
      </c>
      <c r="Z212" s="4"/>
      <c r="AA212" s="4"/>
      <c r="AB212" s="4" t="e">
        <f ca="1">_xll.ciqfunctions.udf.CIQ("^SPX", "IQ_PRICEDATE", "10/23/2014")</f>
        <v>#NAME?</v>
      </c>
      <c r="AC212" s="16">
        <v>1950.8220801912</v>
      </c>
    </row>
    <row r="213" spans="1:29" x14ac:dyDescent="0.35">
      <c r="A213" s="2" t="s">
        <v>223</v>
      </c>
      <c r="B213" s="4" t="s">
        <v>1081</v>
      </c>
      <c r="C213" s="4" t="s">
        <v>559</v>
      </c>
      <c r="D213" s="4" t="s">
        <v>694</v>
      </c>
      <c r="E213" s="4" t="s">
        <v>1054</v>
      </c>
      <c r="F213" s="4" t="s">
        <v>1055</v>
      </c>
      <c r="G213" s="14">
        <v>31.93</v>
      </c>
      <c r="H213" s="10">
        <v>5.803058</v>
      </c>
      <c r="I213" s="10" t="s">
        <v>534</v>
      </c>
      <c r="J213" s="10">
        <v>1.4675149999999999</v>
      </c>
      <c r="K213" s="15">
        <v>4.7604E-2</v>
      </c>
      <c r="L213" s="17">
        <v>45049.663930000002</v>
      </c>
      <c r="M213" s="4" t="s">
        <v>1082</v>
      </c>
      <c r="N213" s="19">
        <v>-0.92009099999999999</v>
      </c>
      <c r="O213" s="19">
        <v>5.6577999999999999</v>
      </c>
      <c r="P213" s="19">
        <v>0.22</v>
      </c>
      <c r="Q213" s="19">
        <v>5.9486999999999997</v>
      </c>
      <c r="R213" s="19">
        <v>6</v>
      </c>
      <c r="S213" s="19">
        <v>5.6923000000000004</v>
      </c>
      <c r="T213" s="19">
        <v>6</v>
      </c>
      <c r="U213" s="19">
        <v>5.3997000000000002</v>
      </c>
      <c r="V213" s="19">
        <v>1.6514519999999999</v>
      </c>
      <c r="W213" s="19">
        <v>4.0961999999999996</v>
      </c>
      <c r="X213" s="19">
        <v>1.6514519999999999</v>
      </c>
      <c r="Y213" s="19">
        <v>4.0961999999999996</v>
      </c>
      <c r="Z213" s="4"/>
      <c r="AA213" s="4"/>
      <c r="AB213" s="4" t="e">
        <f ca="1">_xll.ciqfunctions.udf.CIQ("^SPX", "IQ_PRICEDATE", "10/24/2014")</f>
        <v>#NAME?</v>
      </c>
      <c r="AC213" s="16">
        <v>1964.5802966315</v>
      </c>
    </row>
    <row r="214" spans="1:29" x14ac:dyDescent="0.35">
      <c r="A214" s="2" t="s">
        <v>224</v>
      </c>
      <c r="B214" s="4" t="s">
        <v>1083</v>
      </c>
      <c r="C214" s="4" t="s">
        <v>559</v>
      </c>
      <c r="D214" s="4" t="s">
        <v>560</v>
      </c>
      <c r="E214" s="4" t="s">
        <v>1084</v>
      </c>
      <c r="F214" s="4" t="s">
        <v>1084</v>
      </c>
      <c r="G214" s="14">
        <v>95.14</v>
      </c>
      <c r="H214" s="10">
        <v>12.949332</v>
      </c>
      <c r="I214" s="10">
        <v>20.871238999999999</v>
      </c>
      <c r="J214" s="10" t="s">
        <v>534</v>
      </c>
      <c r="K214" s="15">
        <v>3.0270999999999999E-2</v>
      </c>
      <c r="L214" s="17">
        <v>13962.054921999999</v>
      </c>
      <c r="M214" s="4" t="s">
        <v>1085</v>
      </c>
      <c r="N214" s="19">
        <v>4.5584259999999999</v>
      </c>
      <c r="O214" s="19">
        <v>5.7378999999999998</v>
      </c>
      <c r="P214" s="19">
        <v>4.18</v>
      </c>
      <c r="Q214" s="19">
        <v>5.1786000000000003</v>
      </c>
      <c r="R214" s="19">
        <v>4.59</v>
      </c>
      <c r="S214" s="19">
        <v>4.7808999999999999</v>
      </c>
      <c r="T214" s="19">
        <v>4.59</v>
      </c>
      <c r="U214" s="19">
        <v>4.7839</v>
      </c>
      <c r="V214" s="19">
        <v>4.6100000000000003</v>
      </c>
      <c r="W214" s="19">
        <v>4.9005999999999998</v>
      </c>
      <c r="X214" s="19">
        <v>4.6100000000000003</v>
      </c>
      <c r="Y214" s="19">
        <v>4.9005999999999998</v>
      </c>
      <c r="Z214" s="4"/>
      <c r="AA214" s="4"/>
      <c r="AB214" s="4" t="e">
        <f ca="1">_xll.ciqfunctions.udf.CIQ("^SPX", "IQ_PRICEDATE", "10/27/2014")</f>
        <v>#NAME?</v>
      </c>
      <c r="AC214" s="16">
        <v>1961.6305392728</v>
      </c>
    </row>
    <row r="215" spans="1:29" x14ac:dyDescent="0.35">
      <c r="A215" s="2" t="s">
        <v>225</v>
      </c>
      <c r="B215" s="4" t="s">
        <v>1086</v>
      </c>
      <c r="C215" s="4" t="s">
        <v>530</v>
      </c>
      <c r="D215" s="4" t="s">
        <v>537</v>
      </c>
      <c r="E215" s="4" t="s">
        <v>538</v>
      </c>
      <c r="F215" s="4" t="s">
        <v>538</v>
      </c>
      <c r="G215" s="14">
        <v>75.62</v>
      </c>
      <c r="H215" s="10">
        <v>8.1812310000000004</v>
      </c>
      <c r="I215" s="10">
        <v>45.186599000000001</v>
      </c>
      <c r="J215" s="10">
        <v>93.159284</v>
      </c>
      <c r="K215" s="15">
        <v>3.015E-2</v>
      </c>
      <c r="L215" s="17">
        <v>98029.275643000001</v>
      </c>
      <c r="M215" s="4" t="s">
        <v>1087</v>
      </c>
      <c r="N215" s="19">
        <v>1.673505</v>
      </c>
      <c r="O215" s="19">
        <v>6.55</v>
      </c>
      <c r="P215" s="19">
        <v>3.51</v>
      </c>
      <c r="Q215" s="19">
        <v>6.9237000000000002</v>
      </c>
      <c r="R215" s="19">
        <v>9.94</v>
      </c>
      <c r="S215" s="19">
        <v>10.435600000000001</v>
      </c>
      <c r="T215" s="19">
        <v>9.94</v>
      </c>
      <c r="U215" s="19">
        <v>11.6534</v>
      </c>
      <c r="V215" s="19">
        <v>7.35</v>
      </c>
      <c r="W215" s="19">
        <v>9.9133999999999993</v>
      </c>
      <c r="X215" s="19">
        <v>7.35</v>
      </c>
      <c r="Y215" s="19">
        <v>9.9133999999999993</v>
      </c>
      <c r="Z215" s="4"/>
      <c r="AA215" s="4"/>
      <c r="AB215" s="4" t="e">
        <f ca="1">_xll.ciqfunctions.udf.CIQ("^SPX", "IQ_PRICEDATE", "10/28/2014")</f>
        <v>#NAME?</v>
      </c>
      <c r="AC215" s="16">
        <v>1985.0456261344</v>
      </c>
    </row>
    <row r="216" spans="1:29" x14ac:dyDescent="0.35">
      <c r="A216" s="2" t="s">
        <v>226</v>
      </c>
      <c r="B216" s="4" t="s">
        <v>1088</v>
      </c>
      <c r="C216" s="4" t="s">
        <v>543</v>
      </c>
      <c r="D216" s="4" t="s">
        <v>544</v>
      </c>
      <c r="E216" s="4" t="s">
        <v>545</v>
      </c>
      <c r="F216" s="4" t="s">
        <v>616</v>
      </c>
      <c r="G216" s="14">
        <v>119.89</v>
      </c>
      <c r="H216" s="10">
        <v>18.757956</v>
      </c>
      <c r="I216" s="10">
        <v>34.423037000000001</v>
      </c>
      <c r="J216" s="10" t="s">
        <v>534</v>
      </c>
      <c r="K216" s="15">
        <v>3.3300000000000002E-4</v>
      </c>
      <c r="L216" s="17">
        <v>18964.856838</v>
      </c>
      <c r="M216" s="4" t="s">
        <v>1089</v>
      </c>
      <c r="N216" s="19">
        <v>3.4828420000000002</v>
      </c>
      <c r="O216" s="19">
        <v>5.5202</v>
      </c>
      <c r="P216" s="19">
        <v>3.01</v>
      </c>
      <c r="Q216" s="19">
        <v>4.5354999999999999</v>
      </c>
      <c r="R216" s="19">
        <v>1.388571</v>
      </c>
      <c r="S216" s="19">
        <v>0</v>
      </c>
      <c r="T216" s="19">
        <v>1.388571</v>
      </c>
      <c r="U216" s="19">
        <v>3.1545999999999998</v>
      </c>
      <c r="V216" s="19">
        <v>1.8333660000000001</v>
      </c>
      <c r="W216" s="19">
        <v>2.4312999999999998</v>
      </c>
      <c r="X216" s="19">
        <v>1.8333660000000001</v>
      </c>
      <c r="Y216" s="19">
        <v>2.4312999999999998</v>
      </c>
      <c r="Z216" s="4"/>
      <c r="AA216" s="4"/>
      <c r="AB216" s="4" t="e">
        <f ca="1">_xll.ciqfunctions.udf.CIQ("^SPX", "IQ_PRICEDATE", "10/29/2014")</f>
        <v>#NAME?</v>
      </c>
      <c r="AC216" s="16">
        <v>1982.3030206704</v>
      </c>
    </row>
    <row r="217" spans="1:29" x14ac:dyDescent="0.35">
      <c r="A217" s="2" t="s">
        <v>227</v>
      </c>
      <c r="B217" s="4" t="s">
        <v>1090</v>
      </c>
      <c r="C217" s="4" t="s">
        <v>559</v>
      </c>
      <c r="D217" s="4" t="s">
        <v>798</v>
      </c>
      <c r="E217" s="4" t="s">
        <v>1091</v>
      </c>
      <c r="F217" s="4" t="s">
        <v>1092</v>
      </c>
      <c r="G217" s="14">
        <v>26.52</v>
      </c>
      <c r="H217" s="10">
        <v>6.3305619999999996</v>
      </c>
      <c r="I217" s="10">
        <v>9.1991370000000003</v>
      </c>
      <c r="J217" s="10" t="s">
        <v>534</v>
      </c>
      <c r="K217" s="15">
        <v>3.7707000000000004E-2</v>
      </c>
      <c r="L217" s="17">
        <v>5450.4121459999997</v>
      </c>
      <c r="M217" s="4" t="s">
        <v>1093</v>
      </c>
      <c r="N217" s="19">
        <v>2.882879</v>
      </c>
      <c r="O217" s="19">
        <v>1.8934</v>
      </c>
      <c r="P217" s="19">
        <v>1.939716</v>
      </c>
      <c r="Q217" s="19">
        <v>1.9441999999999999</v>
      </c>
      <c r="R217" s="19">
        <v>1.5980000000000001</v>
      </c>
      <c r="S217" s="19">
        <v>1.5812999999999999</v>
      </c>
      <c r="T217" s="19">
        <v>1.5980000000000001</v>
      </c>
      <c r="U217" s="19">
        <v>1.9351</v>
      </c>
      <c r="V217" s="19">
        <v>1.7818830000000001</v>
      </c>
      <c r="W217" s="19">
        <v>1.841</v>
      </c>
      <c r="X217" s="19">
        <v>1.7818830000000001</v>
      </c>
      <c r="Y217" s="19">
        <v>1.841</v>
      </c>
      <c r="Z217" s="4"/>
      <c r="AA217" s="4"/>
      <c r="AB217" s="4" t="e">
        <f ca="1">_xll.ciqfunctions.udf.CIQ("^SPX", "IQ_PRICEDATE", "10/30/2014")</f>
        <v>#NAME?</v>
      </c>
      <c r="AC217" s="16">
        <v>1994.6546509021</v>
      </c>
    </row>
    <row r="218" spans="1:29" x14ac:dyDescent="0.35">
      <c r="A218" s="2" t="s">
        <v>228</v>
      </c>
      <c r="B218" s="4" t="s">
        <v>1094</v>
      </c>
      <c r="C218" s="4" t="s">
        <v>669</v>
      </c>
      <c r="D218" s="4" t="s">
        <v>669</v>
      </c>
      <c r="E218" s="4" t="s">
        <v>730</v>
      </c>
      <c r="F218" s="4" t="s">
        <v>731</v>
      </c>
      <c r="G218" s="14">
        <v>39.56</v>
      </c>
      <c r="H218" s="10">
        <v>9.8760949999999994</v>
      </c>
      <c r="I218" s="10" t="s">
        <v>534</v>
      </c>
      <c r="J218" s="10">
        <v>5.7965059999999999</v>
      </c>
      <c r="K218" s="15">
        <v>1.8200000000000001E-2</v>
      </c>
      <c r="L218" s="17">
        <v>34808.670371</v>
      </c>
      <c r="M218" s="4" t="s">
        <v>1095</v>
      </c>
      <c r="N218" s="19">
        <v>0.13029099999999999</v>
      </c>
      <c r="O218" s="19">
        <v>2.0017</v>
      </c>
      <c r="P218" s="19">
        <v>-0.51034400000000002</v>
      </c>
      <c r="Q218" s="19">
        <v>1.9798</v>
      </c>
      <c r="R218" s="19">
        <v>-6.6910559999999997</v>
      </c>
      <c r="S218" s="19">
        <v>0.62350000000000005</v>
      </c>
      <c r="T218" s="19">
        <v>-6.6910559999999997</v>
      </c>
      <c r="U218" s="19">
        <v>0.95789999999999997</v>
      </c>
      <c r="V218" s="19">
        <v>4.03</v>
      </c>
      <c r="W218" s="19">
        <v>3.7292000000000001</v>
      </c>
      <c r="X218" s="19">
        <v>4.03</v>
      </c>
      <c r="Y218" s="19">
        <v>3.7292000000000001</v>
      </c>
      <c r="Z218" s="4"/>
      <c r="AA218" s="4"/>
      <c r="AB218" s="4" t="e">
        <f ca="1">_xll.ciqfunctions.udf.CIQ("^SPX", "IQ_PRICEDATE", "10/31/2014")</f>
        <v>#NAME?</v>
      </c>
      <c r="AC218" s="16">
        <v>2018.0545032964001</v>
      </c>
    </row>
    <row r="219" spans="1:29" x14ac:dyDescent="0.35">
      <c r="A219" s="2" t="s">
        <v>229</v>
      </c>
      <c r="B219" s="4" t="s">
        <v>1096</v>
      </c>
      <c r="C219" s="4" t="s">
        <v>559</v>
      </c>
      <c r="D219" s="4" t="s">
        <v>912</v>
      </c>
      <c r="E219" s="4" t="s">
        <v>1097</v>
      </c>
      <c r="F219" s="4" t="s">
        <v>1098</v>
      </c>
      <c r="G219" s="14">
        <v>16.88</v>
      </c>
      <c r="H219" s="10">
        <v>9.803369</v>
      </c>
      <c r="I219" s="10">
        <v>158.92742799999999</v>
      </c>
      <c r="J219" s="10" t="s">
        <v>534</v>
      </c>
      <c r="K219" s="15">
        <v>3.5545E-2</v>
      </c>
      <c r="L219" s="17">
        <v>6085.3629030000002</v>
      </c>
      <c r="M219" s="4" t="s">
        <v>1099</v>
      </c>
      <c r="N219" s="19">
        <v>0.106212</v>
      </c>
      <c r="O219" s="19">
        <v>1.7996000000000001</v>
      </c>
      <c r="P219" s="19">
        <v>0.17</v>
      </c>
      <c r="Q219" s="19">
        <v>2.0118</v>
      </c>
      <c r="R219" s="19">
        <v>1.4</v>
      </c>
      <c r="S219" s="19">
        <v>2.0983999999999998</v>
      </c>
      <c r="T219" s="19">
        <v>1.4</v>
      </c>
      <c r="U219" s="19">
        <v>1.8455999999999999</v>
      </c>
      <c r="V219" s="19">
        <v>0.85015499999999999</v>
      </c>
      <c r="W219" s="19">
        <v>1.5659000000000001</v>
      </c>
      <c r="X219" s="19">
        <v>0.85015499999999999</v>
      </c>
      <c r="Y219" s="19">
        <v>1.5659000000000001</v>
      </c>
      <c r="Z219" s="4"/>
      <c r="AA219" s="4"/>
      <c r="AB219" s="4" t="e">
        <f ca="1">_xll.ciqfunctions.udf.CIQ("^SPX", "IQ_PRICEDATE", "11/3/2014")</f>
        <v>#NAME?</v>
      </c>
      <c r="AC219" s="16">
        <v>2017.8115211314</v>
      </c>
    </row>
    <row r="220" spans="1:29" x14ac:dyDescent="0.35">
      <c r="A220" s="2" t="s">
        <v>230</v>
      </c>
      <c r="B220" s="4" t="s">
        <v>1100</v>
      </c>
      <c r="C220" s="4" t="s">
        <v>559</v>
      </c>
      <c r="D220" s="4" t="s">
        <v>694</v>
      </c>
      <c r="E220" s="4" t="s">
        <v>1054</v>
      </c>
      <c r="F220" s="4" t="s">
        <v>1101</v>
      </c>
      <c r="G220" s="14">
        <v>41.67</v>
      </c>
      <c r="H220" s="10">
        <v>12.691546000000001</v>
      </c>
      <c r="I220" s="10">
        <v>14.260604000000001</v>
      </c>
      <c r="J220" s="10">
        <v>3.2960660000000002</v>
      </c>
      <c r="K220" s="15">
        <v>3.5517E-2</v>
      </c>
      <c r="L220" s="17">
        <v>6873.4248299999999</v>
      </c>
      <c r="M220" s="4" t="s">
        <v>1102</v>
      </c>
      <c r="N220" s="19">
        <v>2.9220359999999999</v>
      </c>
      <c r="O220" s="19">
        <v>3.7042999999999999</v>
      </c>
      <c r="P220" s="19">
        <v>3.02</v>
      </c>
      <c r="Q220" s="19">
        <v>3.7370999999999999</v>
      </c>
      <c r="R220" s="19">
        <v>3.83</v>
      </c>
      <c r="S220" s="19">
        <v>4.1135000000000002</v>
      </c>
      <c r="T220" s="19">
        <v>3.83</v>
      </c>
      <c r="U220" s="19">
        <v>3.9474999999999998</v>
      </c>
      <c r="V220" s="19">
        <v>3.88</v>
      </c>
      <c r="W220" s="19">
        <v>4.2760999999999996</v>
      </c>
      <c r="X220" s="19">
        <v>3.88</v>
      </c>
      <c r="Y220" s="19">
        <v>4.2760999999999996</v>
      </c>
      <c r="Z220" s="4"/>
      <c r="AA220" s="4"/>
      <c r="AB220" s="4" t="e">
        <f ca="1">_xll.ciqfunctions.udf.CIQ("^SPX", "IQ_PRICEDATE", "11/4/2014")</f>
        <v>#NAME?</v>
      </c>
      <c r="AC220" s="16">
        <v>2012.0952743803</v>
      </c>
    </row>
    <row r="221" spans="1:29" x14ac:dyDescent="0.35">
      <c r="A221" s="2" t="s">
        <v>231</v>
      </c>
      <c r="B221" s="4" t="s">
        <v>1103</v>
      </c>
      <c r="C221" s="4" t="s">
        <v>525</v>
      </c>
      <c r="D221" s="4" t="s">
        <v>526</v>
      </c>
      <c r="E221" s="4" t="s">
        <v>703</v>
      </c>
      <c r="F221" s="4" t="s">
        <v>703</v>
      </c>
      <c r="G221" s="14">
        <v>171.57</v>
      </c>
      <c r="H221" s="10">
        <v>16.211596</v>
      </c>
      <c r="I221" s="10">
        <v>26.978943000000001</v>
      </c>
      <c r="J221" s="10" t="s">
        <v>534</v>
      </c>
      <c r="K221" s="15">
        <v>1.5969999999999998E-2</v>
      </c>
      <c r="L221" s="17">
        <v>20183.143081999999</v>
      </c>
      <c r="M221" s="4" t="s">
        <v>1104</v>
      </c>
      <c r="N221" s="19">
        <v>6.3594039999999996</v>
      </c>
      <c r="O221" s="19">
        <v>8.1302000000000003</v>
      </c>
      <c r="P221" s="19">
        <v>5.183764</v>
      </c>
      <c r="Q221" s="19">
        <v>6.2394999999999996</v>
      </c>
      <c r="R221" s="19">
        <v>4.8403340000000004</v>
      </c>
      <c r="S221" s="19">
        <v>5.8921000000000001</v>
      </c>
      <c r="T221" s="19">
        <v>4.8403340000000004</v>
      </c>
      <c r="U221" s="19">
        <v>5.8395999999999999</v>
      </c>
      <c r="V221" s="19">
        <v>5.0009810000000003</v>
      </c>
      <c r="W221" s="19">
        <v>4.8646000000000003</v>
      </c>
      <c r="X221" s="19">
        <v>5.0009810000000003</v>
      </c>
      <c r="Y221" s="19">
        <v>4.8646000000000003</v>
      </c>
      <c r="Z221" s="4"/>
      <c r="AA221" s="4"/>
      <c r="AB221" s="4" t="e">
        <f ca="1">_xll.ciqfunctions.udf.CIQ("^SPX", "IQ_PRICEDATE", "11/5/2014")</f>
        <v>#NAME?</v>
      </c>
      <c r="AC221" s="16">
        <v>2023.57465265</v>
      </c>
    </row>
    <row r="222" spans="1:29" x14ac:dyDescent="0.35">
      <c r="A222" s="2" t="s">
        <v>232</v>
      </c>
      <c r="B222" s="4" t="s">
        <v>1105</v>
      </c>
      <c r="C222" s="4" t="s">
        <v>559</v>
      </c>
      <c r="D222" s="4" t="s">
        <v>912</v>
      </c>
      <c r="E222" s="4" t="s">
        <v>1106</v>
      </c>
      <c r="F222" s="4" t="s">
        <v>1106</v>
      </c>
      <c r="G222" s="14">
        <v>100.89</v>
      </c>
      <c r="H222" s="10">
        <v>15.814116</v>
      </c>
      <c r="I222" s="10">
        <v>61.311999999999998</v>
      </c>
      <c r="J222" s="10">
        <v>28.345485</v>
      </c>
      <c r="K222" s="15">
        <v>2.4976999999999999E-2</v>
      </c>
      <c r="L222" s="17">
        <v>12806.873087</v>
      </c>
      <c r="M222" s="4" t="s">
        <v>1107</v>
      </c>
      <c r="N222" s="19">
        <v>1.645518</v>
      </c>
      <c r="O222" s="19">
        <v>4.8720999999999997</v>
      </c>
      <c r="P222" s="19">
        <v>3.12</v>
      </c>
      <c r="Q222" s="19">
        <v>5.2020999999999997</v>
      </c>
      <c r="R222" s="19">
        <v>4.34</v>
      </c>
      <c r="S222" s="19">
        <v>4.2457000000000003</v>
      </c>
      <c r="T222" s="19">
        <v>4.34</v>
      </c>
      <c r="U222" s="19">
        <v>3.6880999999999999</v>
      </c>
      <c r="V222" s="19">
        <v>3.2</v>
      </c>
      <c r="W222" s="19">
        <v>3.3580999999999999</v>
      </c>
      <c r="X222" s="19">
        <v>3.2</v>
      </c>
      <c r="Y222" s="19">
        <v>3.3580999999999999</v>
      </c>
      <c r="Z222" s="4"/>
      <c r="AA222" s="4"/>
      <c r="AB222" s="4" t="e">
        <f ca="1">_xll.ciqfunctions.udf.CIQ("^SPX", "IQ_PRICEDATE", "11/6/2014")</f>
        <v>#NAME?</v>
      </c>
      <c r="AC222" s="16">
        <v>2031.2121546376</v>
      </c>
    </row>
    <row r="223" spans="1:29" x14ac:dyDescent="0.35">
      <c r="A223" s="2" t="s">
        <v>233</v>
      </c>
      <c r="B223" s="4" t="s">
        <v>1108</v>
      </c>
      <c r="C223" s="4" t="s">
        <v>530</v>
      </c>
      <c r="D223" s="4" t="s">
        <v>531</v>
      </c>
      <c r="E223" s="4" t="s">
        <v>569</v>
      </c>
      <c r="F223" s="4" t="s">
        <v>1109</v>
      </c>
      <c r="G223" s="14">
        <v>136.47</v>
      </c>
      <c r="H223" s="10">
        <v>9.5941390000000002</v>
      </c>
      <c r="I223" s="10">
        <v>17.240845</v>
      </c>
      <c r="J223" s="10" t="s">
        <v>534</v>
      </c>
      <c r="K223" s="15">
        <v>1.0258E-2</v>
      </c>
      <c r="L223" s="17">
        <v>47224.897620000003</v>
      </c>
      <c r="M223" s="4" t="s">
        <v>1110</v>
      </c>
      <c r="N223" s="19">
        <v>7.9155049999999996</v>
      </c>
      <c r="O223" s="19">
        <v>9.5292999999999992</v>
      </c>
      <c r="P223" s="19">
        <v>5.95</v>
      </c>
      <c r="Q223" s="19">
        <v>7.1266999999999996</v>
      </c>
      <c r="R223" s="19">
        <v>7.3</v>
      </c>
      <c r="S223" s="19">
        <v>6.8952</v>
      </c>
      <c r="T223" s="19">
        <v>7.3</v>
      </c>
      <c r="U223" s="19">
        <v>5.5753000000000004</v>
      </c>
      <c r="V223" s="19">
        <v>4.16</v>
      </c>
      <c r="W223" s="19">
        <v>4.8982999999999999</v>
      </c>
      <c r="X223" s="19">
        <v>4.16</v>
      </c>
      <c r="Y223" s="19">
        <v>4.8982999999999999</v>
      </c>
      <c r="Z223" s="4"/>
      <c r="AA223" s="4"/>
      <c r="AB223" s="4" t="e">
        <f ca="1">_xll.ciqfunctions.udf.CIQ("^SPX", "IQ_PRICEDATE", "11/7/2014")</f>
        <v>#NAME?</v>
      </c>
      <c r="AC223" s="16">
        <v>2031.9215168768999</v>
      </c>
    </row>
    <row r="224" spans="1:29" x14ac:dyDescent="0.35">
      <c r="A224" s="2" t="s">
        <v>234</v>
      </c>
      <c r="B224" s="4" t="s">
        <v>1111</v>
      </c>
      <c r="C224" s="4" t="s">
        <v>601</v>
      </c>
      <c r="D224" s="4" t="s">
        <v>601</v>
      </c>
      <c r="E224" s="4" t="s">
        <v>602</v>
      </c>
      <c r="F224" s="4" t="s">
        <v>1112</v>
      </c>
      <c r="G224" s="14">
        <v>25.78</v>
      </c>
      <c r="H224" s="10">
        <v>20.386706</v>
      </c>
      <c r="I224" s="10">
        <v>199.348906</v>
      </c>
      <c r="J224" s="10">
        <v>2.497652</v>
      </c>
      <c r="K224" s="15">
        <v>5.7408000000000001E-2</v>
      </c>
      <c r="L224" s="17">
        <v>12112.283629</v>
      </c>
      <c r="M224" s="4" t="s">
        <v>1113</v>
      </c>
      <c r="N224" s="19">
        <v>0.12932099999999999</v>
      </c>
      <c r="O224" s="19">
        <v>0.65949999999999998</v>
      </c>
      <c r="P224" s="19">
        <v>0.88</v>
      </c>
      <c r="Q224" s="19">
        <v>0.82440000000000002</v>
      </c>
      <c r="R224" s="19">
        <v>0.77</v>
      </c>
      <c r="S224" s="19">
        <v>0.84499999999999997</v>
      </c>
      <c r="T224" s="19">
        <v>0.77</v>
      </c>
      <c r="U224" s="19">
        <v>1.9067000000000001</v>
      </c>
      <c r="V224" s="19">
        <v>0.55520499999999995</v>
      </c>
      <c r="W224" s="19">
        <v>1.9539</v>
      </c>
      <c r="X224" s="19">
        <v>0.55520499999999995</v>
      </c>
      <c r="Y224" s="19">
        <v>1.9539</v>
      </c>
      <c r="Z224" s="4"/>
      <c r="AA224" s="4"/>
      <c r="AB224" s="4" t="e">
        <f ca="1">_xll.ciqfunctions.udf.CIQ("^SPX", "IQ_PRICEDATE", "11/10/2014")</f>
        <v>#NAME?</v>
      </c>
      <c r="AC224" s="16">
        <v>2038.2626780918999</v>
      </c>
    </row>
    <row r="225" spans="1:29" x14ac:dyDescent="0.35">
      <c r="A225" s="2" t="s">
        <v>235</v>
      </c>
      <c r="B225" s="4" t="s">
        <v>1114</v>
      </c>
      <c r="C225" s="4" t="s">
        <v>669</v>
      </c>
      <c r="D225" s="4" t="s">
        <v>669</v>
      </c>
      <c r="E225" s="4" t="s">
        <v>730</v>
      </c>
      <c r="F225" s="4" t="s">
        <v>1115</v>
      </c>
      <c r="G225" s="14">
        <v>68.05</v>
      </c>
      <c r="H225" s="10">
        <v>13.788542</v>
      </c>
      <c r="I225" s="10">
        <v>16.015302999999999</v>
      </c>
      <c r="J225" s="10">
        <v>1.725125</v>
      </c>
      <c r="K225" s="15">
        <v>4.1734E-2</v>
      </c>
      <c r="L225" s="17">
        <v>7413.6224599999996</v>
      </c>
      <c r="M225" s="4" t="s">
        <v>1116</v>
      </c>
      <c r="N225" s="19">
        <v>4.2490610000000002</v>
      </c>
      <c r="O225" s="19">
        <v>1.1255999999999999</v>
      </c>
      <c r="P225" s="19">
        <v>3.7040329999999999</v>
      </c>
      <c r="Q225" s="19">
        <v>-0.39090000000000003</v>
      </c>
      <c r="R225" s="19">
        <v>-0.98046599999999995</v>
      </c>
      <c r="S225" s="19">
        <v>-1.2138</v>
      </c>
      <c r="T225" s="19">
        <v>-0.98046599999999995</v>
      </c>
      <c r="U225" s="19">
        <v>-0.36384</v>
      </c>
      <c r="V225" s="19">
        <v>6.7287039999999996</v>
      </c>
      <c r="W225" s="19">
        <v>5.7775999999999996</v>
      </c>
      <c r="X225" s="19">
        <v>6.7287039999999996</v>
      </c>
      <c r="Y225" s="19">
        <v>5.7775999999999996</v>
      </c>
      <c r="Z225" s="4"/>
      <c r="AA225" s="4"/>
      <c r="AB225" s="4" t="e">
        <f ca="1">_xll.ciqfunctions.udf.CIQ("^SPX", "IQ_PRICEDATE", "11/11/2014")</f>
        <v>#NAME?</v>
      </c>
      <c r="AC225" s="16">
        <v>2039.6834548377999</v>
      </c>
    </row>
    <row r="226" spans="1:29" x14ac:dyDescent="0.35">
      <c r="A226" s="2" t="s">
        <v>236</v>
      </c>
      <c r="B226" s="4" t="s">
        <v>1117</v>
      </c>
      <c r="C226" s="4" t="s">
        <v>530</v>
      </c>
      <c r="D226" s="4" t="s">
        <v>531</v>
      </c>
      <c r="E226" s="4" t="s">
        <v>569</v>
      </c>
      <c r="F226" s="4" t="s">
        <v>655</v>
      </c>
      <c r="G226" s="14">
        <v>86.47</v>
      </c>
      <c r="H226" s="10">
        <v>13.928452999999999</v>
      </c>
      <c r="I226" s="10">
        <v>32.701329000000001</v>
      </c>
      <c r="J226" s="10">
        <v>296.09566000000001</v>
      </c>
      <c r="K226" s="15">
        <v>0</v>
      </c>
      <c r="L226" s="17">
        <v>13239.548897000001</v>
      </c>
      <c r="M226" s="4" t="s">
        <v>1118</v>
      </c>
      <c r="N226" s="19">
        <v>2.6442350000000001</v>
      </c>
      <c r="O226" s="19">
        <v>4.2365000000000004</v>
      </c>
      <c r="P226" s="19">
        <v>2.57</v>
      </c>
      <c r="Q226" s="19">
        <v>3.8041</v>
      </c>
      <c r="R226" s="19">
        <v>3.1</v>
      </c>
      <c r="S226" s="19">
        <v>3.5424000000000002</v>
      </c>
      <c r="T226" s="19">
        <v>3.1</v>
      </c>
      <c r="U226" s="19">
        <v>3.2080000000000002</v>
      </c>
      <c r="V226" s="19">
        <v>2.72</v>
      </c>
      <c r="W226" s="19">
        <v>2.9073000000000002</v>
      </c>
      <c r="X226" s="19">
        <v>2.72</v>
      </c>
      <c r="Y226" s="19">
        <v>2.9073000000000002</v>
      </c>
      <c r="Z226" s="4"/>
      <c r="AA226" s="4"/>
      <c r="AB226" s="4" t="e">
        <f ca="1">_xll.ciqfunctions.udf.CIQ("^SPX", "IQ_PRICEDATE", "11/12/2014")</f>
        <v>#NAME?</v>
      </c>
      <c r="AC226" s="16">
        <v>2038.252228283</v>
      </c>
    </row>
    <row r="227" spans="1:29" x14ac:dyDescent="0.35">
      <c r="A227" s="2" t="s">
        <v>237</v>
      </c>
      <c r="B227" s="4" t="s">
        <v>1119</v>
      </c>
      <c r="C227" s="4" t="s">
        <v>669</v>
      </c>
      <c r="D227" s="4" t="s">
        <v>669</v>
      </c>
      <c r="E227" s="4" t="s">
        <v>670</v>
      </c>
      <c r="F227" s="4" t="s">
        <v>671</v>
      </c>
      <c r="G227" s="14">
        <v>64.78</v>
      </c>
      <c r="H227" s="10">
        <v>11.022081</v>
      </c>
      <c r="I227" s="10" t="s">
        <v>534</v>
      </c>
      <c r="J227" s="10">
        <v>2.005207</v>
      </c>
      <c r="K227" s="15">
        <v>1.5436E-2</v>
      </c>
      <c r="L227" s="17">
        <v>19413.710773999999</v>
      </c>
      <c r="M227" s="4" t="s">
        <v>1120</v>
      </c>
      <c r="N227" s="19">
        <v>-11.608229</v>
      </c>
      <c r="O227" s="19">
        <v>0.9839</v>
      </c>
      <c r="P227" s="19">
        <v>-13.12</v>
      </c>
      <c r="Q227" s="19">
        <v>-3.3988999999999998</v>
      </c>
      <c r="R227" s="19">
        <v>-19.920000000000002</v>
      </c>
      <c r="S227" s="19">
        <v>-3.6402000000000001</v>
      </c>
      <c r="T227" s="19">
        <v>-19.920000000000002</v>
      </c>
      <c r="U227" s="19">
        <v>-4.3436000000000003</v>
      </c>
      <c r="V227" s="19">
        <v>5.313555</v>
      </c>
      <c r="W227" s="19">
        <v>1.3163</v>
      </c>
      <c r="X227" s="19">
        <v>5.313555</v>
      </c>
      <c r="Y227" s="19">
        <v>1.3163</v>
      </c>
      <c r="Z227" s="4"/>
      <c r="AA227" s="4"/>
      <c r="AB227" s="4" t="e">
        <f ca="1">_xll.ciqfunctions.udf.CIQ("^SPX", "IQ_PRICEDATE", "11/13/2014")</f>
        <v>#NAME?</v>
      </c>
      <c r="AC227" s="16">
        <v>2039.3258251799</v>
      </c>
    </row>
    <row r="228" spans="1:29" x14ac:dyDescent="0.35">
      <c r="A228" s="2" t="s">
        <v>238</v>
      </c>
      <c r="B228" s="4" t="s">
        <v>1121</v>
      </c>
      <c r="C228" s="4" t="s">
        <v>543</v>
      </c>
      <c r="D228" s="4" t="s">
        <v>664</v>
      </c>
      <c r="E228" s="4" t="s">
        <v>688</v>
      </c>
      <c r="F228" s="4" t="s">
        <v>688</v>
      </c>
      <c r="G228" s="14">
        <v>15.52</v>
      </c>
      <c r="H228" s="10">
        <v>9.8948680000000007</v>
      </c>
      <c r="I228" s="10">
        <v>7.8298690000000004</v>
      </c>
      <c r="J228" s="10">
        <v>4.6559999999999997</v>
      </c>
      <c r="K228" s="15">
        <v>2.8993999999999999E-2</v>
      </c>
      <c r="L228" s="17">
        <v>22839.981351999999</v>
      </c>
      <c r="M228" s="4" t="s">
        <v>1122</v>
      </c>
      <c r="N228" s="19">
        <v>1.9821530000000001</v>
      </c>
      <c r="O228" s="19">
        <v>1.5551999999999999</v>
      </c>
      <c r="P228" s="19">
        <v>0.26</v>
      </c>
      <c r="Q228" s="19">
        <v>1.1793499999999999</v>
      </c>
      <c r="R228" s="19">
        <v>1.86</v>
      </c>
      <c r="S228" s="19">
        <v>1.96451</v>
      </c>
      <c r="T228" s="19">
        <v>1.86</v>
      </c>
      <c r="U228" s="19">
        <v>1.87812</v>
      </c>
      <c r="V228" s="19">
        <v>0.9</v>
      </c>
      <c r="W228" s="19">
        <v>0</v>
      </c>
      <c r="X228" s="19">
        <v>0.9</v>
      </c>
      <c r="Y228" s="19">
        <v>0</v>
      </c>
      <c r="Z228" s="4"/>
      <c r="AA228" s="4"/>
      <c r="AB228" s="4" t="e">
        <f ca="1">_xll.ciqfunctions.udf.CIQ("^SPX", "IQ_PRICEDATE", "11/14/2014")</f>
        <v>#NAME?</v>
      </c>
      <c r="AC228" s="16">
        <v>2039.8168721008999</v>
      </c>
    </row>
    <row r="229" spans="1:29" x14ac:dyDescent="0.35">
      <c r="A229" s="2" t="s">
        <v>239</v>
      </c>
      <c r="B229" s="4" t="s">
        <v>1123</v>
      </c>
      <c r="C229" s="4" t="s">
        <v>559</v>
      </c>
      <c r="D229" s="4" t="s">
        <v>798</v>
      </c>
      <c r="E229" s="4" t="s">
        <v>799</v>
      </c>
      <c r="F229" s="4" t="s">
        <v>800</v>
      </c>
      <c r="G229" s="14">
        <v>74.52</v>
      </c>
      <c r="H229" s="10">
        <v>16.663544000000002</v>
      </c>
      <c r="I229" s="10">
        <v>16.461948</v>
      </c>
      <c r="J229" s="10" t="s">
        <v>534</v>
      </c>
      <c r="K229" s="15">
        <v>8.0510000000000009E-3</v>
      </c>
      <c r="L229" s="17">
        <v>22220.82847</v>
      </c>
      <c r="M229" s="4" t="s">
        <v>1124</v>
      </c>
      <c r="N229" s="19">
        <v>4.5268030000000001</v>
      </c>
      <c r="O229" s="19">
        <v>2.9209999999999998</v>
      </c>
      <c r="P229" s="19">
        <v>3.85</v>
      </c>
      <c r="Q229" s="19">
        <v>2.2208000000000001</v>
      </c>
      <c r="R229" s="19">
        <v>-7.2947999999999999E-2</v>
      </c>
      <c r="S229" s="19">
        <v>2.6854</v>
      </c>
      <c r="T229" s="19">
        <v>-7.2947999999999999E-2</v>
      </c>
      <c r="U229" s="19">
        <v>2.8351000000000002</v>
      </c>
      <c r="V229" s="19">
        <v>0.51829199999999997</v>
      </c>
      <c r="W229" s="19">
        <v>2.4211999999999998</v>
      </c>
      <c r="X229" s="19">
        <v>0.51829199999999997</v>
      </c>
      <c r="Y229" s="19">
        <v>2.4211999999999998</v>
      </c>
      <c r="Z229" s="4"/>
      <c r="AA229" s="4"/>
      <c r="AB229" s="4" t="e">
        <f ca="1">_xll.ciqfunctions.udf.CIQ("^SPX", "IQ_PRICEDATE", "11/17/2014")</f>
        <v>#NAME?</v>
      </c>
      <c r="AC229" s="16">
        <v>2041.3181411687001</v>
      </c>
    </row>
    <row r="230" spans="1:29" x14ac:dyDescent="0.35">
      <c r="A230" s="2" t="s">
        <v>240</v>
      </c>
      <c r="B230" s="4" t="s">
        <v>1125</v>
      </c>
      <c r="C230" s="4" t="s">
        <v>669</v>
      </c>
      <c r="D230" s="4" t="s">
        <v>669</v>
      </c>
      <c r="E230" s="4" t="s">
        <v>670</v>
      </c>
      <c r="F230" s="4" t="s">
        <v>1126</v>
      </c>
      <c r="G230" s="14">
        <v>66.78</v>
      </c>
      <c r="H230" s="10">
        <v>6.460629</v>
      </c>
      <c r="I230" s="10">
        <v>8.4823199999999996</v>
      </c>
      <c r="J230" s="10">
        <v>3.6724160000000001</v>
      </c>
      <c r="K230" s="15">
        <v>1.9765999999999999E-2</v>
      </c>
      <c r="L230" s="17">
        <v>11665.805412</v>
      </c>
      <c r="M230" s="4" t="s">
        <v>1127</v>
      </c>
      <c r="N230" s="19">
        <v>7.872846</v>
      </c>
      <c r="O230" s="19">
        <v>6.6196000000000002</v>
      </c>
      <c r="P230" s="19">
        <v>4.5199999999999996</v>
      </c>
      <c r="Q230" s="19">
        <v>3.1905000000000001</v>
      </c>
      <c r="R230" s="19">
        <v>-1.484693</v>
      </c>
      <c r="S230" s="19">
        <v>1.8978999999999999</v>
      </c>
      <c r="T230" s="19">
        <v>-1.484693</v>
      </c>
      <c r="U230" s="19">
        <v>4.3582999999999998</v>
      </c>
      <c r="V230" s="19">
        <v>1.42</v>
      </c>
      <c r="W230" s="19">
        <v>2.9977</v>
      </c>
      <c r="X230" s="19">
        <v>1.42</v>
      </c>
      <c r="Y230" s="19">
        <v>2.9977</v>
      </c>
      <c r="Z230" s="4"/>
      <c r="AA230" s="4"/>
      <c r="AB230" s="4" t="e">
        <f ca="1">_xll.ciqfunctions.udf.CIQ("^SPX", "IQ_PRICEDATE", "11/18/2014")</f>
        <v>#NAME?</v>
      </c>
      <c r="AC230" s="16">
        <v>2051.7957989265001</v>
      </c>
    </row>
    <row r="231" spans="1:29" x14ac:dyDescent="0.35">
      <c r="A231" s="2" t="s">
        <v>241</v>
      </c>
      <c r="B231" s="4" t="s">
        <v>1128</v>
      </c>
      <c r="C231" s="4" t="s">
        <v>530</v>
      </c>
      <c r="D231" s="4" t="s">
        <v>531</v>
      </c>
      <c r="E231" s="4" t="s">
        <v>532</v>
      </c>
      <c r="F231" s="4" t="s">
        <v>533</v>
      </c>
      <c r="G231" s="14">
        <v>41.59</v>
      </c>
      <c r="H231" s="10">
        <v>13.499745000000001</v>
      </c>
      <c r="I231" s="10" t="s">
        <v>534</v>
      </c>
      <c r="J231" s="10" t="s">
        <v>534</v>
      </c>
      <c r="K231" s="15">
        <v>0</v>
      </c>
      <c r="L231" s="17">
        <v>11317.585921</v>
      </c>
      <c r="M231" s="4" t="s">
        <v>1129</v>
      </c>
      <c r="N231" s="19">
        <v>-0.29137600000000002</v>
      </c>
      <c r="O231" s="19">
        <v>2.37</v>
      </c>
      <c r="P231" s="19">
        <v>3.7781910000000001</v>
      </c>
      <c r="Q231" s="19">
        <v>2.1189800000000001</v>
      </c>
      <c r="R231" s="19">
        <v>1.17</v>
      </c>
      <c r="S231" s="19">
        <v>2.0952799999999998</v>
      </c>
      <c r="T231" s="19">
        <v>1.17</v>
      </c>
      <c r="U231" s="19">
        <v>1.82551</v>
      </c>
      <c r="V231" s="19">
        <v>0.17963499999999999</v>
      </c>
      <c r="W231" s="19">
        <v>1.5294700000000001</v>
      </c>
      <c r="X231" s="19">
        <v>0.17963499999999999</v>
      </c>
      <c r="Y231" s="19">
        <v>1.5294700000000001</v>
      </c>
      <c r="Z231" s="4"/>
      <c r="AA231" s="4"/>
      <c r="AB231" s="4" t="e">
        <f ca="1">_xll.ciqfunctions.udf.CIQ("^SPX", "IQ_PRICEDATE", "11/19/2014")</f>
        <v>#NAME?</v>
      </c>
      <c r="AC231" s="16">
        <v>2048.7209640499</v>
      </c>
    </row>
    <row r="232" spans="1:29" x14ac:dyDescent="0.35">
      <c r="A232" s="2" t="s">
        <v>242</v>
      </c>
      <c r="B232" s="4" t="s">
        <v>1130</v>
      </c>
      <c r="C232" s="4" t="s">
        <v>525</v>
      </c>
      <c r="D232" s="4" t="s">
        <v>526</v>
      </c>
      <c r="E232" s="4" t="s">
        <v>1077</v>
      </c>
      <c r="F232" s="4" t="s">
        <v>1077</v>
      </c>
      <c r="G232" s="14">
        <v>158.05000000000001</v>
      </c>
      <c r="H232" s="10">
        <v>14.336119999999999</v>
      </c>
      <c r="I232" s="10">
        <v>73.565415999999999</v>
      </c>
      <c r="J232" s="10" t="s">
        <v>534</v>
      </c>
      <c r="K232" s="15">
        <v>2.0752000000000003E-2</v>
      </c>
      <c r="L232" s="17">
        <v>117369.593792</v>
      </c>
      <c r="M232" s="4" t="s">
        <v>1131</v>
      </c>
      <c r="N232" s="19">
        <v>2.148428</v>
      </c>
      <c r="O232" s="19">
        <v>8.3530999999999995</v>
      </c>
      <c r="P232" s="19">
        <v>2.14</v>
      </c>
      <c r="Q232" s="19">
        <v>7.5151000000000003</v>
      </c>
      <c r="R232" s="19">
        <v>6.2</v>
      </c>
      <c r="S232" s="19">
        <v>6.8556999999999997</v>
      </c>
      <c r="T232" s="19">
        <v>6.2</v>
      </c>
      <c r="U232" s="19">
        <v>6.4187000000000003</v>
      </c>
      <c r="V232" s="19">
        <v>5.33</v>
      </c>
      <c r="W232" s="19">
        <v>5.9169999999999998</v>
      </c>
      <c r="X232" s="19">
        <v>5.33</v>
      </c>
      <c r="Y232" s="19">
        <v>5.9169999999999998</v>
      </c>
      <c r="Z232" s="4"/>
      <c r="AA232" s="4"/>
      <c r="AB232" s="4" t="e">
        <f ca="1">_xll.ciqfunctions.udf.CIQ("^SPX", "IQ_PRICEDATE", "11/20/2014")</f>
        <v>#NAME?</v>
      </c>
      <c r="AC232" s="16">
        <v>2052.7522479220002</v>
      </c>
    </row>
    <row r="233" spans="1:29" x14ac:dyDescent="0.35">
      <c r="A233" s="2" t="s">
        <v>243</v>
      </c>
      <c r="B233" s="4" t="s">
        <v>1132</v>
      </c>
      <c r="C233" s="4" t="s">
        <v>626</v>
      </c>
      <c r="D233" s="4" t="s">
        <v>627</v>
      </c>
      <c r="E233" s="4" t="s">
        <v>699</v>
      </c>
      <c r="F233" s="4" t="s">
        <v>789</v>
      </c>
      <c r="G233" s="14">
        <v>40.9</v>
      </c>
      <c r="H233" s="10">
        <v>16.366792</v>
      </c>
      <c r="I233" s="10">
        <v>22.971475000000002</v>
      </c>
      <c r="J233" s="10">
        <v>15.295895</v>
      </c>
      <c r="K233" s="15">
        <v>1.8337000000000003E-2</v>
      </c>
      <c r="L233" s="17">
        <v>21804.522273999999</v>
      </c>
      <c r="M233" s="4" t="s">
        <v>1133</v>
      </c>
      <c r="N233" s="19">
        <v>1.7804690000000001</v>
      </c>
      <c r="O233" s="19">
        <v>1.7768999999999999</v>
      </c>
      <c r="P233" s="19">
        <v>1.57</v>
      </c>
      <c r="Q233" s="19">
        <v>1.67</v>
      </c>
      <c r="R233" s="19">
        <v>1.64</v>
      </c>
      <c r="S233" s="19">
        <v>1.7055100000000001</v>
      </c>
      <c r="T233" s="19">
        <v>1.64</v>
      </c>
      <c r="U233" s="19">
        <v>1.45903</v>
      </c>
      <c r="V233" s="19">
        <v>1.1200000000000001</v>
      </c>
      <c r="W233" s="19">
        <v>1.27227</v>
      </c>
      <c r="X233" s="19">
        <v>1.1200000000000001</v>
      </c>
      <c r="Y233" s="19">
        <v>1.27227</v>
      </c>
      <c r="Z233" s="4"/>
      <c r="AA233" s="4"/>
      <c r="AB233" s="4" t="e">
        <f ca="1">_xll.ciqfunctions.udf.CIQ("^SPX", "IQ_PRICEDATE", "11/21/2014")</f>
        <v>#NAME?</v>
      </c>
      <c r="AC233" s="16">
        <v>2063.5024452877001</v>
      </c>
    </row>
    <row r="234" spans="1:29" x14ac:dyDescent="0.35">
      <c r="A234" s="2" t="s">
        <v>244</v>
      </c>
      <c r="B234" s="4" t="s">
        <v>1134</v>
      </c>
      <c r="C234" s="4" t="s">
        <v>601</v>
      </c>
      <c r="D234" s="4" t="s">
        <v>601</v>
      </c>
      <c r="E234" s="4" t="s">
        <v>602</v>
      </c>
      <c r="F234" s="4" t="s">
        <v>1135</v>
      </c>
      <c r="G234" s="14">
        <v>19.329999999999998</v>
      </c>
      <c r="H234" s="10">
        <v>12.242989</v>
      </c>
      <c r="I234" s="10">
        <v>21.959845000000001</v>
      </c>
      <c r="J234" s="10">
        <v>2.003409</v>
      </c>
      <c r="K234" s="15">
        <v>4.3973000000000005E-2</v>
      </c>
      <c r="L234" s="17">
        <v>14336.624992999999</v>
      </c>
      <c r="M234" s="4" t="s">
        <v>1136</v>
      </c>
      <c r="N234" s="19">
        <v>0.880243</v>
      </c>
      <c r="O234" s="19">
        <v>0.76629999999999998</v>
      </c>
      <c r="P234" s="19">
        <v>0.76</v>
      </c>
      <c r="Q234" s="19">
        <v>0.66769999999999996</v>
      </c>
      <c r="R234" s="19">
        <v>1.02</v>
      </c>
      <c r="S234" s="19">
        <v>0.64</v>
      </c>
      <c r="T234" s="19">
        <v>1.02</v>
      </c>
      <c r="U234" s="19">
        <v>0.73870000000000002</v>
      </c>
      <c r="V234" s="19">
        <v>0.96466700000000005</v>
      </c>
      <c r="W234" s="19">
        <v>0.75</v>
      </c>
      <c r="X234" s="19">
        <v>0.96466700000000005</v>
      </c>
      <c r="Y234" s="19">
        <v>0.75</v>
      </c>
      <c r="Z234" s="4"/>
      <c r="AA234" s="4"/>
      <c r="AB234" s="4" t="e">
        <f ca="1">_xll.ciqfunctions.udf.CIQ("^SPX", "IQ_PRICEDATE", "11/24/2014")</f>
        <v>#NAME?</v>
      </c>
      <c r="AC234" s="16">
        <v>2069.4102024734998</v>
      </c>
    </row>
    <row r="235" spans="1:29" x14ac:dyDescent="0.35">
      <c r="A235" s="2" t="s">
        <v>245</v>
      </c>
      <c r="B235" s="4" t="s">
        <v>1137</v>
      </c>
      <c r="C235" s="4" t="s">
        <v>543</v>
      </c>
      <c r="D235" s="4" t="s">
        <v>664</v>
      </c>
      <c r="E235" s="4" t="s">
        <v>688</v>
      </c>
      <c r="F235" s="4" t="s">
        <v>688</v>
      </c>
      <c r="G235" s="14">
        <v>23.87</v>
      </c>
      <c r="H235" s="10">
        <v>7.9920049999999998</v>
      </c>
      <c r="I235" s="10">
        <v>8.7068290000000008</v>
      </c>
      <c r="J235" s="10" t="s">
        <v>534</v>
      </c>
      <c r="K235" s="15">
        <v>2.6844999999999997E-2</v>
      </c>
      <c r="L235" s="17">
        <v>37772.091086</v>
      </c>
      <c r="M235" s="4" t="s">
        <v>1138</v>
      </c>
      <c r="N235" s="19">
        <v>2.7415259999999999</v>
      </c>
      <c r="O235" s="19">
        <v>2.1341999999999999</v>
      </c>
      <c r="P235" s="19">
        <v>1.48</v>
      </c>
      <c r="Q235" s="19">
        <v>1.8087599999999999</v>
      </c>
      <c r="R235" s="19">
        <v>1.53</v>
      </c>
      <c r="S235" s="19">
        <v>1.58786</v>
      </c>
      <c r="T235" s="19">
        <v>1.53</v>
      </c>
      <c r="U235" s="19">
        <v>1.6143700000000001</v>
      </c>
      <c r="V235" s="19">
        <v>1.53</v>
      </c>
      <c r="W235" s="19">
        <v>3.9609700000000001</v>
      </c>
      <c r="X235" s="19">
        <v>1.53</v>
      </c>
      <c r="Y235" s="19">
        <v>3.9609700000000001</v>
      </c>
      <c r="Z235" s="4"/>
      <c r="AA235" s="4"/>
      <c r="AB235" s="4" t="e">
        <f ca="1">_xll.ciqfunctions.udf.CIQ("^SPX", "IQ_PRICEDATE", "11/25/2014")</f>
        <v>#NAME?</v>
      </c>
      <c r="AC235" s="16">
        <v>2067.0345340898002</v>
      </c>
    </row>
    <row r="236" spans="1:29" x14ac:dyDescent="0.35">
      <c r="A236" s="2" t="s">
        <v>246</v>
      </c>
      <c r="B236" s="4" t="s">
        <v>1139</v>
      </c>
      <c r="C236" s="4" t="s">
        <v>530</v>
      </c>
      <c r="D236" s="4" t="s">
        <v>531</v>
      </c>
      <c r="E236" s="4" t="s">
        <v>569</v>
      </c>
      <c r="F236" s="4" t="s">
        <v>570</v>
      </c>
      <c r="G236" s="14">
        <v>328.08</v>
      </c>
      <c r="H236" s="10">
        <v>12.340733</v>
      </c>
      <c r="I236" s="10">
        <v>33.914434</v>
      </c>
      <c r="J236" s="10">
        <v>7.4929399999999999</v>
      </c>
      <c r="K236" s="15">
        <v>6.0960000000000007E-3</v>
      </c>
      <c r="L236" s="17">
        <v>45197.418569000001</v>
      </c>
      <c r="M236" s="4" t="s">
        <v>1140</v>
      </c>
      <c r="N236" s="19">
        <v>9.6737570000000002</v>
      </c>
      <c r="O236" s="19">
        <v>15.735300000000001</v>
      </c>
      <c r="P236" s="19">
        <v>16.809999999999999</v>
      </c>
      <c r="Q236" s="19">
        <v>11.841200000000001</v>
      </c>
      <c r="R236" s="19">
        <v>4.07</v>
      </c>
      <c r="S236" s="19">
        <v>10.41</v>
      </c>
      <c r="T236" s="19">
        <v>4.07</v>
      </c>
      <c r="U236" s="19">
        <v>8.5888000000000009</v>
      </c>
      <c r="V236" s="19">
        <v>7.36</v>
      </c>
      <c r="W236" s="19">
        <v>8.5393000000000008</v>
      </c>
      <c r="X236" s="19">
        <v>7.36</v>
      </c>
      <c r="Y236" s="19">
        <v>8.5393000000000008</v>
      </c>
      <c r="Z236" s="4"/>
      <c r="AA236" s="4"/>
      <c r="AB236" s="4" t="e">
        <f ca="1">_xll.ciqfunctions.udf.CIQ("^SPX", "IQ_PRICEDATE", "11/26/2014")</f>
        <v>#NAME?</v>
      </c>
      <c r="AC236" s="16">
        <v>2072.8294926639001</v>
      </c>
    </row>
    <row r="237" spans="1:29" x14ac:dyDescent="0.35">
      <c r="A237" s="2" t="s">
        <v>247</v>
      </c>
      <c r="B237" s="4" t="s">
        <v>1141</v>
      </c>
      <c r="C237" s="4" t="s">
        <v>573</v>
      </c>
      <c r="D237" s="4" t="s">
        <v>737</v>
      </c>
      <c r="E237" s="4" t="s">
        <v>737</v>
      </c>
      <c r="F237" s="4" t="s">
        <v>743</v>
      </c>
      <c r="G237" s="14">
        <v>14.39</v>
      </c>
      <c r="H237" s="10">
        <v>0</v>
      </c>
      <c r="I237" s="10">
        <v>12.197695</v>
      </c>
      <c r="J237" s="10">
        <v>1.996961</v>
      </c>
      <c r="K237" s="15">
        <v>3.8915000000000005E-2</v>
      </c>
      <c r="L237" s="17">
        <v>15889.820817</v>
      </c>
      <c r="M237" s="4" t="s">
        <v>1142</v>
      </c>
      <c r="N237" s="19">
        <v>1.1797310000000001</v>
      </c>
      <c r="O237" s="19">
        <v>1.3174999999999999</v>
      </c>
      <c r="P237" s="19">
        <v>1.0042359999999999</v>
      </c>
      <c r="Q237" s="19">
        <v>1.0569999999999999</v>
      </c>
      <c r="R237" s="19">
        <v>0.7</v>
      </c>
      <c r="S237" s="19">
        <v>0.93700000000000006</v>
      </c>
      <c r="T237" s="19">
        <v>0.7</v>
      </c>
      <c r="U237" s="19">
        <v>0.87780000000000002</v>
      </c>
      <c r="V237" s="19">
        <v>0.72</v>
      </c>
      <c r="W237" s="19">
        <v>0.78029999999999999</v>
      </c>
      <c r="X237" s="19">
        <v>0.72</v>
      </c>
      <c r="Y237" s="19">
        <v>0.78029999999999999</v>
      </c>
      <c r="Z237" s="4"/>
      <c r="AA237" s="4"/>
      <c r="AB237" s="4" t="e">
        <f ca="1">_xll.ciqfunctions.udf.CIQ("^SPX", "IQ_PRICEDATE", "11/28/2014")</f>
        <v>#NAME?</v>
      </c>
      <c r="AC237" s="16">
        <v>2067.5620445270001</v>
      </c>
    </row>
    <row r="238" spans="1:29" x14ac:dyDescent="0.35">
      <c r="A238" s="2" t="s">
        <v>248</v>
      </c>
      <c r="B238" s="4" t="s">
        <v>1143</v>
      </c>
      <c r="C238" s="4" t="s">
        <v>525</v>
      </c>
      <c r="D238" s="4" t="s">
        <v>526</v>
      </c>
      <c r="E238" s="4" t="s">
        <v>703</v>
      </c>
      <c r="F238" s="4" t="s">
        <v>703</v>
      </c>
      <c r="G238" s="14">
        <v>233.12</v>
      </c>
      <c r="H238" s="10">
        <v>9.6159199999999991</v>
      </c>
      <c r="I238" s="10">
        <v>17.266672</v>
      </c>
      <c r="J238" s="10" t="s">
        <v>534</v>
      </c>
      <c r="K238" s="15">
        <v>1.2354E-2</v>
      </c>
      <c r="L238" s="17">
        <v>10098.381212</v>
      </c>
      <c r="M238" s="4" t="s">
        <v>1144</v>
      </c>
      <c r="N238" s="19">
        <v>13.501154</v>
      </c>
      <c r="O238" s="19">
        <v>16.617599999999999</v>
      </c>
      <c r="P238" s="19">
        <v>10.46</v>
      </c>
      <c r="Q238" s="19">
        <v>12.1607</v>
      </c>
      <c r="R238" s="19">
        <v>12.14</v>
      </c>
      <c r="S238" s="19">
        <v>10.048999999999999</v>
      </c>
      <c r="T238" s="19">
        <v>12.14</v>
      </c>
      <c r="U238" s="19">
        <v>9.1852999999999998</v>
      </c>
      <c r="V238" s="19">
        <v>6.86</v>
      </c>
      <c r="W238" s="19">
        <v>8.0312999999999999</v>
      </c>
      <c r="X238" s="19">
        <v>6.86</v>
      </c>
      <c r="Y238" s="19">
        <v>8.0312999999999999</v>
      </c>
      <c r="Z238" s="4"/>
      <c r="AA238" s="4"/>
      <c r="AB238" s="4" t="e">
        <f ca="1">_xll.ciqfunctions.udf.CIQ("^SPX", "IQ_PRICEDATE", "12/1/2014")</f>
        <v>#NAME?</v>
      </c>
      <c r="AC238" s="16">
        <v>2053.4400601961001</v>
      </c>
    </row>
    <row r="239" spans="1:29" x14ac:dyDescent="0.35">
      <c r="A239" s="2" t="s">
        <v>249</v>
      </c>
      <c r="B239" s="4" t="s">
        <v>1145</v>
      </c>
      <c r="C239" s="4" t="s">
        <v>530</v>
      </c>
      <c r="D239" s="4" t="s">
        <v>531</v>
      </c>
      <c r="E239" s="4" t="s">
        <v>532</v>
      </c>
      <c r="F239" s="4" t="s">
        <v>533</v>
      </c>
      <c r="G239" s="14">
        <v>228.49</v>
      </c>
      <c r="H239" s="10">
        <v>38.185912999999999</v>
      </c>
      <c r="I239" s="10">
        <v>66.313771000000003</v>
      </c>
      <c r="J239" s="10" t="s">
        <v>534</v>
      </c>
      <c r="K239" s="15">
        <v>0</v>
      </c>
      <c r="L239" s="17">
        <v>19785.169364000001</v>
      </c>
      <c r="M239" s="4" t="s">
        <v>1146</v>
      </c>
      <c r="N239" s="19">
        <v>3.445589</v>
      </c>
      <c r="O239" s="19">
        <v>4.4249999999999998</v>
      </c>
      <c r="P239" s="19">
        <v>2.94</v>
      </c>
      <c r="Q239" s="19">
        <v>3.4529000000000001</v>
      </c>
      <c r="R239" s="19">
        <v>2.44</v>
      </c>
      <c r="S239" s="19">
        <v>2.7244999999999999</v>
      </c>
      <c r="T239" s="19">
        <v>2.44</v>
      </c>
      <c r="U239" s="19">
        <v>2.1274999999999999</v>
      </c>
      <c r="V239" s="19">
        <v>1.79</v>
      </c>
      <c r="W239" s="19">
        <v>2.0825</v>
      </c>
      <c r="X239" s="19">
        <v>1.79</v>
      </c>
      <c r="Y239" s="19">
        <v>2.0825</v>
      </c>
      <c r="Z239" s="4"/>
      <c r="AA239" s="4"/>
      <c r="AB239" s="4" t="e">
        <f ca="1">_xll.ciqfunctions.udf.CIQ("^SPX", "IQ_PRICEDATE", "12/2/2014")</f>
        <v>#NAME?</v>
      </c>
      <c r="AC239" s="16">
        <v>2066.5486235941999</v>
      </c>
    </row>
    <row r="240" spans="1:29" x14ac:dyDescent="0.35">
      <c r="A240" s="2" t="s">
        <v>250</v>
      </c>
      <c r="B240" s="4" t="s">
        <v>1147</v>
      </c>
      <c r="C240" s="4" t="s">
        <v>525</v>
      </c>
      <c r="D240" s="4" t="s">
        <v>855</v>
      </c>
      <c r="E240" s="4" t="s">
        <v>990</v>
      </c>
      <c r="F240" s="4" t="s">
        <v>991</v>
      </c>
      <c r="G240" s="14">
        <v>52.57</v>
      </c>
      <c r="H240" s="10">
        <v>20.822817000000001</v>
      </c>
      <c r="I240" s="10">
        <v>38.133440999999998</v>
      </c>
      <c r="J240" s="10" t="s">
        <v>534</v>
      </c>
      <c r="K240" s="15">
        <v>0</v>
      </c>
      <c r="L240" s="17">
        <v>20721.266089000001</v>
      </c>
      <c r="M240" s="4" t="s">
        <v>1148</v>
      </c>
      <c r="N240" s="19">
        <v>1.3785799999999999</v>
      </c>
      <c r="O240" s="19">
        <v>2.4763999999999999</v>
      </c>
      <c r="P240" s="19">
        <v>1</v>
      </c>
      <c r="Q240" s="19">
        <v>2.1244999999999998</v>
      </c>
      <c r="R240" s="19">
        <v>0.45</v>
      </c>
      <c r="S240" s="19">
        <v>1.9504999999999999</v>
      </c>
      <c r="T240" s="19">
        <v>0.45</v>
      </c>
      <c r="U240" s="19">
        <v>0</v>
      </c>
      <c r="V240" s="19">
        <v>0.72</v>
      </c>
      <c r="W240" s="19">
        <v>0</v>
      </c>
      <c r="X240" s="19">
        <v>0.72</v>
      </c>
      <c r="Y240" s="19">
        <v>0</v>
      </c>
      <c r="Z240" s="4"/>
      <c r="AA240" s="4"/>
      <c r="AB240" s="4" t="e">
        <f ca="1">_xll.ciqfunctions.udf.CIQ("^SPX", "IQ_PRICEDATE", "12/3/2014")</f>
        <v>#NAME?</v>
      </c>
      <c r="AC240" s="16">
        <v>2074.3346391546002</v>
      </c>
    </row>
    <row r="241" spans="1:29" x14ac:dyDescent="0.35">
      <c r="A241" s="2" t="s">
        <v>251</v>
      </c>
      <c r="B241" s="4" t="s">
        <v>1149</v>
      </c>
      <c r="C241" s="4" t="s">
        <v>525</v>
      </c>
      <c r="D241" s="4" t="s">
        <v>526</v>
      </c>
      <c r="E241" s="4" t="s">
        <v>803</v>
      </c>
      <c r="F241" s="4" t="s">
        <v>948</v>
      </c>
      <c r="G241" s="14">
        <v>132.01</v>
      </c>
      <c r="H241" s="10">
        <v>12.407420999999999</v>
      </c>
      <c r="I241" s="10">
        <v>24.096838000000002</v>
      </c>
      <c r="J241" s="10" t="s">
        <v>534</v>
      </c>
      <c r="K241" s="15">
        <v>3.0299999999999997E-2</v>
      </c>
      <c r="L241" s="17">
        <v>44269.946494000003</v>
      </c>
      <c r="M241" s="4" t="s">
        <v>1150</v>
      </c>
      <c r="N241" s="19">
        <v>5.4783119999999998</v>
      </c>
      <c r="O241" s="19">
        <v>7.8270999999999997</v>
      </c>
      <c r="P241" s="19">
        <v>4.8600000000000003</v>
      </c>
      <c r="Q241" s="19">
        <v>7.0208000000000004</v>
      </c>
      <c r="R241" s="19">
        <v>5.7</v>
      </c>
      <c r="S241" s="19">
        <v>6.0159000000000002</v>
      </c>
      <c r="T241" s="19">
        <v>5.7</v>
      </c>
      <c r="U241" s="19">
        <v>5.3254000000000001</v>
      </c>
      <c r="V241" s="19">
        <v>4.67</v>
      </c>
      <c r="W241" s="19">
        <v>5.1177999999999999</v>
      </c>
      <c r="X241" s="19">
        <v>4.67</v>
      </c>
      <c r="Y241" s="19">
        <v>5.1177999999999999</v>
      </c>
      <c r="Z241" s="4"/>
      <c r="AA241" s="4"/>
      <c r="AB241" s="4" t="e">
        <f ca="1">_xll.ciqfunctions.udf.CIQ("^SPX", "IQ_PRICEDATE", "12/4/2014")</f>
        <v>#NAME?</v>
      </c>
      <c r="AC241" s="16">
        <v>2071.9155710278001</v>
      </c>
    </row>
    <row r="242" spans="1:29" x14ac:dyDescent="0.35">
      <c r="A242" s="2" t="s">
        <v>252</v>
      </c>
      <c r="B242" s="4" t="s">
        <v>1151</v>
      </c>
      <c r="C242" s="4" t="s">
        <v>530</v>
      </c>
      <c r="D242" s="4" t="s">
        <v>537</v>
      </c>
      <c r="E242" s="4" t="s">
        <v>583</v>
      </c>
      <c r="F242" s="4" t="s">
        <v>583</v>
      </c>
      <c r="G242" s="14">
        <v>328.96</v>
      </c>
      <c r="H242" s="10">
        <v>46.618369999999999</v>
      </c>
      <c r="I242" s="10">
        <v>74.801428000000001</v>
      </c>
      <c r="J242" s="10">
        <v>21.772679</v>
      </c>
      <c r="K242" s="15">
        <v>0</v>
      </c>
      <c r="L242" s="17">
        <v>48357.120000000003</v>
      </c>
      <c r="M242" s="4" t="s">
        <v>1152</v>
      </c>
      <c r="N242" s="19">
        <v>4.3977769999999996</v>
      </c>
      <c r="O242" s="19">
        <v>5.5975000000000001</v>
      </c>
      <c r="P242" s="19">
        <v>4.92</v>
      </c>
      <c r="Q242" s="19">
        <v>4.4610000000000003</v>
      </c>
      <c r="R242" s="19">
        <v>2.9797060000000002</v>
      </c>
      <c r="S242" s="19">
        <v>3.5125000000000002</v>
      </c>
      <c r="T242" s="19">
        <v>2.9797060000000002</v>
      </c>
      <c r="U242" s="19">
        <v>3.5518000000000001</v>
      </c>
      <c r="V242" s="19">
        <v>2.37</v>
      </c>
      <c r="W242" s="19">
        <v>3.0598000000000001</v>
      </c>
      <c r="X242" s="19">
        <v>2.37</v>
      </c>
      <c r="Y242" s="19">
        <v>3.0598000000000001</v>
      </c>
      <c r="Z242" s="4"/>
      <c r="AA242" s="4"/>
      <c r="AB242" s="4" t="e">
        <f ca="1">_xll.ciqfunctions.udf.CIQ("^SPX", "IQ_PRICEDATE", "12/5/2014")</f>
        <v>#NAME?</v>
      </c>
      <c r="AC242" s="16">
        <v>2075.3681926275999</v>
      </c>
    </row>
    <row r="243" spans="1:29" x14ac:dyDescent="0.35">
      <c r="A243" s="2" t="s">
        <v>253</v>
      </c>
      <c r="B243" s="4" t="s">
        <v>1153</v>
      </c>
      <c r="C243" s="4" t="s">
        <v>530</v>
      </c>
      <c r="D243" s="4" t="s">
        <v>537</v>
      </c>
      <c r="E243" s="4" t="s">
        <v>538</v>
      </c>
      <c r="F243" s="4" t="s">
        <v>538</v>
      </c>
      <c r="G243" s="14">
        <v>65.040000000000006</v>
      </c>
      <c r="H243" s="10" t="s">
        <v>534</v>
      </c>
      <c r="I243" s="10" t="s">
        <v>534</v>
      </c>
      <c r="J243" s="10">
        <v>10.224328</v>
      </c>
      <c r="K243" s="15">
        <v>0</v>
      </c>
      <c r="L243" s="17">
        <v>13826.037283</v>
      </c>
      <c r="M243" s="4" t="s">
        <v>1154</v>
      </c>
      <c r="N243" s="19">
        <v>-0.48619499999999999</v>
      </c>
      <c r="O243" s="19">
        <v>1.7767999999999999</v>
      </c>
      <c r="P243" s="19">
        <v>-1.5306569999999999</v>
      </c>
      <c r="Q243" s="19">
        <v>0.2218</v>
      </c>
      <c r="R243" s="19">
        <v>0.54</v>
      </c>
      <c r="S243" s="19">
        <v>1.2790999999999999</v>
      </c>
      <c r="T243" s="19">
        <v>0.54</v>
      </c>
      <c r="U243" s="19">
        <v>0.2427</v>
      </c>
      <c r="V243" s="19">
        <v>-0.28999999999999998</v>
      </c>
      <c r="W243" s="19">
        <v>-0.30499999999999999</v>
      </c>
      <c r="X243" s="19">
        <v>-0.28999999999999998</v>
      </c>
      <c r="Y243" s="19">
        <v>-0.30499999999999999</v>
      </c>
      <c r="Z243" s="4"/>
      <c r="AA243" s="4"/>
      <c r="AB243" s="4" t="e">
        <f ca="1">_xll.ciqfunctions.udf.CIQ("^SPX", "IQ_PRICEDATE", "12/8/2014")</f>
        <v>#NAME?</v>
      </c>
      <c r="AC243" s="16">
        <v>2060.3101311963001</v>
      </c>
    </row>
    <row r="244" spans="1:29" x14ac:dyDescent="0.35">
      <c r="A244" s="2" t="s">
        <v>254</v>
      </c>
      <c r="B244" s="4" t="s">
        <v>1155</v>
      </c>
      <c r="C244" s="4" t="s">
        <v>525</v>
      </c>
      <c r="D244" s="4" t="s">
        <v>526</v>
      </c>
      <c r="E244" s="4" t="s">
        <v>803</v>
      </c>
      <c r="F244" s="4" t="s">
        <v>948</v>
      </c>
      <c r="G244" s="14">
        <v>97.52</v>
      </c>
      <c r="H244" s="10">
        <v>12.479763999999999</v>
      </c>
      <c r="I244" s="10">
        <v>17.215479999999999</v>
      </c>
      <c r="J244" s="10" t="s">
        <v>534</v>
      </c>
      <c r="K244" s="15">
        <v>2.1739000000000001E-2</v>
      </c>
      <c r="L244" s="17">
        <v>23922.588876000002</v>
      </c>
      <c r="M244" s="4" t="s">
        <v>1156</v>
      </c>
      <c r="N244" s="19">
        <v>5.664669</v>
      </c>
      <c r="O244" s="19">
        <v>5.9066999999999998</v>
      </c>
      <c r="P244" s="19">
        <v>5.14</v>
      </c>
      <c r="Q244" s="19">
        <v>4.9977999999999998</v>
      </c>
      <c r="R244" s="19">
        <v>5.52</v>
      </c>
      <c r="S244" s="19">
        <v>4.3587999999999996</v>
      </c>
      <c r="T244" s="19">
        <v>5.52</v>
      </c>
      <c r="U244" s="19">
        <v>3.9148000000000001</v>
      </c>
      <c r="V244" s="19">
        <v>3.27</v>
      </c>
      <c r="W244" s="19">
        <v>3.6715</v>
      </c>
      <c r="X244" s="19">
        <v>3.27</v>
      </c>
      <c r="Y244" s="19">
        <v>3.6715</v>
      </c>
      <c r="Z244" s="4"/>
      <c r="AA244" s="4"/>
      <c r="AB244" s="4" t="e">
        <f ca="1">_xll.ciqfunctions.udf.CIQ("^SPX", "IQ_PRICEDATE", "12/9/2014")</f>
        <v>#NAME?</v>
      </c>
      <c r="AC244" s="16">
        <v>2059.8161266401999</v>
      </c>
    </row>
    <row r="245" spans="1:29" x14ac:dyDescent="0.35">
      <c r="A245" s="2" t="s">
        <v>255</v>
      </c>
      <c r="B245" s="4" t="s">
        <v>1157</v>
      </c>
      <c r="C245" s="4" t="s">
        <v>543</v>
      </c>
      <c r="D245" s="4" t="s">
        <v>565</v>
      </c>
      <c r="E245" s="4" t="s">
        <v>565</v>
      </c>
      <c r="F245" s="4" t="s">
        <v>566</v>
      </c>
      <c r="G245" s="14">
        <v>45.89</v>
      </c>
      <c r="H245" s="10">
        <v>7.8529540000000004</v>
      </c>
      <c r="I245" s="10">
        <v>16.549143999999998</v>
      </c>
      <c r="J245" s="10">
        <v>6.2979580000000004</v>
      </c>
      <c r="K245" s="15">
        <v>2.6148999999999999E-2</v>
      </c>
      <c r="L245" s="17">
        <v>211598.79</v>
      </c>
      <c r="M245" s="4" t="s">
        <v>1158</v>
      </c>
      <c r="N245" s="19">
        <v>2.7729529999999998</v>
      </c>
      <c r="O245" s="19">
        <v>4.1656000000000004</v>
      </c>
      <c r="P245" s="19">
        <v>1.99</v>
      </c>
      <c r="Q245" s="19">
        <v>3.2406999999999999</v>
      </c>
      <c r="R245" s="19">
        <v>2.12</v>
      </c>
      <c r="S245" s="19">
        <v>2.7601</v>
      </c>
      <c r="T245" s="19">
        <v>2.12</v>
      </c>
      <c r="U245" s="19">
        <v>2.3210999999999999</v>
      </c>
      <c r="V245" s="19">
        <v>2.31</v>
      </c>
      <c r="W245" s="19">
        <v>2.3691</v>
      </c>
      <c r="X245" s="19">
        <v>2.31</v>
      </c>
      <c r="Y245" s="19">
        <v>2.3691</v>
      </c>
      <c r="Z245" s="4"/>
      <c r="AA245" s="4"/>
      <c r="AB245" s="4" t="e">
        <f ca="1">_xll.ciqfunctions.udf.CIQ("^SPX", "IQ_PRICEDATE", "12/10/2014")</f>
        <v>#NAME?</v>
      </c>
      <c r="AC245" s="16">
        <v>2026.1434555635999</v>
      </c>
    </row>
    <row r="246" spans="1:29" x14ac:dyDescent="0.35">
      <c r="A246" s="2" t="s">
        <v>256</v>
      </c>
      <c r="B246" s="4" t="s">
        <v>1159</v>
      </c>
      <c r="C246" s="4" t="s">
        <v>573</v>
      </c>
      <c r="D246" s="4" t="s">
        <v>574</v>
      </c>
      <c r="E246" s="4" t="s">
        <v>575</v>
      </c>
      <c r="F246" s="4" t="s">
        <v>807</v>
      </c>
      <c r="G246" s="14">
        <v>73.569999999999993</v>
      </c>
      <c r="H246" s="10">
        <v>16.175283</v>
      </c>
      <c r="I246" s="10">
        <v>17.216322999999999</v>
      </c>
      <c r="J246" s="10" t="s">
        <v>534</v>
      </c>
      <c r="K246" s="15">
        <v>1.3047999999999999E-2</v>
      </c>
      <c r="L246" s="17">
        <v>42187.726394999998</v>
      </c>
      <c r="M246" s="4" t="s">
        <v>1160</v>
      </c>
      <c r="N246" s="19">
        <v>4.2732700000000001</v>
      </c>
      <c r="O246" s="19">
        <v>3.5750999999999999</v>
      </c>
      <c r="P246" s="19">
        <v>4.2300000000000004</v>
      </c>
      <c r="Q246" s="19">
        <v>3.2305000000000001</v>
      </c>
      <c r="R246" s="19">
        <v>2.37</v>
      </c>
      <c r="S246" s="19">
        <v>2.9710999999999999</v>
      </c>
      <c r="T246" s="19">
        <v>2.37</v>
      </c>
      <c r="U246" s="19">
        <v>2.6977000000000002</v>
      </c>
      <c r="V246" s="19">
        <v>1.69</v>
      </c>
      <c r="W246" s="19">
        <v>2.2726000000000002</v>
      </c>
      <c r="X246" s="19">
        <v>1.69</v>
      </c>
      <c r="Y246" s="19">
        <v>2.2726000000000002</v>
      </c>
      <c r="Z246" s="4"/>
      <c r="AA246" s="4"/>
      <c r="AB246" s="4" t="e">
        <f ca="1">_xll.ciqfunctions.udf.CIQ("^SPX", "IQ_PRICEDATE", "12/11/2014")</f>
        <v>#NAME?</v>
      </c>
      <c r="AC246" s="16">
        <v>2035.3266285533</v>
      </c>
    </row>
    <row r="247" spans="1:29" x14ac:dyDescent="0.35">
      <c r="A247" s="2" t="s">
        <v>257</v>
      </c>
      <c r="B247" s="4" t="s">
        <v>1161</v>
      </c>
      <c r="C247" s="4" t="s">
        <v>543</v>
      </c>
      <c r="D247" s="4" t="s">
        <v>544</v>
      </c>
      <c r="E247" s="4" t="s">
        <v>545</v>
      </c>
      <c r="F247" s="4" t="s">
        <v>546</v>
      </c>
      <c r="G247" s="14">
        <v>134.05000000000001</v>
      </c>
      <c r="H247" s="10">
        <v>9.2836680000000005</v>
      </c>
      <c r="I247" s="10">
        <v>21.612307999999999</v>
      </c>
      <c r="J247" s="10" t="s">
        <v>534</v>
      </c>
      <c r="K247" s="15">
        <v>4.6848000000000001E-2</v>
      </c>
      <c r="L247" s="17">
        <v>122356.57573500001</v>
      </c>
      <c r="M247" s="4" t="s">
        <v>1162</v>
      </c>
      <c r="N247" s="19">
        <v>6.2024840000000001</v>
      </c>
      <c r="O247" s="19">
        <v>13.776300000000001</v>
      </c>
      <c r="P247" s="19">
        <v>6.1404820000000004</v>
      </c>
      <c r="Q247" s="19">
        <v>14.017099999999999</v>
      </c>
      <c r="R247" s="19">
        <v>12.39</v>
      </c>
      <c r="S247" s="19">
        <v>14.0162</v>
      </c>
      <c r="T247" s="19">
        <v>12.39</v>
      </c>
      <c r="U247" s="19">
        <v>14.968299999999999</v>
      </c>
      <c r="V247" s="19">
        <v>15.593061000000001</v>
      </c>
      <c r="W247" s="19">
        <v>16.736899999999999</v>
      </c>
      <c r="X247" s="19">
        <v>15.593061000000001</v>
      </c>
      <c r="Y247" s="19">
        <v>16.736899999999999</v>
      </c>
      <c r="Z247" s="4"/>
      <c r="AA247" s="4"/>
      <c r="AB247" s="4" t="e">
        <f ca="1">_xll.ciqfunctions.udf.CIQ("^SPX", "IQ_PRICEDATE", "12/12/2014")</f>
        <v>#NAME?</v>
      </c>
      <c r="AC247" s="16">
        <v>2002.3342396802</v>
      </c>
    </row>
    <row r="248" spans="1:29" x14ac:dyDescent="0.35">
      <c r="A248" s="2" t="s">
        <v>258</v>
      </c>
      <c r="B248" s="4" t="s">
        <v>1163</v>
      </c>
      <c r="C248" s="4" t="s">
        <v>586</v>
      </c>
      <c r="D248" s="4" t="s">
        <v>586</v>
      </c>
      <c r="E248" s="4" t="s">
        <v>587</v>
      </c>
      <c r="F248" s="4" t="s">
        <v>598</v>
      </c>
      <c r="G248" s="14">
        <v>138.22999999999999</v>
      </c>
      <c r="H248" s="10">
        <v>20.308163</v>
      </c>
      <c r="I248" s="10">
        <v>36.862974000000001</v>
      </c>
      <c r="J248" s="10">
        <v>52.070168000000002</v>
      </c>
      <c r="K248" s="15">
        <v>2.1124E-2</v>
      </c>
      <c r="L248" s="17">
        <v>14742.229499999999</v>
      </c>
      <c r="M248" s="4" t="s">
        <v>1164</v>
      </c>
      <c r="N248" s="19">
        <v>3.7498330000000002</v>
      </c>
      <c r="O248" s="19">
        <v>6.1638000000000002</v>
      </c>
      <c r="P248" s="19">
        <v>3.72</v>
      </c>
      <c r="Q248" s="19">
        <v>6.1523000000000003</v>
      </c>
      <c r="R248" s="19">
        <v>5.05</v>
      </c>
      <c r="S248" s="19">
        <v>5.76</v>
      </c>
      <c r="T248" s="19">
        <v>5.05</v>
      </c>
      <c r="U248" s="19">
        <v>5.4825999999999997</v>
      </c>
      <c r="V248" s="19">
        <v>5.0599999999999996</v>
      </c>
      <c r="W248" s="19">
        <v>5.3129999999999997</v>
      </c>
      <c r="X248" s="19">
        <v>5.0599999999999996</v>
      </c>
      <c r="Y248" s="19">
        <v>5.3129999999999997</v>
      </c>
      <c r="Z248" s="4"/>
      <c r="AA248" s="4"/>
      <c r="AB248" s="4" t="e">
        <f ca="1">_xll.ciqfunctions.udf.CIQ("^SPX", "IQ_PRICEDATE", "12/15/2014")</f>
        <v>#NAME?</v>
      </c>
      <c r="AC248" s="16">
        <v>1989.6307630511999</v>
      </c>
    </row>
    <row r="249" spans="1:29" x14ac:dyDescent="0.35">
      <c r="A249" s="2" t="s">
        <v>259</v>
      </c>
      <c r="B249" s="4" t="s">
        <v>1165</v>
      </c>
      <c r="C249" s="4" t="s">
        <v>586</v>
      </c>
      <c r="D249" s="4" t="s">
        <v>586</v>
      </c>
      <c r="E249" s="4" t="s">
        <v>726</v>
      </c>
      <c r="F249" s="4" t="s">
        <v>727</v>
      </c>
      <c r="G249" s="14">
        <v>43.2</v>
      </c>
      <c r="H249" s="10">
        <v>7.1976259999999996</v>
      </c>
      <c r="I249" s="10">
        <v>6.9000849999999998</v>
      </c>
      <c r="J249" s="10">
        <v>5.0965030000000002</v>
      </c>
      <c r="K249" s="15">
        <v>4.6295999999999997E-2</v>
      </c>
      <c r="L249" s="17">
        <v>17663.532407999999</v>
      </c>
      <c r="M249" s="4" t="s">
        <v>1166</v>
      </c>
      <c r="N249" s="19">
        <v>6.2607920000000004</v>
      </c>
      <c r="O249" s="19">
        <v>5.5339</v>
      </c>
      <c r="P249" s="19">
        <v>5.05</v>
      </c>
      <c r="Q249" s="19">
        <v>4.3665000000000003</v>
      </c>
      <c r="R249" s="19">
        <v>1.93</v>
      </c>
      <c r="S249" s="19">
        <v>3.7856999999999998</v>
      </c>
      <c r="T249" s="19">
        <v>1.93</v>
      </c>
      <c r="U249" s="19">
        <v>3.8092000000000001</v>
      </c>
      <c r="V249" s="19">
        <v>1.31</v>
      </c>
      <c r="W249" s="19">
        <v>3.6678000000000002</v>
      </c>
      <c r="X249" s="19">
        <v>1.31</v>
      </c>
      <c r="Y249" s="19">
        <v>3.6678000000000002</v>
      </c>
      <c r="Z249" s="4"/>
      <c r="AA249" s="4"/>
      <c r="AB249" s="4" t="e">
        <f ca="1">_xll.ciqfunctions.udf.CIQ("^SPX", "IQ_PRICEDATE", "12/16/2014")</f>
        <v>#NAME?</v>
      </c>
      <c r="AC249" s="16">
        <v>1972.7364597573001</v>
      </c>
    </row>
    <row r="250" spans="1:29" x14ac:dyDescent="0.35">
      <c r="A250" s="2" t="s">
        <v>260</v>
      </c>
      <c r="B250" s="4" t="s">
        <v>1167</v>
      </c>
      <c r="C250" s="4" t="s">
        <v>543</v>
      </c>
      <c r="D250" s="4" t="s">
        <v>544</v>
      </c>
      <c r="E250" s="4" t="s">
        <v>555</v>
      </c>
      <c r="F250" s="4" t="s">
        <v>556</v>
      </c>
      <c r="G250" s="14">
        <v>218.83</v>
      </c>
      <c r="H250" s="10">
        <v>31.888824</v>
      </c>
      <c r="I250" s="10">
        <v>47.161636999999999</v>
      </c>
      <c r="J250" s="10">
        <v>82.980863999999997</v>
      </c>
      <c r="K250" s="15">
        <v>8.5909999999999997E-3</v>
      </c>
      <c r="L250" s="17">
        <v>56605.110605000002</v>
      </c>
      <c r="M250" s="4" t="s">
        <v>1168</v>
      </c>
      <c r="N250" s="19">
        <v>4.6399999999999997</v>
      </c>
      <c r="O250" s="19">
        <v>6.4806299999999997</v>
      </c>
      <c r="P250" s="19">
        <v>3.7771970000000001</v>
      </c>
      <c r="Q250" s="19">
        <v>4.9840999999999998</v>
      </c>
      <c r="R250" s="19">
        <v>3.076711</v>
      </c>
      <c r="S250" s="19">
        <v>4.4196</v>
      </c>
      <c r="T250" s="19">
        <v>3.076711</v>
      </c>
      <c r="U250" s="19">
        <v>3.5710999999999999</v>
      </c>
      <c r="V250" s="19">
        <v>2.8676759999999999</v>
      </c>
      <c r="W250" s="19">
        <v>2.5811999999999999</v>
      </c>
      <c r="X250" s="19">
        <v>2.8676759999999999</v>
      </c>
      <c r="Y250" s="19">
        <v>2.5811999999999999</v>
      </c>
      <c r="Z250" s="4"/>
      <c r="AA250" s="4"/>
      <c r="AB250" s="4" t="e">
        <f ca="1">_xll.ciqfunctions.udf.CIQ("^SPX", "IQ_PRICEDATE", "12/17/2014")</f>
        <v>#NAME?</v>
      </c>
      <c r="AC250" s="16">
        <v>2012.8859796547999</v>
      </c>
    </row>
    <row r="251" spans="1:29" x14ac:dyDescent="0.35">
      <c r="A251" s="2" t="s">
        <v>261</v>
      </c>
      <c r="B251" s="4" t="s">
        <v>1169</v>
      </c>
      <c r="C251" s="4" t="s">
        <v>530</v>
      </c>
      <c r="D251" s="4" t="s">
        <v>531</v>
      </c>
      <c r="E251" s="4" t="s">
        <v>532</v>
      </c>
      <c r="F251" s="4" t="s">
        <v>533</v>
      </c>
      <c r="G251" s="14">
        <v>542.91</v>
      </c>
      <c r="H251" s="10">
        <v>44.728051000000001</v>
      </c>
      <c r="I251" s="10">
        <v>80.058972999999995</v>
      </c>
      <c r="J251" s="10">
        <v>11.144607000000001</v>
      </c>
      <c r="K251" s="15">
        <v>0</v>
      </c>
      <c r="L251" s="17">
        <v>61754.706258999999</v>
      </c>
      <c r="M251" s="4" t="s">
        <v>1170</v>
      </c>
      <c r="N251" s="19">
        <v>6.7813759999999998</v>
      </c>
      <c r="O251" s="19">
        <v>11.362399999999999</v>
      </c>
      <c r="P251" s="19">
        <v>5.67</v>
      </c>
      <c r="Q251" s="19">
        <v>8.8413000000000004</v>
      </c>
      <c r="R251" s="19">
        <v>6.24</v>
      </c>
      <c r="S251" s="19">
        <v>7.8052000000000001</v>
      </c>
      <c r="T251" s="19">
        <v>6.24</v>
      </c>
      <c r="U251" s="19">
        <v>6.3647</v>
      </c>
      <c r="V251" s="19">
        <v>3.7033</v>
      </c>
      <c r="W251" s="19">
        <v>5.6635999999999997</v>
      </c>
      <c r="X251" s="19">
        <v>3.7033</v>
      </c>
      <c r="Y251" s="19">
        <v>5.6635999999999997</v>
      </c>
      <c r="Z251" s="4"/>
      <c r="AA251" s="4"/>
      <c r="AB251" s="4" t="e">
        <f ca="1">_xll.ciqfunctions.udf.CIQ("^SPX", "IQ_PRICEDATE", "12/18/2014")</f>
        <v>#NAME?</v>
      </c>
      <c r="AC251" s="16">
        <v>2061.2301186246</v>
      </c>
    </row>
    <row r="252" spans="1:29" x14ac:dyDescent="0.35">
      <c r="A252" s="2" t="s">
        <v>262</v>
      </c>
      <c r="B252" s="4" t="s">
        <v>1171</v>
      </c>
      <c r="C252" s="4" t="s">
        <v>573</v>
      </c>
      <c r="D252" s="4" t="s">
        <v>574</v>
      </c>
      <c r="E252" s="4" t="s">
        <v>575</v>
      </c>
      <c r="F252" s="4" t="s">
        <v>576</v>
      </c>
      <c r="G252" s="14">
        <v>20.94</v>
      </c>
      <c r="H252" s="10">
        <v>9.7137360000000008</v>
      </c>
      <c r="I252" s="10">
        <v>7.3317629999999996</v>
      </c>
      <c r="J252" s="10" t="s">
        <v>534</v>
      </c>
      <c r="K252" s="15">
        <v>5.7305999999999996E-2</v>
      </c>
      <c r="L252" s="17">
        <v>8603.1766779999998</v>
      </c>
      <c r="M252" s="4" t="s">
        <v>1172</v>
      </c>
      <c r="N252" s="19">
        <v>2.8560660000000002</v>
      </c>
      <c r="O252" s="19">
        <v>2.6720000000000002</v>
      </c>
      <c r="P252" s="19">
        <v>2.75</v>
      </c>
      <c r="Q252" s="19">
        <v>2.8094000000000001</v>
      </c>
      <c r="R252" s="19">
        <v>2.0598019999999999</v>
      </c>
      <c r="S252" s="19">
        <v>2.5004</v>
      </c>
      <c r="T252" s="19">
        <v>2.0598019999999999</v>
      </c>
      <c r="U252" s="19">
        <v>2.5954999999999999</v>
      </c>
      <c r="V252" s="19">
        <v>2.2794599999999998</v>
      </c>
      <c r="W252" s="19">
        <v>2.6703999999999999</v>
      </c>
      <c r="X252" s="19">
        <v>2.2794599999999998</v>
      </c>
      <c r="Y252" s="19">
        <v>2.6703999999999999</v>
      </c>
      <c r="Z252" s="4"/>
      <c r="AA252" s="4"/>
      <c r="AB252" s="4" t="e">
        <f ca="1">_xll.ciqfunctions.udf.CIQ("^SPX", "IQ_PRICEDATE", "12/19/2014")</f>
        <v>#NAME?</v>
      </c>
      <c r="AC252" s="16">
        <v>2070.6469553891998</v>
      </c>
    </row>
    <row r="253" spans="1:29" x14ac:dyDescent="0.35">
      <c r="A253" s="2" t="s">
        <v>263</v>
      </c>
      <c r="B253" s="4" t="s">
        <v>1173</v>
      </c>
      <c r="C253" s="4" t="s">
        <v>543</v>
      </c>
      <c r="D253" s="4" t="s">
        <v>664</v>
      </c>
      <c r="E253" s="4" t="s">
        <v>665</v>
      </c>
      <c r="F253" s="4" t="s">
        <v>1174</v>
      </c>
      <c r="G253" s="14">
        <v>139.94</v>
      </c>
      <c r="H253" s="10">
        <v>9.4032289999999996</v>
      </c>
      <c r="I253" s="10">
        <v>19.402211000000001</v>
      </c>
      <c r="J253" s="10">
        <v>3.6402589999999999</v>
      </c>
      <c r="K253" s="15">
        <v>0</v>
      </c>
      <c r="L253" s="17">
        <v>7523.2652209999997</v>
      </c>
      <c r="M253" s="4" t="s">
        <v>1175</v>
      </c>
      <c r="N253" s="19">
        <v>7.21258</v>
      </c>
      <c r="O253" s="19">
        <v>7.3319999999999999</v>
      </c>
      <c r="P253" s="19">
        <v>6.36</v>
      </c>
      <c r="Q253" s="19">
        <v>7.5782999999999996</v>
      </c>
      <c r="R253" s="19">
        <v>4.8499999999999996</v>
      </c>
      <c r="S253" s="19">
        <v>5.2008000000000001</v>
      </c>
      <c r="T253" s="19">
        <v>4.8499999999999996</v>
      </c>
      <c r="U253" s="19">
        <v>4.9156000000000004</v>
      </c>
      <c r="V253" s="19">
        <v>3.79</v>
      </c>
      <c r="W253" s="19">
        <v>4.0875000000000004</v>
      </c>
      <c r="X253" s="19">
        <v>3.79</v>
      </c>
      <c r="Y253" s="19">
        <v>4.0875000000000004</v>
      </c>
      <c r="Z253" s="4"/>
      <c r="AA253" s="4"/>
      <c r="AB253" s="4" t="e">
        <f ca="1">_xll.ciqfunctions.udf.CIQ("^SPX", "IQ_PRICEDATE", "12/22/2014")</f>
        <v>#NAME?</v>
      </c>
      <c r="AC253" s="16">
        <v>2078.5361717518999</v>
      </c>
    </row>
    <row r="254" spans="1:29" x14ac:dyDescent="0.35">
      <c r="A254" s="2" t="s">
        <v>264</v>
      </c>
      <c r="B254" s="4" t="s">
        <v>1176</v>
      </c>
      <c r="C254" s="4" t="s">
        <v>530</v>
      </c>
      <c r="D254" s="4" t="s">
        <v>537</v>
      </c>
      <c r="E254" s="4" t="s">
        <v>583</v>
      </c>
      <c r="F254" s="4" t="s">
        <v>583</v>
      </c>
      <c r="G254" s="14">
        <v>129.38</v>
      </c>
      <c r="H254" s="10">
        <v>20.103487999999999</v>
      </c>
      <c r="I254" s="10">
        <v>21.650442999999999</v>
      </c>
      <c r="J254" s="10" t="s">
        <v>534</v>
      </c>
      <c r="K254" s="15">
        <v>0</v>
      </c>
      <c r="L254" s="17">
        <v>26210.692475</v>
      </c>
      <c r="M254" s="4" t="s">
        <v>1177</v>
      </c>
      <c r="N254" s="19">
        <v>5.9758589999999998</v>
      </c>
      <c r="O254" s="19">
        <v>5.8357000000000001</v>
      </c>
      <c r="P254" s="19">
        <v>5.88</v>
      </c>
      <c r="Q254" s="19">
        <v>5.1369999999999996</v>
      </c>
      <c r="R254" s="19">
        <v>0.76</v>
      </c>
      <c r="S254" s="19">
        <v>4.3288000000000002</v>
      </c>
      <c r="T254" s="19">
        <v>0.76</v>
      </c>
      <c r="U254" s="19">
        <v>3.5811000000000002</v>
      </c>
      <c r="V254" s="19">
        <v>2.72</v>
      </c>
      <c r="W254" s="19">
        <v>2.8815</v>
      </c>
      <c r="X254" s="19">
        <v>2.72</v>
      </c>
      <c r="Y254" s="19">
        <v>2.8815</v>
      </c>
      <c r="Z254" s="4"/>
      <c r="AA254" s="4"/>
      <c r="AB254" s="4" t="e">
        <f ca="1">_xll.ciqfunctions.udf.CIQ("^SPX", "IQ_PRICEDATE", "12/23/2014")</f>
        <v>#NAME?</v>
      </c>
      <c r="AC254" s="16">
        <v>2082.1676604115</v>
      </c>
    </row>
    <row r="255" spans="1:29" x14ac:dyDescent="0.35">
      <c r="A255" s="2" t="s">
        <v>265</v>
      </c>
      <c r="B255" s="4" t="s">
        <v>1178</v>
      </c>
      <c r="C255" s="4" t="s">
        <v>601</v>
      </c>
      <c r="D255" s="4" t="s">
        <v>601</v>
      </c>
      <c r="E255" s="4" t="s">
        <v>602</v>
      </c>
      <c r="F255" s="4" t="s">
        <v>647</v>
      </c>
      <c r="G255" s="14">
        <v>31.74</v>
      </c>
      <c r="H255" s="10">
        <v>12.41197</v>
      </c>
      <c r="I255" s="10">
        <v>46.523148999999997</v>
      </c>
      <c r="J255" s="10" t="s">
        <v>534</v>
      </c>
      <c r="K255" s="15">
        <v>7.4039000000000008E-2</v>
      </c>
      <c r="L255" s="17">
        <v>9082.2671520000004</v>
      </c>
      <c r="M255" s="4" t="s">
        <v>1179</v>
      </c>
      <c r="N255" s="19">
        <v>0.68224099999999999</v>
      </c>
      <c r="O255" s="19">
        <v>1.1133999999999999</v>
      </c>
      <c r="P255" s="19">
        <v>0.71</v>
      </c>
      <c r="Q255" s="19">
        <v>1.2918000000000001</v>
      </c>
      <c r="R255" s="19">
        <v>0.409999</v>
      </c>
      <c r="S255" s="19">
        <v>1.1473</v>
      </c>
      <c r="T255" s="19">
        <v>0.409999</v>
      </c>
      <c r="U255" s="19">
        <v>1.3130999999999999</v>
      </c>
      <c r="V255" s="19">
        <v>1.661062</v>
      </c>
      <c r="W255" s="19">
        <v>1.2966</v>
      </c>
      <c r="X255" s="19">
        <v>1.661062</v>
      </c>
      <c r="Y255" s="19">
        <v>1.2966</v>
      </c>
      <c r="Z255" s="4"/>
      <c r="AA255" s="4"/>
      <c r="AB255" s="4" t="e">
        <f ca="1">_xll.ciqfunctions.udf.CIQ("^SPX", "IQ_PRICEDATE", "12/24/2014")</f>
        <v>#NAME?</v>
      </c>
      <c r="AC255" s="16">
        <v>2081.8815308929002</v>
      </c>
    </row>
    <row r="256" spans="1:29" x14ac:dyDescent="0.35">
      <c r="A256" s="2" t="s">
        <v>266</v>
      </c>
      <c r="B256" s="4" t="s">
        <v>1180</v>
      </c>
      <c r="C256" s="4" t="s">
        <v>525</v>
      </c>
      <c r="D256" s="4" t="s">
        <v>594</v>
      </c>
      <c r="E256" s="4" t="s">
        <v>903</v>
      </c>
      <c r="F256" s="4" t="s">
        <v>1181</v>
      </c>
      <c r="G256" s="14">
        <v>112.2</v>
      </c>
      <c r="H256" s="10">
        <v>11.778181</v>
      </c>
      <c r="I256" s="10">
        <v>15.781701999999999</v>
      </c>
      <c r="J256" s="10">
        <v>5.8875690000000001</v>
      </c>
      <c r="K256" s="15">
        <v>8.5560000000000011E-3</v>
      </c>
      <c r="L256" s="17">
        <v>12268.400165999999</v>
      </c>
      <c r="M256" s="4" t="s">
        <v>1182</v>
      </c>
      <c r="N256" s="19">
        <v>7.1094989999999996</v>
      </c>
      <c r="O256" s="19">
        <v>6.1639999999999997</v>
      </c>
      <c r="P256" s="19">
        <v>6.18</v>
      </c>
      <c r="Q256" s="19">
        <v>4.1931000000000003</v>
      </c>
      <c r="R256" s="19">
        <v>3.81</v>
      </c>
      <c r="S256" s="19">
        <v>4.0339999999999998</v>
      </c>
      <c r="T256" s="19">
        <v>3.81</v>
      </c>
      <c r="U256" s="19">
        <v>3.9384000000000001</v>
      </c>
      <c r="V256" s="19">
        <v>3.16</v>
      </c>
      <c r="W256" s="19">
        <v>3.4761000000000002</v>
      </c>
      <c r="X256" s="19">
        <v>3.16</v>
      </c>
      <c r="Y256" s="19">
        <v>3.4761000000000002</v>
      </c>
      <c r="Z256" s="4"/>
      <c r="AA256" s="4"/>
      <c r="AB256" s="4" t="e">
        <f ca="1">_xll.ciqfunctions.udf.CIQ("^SPX", "IQ_PRICEDATE", "12/26/2014")</f>
        <v>#NAME?</v>
      </c>
      <c r="AC256" s="16">
        <v>2088.7660628378999</v>
      </c>
    </row>
    <row r="257" spans="1:29" x14ac:dyDescent="0.35">
      <c r="A257" s="2" t="s">
        <v>267</v>
      </c>
      <c r="B257" s="4" t="s">
        <v>1183</v>
      </c>
      <c r="C257" s="4" t="s">
        <v>525</v>
      </c>
      <c r="D257" s="4" t="s">
        <v>526</v>
      </c>
      <c r="E257" s="4" t="s">
        <v>1046</v>
      </c>
      <c r="F257" s="4" t="s">
        <v>1046</v>
      </c>
      <c r="G257" s="14">
        <v>73.849999999999994</v>
      </c>
      <c r="H257" s="10">
        <v>12.781662000000001</v>
      </c>
      <c r="I257" s="10">
        <v>33.384928000000002</v>
      </c>
      <c r="J257" s="10" t="s">
        <v>534</v>
      </c>
      <c r="K257" s="15">
        <v>8.1239999999999993E-3</v>
      </c>
      <c r="L257" s="17">
        <v>10479.617711000001</v>
      </c>
      <c r="M257" s="4" t="s">
        <v>1184</v>
      </c>
      <c r="N257" s="19">
        <v>2.2120760000000002</v>
      </c>
      <c r="O257" s="19">
        <v>5.1555</v>
      </c>
      <c r="P257" s="19">
        <v>1.9205760000000001</v>
      </c>
      <c r="Q257" s="19">
        <v>3.4943499999999998</v>
      </c>
      <c r="R257" s="19">
        <v>1.850436</v>
      </c>
      <c r="S257" s="19">
        <v>3.1346599999999998</v>
      </c>
      <c r="T257" s="19">
        <v>1.850436</v>
      </c>
      <c r="U257" s="19">
        <v>3.0944799999999999</v>
      </c>
      <c r="V257" s="19">
        <v>2.537652</v>
      </c>
      <c r="W257" s="19">
        <v>3.5872199999999999</v>
      </c>
      <c r="X257" s="19">
        <v>2.537652</v>
      </c>
      <c r="Y257" s="19">
        <v>3.5872199999999999</v>
      </c>
      <c r="Z257" s="4"/>
      <c r="AA257" s="4"/>
      <c r="AB257" s="4" t="e">
        <f ca="1">_xll.ciqfunctions.udf.CIQ("^SPX", "IQ_PRICEDATE", "12/29/2014")</f>
        <v>#NAME?</v>
      </c>
      <c r="AC257" s="16">
        <v>2090.5738632215998</v>
      </c>
    </row>
    <row r="258" spans="1:29" x14ac:dyDescent="0.35">
      <c r="A258" s="2" t="s">
        <v>268</v>
      </c>
      <c r="B258" s="4" t="s">
        <v>1185</v>
      </c>
      <c r="C258" s="4" t="s">
        <v>573</v>
      </c>
      <c r="D258" s="4" t="s">
        <v>574</v>
      </c>
      <c r="E258" s="4" t="s">
        <v>748</v>
      </c>
      <c r="F258" s="4" t="s">
        <v>749</v>
      </c>
      <c r="G258" s="14">
        <v>21.7</v>
      </c>
      <c r="H258" s="10">
        <v>10.817069999999999</v>
      </c>
      <c r="I258" s="10" t="s">
        <v>534</v>
      </c>
      <c r="J258" s="10">
        <v>0.83744099999999999</v>
      </c>
      <c r="K258" s="15">
        <v>2.3040999999999999E-2</v>
      </c>
      <c r="L258" s="17">
        <v>7233.3064400000003</v>
      </c>
      <c r="M258" s="4" t="s">
        <v>1186</v>
      </c>
      <c r="N258" s="19">
        <v>-8.6269999999999993E-3</v>
      </c>
      <c r="O258" s="19">
        <v>1.87</v>
      </c>
      <c r="P258" s="19">
        <v>0.44976100000000002</v>
      </c>
      <c r="Q258" s="19">
        <v>1.65</v>
      </c>
      <c r="R258" s="19">
        <v>0.33738600000000002</v>
      </c>
      <c r="S258" s="19">
        <v>1.085</v>
      </c>
      <c r="T258" s="19">
        <v>0.33738600000000002</v>
      </c>
      <c r="U258" s="19">
        <v>0.78</v>
      </c>
      <c r="V258" s="19">
        <v>0.57973699999999995</v>
      </c>
      <c r="W258" s="19">
        <v>-0.6</v>
      </c>
      <c r="X258" s="19">
        <v>0.57973699999999995</v>
      </c>
      <c r="Y258" s="19">
        <v>-0.6</v>
      </c>
      <c r="Z258" s="4"/>
      <c r="AA258" s="4"/>
      <c r="AB258" s="4" t="e">
        <f ca="1">_xll.ciqfunctions.udf.CIQ("^SPX", "IQ_PRICEDATE", "12/30/2014")</f>
        <v>#NAME?</v>
      </c>
      <c r="AC258" s="16">
        <v>2080.3458639493001</v>
      </c>
    </row>
    <row r="259" spans="1:29" x14ac:dyDescent="0.35">
      <c r="A259" s="2" t="s">
        <v>269</v>
      </c>
      <c r="B259" s="4" t="s">
        <v>1187</v>
      </c>
      <c r="C259" s="4" t="s">
        <v>530</v>
      </c>
      <c r="D259" s="4" t="s">
        <v>537</v>
      </c>
      <c r="E259" s="4" t="s">
        <v>613</v>
      </c>
      <c r="F259" s="4" t="s">
        <v>613</v>
      </c>
      <c r="G259" s="14">
        <v>139.46</v>
      </c>
      <c r="H259" s="10">
        <v>13.82794</v>
      </c>
      <c r="I259" s="10">
        <v>245.060483</v>
      </c>
      <c r="J259" s="10" t="s">
        <v>534</v>
      </c>
      <c r="K259" s="15">
        <v>2.5813000000000003E-2</v>
      </c>
      <c r="L259" s="17">
        <v>374137.16026700003</v>
      </c>
      <c r="M259" s="4" t="s">
        <v>1188</v>
      </c>
      <c r="N259" s="19">
        <v>0.56908400000000003</v>
      </c>
      <c r="O259" s="19">
        <v>8.3667999999999996</v>
      </c>
      <c r="P259" s="19">
        <v>0.47389999999999999</v>
      </c>
      <c r="Q259" s="19">
        <v>7.7030000000000003</v>
      </c>
      <c r="R259" s="19">
        <v>5.6973520000000004</v>
      </c>
      <c r="S259" s="19">
        <v>6.9474999999999998</v>
      </c>
      <c r="T259" s="19">
        <v>5.6973520000000004</v>
      </c>
      <c r="U259" s="19">
        <v>6.2648000000000001</v>
      </c>
      <c r="V259" s="19">
        <v>5.7006180000000004</v>
      </c>
      <c r="W259" s="19">
        <v>5.9557000000000002</v>
      </c>
      <c r="X259" s="19">
        <v>5.7006180000000004</v>
      </c>
      <c r="Y259" s="19">
        <v>5.9557000000000002</v>
      </c>
      <c r="Z259" s="4"/>
      <c r="AA259" s="4"/>
      <c r="AB259" s="4" t="e">
        <f ca="1">_xll.ciqfunctions.udf.CIQ("^SPX", "IQ_PRICEDATE", "12/31/2014")</f>
        <v>#NAME?</v>
      </c>
      <c r="AC259" s="16">
        <v>2058.9023788569002</v>
      </c>
    </row>
    <row r="260" spans="1:29" x14ac:dyDescent="0.35">
      <c r="A260" s="2" t="s">
        <v>270</v>
      </c>
      <c r="B260" s="4" t="s">
        <v>1189</v>
      </c>
      <c r="C260" s="4" t="s">
        <v>525</v>
      </c>
      <c r="D260" s="4" t="s">
        <v>526</v>
      </c>
      <c r="E260" s="4" t="s">
        <v>527</v>
      </c>
      <c r="F260" s="4" t="s">
        <v>527</v>
      </c>
      <c r="G260" s="14">
        <v>33.86</v>
      </c>
      <c r="H260" s="10">
        <v>8.6155080000000002</v>
      </c>
      <c r="I260" s="10">
        <v>13.953128</v>
      </c>
      <c r="J260" s="10" t="s">
        <v>534</v>
      </c>
      <c r="K260" s="15">
        <v>3.0714000000000002E-2</v>
      </c>
      <c r="L260" s="17">
        <v>31317.865049</v>
      </c>
      <c r="M260" s="4" t="s">
        <v>1190</v>
      </c>
      <c r="N260" s="19">
        <v>2.4266960000000002</v>
      </c>
      <c r="O260" s="19">
        <v>2.9670000000000001</v>
      </c>
      <c r="P260" s="19">
        <v>1.6118680000000001</v>
      </c>
      <c r="Q260" s="19">
        <v>2.8096299999999998</v>
      </c>
      <c r="R260" s="19">
        <v>1.111035</v>
      </c>
      <c r="S260" s="19">
        <v>2.6903999999999999</v>
      </c>
      <c r="T260" s="19">
        <v>1.111035</v>
      </c>
      <c r="U260" s="19">
        <v>3.9556200000000001</v>
      </c>
      <c r="V260" s="19">
        <v>2.1573060000000002</v>
      </c>
      <c r="W260" s="19">
        <v>3.7068099999999999</v>
      </c>
      <c r="X260" s="19">
        <v>2.1573060000000002</v>
      </c>
      <c r="Y260" s="19">
        <v>3.7068099999999999</v>
      </c>
      <c r="Z260" s="4"/>
      <c r="AA260" s="4"/>
      <c r="AB260" s="4" t="e">
        <f ca="1">_xll.ciqfunctions.udf.CIQ("^SPX", "IQ_PRICEDATE", "1/2/2015")</f>
        <v>#NAME?</v>
      </c>
      <c r="AC260" s="16">
        <v>2058.2047787243</v>
      </c>
    </row>
    <row r="261" spans="1:29" x14ac:dyDescent="0.35">
      <c r="A261" s="2" t="s">
        <v>271</v>
      </c>
      <c r="B261" s="4" t="s">
        <v>1191</v>
      </c>
      <c r="C261" s="4" t="s">
        <v>573</v>
      </c>
      <c r="D261" s="4" t="s">
        <v>737</v>
      </c>
      <c r="E261" s="4" t="s">
        <v>737</v>
      </c>
      <c r="F261" s="4" t="s">
        <v>738</v>
      </c>
      <c r="G261" s="14">
        <v>109.83</v>
      </c>
      <c r="H261" s="10">
        <v>0</v>
      </c>
      <c r="I261" s="10">
        <v>13.631594</v>
      </c>
      <c r="J261" s="10">
        <v>2.0270100000000002</v>
      </c>
      <c r="K261" s="15">
        <v>2.9135000000000001E-2</v>
      </c>
      <c r="L261" s="17">
        <v>369073.95704399998</v>
      </c>
      <c r="M261" s="4" t="s">
        <v>1192</v>
      </c>
      <c r="N261" s="19">
        <v>8.0570179999999993</v>
      </c>
      <c r="O261" s="19">
        <v>9.8957999999999995</v>
      </c>
      <c r="P261" s="19">
        <v>6.31</v>
      </c>
      <c r="Q261" s="19">
        <v>7.5556999999999999</v>
      </c>
      <c r="R261" s="19">
        <v>6.19</v>
      </c>
      <c r="S261" s="19">
        <v>6.2808000000000002</v>
      </c>
      <c r="T261" s="19">
        <v>6.19</v>
      </c>
      <c r="U261" s="19">
        <v>5.9207000000000001</v>
      </c>
      <c r="V261" s="19">
        <v>5.29</v>
      </c>
      <c r="W261" s="19">
        <v>5.8353999999999999</v>
      </c>
      <c r="X261" s="19">
        <v>5.29</v>
      </c>
      <c r="Y261" s="19">
        <v>5.8353999999999999</v>
      </c>
      <c r="Z261" s="4"/>
      <c r="AA261" s="4"/>
      <c r="AB261" s="4" t="e">
        <f ca="1">_xll.ciqfunctions.udf.CIQ("^SPX", "IQ_PRICEDATE", "1/5/2015")</f>
        <v>#NAME?</v>
      </c>
      <c r="AC261" s="16">
        <v>2020.5778843052001</v>
      </c>
    </row>
    <row r="262" spans="1:29" x14ac:dyDescent="0.35">
      <c r="A262" s="2" t="s">
        <v>272</v>
      </c>
      <c r="B262" s="4" t="s">
        <v>1193</v>
      </c>
      <c r="C262" s="4" t="s">
        <v>543</v>
      </c>
      <c r="D262" s="4" t="s">
        <v>664</v>
      </c>
      <c r="E262" s="4" t="s">
        <v>706</v>
      </c>
      <c r="F262" s="4" t="s">
        <v>706</v>
      </c>
      <c r="G262" s="14">
        <v>28.87</v>
      </c>
      <c r="H262" s="10">
        <v>9.7576499999999999</v>
      </c>
      <c r="I262" s="10">
        <v>62.486877999999997</v>
      </c>
      <c r="J262" s="10">
        <v>8.3905999999999992</v>
      </c>
      <c r="K262" s="15">
        <v>2.4938999999999999E-2</v>
      </c>
      <c r="L262" s="17">
        <v>9954.2319389999993</v>
      </c>
      <c r="M262" s="4" t="s">
        <v>1194</v>
      </c>
      <c r="N262" s="19">
        <v>0.46201700000000001</v>
      </c>
      <c r="O262" s="19">
        <v>1.8831</v>
      </c>
      <c r="P262" s="19">
        <v>0.8</v>
      </c>
      <c r="Q262" s="19">
        <v>2.0438999999999998</v>
      </c>
      <c r="R262" s="19">
        <v>1.53</v>
      </c>
      <c r="S262" s="19">
        <v>2.2212999999999998</v>
      </c>
      <c r="T262" s="19">
        <v>1.53</v>
      </c>
      <c r="U262" s="19">
        <v>2.1717</v>
      </c>
      <c r="V262" s="19">
        <v>-0.73087000000000002</v>
      </c>
      <c r="W262" s="19">
        <v>1.4215</v>
      </c>
      <c r="X262" s="19">
        <v>-0.73087000000000002</v>
      </c>
      <c r="Y262" s="19">
        <v>1.4215</v>
      </c>
      <c r="Z262" s="4"/>
      <c r="AA262" s="4"/>
      <c r="AB262" s="4" t="e">
        <f ca="1">_xll.ciqfunctions.udf.CIQ("^SPX", "IQ_PRICEDATE", "1/6/2015")</f>
        <v>#NAME?</v>
      </c>
      <c r="AC262" s="16">
        <v>2002.6135878652999</v>
      </c>
    </row>
    <row r="263" spans="1:29" x14ac:dyDescent="0.35">
      <c r="A263" s="2" t="s">
        <v>273</v>
      </c>
      <c r="B263" s="4" t="s">
        <v>1195</v>
      </c>
      <c r="C263" s="4" t="s">
        <v>525</v>
      </c>
      <c r="D263" s="4" t="s">
        <v>594</v>
      </c>
      <c r="E263" s="4" t="s">
        <v>903</v>
      </c>
      <c r="F263" s="4" t="s">
        <v>904</v>
      </c>
      <c r="G263" s="14">
        <v>104.01</v>
      </c>
      <c r="H263" s="10">
        <v>10.648586999999999</v>
      </c>
      <c r="I263" s="10">
        <v>11.040803</v>
      </c>
      <c r="J263" s="10">
        <v>2.2738339999999999</v>
      </c>
      <c r="K263" s="15">
        <v>1.3844E-2</v>
      </c>
      <c r="L263" s="17">
        <v>10625.573504</v>
      </c>
      <c r="M263" s="4" t="s">
        <v>1196</v>
      </c>
      <c r="N263" s="19">
        <v>9.4205100000000002</v>
      </c>
      <c r="O263" s="19">
        <v>6.4467999999999996</v>
      </c>
      <c r="P263" s="19">
        <v>9.16</v>
      </c>
      <c r="Q263" s="19">
        <v>5.7092000000000001</v>
      </c>
      <c r="R263" s="19">
        <v>4.43</v>
      </c>
      <c r="S263" s="19">
        <v>5.0011999999999999</v>
      </c>
      <c r="T263" s="19">
        <v>4.43</v>
      </c>
      <c r="U263" s="19">
        <v>4.6532</v>
      </c>
      <c r="V263" s="19">
        <v>4.55</v>
      </c>
      <c r="W263" s="19">
        <v>5.3170000000000002</v>
      </c>
      <c r="X263" s="19">
        <v>4.55</v>
      </c>
      <c r="Y263" s="19">
        <v>5.3170000000000002</v>
      </c>
      <c r="Z263" s="4"/>
      <c r="AA263" s="4"/>
      <c r="AB263" s="4" t="e">
        <f ca="1">_xll.ciqfunctions.udf.CIQ("^SPX", "IQ_PRICEDATE", "1/7/2015")</f>
        <v>#NAME?</v>
      </c>
      <c r="AC263" s="16">
        <v>2025.9010505617</v>
      </c>
    </row>
    <row r="264" spans="1:29" x14ac:dyDescent="0.35">
      <c r="A264" s="2" t="s">
        <v>274</v>
      </c>
      <c r="B264" s="4" t="s">
        <v>1197</v>
      </c>
      <c r="C264" s="4" t="s">
        <v>626</v>
      </c>
      <c r="D264" s="4" t="s">
        <v>627</v>
      </c>
      <c r="E264" s="4" t="s">
        <v>699</v>
      </c>
      <c r="F264" s="4" t="s">
        <v>789</v>
      </c>
      <c r="G264" s="14">
        <v>69.650000000000006</v>
      </c>
      <c r="H264" s="10">
        <v>10.42374</v>
      </c>
      <c r="I264" s="10">
        <v>13.776654000000001</v>
      </c>
      <c r="J264" s="10" t="s">
        <v>534</v>
      </c>
      <c r="K264" s="15">
        <v>3.2160000000000001E-2</v>
      </c>
      <c r="L264" s="17">
        <v>24145.750281000001</v>
      </c>
      <c r="M264" s="4" t="s">
        <v>1198</v>
      </c>
      <c r="N264" s="19">
        <v>5.0556539999999996</v>
      </c>
      <c r="O264" s="19">
        <v>4.4913999999999996</v>
      </c>
      <c r="P264" s="19">
        <v>3.62</v>
      </c>
      <c r="Q264" s="19">
        <v>4.1802999999999999</v>
      </c>
      <c r="R264" s="19">
        <v>1.96</v>
      </c>
      <c r="S264" s="19">
        <v>3.8578000000000001</v>
      </c>
      <c r="T264" s="19">
        <v>1.96</v>
      </c>
      <c r="U264" s="19">
        <v>3.6122999999999998</v>
      </c>
      <c r="V264" s="19">
        <v>4.814006</v>
      </c>
      <c r="W264" s="19">
        <v>4.0225</v>
      </c>
      <c r="X264" s="19">
        <v>4.814006</v>
      </c>
      <c r="Y264" s="19">
        <v>4.0225</v>
      </c>
      <c r="Z264" s="4"/>
      <c r="AA264" s="4"/>
      <c r="AB264" s="4" t="e">
        <f ca="1">_xll.ciqfunctions.udf.CIQ("^SPX", "IQ_PRICEDATE", "1/8/2015")</f>
        <v>#NAME?</v>
      </c>
      <c r="AC264" s="16">
        <v>2062.1435548651002</v>
      </c>
    </row>
    <row r="265" spans="1:29" x14ac:dyDescent="0.35">
      <c r="A265" s="2" t="s">
        <v>275</v>
      </c>
      <c r="B265" s="4" t="s">
        <v>1199</v>
      </c>
      <c r="C265" s="4" t="s">
        <v>573</v>
      </c>
      <c r="D265" s="4" t="s">
        <v>737</v>
      </c>
      <c r="E265" s="4" t="s">
        <v>737</v>
      </c>
      <c r="F265" s="4" t="s">
        <v>743</v>
      </c>
      <c r="G265" s="14">
        <v>18.739999999999998</v>
      </c>
      <c r="H265" s="10">
        <v>0</v>
      </c>
      <c r="I265" s="10">
        <v>14.445731</v>
      </c>
      <c r="J265" s="10">
        <v>1.7721560000000001</v>
      </c>
      <c r="K265" s="15">
        <v>3.6285999999999999E-2</v>
      </c>
      <c r="L265" s="17">
        <v>19715.156327000001</v>
      </c>
      <c r="M265" s="4" t="s">
        <v>1200</v>
      </c>
      <c r="N265" s="19">
        <v>1.297269</v>
      </c>
      <c r="O265" s="19">
        <v>1.8280000000000001</v>
      </c>
      <c r="P265" s="19">
        <v>1.1200000000000001</v>
      </c>
      <c r="Q265" s="19">
        <v>1.4718</v>
      </c>
      <c r="R265" s="19">
        <v>0.8</v>
      </c>
      <c r="S265" s="19">
        <v>1.2474000000000001</v>
      </c>
      <c r="T265" s="19">
        <v>0.8</v>
      </c>
      <c r="U265" s="19">
        <v>1.1483000000000001</v>
      </c>
      <c r="V265" s="19">
        <v>1.04</v>
      </c>
      <c r="W265" s="19">
        <v>1.0779000000000001</v>
      </c>
      <c r="X265" s="19">
        <v>1.04</v>
      </c>
      <c r="Y265" s="19">
        <v>1.0779000000000001</v>
      </c>
      <c r="Z265" s="4"/>
      <c r="AA265" s="4"/>
      <c r="AB265" s="4" t="e">
        <f ca="1">_xll.ciqfunctions.udf.CIQ("^SPX", "IQ_PRICEDATE", "1/9/2015")</f>
        <v>#NAME?</v>
      </c>
      <c r="AC265" s="16">
        <v>2044.8099000578</v>
      </c>
    </row>
    <row r="266" spans="1:29" x14ac:dyDescent="0.35">
      <c r="A266" s="2" t="s">
        <v>276</v>
      </c>
      <c r="B266" s="4" t="s">
        <v>1201</v>
      </c>
      <c r="C266" s="4" t="s">
        <v>626</v>
      </c>
      <c r="D266" s="4" t="s">
        <v>845</v>
      </c>
      <c r="E266" s="4" t="s">
        <v>846</v>
      </c>
      <c r="F266" s="4" t="s">
        <v>846</v>
      </c>
      <c r="G266" s="14">
        <v>108.82</v>
      </c>
      <c r="H266" s="10">
        <v>10.97031</v>
      </c>
      <c r="I266" s="10">
        <v>22.168955</v>
      </c>
      <c r="J266" s="10" t="s">
        <v>534</v>
      </c>
      <c r="K266" s="15">
        <v>3.6756999999999998E-2</v>
      </c>
      <c r="L266" s="17">
        <v>37832.855351999999</v>
      </c>
      <c r="M266" s="4" t="s">
        <v>1202</v>
      </c>
      <c r="N266" s="19">
        <v>4.9086660000000002</v>
      </c>
      <c r="O266" s="19">
        <v>6.6669</v>
      </c>
      <c r="P266" s="19">
        <v>6.4</v>
      </c>
      <c r="Q266" s="19">
        <v>6.4035000000000002</v>
      </c>
      <c r="R266" s="19">
        <v>5.99</v>
      </c>
      <c r="S266" s="19">
        <v>6.1612999999999998</v>
      </c>
      <c r="T266" s="19">
        <v>5.99</v>
      </c>
      <c r="U266" s="19">
        <v>6.0574000000000003</v>
      </c>
      <c r="V266" s="19">
        <v>3.91</v>
      </c>
      <c r="W266" s="19">
        <v>5.8613</v>
      </c>
      <c r="X266" s="19">
        <v>3.91</v>
      </c>
      <c r="Y266" s="19">
        <v>5.8613</v>
      </c>
      <c r="Z266" s="4"/>
      <c r="AA266" s="4"/>
      <c r="AB266" s="4" t="e">
        <f ca="1">_xll.ciqfunctions.udf.CIQ("^SPX", "IQ_PRICEDATE", "1/12/2015")</f>
        <v>#NAME?</v>
      </c>
      <c r="AC266" s="16">
        <v>2028.2638224775001</v>
      </c>
    </row>
    <row r="267" spans="1:29" x14ac:dyDescent="0.35">
      <c r="A267" s="2" t="s">
        <v>277</v>
      </c>
      <c r="B267" s="4" t="s">
        <v>1203</v>
      </c>
      <c r="C267" s="4" t="s">
        <v>601</v>
      </c>
      <c r="D267" s="4" t="s">
        <v>601</v>
      </c>
      <c r="E267" s="4" t="s">
        <v>602</v>
      </c>
      <c r="F267" s="4" t="s">
        <v>1026</v>
      </c>
      <c r="G267" s="14">
        <v>15.21</v>
      </c>
      <c r="H267" s="10">
        <v>12.975284</v>
      </c>
      <c r="I267" s="10">
        <v>14.244694000000001</v>
      </c>
      <c r="J267" s="10">
        <v>1.184458</v>
      </c>
      <c r="K267" s="15">
        <v>7.3635000000000006E-2</v>
      </c>
      <c r="L267" s="17">
        <v>6409.221939</v>
      </c>
      <c r="M267" s="4" t="s">
        <v>1204</v>
      </c>
      <c r="N267" s="19">
        <v>1.067766</v>
      </c>
      <c r="O267" s="19">
        <v>0.4889</v>
      </c>
      <c r="P267" s="19">
        <v>0.87</v>
      </c>
      <c r="Q267" s="19">
        <v>0.62929999999999997</v>
      </c>
      <c r="R267" s="19">
        <v>0.79</v>
      </c>
      <c r="S267" s="19">
        <v>0.63900000000000001</v>
      </c>
      <c r="T267" s="19">
        <v>0.79</v>
      </c>
      <c r="U267" s="19">
        <v>0.54549999999999998</v>
      </c>
      <c r="V267" s="19">
        <v>0.76270800000000005</v>
      </c>
      <c r="W267" s="19">
        <v>0.53769999999999996</v>
      </c>
      <c r="X267" s="19">
        <v>0.76270800000000005</v>
      </c>
      <c r="Y267" s="19">
        <v>0.53769999999999996</v>
      </c>
      <c r="Z267" s="4"/>
      <c r="AA267" s="4"/>
      <c r="AB267" s="4" t="e">
        <f ca="1">_xll.ciqfunctions.udf.CIQ("^SPX", "IQ_PRICEDATE", "1/13/2015")</f>
        <v>#NAME?</v>
      </c>
      <c r="AC267" s="16">
        <v>2023.0292191098999</v>
      </c>
    </row>
    <row r="268" spans="1:29" x14ac:dyDescent="0.35">
      <c r="A268" s="2" t="s">
        <v>278</v>
      </c>
      <c r="B268" s="4" t="s">
        <v>1205</v>
      </c>
      <c r="C268" s="4" t="s">
        <v>669</v>
      </c>
      <c r="D268" s="4" t="s">
        <v>669</v>
      </c>
      <c r="E268" s="4" t="s">
        <v>670</v>
      </c>
      <c r="F268" s="4" t="s">
        <v>1206</v>
      </c>
      <c r="G268" s="14">
        <v>17.95</v>
      </c>
      <c r="H268" s="10">
        <v>11.323112</v>
      </c>
      <c r="I268" s="10" t="s">
        <v>534</v>
      </c>
      <c r="J268" s="10">
        <v>3.435146</v>
      </c>
      <c r="K268" s="15">
        <v>4.4568000000000003E-2</v>
      </c>
      <c r="L268" s="17">
        <v>39612.580011999999</v>
      </c>
      <c r="M268" s="4" t="s">
        <v>1207</v>
      </c>
      <c r="N268" s="19">
        <v>-2.5257000000000002E-2</v>
      </c>
      <c r="O268" s="19">
        <v>0.92900000000000005</v>
      </c>
      <c r="P268" s="19">
        <v>9.8650000000000005E-3</v>
      </c>
      <c r="Q268" s="19">
        <v>0.67010000000000003</v>
      </c>
      <c r="R268" s="19">
        <v>0.24573900000000001</v>
      </c>
      <c r="S268" s="19">
        <v>0.70679999999999998</v>
      </c>
      <c r="T268" s="19">
        <v>0.24573900000000001</v>
      </c>
      <c r="U268" s="19">
        <v>0.70279999999999998</v>
      </c>
      <c r="V268" s="19">
        <v>0.89</v>
      </c>
      <c r="W268" s="19">
        <v>1.107</v>
      </c>
      <c r="X268" s="19">
        <v>0.89</v>
      </c>
      <c r="Y268" s="19">
        <v>1.107</v>
      </c>
      <c r="Z268" s="4"/>
      <c r="AA268" s="4"/>
      <c r="AB268" s="4" t="e">
        <f ca="1">_xll.ciqfunctions.udf.CIQ("^SPX", "IQ_PRICEDATE", "1/14/2015")</f>
        <v>#NAME?</v>
      </c>
      <c r="AC268" s="16">
        <v>2011.2728977286999</v>
      </c>
    </row>
    <row r="269" spans="1:29" x14ac:dyDescent="0.35">
      <c r="A269" s="2" t="s">
        <v>279</v>
      </c>
      <c r="B269" s="4" t="s">
        <v>1208</v>
      </c>
      <c r="C269" s="4" t="s">
        <v>543</v>
      </c>
      <c r="D269" s="4" t="s">
        <v>565</v>
      </c>
      <c r="E269" s="4" t="s">
        <v>565</v>
      </c>
      <c r="F269" s="4" t="s">
        <v>691</v>
      </c>
      <c r="G269" s="14">
        <v>93.82</v>
      </c>
      <c r="H269" s="10">
        <v>8.6779770000000003</v>
      </c>
      <c r="I269" s="10">
        <v>18.396077999999999</v>
      </c>
      <c r="J269" s="10">
        <v>11.745414</v>
      </c>
      <c r="K269" s="15">
        <v>3.1975999999999997E-2</v>
      </c>
      <c r="L269" s="17">
        <v>14526.620919999999</v>
      </c>
      <c r="M269" s="4" t="s">
        <v>1209</v>
      </c>
      <c r="N269" s="19">
        <v>5.0999999999999996</v>
      </c>
      <c r="O269" s="19">
        <v>8.80443</v>
      </c>
      <c r="P269" s="19">
        <v>4.1599719999999998</v>
      </c>
      <c r="Q269" s="19">
        <v>7.1634000000000002</v>
      </c>
      <c r="R269" s="19">
        <v>5.5011720000000004</v>
      </c>
      <c r="S269" s="19">
        <v>5.5274000000000001</v>
      </c>
      <c r="T269" s="19">
        <v>5.5011720000000004</v>
      </c>
      <c r="U269" s="19">
        <v>3.6928999999999998</v>
      </c>
      <c r="V269" s="19">
        <v>2.5487500000000001</v>
      </c>
      <c r="W269" s="19">
        <v>3.6116999999999999</v>
      </c>
      <c r="X269" s="19">
        <v>2.5487500000000001</v>
      </c>
      <c r="Y269" s="19">
        <v>3.6116999999999999</v>
      </c>
      <c r="Z269" s="4"/>
      <c r="AA269" s="4"/>
      <c r="AB269" s="4" t="e">
        <f ca="1">_xll.ciqfunctions.udf.CIQ("^SPX", "IQ_PRICEDATE", "1/15/2015")</f>
        <v>#NAME?</v>
      </c>
      <c r="AC269" s="16">
        <v>1992.6702757841001</v>
      </c>
    </row>
    <row r="270" spans="1:29" x14ac:dyDescent="0.35">
      <c r="A270" s="2" t="s">
        <v>280</v>
      </c>
      <c r="B270" s="4" t="s">
        <v>1210</v>
      </c>
      <c r="C270" s="4" t="s">
        <v>559</v>
      </c>
      <c r="D270" s="4" t="s">
        <v>560</v>
      </c>
      <c r="E270" s="4" t="s">
        <v>940</v>
      </c>
      <c r="F270" s="4" t="s">
        <v>1211</v>
      </c>
      <c r="G270" s="14">
        <v>70.84</v>
      </c>
      <c r="H270" s="10">
        <v>5.9201030000000001</v>
      </c>
      <c r="I270" s="10">
        <v>12.375621000000001</v>
      </c>
      <c r="J270" s="10">
        <v>2.156056</v>
      </c>
      <c r="K270" s="15">
        <v>3.4443000000000001E-2</v>
      </c>
      <c r="L270" s="17">
        <v>11809.937798000001</v>
      </c>
      <c r="M270" s="4" t="s">
        <v>1212</v>
      </c>
      <c r="N270" s="19">
        <v>5.7241569999999999</v>
      </c>
      <c r="O270" s="19">
        <v>5.6593999999999998</v>
      </c>
      <c r="P270" s="19">
        <v>3.789606</v>
      </c>
      <c r="Q270" s="19">
        <v>3.7555999999999998</v>
      </c>
      <c r="R270" s="19">
        <v>3.2859250000000002</v>
      </c>
      <c r="S270" s="19">
        <v>4.0464000000000002</v>
      </c>
      <c r="T270" s="19">
        <v>3.2859250000000002</v>
      </c>
      <c r="U270" s="19">
        <v>4.5217000000000001</v>
      </c>
      <c r="V270" s="19">
        <v>4.01173</v>
      </c>
      <c r="W270" s="19">
        <v>4.2188999999999997</v>
      </c>
      <c r="X270" s="19">
        <v>4.01173</v>
      </c>
      <c r="Y270" s="19">
        <v>4.2188999999999997</v>
      </c>
      <c r="Z270" s="4"/>
      <c r="AA270" s="4"/>
      <c r="AB270" s="4" t="e">
        <f ca="1">_xll.ciqfunctions.udf.CIQ("^SPX", "IQ_PRICEDATE", "1/16/2015")</f>
        <v>#NAME?</v>
      </c>
      <c r="AC270" s="16">
        <v>2019.4186537802</v>
      </c>
    </row>
    <row r="271" spans="1:29" x14ac:dyDescent="0.35">
      <c r="A271" s="2" t="s">
        <v>281</v>
      </c>
      <c r="B271" s="4" t="s">
        <v>1213</v>
      </c>
      <c r="C271" s="4" t="s">
        <v>559</v>
      </c>
      <c r="D271" s="4" t="s">
        <v>560</v>
      </c>
      <c r="E271" s="4" t="s">
        <v>561</v>
      </c>
      <c r="F271" s="4" t="s">
        <v>1051</v>
      </c>
      <c r="G271" s="14">
        <v>31.28</v>
      </c>
      <c r="H271" s="10">
        <v>6.1939539999999997</v>
      </c>
      <c r="I271" s="10">
        <v>9.894857</v>
      </c>
      <c r="J271" s="10" t="s">
        <v>534</v>
      </c>
      <c r="K271" s="15">
        <v>7.6726000000000003E-2</v>
      </c>
      <c r="L271" s="17">
        <v>8603.9841840000008</v>
      </c>
      <c r="M271" s="4" t="s">
        <v>1214</v>
      </c>
      <c r="N271" s="19">
        <v>3.161238</v>
      </c>
      <c r="O271" s="19">
        <v>2.5167000000000002</v>
      </c>
      <c r="P271" s="19">
        <v>3.294025</v>
      </c>
      <c r="Q271" s="19">
        <v>3.2151000000000001</v>
      </c>
      <c r="R271" s="19">
        <v>3.9736410000000002</v>
      </c>
      <c r="S271" s="19">
        <v>3.6696</v>
      </c>
      <c r="T271" s="19">
        <v>3.9736410000000002</v>
      </c>
      <c r="U271" s="19">
        <v>4.0000999999999998</v>
      </c>
      <c r="V271" s="19">
        <v>3.2443689999999998</v>
      </c>
      <c r="W271" s="19">
        <v>3.6316000000000002</v>
      </c>
      <c r="X271" s="19">
        <v>3.2443689999999998</v>
      </c>
      <c r="Y271" s="19">
        <v>3.6316000000000002</v>
      </c>
      <c r="Z271" s="4"/>
      <c r="AA271" s="4"/>
      <c r="AB271" s="4" t="e">
        <f ca="1">_xll.ciqfunctions.udf.CIQ("^SPX", "IQ_PRICEDATE", "1/20/2015")</f>
        <v>#NAME?</v>
      </c>
      <c r="AC271" s="16">
        <v>2022.5468815523</v>
      </c>
    </row>
    <row r="272" spans="1:29" x14ac:dyDescent="0.35">
      <c r="A272" s="2" t="s">
        <v>282</v>
      </c>
      <c r="B272" s="4" t="s">
        <v>1215</v>
      </c>
      <c r="C272" s="4" t="s">
        <v>525</v>
      </c>
      <c r="D272" s="4" t="s">
        <v>526</v>
      </c>
      <c r="E272" s="4" t="s">
        <v>703</v>
      </c>
      <c r="F272" s="4" t="s">
        <v>703</v>
      </c>
      <c r="G272" s="14">
        <v>220.16</v>
      </c>
      <c r="H272" s="10">
        <v>14.906272</v>
      </c>
      <c r="I272" s="10">
        <v>22.445765999999999</v>
      </c>
      <c r="J272" s="10" t="s">
        <v>534</v>
      </c>
      <c r="K272" s="15">
        <v>1.4534E-2</v>
      </c>
      <c r="L272" s="17">
        <v>17308.686387000002</v>
      </c>
      <c r="M272" s="4" t="s">
        <v>1216</v>
      </c>
      <c r="N272" s="19">
        <v>9.8085310000000003</v>
      </c>
      <c r="O272" s="19">
        <v>11.1175</v>
      </c>
      <c r="P272" s="19">
        <v>9.4600000000000009</v>
      </c>
      <c r="Q272" s="19">
        <v>8.6592000000000002</v>
      </c>
      <c r="R272" s="19">
        <v>7.86</v>
      </c>
      <c r="S272" s="19">
        <v>8.3239999999999998</v>
      </c>
      <c r="T272" s="19">
        <v>7.86</v>
      </c>
      <c r="U272" s="19">
        <v>0</v>
      </c>
      <c r="V272" s="19">
        <v>7.2</v>
      </c>
      <c r="W272" s="19">
        <v>0</v>
      </c>
      <c r="X272" s="19">
        <v>7.2</v>
      </c>
      <c r="Y272" s="19">
        <v>0</v>
      </c>
      <c r="Z272" s="4"/>
      <c r="AA272" s="4"/>
      <c r="AB272" s="4" t="e">
        <f ca="1">_xll.ciqfunctions.udf.CIQ("^SPX", "IQ_PRICEDATE", "1/21/2015")</f>
        <v>#NAME?</v>
      </c>
      <c r="AC272" s="16">
        <v>2032.1202886573999</v>
      </c>
    </row>
    <row r="273" spans="1:29" x14ac:dyDescent="0.35">
      <c r="A273" s="2" t="s">
        <v>283</v>
      </c>
      <c r="B273" s="4" t="s">
        <v>1217</v>
      </c>
      <c r="C273" s="4" t="s">
        <v>530</v>
      </c>
      <c r="D273" s="4" t="s">
        <v>531</v>
      </c>
      <c r="E273" s="4" t="s">
        <v>569</v>
      </c>
      <c r="F273" s="4" t="s">
        <v>909</v>
      </c>
      <c r="G273" s="14">
        <v>174.09</v>
      </c>
      <c r="H273" s="10">
        <v>11.488761</v>
      </c>
      <c r="I273" s="10">
        <v>13.787807000000001</v>
      </c>
      <c r="J273" s="10" t="s">
        <v>534</v>
      </c>
      <c r="K273" s="15">
        <v>0</v>
      </c>
      <c r="L273" s="17">
        <v>17739.771000000001</v>
      </c>
      <c r="M273" s="4" t="s">
        <v>1218</v>
      </c>
      <c r="N273" s="19">
        <v>12.626372999999999</v>
      </c>
      <c r="O273" s="19">
        <v>11.591799999999999</v>
      </c>
      <c r="P273" s="19">
        <v>12.21</v>
      </c>
      <c r="Q273" s="19">
        <v>10.067600000000001</v>
      </c>
      <c r="R273" s="19">
        <v>7.02</v>
      </c>
      <c r="S273" s="19">
        <v>9.4003999999999994</v>
      </c>
      <c r="T273" s="19">
        <v>7.02</v>
      </c>
      <c r="U273" s="19">
        <v>8.5863999999999994</v>
      </c>
      <c r="V273" s="19">
        <v>5.91</v>
      </c>
      <c r="W273" s="19">
        <v>7.1456</v>
      </c>
      <c r="X273" s="19">
        <v>5.91</v>
      </c>
      <c r="Y273" s="19">
        <v>7.1456</v>
      </c>
      <c r="Z273" s="4"/>
      <c r="AA273" s="4"/>
      <c r="AB273" s="4" t="e">
        <f ca="1">_xll.ciqfunctions.udf.CIQ("^SPX", "IQ_PRICEDATE", "1/22/2015")</f>
        <v>#NAME?</v>
      </c>
      <c r="AC273" s="16">
        <v>2063.1455908886001</v>
      </c>
    </row>
    <row r="274" spans="1:29" x14ac:dyDescent="0.35">
      <c r="A274" s="2" t="s">
        <v>284</v>
      </c>
      <c r="B274" s="4" t="s">
        <v>1219</v>
      </c>
      <c r="C274" s="4" t="s">
        <v>543</v>
      </c>
      <c r="D274" s="4" t="s">
        <v>565</v>
      </c>
      <c r="E274" s="4" t="s">
        <v>565</v>
      </c>
      <c r="F274" s="4" t="s">
        <v>691</v>
      </c>
      <c r="G274" s="14">
        <v>147.18</v>
      </c>
      <c r="H274" s="10">
        <v>6.185867</v>
      </c>
      <c r="I274" s="10">
        <v>11.152145000000001</v>
      </c>
      <c r="J274" s="10">
        <v>6.3497570000000003</v>
      </c>
      <c r="K274" s="15">
        <v>2.9895000000000001E-2</v>
      </c>
      <c r="L274" s="17">
        <v>22575.057120000001</v>
      </c>
      <c r="M274" s="4" t="s">
        <v>1220</v>
      </c>
      <c r="N274" s="19">
        <v>13.197461000000001</v>
      </c>
      <c r="O274" s="19">
        <v>14.30048</v>
      </c>
      <c r="P274" s="19">
        <v>9.1047969999999996</v>
      </c>
      <c r="Q274" s="19">
        <v>14.9114</v>
      </c>
      <c r="R274" s="19">
        <v>5.5792659999999996</v>
      </c>
      <c r="S274" s="19">
        <v>8.3873999999999995</v>
      </c>
      <c r="T274" s="19">
        <v>5.5792659999999996</v>
      </c>
      <c r="U274" s="19">
        <v>5.8806000000000003</v>
      </c>
      <c r="V274" s="19">
        <v>4.0359680000000004</v>
      </c>
      <c r="W274" s="19">
        <v>5.0499000000000001</v>
      </c>
      <c r="X274" s="19">
        <v>4.0359680000000004</v>
      </c>
      <c r="Y274" s="19">
        <v>5.0499000000000001</v>
      </c>
      <c r="Z274" s="4"/>
      <c r="AA274" s="4"/>
      <c r="AB274" s="4" t="e">
        <f ca="1">_xll.ciqfunctions.udf.CIQ("^SPX", "IQ_PRICEDATE", "1/23/2015")</f>
        <v>#NAME?</v>
      </c>
      <c r="AC274" s="16">
        <v>2051.8218117762999</v>
      </c>
    </row>
    <row r="275" spans="1:29" x14ac:dyDescent="0.35">
      <c r="A275" s="2" t="s">
        <v>285</v>
      </c>
      <c r="B275" s="4" t="s">
        <v>1221</v>
      </c>
      <c r="C275" s="4" t="s">
        <v>559</v>
      </c>
      <c r="D275" s="4" t="s">
        <v>912</v>
      </c>
      <c r="E275" s="4" t="s">
        <v>913</v>
      </c>
      <c r="F275" s="4" t="s">
        <v>1222</v>
      </c>
      <c r="G275" s="14">
        <v>39.229999999999997</v>
      </c>
      <c r="H275" s="10">
        <v>11.058248000000001</v>
      </c>
      <c r="I275" s="10">
        <v>18.884972999999999</v>
      </c>
      <c r="J275" s="10">
        <v>47.833413</v>
      </c>
      <c r="K275" s="15">
        <v>3.8745000000000002E-2</v>
      </c>
      <c r="L275" s="17">
        <v>5106.1939830000001</v>
      </c>
      <c r="M275" s="4" t="s">
        <v>1223</v>
      </c>
      <c r="N275" s="19">
        <v>2.0773130000000002</v>
      </c>
      <c r="O275" s="19">
        <v>2.7982999999999998</v>
      </c>
      <c r="P275" s="19">
        <v>2.14</v>
      </c>
      <c r="Q275" s="19">
        <v>2.6697000000000002</v>
      </c>
      <c r="R275" s="19">
        <v>2.62</v>
      </c>
      <c r="S275" s="19">
        <v>2.6225000000000001</v>
      </c>
      <c r="T275" s="19">
        <v>2.62</v>
      </c>
      <c r="U275" s="19">
        <v>2.2907000000000002</v>
      </c>
      <c r="V275" s="19">
        <v>1.55</v>
      </c>
      <c r="W275" s="19">
        <v>2.0756999999999999</v>
      </c>
      <c r="X275" s="19">
        <v>1.55</v>
      </c>
      <c r="Y275" s="19">
        <v>2.0756999999999999</v>
      </c>
      <c r="Z275" s="4"/>
      <c r="AA275" s="4"/>
      <c r="AB275" s="4" t="e">
        <f ca="1">_xll.ciqfunctions.udf.CIQ("^SPX", "IQ_PRICEDATE", "1/26/2015")</f>
        <v>#NAME?</v>
      </c>
      <c r="AC275" s="16">
        <v>2057.0944058770001</v>
      </c>
    </row>
    <row r="276" spans="1:29" x14ac:dyDescent="0.35">
      <c r="A276" s="2" t="s">
        <v>286</v>
      </c>
      <c r="B276" s="4" t="s">
        <v>1224</v>
      </c>
      <c r="C276" s="4" t="s">
        <v>559</v>
      </c>
      <c r="D276" s="4" t="s">
        <v>912</v>
      </c>
      <c r="E276" s="4" t="s">
        <v>913</v>
      </c>
      <c r="F276" s="4" t="s">
        <v>914</v>
      </c>
      <c r="G276" s="14">
        <v>43.04</v>
      </c>
      <c r="H276" s="10">
        <v>13.108779</v>
      </c>
      <c r="I276" s="10">
        <v>10.307684</v>
      </c>
      <c r="J276" s="10">
        <v>1.375713</v>
      </c>
      <c r="K276" s="15">
        <v>3.7140000000000003E-3</v>
      </c>
      <c r="L276" s="17">
        <v>13959.947106</v>
      </c>
      <c r="M276" s="4" t="s">
        <v>1225</v>
      </c>
      <c r="N276" s="19">
        <v>4.1794060000000002</v>
      </c>
      <c r="O276" s="19">
        <v>6.4625000000000004</v>
      </c>
      <c r="P276" s="19">
        <v>3.3802509999999999</v>
      </c>
      <c r="Q276" s="19">
        <v>4.6959999999999997</v>
      </c>
      <c r="R276" s="19">
        <v>3.8559239999999999</v>
      </c>
      <c r="S276" s="19">
        <v>4.0663400000000003</v>
      </c>
      <c r="T276" s="19">
        <v>3.8559239999999999</v>
      </c>
      <c r="U276" s="19">
        <v>3.64412</v>
      </c>
      <c r="V276" s="19">
        <v>2.7482160000000002</v>
      </c>
      <c r="W276" s="19">
        <v>2.9942000000000002</v>
      </c>
      <c r="X276" s="19">
        <v>2.7482160000000002</v>
      </c>
      <c r="Y276" s="19">
        <v>2.9942000000000002</v>
      </c>
      <c r="Z276" s="4"/>
      <c r="AA276" s="4"/>
      <c r="AB276" s="4" t="e">
        <f ca="1">_xll.ciqfunctions.udf.CIQ("^SPX", "IQ_PRICEDATE", "1/27/2015")</f>
        <v>#NAME?</v>
      </c>
      <c r="AC276" s="16">
        <v>2029.5544684716999</v>
      </c>
    </row>
    <row r="277" spans="1:29" x14ac:dyDescent="0.35">
      <c r="A277" s="2" t="s">
        <v>287</v>
      </c>
      <c r="B277" s="4" t="s">
        <v>1226</v>
      </c>
      <c r="C277" s="4" t="s">
        <v>573</v>
      </c>
      <c r="D277" s="4" t="s">
        <v>579</v>
      </c>
      <c r="E277" s="4" t="s">
        <v>579</v>
      </c>
      <c r="F277" s="4" t="s">
        <v>580</v>
      </c>
      <c r="G277" s="14">
        <v>65.64</v>
      </c>
      <c r="H277" s="10">
        <v>8.0877119999999998</v>
      </c>
      <c r="I277" s="10">
        <v>7.3838210000000002</v>
      </c>
      <c r="J277" s="10">
        <v>1.062276</v>
      </c>
      <c r="K277" s="15">
        <v>2.0108999999999998E-2</v>
      </c>
      <c r="L277" s="17">
        <v>14222.914978000001</v>
      </c>
      <c r="M277" s="4" t="s">
        <v>1227</v>
      </c>
      <c r="N277" s="19">
        <v>8.8897060000000003</v>
      </c>
      <c r="O277" s="19">
        <v>8.8598999999999997</v>
      </c>
      <c r="P277" s="19">
        <v>9.2210719999999995</v>
      </c>
      <c r="Q277" s="19">
        <v>7.7031000000000001</v>
      </c>
      <c r="R277" s="19">
        <v>5.03</v>
      </c>
      <c r="S277" s="19">
        <v>6.8211000000000004</v>
      </c>
      <c r="T277" s="19">
        <v>5.03</v>
      </c>
      <c r="U277" s="19">
        <v>6.3890000000000002</v>
      </c>
      <c r="V277" s="19">
        <v>5.6649399999999996</v>
      </c>
      <c r="W277" s="19">
        <v>6.09</v>
      </c>
      <c r="X277" s="19">
        <v>5.6649399999999996</v>
      </c>
      <c r="Y277" s="19">
        <v>6.09</v>
      </c>
      <c r="Z277" s="4"/>
      <c r="AA277" s="4"/>
      <c r="AB277" s="4" t="e">
        <f ca="1">_xll.ciqfunctions.udf.CIQ("^SPX", "IQ_PRICEDATE", "1/28/2015")</f>
        <v>#NAME?</v>
      </c>
      <c r="AC277" s="16">
        <v>2002.1564474966999</v>
      </c>
    </row>
    <row r="278" spans="1:29" x14ac:dyDescent="0.35">
      <c r="A278" s="2" t="s">
        <v>288</v>
      </c>
      <c r="B278" s="4" t="s">
        <v>1228</v>
      </c>
      <c r="C278" s="4" t="s">
        <v>559</v>
      </c>
      <c r="D278" s="4" t="s">
        <v>560</v>
      </c>
      <c r="E278" s="4" t="s">
        <v>1084</v>
      </c>
      <c r="F278" s="4" t="s">
        <v>1084</v>
      </c>
      <c r="G278" s="14">
        <v>28.61</v>
      </c>
      <c r="H278" s="10">
        <v>11.58916</v>
      </c>
      <c r="I278" s="10">
        <v>15.977313000000001</v>
      </c>
      <c r="J278" s="10" t="s">
        <v>534</v>
      </c>
      <c r="K278" s="15">
        <v>0</v>
      </c>
      <c r="L278" s="17">
        <v>9100.3140320000002</v>
      </c>
      <c r="M278" s="4" t="s">
        <v>1229</v>
      </c>
      <c r="N278" s="19">
        <v>1.790664</v>
      </c>
      <c r="O278" s="19">
        <v>2.4980000000000002</v>
      </c>
      <c r="P278" s="19">
        <v>1.74</v>
      </c>
      <c r="Q278" s="19">
        <v>2.0796999999999999</v>
      </c>
      <c r="R278" s="19">
        <v>1.47</v>
      </c>
      <c r="S278" s="19">
        <v>1.9739</v>
      </c>
      <c r="T278" s="19">
        <v>1.47</v>
      </c>
      <c r="U278" s="19">
        <v>1.5546</v>
      </c>
      <c r="V278" s="19">
        <v>1.25</v>
      </c>
      <c r="W278" s="19">
        <v>1.5710999999999999</v>
      </c>
      <c r="X278" s="19">
        <v>1.25</v>
      </c>
      <c r="Y278" s="19">
        <v>1.5710999999999999</v>
      </c>
      <c r="Z278" s="4"/>
      <c r="AA278" s="4"/>
      <c r="AB278" s="4" t="e">
        <f ca="1">_xll.ciqfunctions.udf.CIQ("^SPX", "IQ_PRICEDATE", "1/29/2015")</f>
        <v>#NAME?</v>
      </c>
      <c r="AC278" s="16">
        <v>2021.2516383586999</v>
      </c>
    </row>
    <row r="279" spans="1:29" x14ac:dyDescent="0.35">
      <c r="A279" s="2" t="s">
        <v>289</v>
      </c>
      <c r="B279" s="4" t="s">
        <v>1230</v>
      </c>
      <c r="C279" s="4" t="s">
        <v>525</v>
      </c>
      <c r="D279" s="4" t="s">
        <v>526</v>
      </c>
      <c r="E279" s="4" t="s">
        <v>703</v>
      </c>
      <c r="F279" s="4" t="s">
        <v>703</v>
      </c>
      <c r="G279" s="14">
        <v>333.4</v>
      </c>
      <c r="H279" s="10">
        <v>14.847073999999999</v>
      </c>
      <c r="I279" s="10">
        <v>38.355111000000001</v>
      </c>
      <c r="J279" s="10" t="s">
        <v>534</v>
      </c>
      <c r="K279" s="15">
        <v>2.6394000000000001E-2</v>
      </c>
      <c r="L279" s="17">
        <v>94946.007404000004</v>
      </c>
      <c r="M279" s="4" t="s">
        <v>1231</v>
      </c>
      <c r="N279" s="19">
        <v>8.6924530000000004</v>
      </c>
      <c r="O279" s="19">
        <v>18.1432</v>
      </c>
      <c r="P279" s="19">
        <v>6.64</v>
      </c>
      <c r="Q279" s="19">
        <v>13.624599999999999</v>
      </c>
      <c r="R279" s="19">
        <v>12.38</v>
      </c>
      <c r="S279" s="19">
        <v>12.129200000000001</v>
      </c>
      <c r="T279" s="19">
        <v>12.38</v>
      </c>
      <c r="U279" s="19">
        <v>11.674099999999999</v>
      </c>
      <c r="V279" s="19">
        <v>10.09</v>
      </c>
      <c r="W279" s="19">
        <v>11.2652</v>
      </c>
      <c r="X279" s="19">
        <v>10.09</v>
      </c>
      <c r="Y279" s="19">
        <v>11.2652</v>
      </c>
      <c r="Z279" s="4"/>
      <c r="AA279" s="4"/>
      <c r="AB279" s="4" t="e">
        <f ca="1">_xll.ciqfunctions.udf.CIQ("^SPX", "IQ_PRICEDATE", "1/30/2015")</f>
        <v>#NAME?</v>
      </c>
      <c r="AC279" s="16">
        <v>1994.9904120547001</v>
      </c>
    </row>
    <row r="280" spans="1:29" x14ac:dyDescent="0.35">
      <c r="A280" s="2" t="s">
        <v>290</v>
      </c>
      <c r="B280" s="4" t="s">
        <v>1232</v>
      </c>
      <c r="C280" s="4" t="s">
        <v>573</v>
      </c>
      <c r="D280" s="4" t="s">
        <v>579</v>
      </c>
      <c r="E280" s="4" t="s">
        <v>579</v>
      </c>
      <c r="F280" s="4" t="s">
        <v>644</v>
      </c>
      <c r="G280" s="14">
        <v>47.32</v>
      </c>
      <c r="H280" s="10">
        <v>9.4377519999999997</v>
      </c>
      <c r="I280" s="10">
        <v>13.497897999999999</v>
      </c>
      <c r="J280" s="10">
        <v>0.82094400000000001</v>
      </c>
      <c r="K280" s="15">
        <v>5.2829999999999995E-3</v>
      </c>
      <c r="L280" s="17">
        <v>14952.273067</v>
      </c>
      <c r="M280" s="4" t="s">
        <v>1233</v>
      </c>
      <c r="N280" s="19">
        <v>3.5057309999999999</v>
      </c>
      <c r="O280" s="19">
        <v>3.7761999999999998</v>
      </c>
      <c r="P280" s="19">
        <v>3.45</v>
      </c>
      <c r="Q280" s="19">
        <v>3.11</v>
      </c>
      <c r="R280" s="19">
        <v>1.93</v>
      </c>
      <c r="S280" s="19">
        <v>3.1341000000000001</v>
      </c>
      <c r="T280" s="19">
        <v>1.93</v>
      </c>
      <c r="U280" s="19">
        <v>2.8605</v>
      </c>
      <c r="V280" s="19">
        <v>2.5712190000000001</v>
      </c>
      <c r="W280" s="19">
        <v>2.9527000000000001</v>
      </c>
      <c r="X280" s="19">
        <v>2.5712190000000001</v>
      </c>
      <c r="Y280" s="19">
        <v>2.9527000000000001</v>
      </c>
      <c r="Z280" s="4"/>
      <c r="AA280" s="4"/>
      <c r="AB280" s="4" t="e">
        <f ca="1">_xll.ciqfunctions.udf.CIQ("^SPX", "IQ_PRICEDATE", "2/2/2015")</f>
        <v>#NAME?</v>
      </c>
      <c r="AC280" s="16">
        <v>2020.8491870268999</v>
      </c>
    </row>
    <row r="281" spans="1:29" x14ac:dyDescent="0.35">
      <c r="A281" s="2" t="s">
        <v>291</v>
      </c>
      <c r="B281" s="4" t="s">
        <v>1234</v>
      </c>
      <c r="C281" s="4" t="s">
        <v>559</v>
      </c>
      <c r="D281" s="4" t="s">
        <v>560</v>
      </c>
      <c r="E281" s="4" t="s">
        <v>561</v>
      </c>
      <c r="F281" s="4" t="s">
        <v>1235</v>
      </c>
      <c r="G281" s="14">
        <v>102.44</v>
      </c>
      <c r="H281" s="10">
        <v>12.012658</v>
      </c>
      <c r="I281" s="10">
        <v>21.547898</v>
      </c>
      <c r="J281" s="10">
        <v>19.543367</v>
      </c>
      <c r="K281" s="15">
        <v>1.8742000000000002E-2</v>
      </c>
      <c r="L281" s="17">
        <v>83078.84</v>
      </c>
      <c r="M281" s="4" t="s">
        <v>1236</v>
      </c>
      <c r="N281" s="19">
        <v>4.75406</v>
      </c>
      <c r="O281" s="19">
        <v>5.4198000000000004</v>
      </c>
      <c r="P281" s="19">
        <v>4.1492279999999999</v>
      </c>
      <c r="Q281" s="19">
        <v>5.0171000000000001</v>
      </c>
      <c r="R281" s="19">
        <v>2.7239559999999998</v>
      </c>
      <c r="S281" s="19">
        <v>4.4570999999999996</v>
      </c>
      <c r="T281" s="19">
        <v>2.7239559999999998</v>
      </c>
      <c r="U281" s="19">
        <v>3.8195000000000001</v>
      </c>
      <c r="V281" s="19">
        <v>2.5195729999999998</v>
      </c>
      <c r="W281" s="19">
        <v>3.1554000000000002</v>
      </c>
      <c r="X281" s="19">
        <v>2.5195729999999998</v>
      </c>
      <c r="Y281" s="19">
        <v>3.1554000000000002</v>
      </c>
      <c r="Z281" s="4"/>
      <c r="AA281" s="4"/>
      <c r="AB281" s="4" t="e">
        <f ca="1">_xll.ciqfunctions.udf.CIQ("^SPX", "IQ_PRICEDATE", "2/3/2015")</f>
        <v>#NAME?</v>
      </c>
      <c r="AC281" s="16">
        <v>2050.0328023764</v>
      </c>
    </row>
    <row r="282" spans="1:29" x14ac:dyDescent="0.35">
      <c r="A282" s="2" t="s">
        <v>292</v>
      </c>
      <c r="B282" s="4" t="s">
        <v>1237</v>
      </c>
      <c r="C282" s="4" t="s">
        <v>586</v>
      </c>
      <c r="D282" s="4" t="s">
        <v>586</v>
      </c>
      <c r="E282" s="4" t="s">
        <v>587</v>
      </c>
      <c r="F282" s="4" t="s">
        <v>1238</v>
      </c>
      <c r="G282" s="14">
        <v>96.22</v>
      </c>
      <c r="H282" s="10">
        <v>5.8906320000000001</v>
      </c>
      <c r="I282" s="10">
        <v>6.4894470000000002</v>
      </c>
      <c r="J282" s="10">
        <v>3.9485730000000001</v>
      </c>
      <c r="K282" s="15">
        <v>4.1570999999999997E-2</v>
      </c>
      <c r="L282" s="17">
        <v>37460.754894999998</v>
      </c>
      <c r="M282" s="4" t="s">
        <v>1239</v>
      </c>
      <c r="N282" s="19">
        <v>14.827147999999999</v>
      </c>
      <c r="O282" s="19">
        <v>10.6684</v>
      </c>
      <c r="P282" s="19">
        <v>12.28</v>
      </c>
      <c r="Q282" s="19">
        <v>10.118</v>
      </c>
      <c r="R282" s="19">
        <v>9.15</v>
      </c>
      <c r="S282" s="19">
        <v>9.5814000000000004</v>
      </c>
      <c r="T282" s="19">
        <v>9.15</v>
      </c>
      <c r="U282" s="19">
        <v>10.048500000000001</v>
      </c>
      <c r="V282" s="19">
        <v>8</v>
      </c>
      <c r="W282" s="19">
        <v>8.5454000000000008</v>
      </c>
      <c r="X282" s="19">
        <v>8</v>
      </c>
      <c r="Y282" s="19">
        <v>8.5454000000000008</v>
      </c>
      <c r="Z282" s="4"/>
      <c r="AA282" s="4"/>
      <c r="AB282" s="4" t="e">
        <f ca="1">_xll.ciqfunctions.udf.CIQ("^SPX", "IQ_PRICEDATE", "2/4/2015")</f>
        <v>#NAME?</v>
      </c>
      <c r="AC282" s="16">
        <v>2041.5093509660001</v>
      </c>
    </row>
    <row r="283" spans="1:29" x14ac:dyDescent="0.35">
      <c r="A283" s="2" t="s">
        <v>293</v>
      </c>
      <c r="B283" s="4" t="s">
        <v>1240</v>
      </c>
      <c r="C283" s="4" t="s">
        <v>573</v>
      </c>
      <c r="D283" s="4" t="s">
        <v>737</v>
      </c>
      <c r="E283" s="4" t="s">
        <v>737</v>
      </c>
      <c r="F283" s="4" t="s">
        <v>743</v>
      </c>
      <c r="G283" s="14">
        <v>161.9</v>
      </c>
      <c r="H283" s="10">
        <v>0</v>
      </c>
      <c r="I283" s="10">
        <v>14.738292</v>
      </c>
      <c r="J283" s="10">
        <v>2.3962059999999998</v>
      </c>
      <c r="K283" s="15">
        <v>2.4706000000000002E-2</v>
      </c>
      <c r="L283" s="17">
        <v>23279.740558000001</v>
      </c>
      <c r="M283" s="4" t="s">
        <v>1241</v>
      </c>
      <c r="N283" s="19">
        <v>10.98499</v>
      </c>
      <c r="O283" s="19">
        <v>13.4016</v>
      </c>
      <c r="P283" s="19">
        <v>8.7021189999999997</v>
      </c>
      <c r="Q283" s="19">
        <v>9.7939000000000007</v>
      </c>
      <c r="R283" s="19">
        <v>7.7778119999999999</v>
      </c>
      <c r="S283" s="19">
        <v>8.3176000000000005</v>
      </c>
      <c r="T283" s="19">
        <v>7.7778119999999999</v>
      </c>
      <c r="U283" s="19">
        <v>8.3454999999999995</v>
      </c>
      <c r="V283" s="19">
        <v>7.4222640000000002</v>
      </c>
      <c r="W283" s="19">
        <v>8.1942000000000004</v>
      </c>
      <c r="X283" s="19">
        <v>7.4222640000000002</v>
      </c>
      <c r="Y283" s="19">
        <v>8.1942000000000004</v>
      </c>
      <c r="Z283" s="4"/>
      <c r="AA283" s="4"/>
      <c r="AB283" s="4" t="e">
        <f ca="1">_xll.ciqfunctions.udf.CIQ("^SPX", "IQ_PRICEDATE", "2/5/2015")</f>
        <v>#NAME?</v>
      </c>
      <c r="AC283" s="16">
        <v>2062.5215572874999</v>
      </c>
    </row>
    <row r="284" spans="1:29" x14ac:dyDescent="0.35">
      <c r="A284" s="2" t="s">
        <v>294</v>
      </c>
      <c r="B284" s="4" t="s">
        <v>1242</v>
      </c>
      <c r="C284" s="4" t="s">
        <v>601</v>
      </c>
      <c r="D284" s="4" t="s">
        <v>601</v>
      </c>
      <c r="E284" s="4" t="s">
        <v>602</v>
      </c>
      <c r="F284" s="4" t="s">
        <v>1026</v>
      </c>
      <c r="G284" s="14">
        <v>51.49</v>
      </c>
      <c r="H284" s="10">
        <v>19.994215000000001</v>
      </c>
      <c r="I284" s="10" t="s">
        <v>534</v>
      </c>
      <c r="J284" s="10">
        <v>2.4890050000000001</v>
      </c>
      <c r="K284" s="15">
        <v>5.7485999999999995E-2</v>
      </c>
      <c r="L284" s="17">
        <v>7262.7109440000004</v>
      </c>
      <c r="M284" s="4" t="s">
        <v>1243</v>
      </c>
      <c r="N284" s="19">
        <v>0.158355</v>
      </c>
      <c r="O284" s="19">
        <v>0.83819999999999995</v>
      </c>
      <c r="P284" s="19">
        <v>1.02</v>
      </c>
      <c r="Q284" s="19">
        <v>0.80669999999999997</v>
      </c>
      <c r="R284" s="19">
        <v>3.52</v>
      </c>
      <c r="S284" s="19">
        <v>1.0861000000000001</v>
      </c>
      <c r="T284" s="19">
        <v>3.52</v>
      </c>
      <c r="U284" s="19">
        <v>0.80020000000000002</v>
      </c>
      <c r="V284" s="19">
        <v>10.45</v>
      </c>
      <c r="W284" s="19">
        <v>1.3734</v>
      </c>
      <c r="X284" s="19">
        <v>10.45</v>
      </c>
      <c r="Y284" s="19">
        <v>1.3734</v>
      </c>
      <c r="Z284" s="4"/>
      <c r="AA284" s="4"/>
      <c r="AB284" s="4" t="e">
        <f ca="1">_xll.ciqfunctions.udf.CIQ("^SPX", "IQ_PRICEDATE", "2/6/2015")</f>
        <v>#NAME?</v>
      </c>
      <c r="AC284" s="16">
        <v>2055.4722418257002</v>
      </c>
    </row>
    <row r="285" spans="1:29" x14ac:dyDescent="0.35">
      <c r="A285" s="2" t="s">
        <v>295</v>
      </c>
      <c r="B285" s="4" t="s">
        <v>1244</v>
      </c>
      <c r="C285" s="4" t="s">
        <v>559</v>
      </c>
      <c r="D285" s="4" t="s">
        <v>560</v>
      </c>
      <c r="E285" s="4" t="s">
        <v>940</v>
      </c>
      <c r="F285" s="4" t="s">
        <v>1211</v>
      </c>
      <c r="G285" s="14">
        <v>31.84</v>
      </c>
      <c r="H285" s="10">
        <v>5.4130219999999998</v>
      </c>
      <c r="I285" s="10">
        <v>5.9208530000000001</v>
      </c>
      <c r="J285" s="10">
        <v>6.4091880000000003</v>
      </c>
      <c r="K285" s="15">
        <v>4.7424000000000001E-2</v>
      </c>
      <c r="L285" s="17">
        <v>9774.0111500000003</v>
      </c>
      <c r="M285" s="4" t="s">
        <v>1245</v>
      </c>
      <c r="N285" s="19">
        <v>5.3776029999999997</v>
      </c>
      <c r="O285" s="19">
        <v>3.9506000000000001</v>
      </c>
      <c r="P285" s="19">
        <v>2.2871980000000001</v>
      </c>
      <c r="Q285" s="19">
        <v>3.3380999999999998</v>
      </c>
      <c r="R285" s="19">
        <v>2.1972100000000001</v>
      </c>
      <c r="S285" s="19">
        <v>3.4695999999999998</v>
      </c>
      <c r="T285" s="19">
        <v>2.1972100000000001</v>
      </c>
      <c r="U285" s="19">
        <v>4.0442</v>
      </c>
      <c r="V285" s="19">
        <v>4.1997819999999999</v>
      </c>
      <c r="W285" s="19">
        <v>4.6668000000000003</v>
      </c>
      <c r="X285" s="19">
        <v>4.1997819999999999</v>
      </c>
      <c r="Y285" s="19">
        <v>4.6668000000000003</v>
      </c>
      <c r="Z285" s="4"/>
      <c r="AA285" s="4"/>
      <c r="AB285" s="4" t="e">
        <f ca="1">_xll.ciqfunctions.udf.CIQ("^SPX", "IQ_PRICEDATE", "2/9/2015")</f>
        <v>#NAME?</v>
      </c>
      <c r="AC285" s="16">
        <v>2046.7436014545999</v>
      </c>
    </row>
    <row r="286" spans="1:29" x14ac:dyDescent="0.35">
      <c r="A286" s="2" t="s">
        <v>296</v>
      </c>
      <c r="B286" s="4" t="s">
        <v>1246</v>
      </c>
      <c r="C286" s="4" t="s">
        <v>669</v>
      </c>
      <c r="D286" s="4" t="s">
        <v>669</v>
      </c>
      <c r="E286" s="4" t="s">
        <v>670</v>
      </c>
      <c r="F286" s="4" t="s">
        <v>671</v>
      </c>
      <c r="G286" s="14">
        <v>20.89</v>
      </c>
      <c r="H286" s="10">
        <v>6.7266110000000001</v>
      </c>
      <c r="I286" s="10" t="s">
        <v>534</v>
      </c>
      <c r="J286" s="10">
        <v>1.4824710000000001</v>
      </c>
      <c r="K286" s="15">
        <v>9.5729999999999999E-3</v>
      </c>
      <c r="L286" s="17">
        <v>17843.141232999998</v>
      </c>
      <c r="M286" s="4" t="s">
        <v>1247</v>
      </c>
      <c r="N286" s="19">
        <v>-0.20551900000000001</v>
      </c>
      <c r="O286" s="19">
        <v>1.0368999999999999</v>
      </c>
      <c r="P286" s="19">
        <v>-0.97646999999999995</v>
      </c>
      <c r="Q286" s="19">
        <v>-3.7100000000000001E-2</v>
      </c>
      <c r="R286" s="19">
        <v>-2.5499999999999998</v>
      </c>
      <c r="S286" s="19">
        <v>-0.30819999999999997</v>
      </c>
      <c r="T286" s="19">
        <v>-2.5499999999999998</v>
      </c>
      <c r="U286" s="19">
        <v>-1.3289</v>
      </c>
      <c r="V286" s="19">
        <v>1.42</v>
      </c>
      <c r="W286" s="19">
        <v>0.56810000000000005</v>
      </c>
      <c r="X286" s="19">
        <v>1.42</v>
      </c>
      <c r="Y286" s="19">
        <v>0.56810000000000005</v>
      </c>
      <c r="Z286" s="4"/>
      <c r="AA286" s="4"/>
      <c r="AB286" s="4" t="e">
        <f ca="1">_xll.ciqfunctions.udf.CIQ("^SPX", "IQ_PRICEDATE", "2/10/2015")</f>
        <v>#NAME?</v>
      </c>
      <c r="AC286" s="16">
        <v>2068.5927921291</v>
      </c>
    </row>
    <row r="287" spans="1:29" x14ac:dyDescent="0.35">
      <c r="A287" s="2" t="s">
        <v>297</v>
      </c>
      <c r="B287" s="4" t="s">
        <v>1248</v>
      </c>
      <c r="C287" s="4" t="s">
        <v>669</v>
      </c>
      <c r="D287" s="4" t="s">
        <v>669</v>
      </c>
      <c r="E287" s="4" t="s">
        <v>670</v>
      </c>
      <c r="F287" s="4" t="s">
        <v>1126</v>
      </c>
      <c r="G287" s="14">
        <v>79.150000000000006</v>
      </c>
      <c r="H287" s="10">
        <v>10.389061999999999</v>
      </c>
      <c r="I287" s="10">
        <v>9.606973</v>
      </c>
      <c r="J287" s="10">
        <v>3.1737950000000001</v>
      </c>
      <c r="K287" s="15">
        <v>2.3246000000000003E-2</v>
      </c>
      <c r="L287" s="17">
        <v>54678.201008999997</v>
      </c>
      <c r="M287" s="4" t="s">
        <v>1249</v>
      </c>
      <c r="N287" s="19">
        <v>8.2388069999999995</v>
      </c>
      <c r="O287" s="19">
        <v>6.4508000000000001</v>
      </c>
      <c r="P287" s="19">
        <v>6.7</v>
      </c>
      <c r="Q287" s="19">
        <v>4.8760000000000003</v>
      </c>
      <c r="R287" s="19">
        <v>2.21</v>
      </c>
      <c r="S287" s="19">
        <v>3.3616000000000001</v>
      </c>
      <c r="T287" s="19">
        <v>2.21</v>
      </c>
      <c r="U287" s="19">
        <v>5.3543000000000003</v>
      </c>
      <c r="V287" s="19">
        <v>4.3899999999999997</v>
      </c>
      <c r="W287" s="19">
        <v>4.2502000000000004</v>
      </c>
      <c r="X287" s="19">
        <v>4.3899999999999997</v>
      </c>
      <c r="Y287" s="19">
        <v>4.2502000000000004</v>
      </c>
      <c r="Z287" s="4"/>
      <c r="AA287" s="4"/>
      <c r="AB287" s="4" t="e">
        <f ca="1">_xll.ciqfunctions.udf.CIQ("^SPX", "IQ_PRICEDATE", "2/11/2015")</f>
        <v>#NAME?</v>
      </c>
      <c r="AC287" s="16">
        <v>2068.5319770619999</v>
      </c>
    </row>
    <row r="288" spans="1:29" x14ac:dyDescent="0.35">
      <c r="A288" s="2" t="s">
        <v>298</v>
      </c>
      <c r="B288" s="4" t="s">
        <v>1250</v>
      </c>
      <c r="C288" s="4" t="s">
        <v>559</v>
      </c>
      <c r="D288" s="4" t="s">
        <v>798</v>
      </c>
      <c r="E288" s="4" t="s">
        <v>799</v>
      </c>
      <c r="F288" s="4" t="s">
        <v>800</v>
      </c>
      <c r="G288" s="14">
        <v>117.96</v>
      </c>
      <c r="H288" s="10">
        <v>17.070519999999998</v>
      </c>
      <c r="I288" s="10">
        <v>28.495912000000001</v>
      </c>
      <c r="J288" s="10" t="s">
        <v>534</v>
      </c>
      <c r="K288" s="15">
        <v>1.3903E-2</v>
      </c>
      <c r="L288" s="17">
        <v>40930.720641</v>
      </c>
      <c r="M288" s="4" t="s">
        <v>1251</v>
      </c>
      <c r="N288" s="19">
        <v>4.1395410000000004</v>
      </c>
      <c r="O288" s="19">
        <v>5.9173</v>
      </c>
      <c r="P288" s="19">
        <v>3.61</v>
      </c>
      <c r="Q288" s="19">
        <v>4.6467000000000001</v>
      </c>
      <c r="R288" s="19">
        <v>2.64</v>
      </c>
      <c r="S288" s="19">
        <v>3.8769</v>
      </c>
      <c r="T288" s="19">
        <v>2.64</v>
      </c>
      <c r="U288" s="19">
        <v>3.6078000000000001</v>
      </c>
      <c r="V288" s="19">
        <v>2.54</v>
      </c>
      <c r="W288" s="19">
        <v>2.9331</v>
      </c>
      <c r="X288" s="19">
        <v>2.54</v>
      </c>
      <c r="Y288" s="19">
        <v>2.9331</v>
      </c>
      <c r="Z288" s="4"/>
      <c r="AA288" s="4"/>
      <c r="AB288" s="4" t="e">
        <f ca="1">_xll.ciqfunctions.udf.CIQ("^SPX", "IQ_PRICEDATE", "2/12/2015")</f>
        <v>#NAME?</v>
      </c>
      <c r="AC288" s="16">
        <v>2088.4847683353</v>
      </c>
    </row>
    <row r="289" spans="1:29" x14ac:dyDescent="0.35">
      <c r="A289" s="2" t="s">
        <v>299</v>
      </c>
      <c r="B289" s="4" t="s">
        <v>1252</v>
      </c>
      <c r="C289" s="4" t="s">
        <v>573</v>
      </c>
      <c r="D289" s="4" t="s">
        <v>579</v>
      </c>
      <c r="E289" s="4" t="s">
        <v>579</v>
      </c>
      <c r="F289" s="4" t="s">
        <v>680</v>
      </c>
      <c r="G289" s="14">
        <v>80.91</v>
      </c>
      <c r="H289" s="10">
        <v>13.168301</v>
      </c>
      <c r="I289" s="10">
        <v>25.370277000000002</v>
      </c>
      <c r="J289" s="10" t="s">
        <v>534</v>
      </c>
      <c r="K289" s="15">
        <v>2.0516E-2</v>
      </c>
      <c r="L289" s="17">
        <v>40857.895066999998</v>
      </c>
      <c r="M289" s="4" t="s">
        <v>1253</v>
      </c>
      <c r="N289" s="19">
        <v>3.189165</v>
      </c>
      <c r="O289" s="19">
        <v>4.4569000000000001</v>
      </c>
      <c r="P289" s="19">
        <v>2.87</v>
      </c>
      <c r="Q289" s="19">
        <v>4.0698999999999996</v>
      </c>
      <c r="R289" s="19">
        <v>3.38</v>
      </c>
      <c r="S289" s="19">
        <v>3.6168</v>
      </c>
      <c r="T289" s="19">
        <v>3.38</v>
      </c>
      <c r="U289" s="19">
        <v>3.2086999999999999</v>
      </c>
      <c r="V289" s="19">
        <v>2.61</v>
      </c>
      <c r="W289" s="19">
        <v>3.0276999999999998</v>
      </c>
      <c r="X289" s="19">
        <v>2.61</v>
      </c>
      <c r="Y289" s="19">
        <v>3.0276999999999998</v>
      </c>
      <c r="Z289" s="4"/>
      <c r="AA289" s="4"/>
      <c r="AB289" s="4" t="e">
        <f ca="1">_xll.ciqfunctions.udf.CIQ("^SPX", "IQ_PRICEDATE", "2/13/2015")</f>
        <v>#NAME?</v>
      </c>
      <c r="AC289" s="16">
        <v>2096.9879019150999</v>
      </c>
    </row>
    <row r="290" spans="1:29" x14ac:dyDescent="0.35">
      <c r="A290" s="2" t="s">
        <v>300</v>
      </c>
      <c r="B290" s="4" t="s">
        <v>1254</v>
      </c>
      <c r="C290" s="4" t="s">
        <v>586</v>
      </c>
      <c r="D290" s="4" t="s">
        <v>586</v>
      </c>
      <c r="E290" s="4" t="s">
        <v>1255</v>
      </c>
      <c r="F290" s="4" t="s">
        <v>1255</v>
      </c>
      <c r="G290" s="14">
        <v>166.11</v>
      </c>
      <c r="H290" s="10">
        <v>13.140537999999999</v>
      </c>
      <c r="I290" s="10">
        <v>14.545806000000001</v>
      </c>
      <c r="J290" s="10">
        <v>5.4309950000000002</v>
      </c>
      <c r="K290" s="15">
        <v>1.1557999999999999E-2</v>
      </c>
      <c r="L290" s="17">
        <v>10466.918669000001</v>
      </c>
      <c r="M290" s="4" t="s">
        <v>1256</v>
      </c>
      <c r="N290" s="19">
        <v>11.419786</v>
      </c>
      <c r="O290" s="19">
        <v>9.4571000000000005</v>
      </c>
      <c r="P290" s="19">
        <v>11.25</v>
      </c>
      <c r="Q290" s="19">
        <v>7.9074999999999998</v>
      </c>
      <c r="R290" s="19">
        <v>6.63</v>
      </c>
      <c r="S290" s="19">
        <v>8.3643999999999998</v>
      </c>
      <c r="T290" s="19">
        <v>6.63</v>
      </c>
      <c r="U290" s="19">
        <v>6.5189000000000004</v>
      </c>
      <c r="V290" s="19">
        <v>2.71</v>
      </c>
      <c r="W290" s="19">
        <v>4.7074999999999996</v>
      </c>
      <c r="X290" s="19">
        <v>2.71</v>
      </c>
      <c r="Y290" s="19">
        <v>4.7074999999999996</v>
      </c>
      <c r="Z290" s="4"/>
      <c r="AA290" s="4"/>
      <c r="AB290" s="4" t="e">
        <f ca="1">_xll.ciqfunctions.udf.CIQ("^SPX", "IQ_PRICEDATE", "2/17/2015")</f>
        <v>#NAME?</v>
      </c>
      <c r="AC290" s="16">
        <v>2100.3432492548</v>
      </c>
    </row>
    <row r="291" spans="1:29" x14ac:dyDescent="0.35">
      <c r="A291" s="2" t="s">
        <v>301</v>
      </c>
      <c r="B291" s="4" t="s">
        <v>1257</v>
      </c>
      <c r="C291" s="4" t="s">
        <v>525</v>
      </c>
      <c r="D291" s="4" t="s">
        <v>526</v>
      </c>
      <c r="E291" s="4" t="s">
        <v>527</v>
      </c>
      <c r="F291" s="4" t="s">
        <v>527</v>
      </c>
      <c r="G291" s="14">
        <v>31.96</v>
      </c>
      <c r="H291" s="10">
        <v>9.8165139999999997</v>
      </c>
      <c r="I291" s="10">
        <v>17.041934000000001</v>
      </c>
      <c r="J291" s="10" t="s">
        <v>534</v>
      </c>
      <c r="K291" s="15">
        <v>1.5018E-2</v>
      </c>
      <c r="L291" s="17">
        <v>9826.9552359999998</v>
      </c>
      <c r="M291" s="4" t="s">
        <v>1258</v>
      </c>
      <c r="N291" s="19">
        <v>1.8753740000000001</v>
      </c>
      <c r="O291" s="19">
        <v>2.7391000000000001</v>
      </c>
      <c r="P291" s="19">
        <v>1.66</v>
      </c>
      <c r="Q291" s="19">
        <v>2.1812</v>
      </c>
      <c r="R291" s="19">
        <v>1.47</v>
      </c>
      <c r="S291" s="19">
        <v>1.8372999999999999</v>
      </c>
      <c r="T291" s="19">
        <v>1.47</v>
      </c>
      <c r="U291" s="19">
        <v>1.41</v>
      </c>
      <c r="V291" s="19">
        <v>2.2799999999999998</v>
      </c>
      <c r="W291" s="19">
        <v>1.151</v>
      </c>
      <c r="X291" s="19">
        <v>2.2799999999999998</v>
      </c>
      <c r="Y291" s="19">
        <v>1.151</v>
      </c>
      <c r="Z291" s="4"/>
      <c r="AA291" s="4"/>
      <c r="AB291" s="4" t="e">
        <f ca="1">_xll.ciqfunctions.udf.CIQ("^SPX", "IQ_PRICEDATE", "2/18/2015")</f>
        <v>#NAME?</v>
      </c>
      <c r="AC291" s="16">
        <v>2099.6753437890002</v>
      </c>
    </row>
    <row r="292" spans="1:29" x14ac:dyDescent="0.35">
      <c r="A292" s="2" t="s">
        <v>302</v>
      </c>
      <c r="B292" s="4" t="s">
        <v>1259</v>
      </c>
      <c r="C292" s="4" t="s">
        <v>543</v>
      </c>
      <c r="D292" s="4" t="s">
        <v>544</v>
      </c>
      <c r="E292" s="4" t="s">
        <v>545</v>
      </c>
      <c r="F292" s="4" t="s">
        <v>616</v>
      </c>
      <c r="G292" s="14">
        <v>207.38</v>
      </c>
      <c r="H292" s="10">
        <v>26.015381999999999</v>
      </c>
      <c r="I292" s="10">
        <v>46.511147999999999</v>
      </c>
      <c r="J292" s="10">
        <v>173.88154599999999</v>
      </c>
      <c r="K292" s="15">
        <v>4.8219999999999999E-3</v>
      </c>
      <c r="L292" s="17">
        <v>215354.27094700001</v>
      </c>
      <c r="M292" s="4" t="s">
        <v>1260</v>
      </c>
      <c r="N292" s="19">
        <v>4.4587159999999999</v>
      </c>
      <c r="O292" s="19">
        <v>6.8643000000000001</v>
      </c>
      <c r="P292" s="19">
        <v>3.65</v>
      </c>
      <c r="Q292" s="19">
        <v>5.1303999999999998</v>
      </c>
      <c r="R292" s="19">
        <v>3.69</v>
      </c>
      <c r="S292" s="19">
        <v>4.1387</v>
      </c>
      <c r="T292" s="19">
        <v>3.69</v>
      </c>
      <c r="U292" s="19">
        <v>3.6930000000000001</v>
      </c>
      <c r="V292" s="19">
        <v>3.1</v>
      </c>
      <c r="W292" s="19">
        <v>3.4184999999999999</v>
      </c>
      <c r="X292" s="19">
        <v>3.1</v>
      </c>
      <c r="Y292" s="19">
        <v>3.4184999999999999</v>
      </c>
      <c r="Z292" s="4"/>
      <c r="AA292" s="4"/>
      <c r="AB292" s="4" t="e">
        <f ca="1">_xll.ciqfunctions.udf.CIQ("^SPX", "IQ_PRICEDATE", "2/19/2015")</f>
        <v>#NAME?</v>
      </c>
      <c r="AC292" s="16">
        <v>2097.4493476088001</v>
      </c>
    </row>
    <row r="293" spans="1:29" x14ac:dyDescent="0.35">
      <c r="A293" s="2" t="s">
        <v>303</v>
      </c>
      <c r="B293" s="4" t="s">
        <v>1261</v>
      </c>
      <c r="C293" s="4" t="s">
        <v>559</v>
      </c>
      <c r="D293" s="4" t="s">
        <v>912</v>
      </c>
      <c r="E293" s="4" t="s">
        <v>1106</v>
      </c>
      <c r="F293" s="4" t="s">
        <v>1106</v>
      </c>
      <c r="G293" s="14">
        <v>14.77</v>
      </c>
      <c r="H293" s="10" t="s">
        <v>534</v>
      </c>
      <c r="I293" s="10" t="s">
        <v>534</v>
      </c>
      <c r="J293" s="10" t="s">
        <v>534</v>
      </c>
      <c r="K293" s="15">
        <v>0</v>
      </c>
      <c r="L293" s="17">
        <v>5083.1402680000001</v>
      </c>
      <c r="M293" s="4" t="s">
        <v>1262</v>
      </c>
      <c r="N293" s="19">
        <v>-4.1761299999999997</v>
      </c>
      <c r="O293" s="19">
        <v>-0.16669999999999999</v>
      </c>
      <c r="P293" s="19">
        <v>-3.07</v>
      </c>
      <c r="Q293" s="19">
        <v>0.2369</v>
      </c>
      <c r="R293" s="19">
        <v>0.92</v>
      </c>
      <c r="S293" s="19">
        <v>1.5628</v>
      </c>
      <c r="T293" s="19">
        <v>0.92</v>
      </c>
      <c r="U293" s="19">
        <v>1.343</v>
      </c>
      <c r="V293" s="19">
        <v>1.45</v>
      </c>
      <c r="W293" s="19">
        <v>2.1236000000000002</v>
      </c>
      <c r="X293" s="19">
        <v>1.45</v>
      </c>
      <c r="Y293" s="19">
        <v>2.1236000000000002</v>
      </c>
      <c r="Z293" s="4"/>
      <c r="AA293" s="4"/>
      <c r="AB293" s="4" t="e">
        <f ca="1">_xll.ciqfunctions.udf.CIQ("^SPX", "IQ_PRICEDATE", "2/20/2015")</f>
        <v>#NAME?</v>
      </c>
      <c r="AC293" s="16">
        <v>2110.3008991643001</v>
      </c>
    </row>
    <row r="294" spans="1:29" x14ac:dyDescent="0.35">
      <c r="A294" s="2" t="s">
        <v>304</v>
      </c>
      <c r="B294" s="4" t="s">
        <v>1263</v>
      </c>
      <c r="C294" s="4" t="s">
        <v>626</v>
      </c>
      <c r="D294" s="4" t="s">
        <v>627</v>
      </c>
      <c r="E294" s="4" t="s">
        <v>699</v>
      </c>
      <c r="F294" s="4" t="s">
        <v>789</v>
      </c>
      <c r="G294" s="14">
        <v>137.69</v>
      </c>
      <c r="H294" s="10">
        <v>20.631674</v>
      </c>
      <c r="I294" s="10">
        <v>20.406457</v>
      </c>
      <c r="J294" s="10" t="s">
        <v>534</v>
      </c>
      <c r="K294" s="15">
        <v>1.5106E-2</v>
      </c>
      <c r="L294" s="17">
        <v>18127.496093000002</v>
      </c>
      <c r="M294" s="4" t="s">
        <v>1264</v>
      </c>
      <c r="N294" s="19">
        <v>6.7473739999999998</v>
      </c>
      <c r="O294" s="19">
        <v>5.2282000000000002</v>
      </c>
      <c r="P294" s="19">
        <v>3.72</v>
      </c>
      <c r="Q294" s="19">
        <v>4.5216000000000003</v>
      </c>
      <c r="R294" s="19">
        <v>3.69</v>
      </c>
      <c r="S294" s="19">
        <v>3.9647999999999999</v>
      </c>
      <c r="T294" s="19">
        <v>3.69</v>
      </c>
      <c r="U294" s="19">
        <v>3.6116999999999999</v>
      </c>
      <c r="V294" s="19">
        <v>3.34</v>
      </c>
      <c r="W294" s="19">
        <v>3.4861</v>
      </c>
      <c r="X294" s="19">
        <v>3.34</v>
      </c>
      <c r="Y294" s="19">
        <v>3.4861</v>
      </c>
      <c r="Z294" s="4"/>
      <c r="AA294" s="4"/>
      <c r="AB294" s="4" t="e">
        <f ca="1">_xll.ciqfunctions.udf.CIQ("^SPX", "IQ_PRICEDATE", "2/23/2015")</f>
        <v>#NAME?</v>
      </c>
      <c r="AC294" s="16">
        <v>2109.6566290026999</v>
      </c>
    </row>
    <row r="295" spans="1:29" x14ac:dyDescent="0.35">
      <c r="A295" s="2" t="s">
        <v>305</v>
      </c>
      <c r="B295" s="4" t="s">
        <v>1265</v>
      </c>
      <c r="C295" s="4" t="s">
        <v>559</v>
      </c>
      <c r="D295" s="4" t="s">
        <v>798</v>
      </c>
      <c r="E295" s="4" t="s">
        <v>799</v>
      </c>
      <c r="F295" s="4" t="s">
        <v>839</v>
      </c>
      <c r="G295" s="14">
        <v>166.77</v>
      </c>
      <c r="H295" s="10">
        <v>15.762727</v>
      </c>
      <c r="I295" s="10">
        <v>24.466937000000001</v>
      </c>
      <c r="J295" s="10" t="s">
        <v>534</v>
      </c>
      <c r="K295" s="15">
        <v>2.7822E-2</v>
      </c>
      <c r="L295" s="17">
        <v>129380.234209</v>
      </c>
      <c r="M295" s="4" t="s">
        <v>1266</v>
      </c>
      <c r="N295" s="19">
        <v>6.8161370000000003</v>
      </c>
      <c r="O295" s="19">
        <v>7.7857000000000003</v>
      </c>
      <c r="P295" s="19">
        <v>6.37</v>
      </c>
      <c r="Q295" s="19">
        <v>6.835</v>
      </c>
      <c r="R295" s="19">
        <v>5.44</v>
      </c>
      <c r="S295" s="19">
        <v>6.0103</v>
      </c>
      <c r="T295" s="19">
        <v>5.44</v>
      </c>
      <c r="U295" s="19">
        <v>5.2130000000000001</v>
      </c>
      <c r="V295" s="19">
        <v>4.82</v>
      </c>
      <c r="W295" s="19">
        <v>5.2888999999999999</v>
      </c>
      <c r="X295" s="19">
        <v>4.82</v>
      </c>
      <c r="Y295" s="19">
        <v>5.2888999999999999</v>
      </c>
      <c r="Z295" s="4"/>
      <c r="AA295" s="4"/>
      <c r="AB295" s="4" t="e">
        <f ca="1">_xll.ciqfunctions.udf.CIQ("^SPX", "IQ_PRICEDATE", "2/24/2015")</f>
        <v>#NAME?</v>
      </c>
      <c r="AC295" s="16">
        <v>2115.4838159563001</v>
      </c>
    </row>
    <row r="296" spans="1:29" x14ac:dyDescent="0.35">
      <c r="A296" s="2" t="s">
        <v>306</v>
      </c>
      <c r="B296" s="4" t="s">
        <v>1267</v>
      </c>
      <c r="C296" s="4" t="s">
        <v>530</v>
      </c>
      <c r="D296" s="4" t="s">
        <v>531</v>
      </c>
      <c r="E296" s="4" t="s">
        <v>569</v>
      </c>
      <c r="F296" s="4" t="s">
        <v>655</v>
      </c>
      <c r="G296" s="14">
        <v>135.04</v>
      </c>
      <c r="H296" s="10">
        <v>9.6127769999999995</v>
      </c>
      <c r="I296" s="10" t="s">
        <v>534</v>
      </c>
      <c r="J296" s="10" t="s">
        <v>534</v>
      </c>
      <c r="K296" s="15">
        <v>1.1552E-2</v>
      </c>
      <c r="L296" s="17">
        <v>26977.071924</v>
      </c>
      <c r="M296" s="4" t="s">
        <v>1268</v>
      </c>
      <c r="N296" s="19">
        <v>-1.8663419999999999</v>
      </c>
      <c r="O296" s="19">
        <v>13.4869</v>
      </c>
      <c r="P296" s="19">
        <v>22.754123</v>
      </c>
      <c r="Q296" s="19">
        <v>12.5558</v>
      </c>
      <c r="R296" s="19">
        <v>9.0365629999999992</v>
      </c>
      <c r="S296" s="19">
        <v>12.116899999999999</v>
      </c>
      <c r="T296" s="19">
        <v>9.0365629999999992</v>
      </c>
      <c r="U296" s="19">
        <v>13.3017</v>
      </c>
      <c r="V296" s="19">
        <v>7.5714709999999998</v>
      </c>
      <c r="W296" s="19">
        <v>11.6843</v>
      </c>
      <c r="X296" s="19">
        <v>7.5714709999999998</v>
      </c>
      <c r="Y296" s="19">
        <v>11.6843</v>
      </c>
      <c r="Z296" s="4"/>
      <c r="AA296" s="4"/>
      <c r="AB296" s="4" t="e">
        <f ca="1">_xll.ciqfunctions.udf.CIQ("^SPX", "IQ_PRICEDATE", "2/25/2015")</f>
        <v>#NAME?</v>
      </c>
      <c r="AC296" s="16">
        <v>2113.8635148128001</v>
      </c>
    </row>
    <row r="297" spans="1:29" x14ac:dyDescent="0.35">
      <c r="A297" s="2" t="s">
        <v>307</v>
      </c>
      <c r="B297" s="4" t="s">
        <v>1269</v>
      </c>
      <c r="C297" s="4" t="s">
        <v>530</v>
      </c>
      <c r="D297" s="4" t="s">
        <v>531</v>
      </c>
      <c r="E297" s="4" t="s">
        <v>532</v>
      </c>
      <c r="F297" s="4" t="s">
        <v>533</v>
      </c>
      <c r="G297" s="14">
        <v>97.29</v>
      </c>
      <c r="H297" s="10">
        <v>15.317556</v>
      </c>
      <c r="I297" s="10">
        <v>41.958820000000003</v>
      </c>
      <c r="J297" s="10" t="s">
        <v>534</v>
      </c>
      <c r="K297" s="15">
        <v>2.0556999999999999E-2</v>
      </c>
      <c r="L297" s="17">
        <v>131391.23396700001</v>
      </c>
      <c r="M297" s="4" t="s">
        <v>1270</v>
      </c>
      <c r="N297" s="19">
        <v>2.318702</v>
      </c>
      <c r="O297" s="19">
        <v>5.2145999999999999</v>
      </c>
      <c r="P297" s="19">
        <v>3.6437590000000002</v>
      </c>
      <c r="Q297" s="19">
        <v>4.9591000000000003</v>
      </c>
      <c r="R297" s="19">
        <v>3.0034299999999998</v>
      </c>
      <c r="S297" s="19">
        <v>4.8093000000000004</v>
      </c>
      <c r="T297" s="19">
        <v>3.0034299999999998</v>
      </c>
      <c r="U297" s="19">
        <v>4.6657000000000002</v>
      </c>
      <c r="V297" s="19">
        <v>2.8895770000000001</v>
      </c>
      <c r="W297" s="19">
        <v>4.2085999999999997</v>
      </c>
      <c r="X297" s="19">
        <v>2.8895770000000001</v>
      </c>
      <c r="Y297" s="19">
        <v>4.2085999999999997</v>
      </c>
      <c r="Z297" s="4"/>
      <c r="AA297" s="4"/>
      <c r="AB297" s="4" t="e">
        <f ca="1">_xll.ciqfunctions.udf.CIQ("^SPX", "IQ_PRICEDATE", "2/26/2015")</f>
        <v>#NAME?</v>
      </c>
      <c r="AC297" s="16">
        <v>2110.7418309157001</v>
      </c>
    </row>
    <row r="298" spans="1:29" x14ac:dyDescent="0.35">
      <c r="A298" s="2" t="s">
        <v>308</v>
      </c>
      <c r="B298" s="4" t="s">
        <v>1271</v>
      </c>
      <c r="C298" s="4" t="s">
        <v>530</v>
      </c>
      <c r="D298" s="4" t="s">
        <v>537</v>
      </c>
      <c r="E298" s="4" t="s">
        <v>613</v>
      </c>
      <c r="F298" s="4" t="s">
        <v>613</v>
      </c>
      <c r="G298" s="14">
        <v>71.819999999999993</v>
      </c>
      <c r="H298" s="10">
        <v>17.355464000000001</v>
      </c>
      <c r="I298" s="10">
        <v>148.119427</v>
      </c>
      <c r="J298" s="10">
        <v>141.313693</v>
      </c>
      <c r="K298" s="15">
        <v>2.6732999999999996E-2</v>
      </c>
      <c r="L298" s="17">
        <v>191007.10783600001</v>
      </c>
      <c r="M298" s="4" t="s">
        <v>1272</v>
      </c>
      <c r="N298" s="19">
        <v>0.484879</v>
      </c>
      <c r="O298" s="19">
        <v>4.4579000000000004</v>
      </c>
      <c r="P298" s="19">
        <v>0.87</v>
      </c>
      <c r="Q298" s="19">
        <v>3.9620000000000002</v>
      </c>
      <c r="R298" s="19">
        <v>1.41</v>
      </c>
      <c r="S298" s="19">
        <v>3.7530999999999999</v>
      </c>
      <c r="T298" s="19">
        <v>1.41</v>
      </c>
      <c r="U298" s="19">
        <v>3.6737000000000002</v>
      </c>
      <c r="V298" s="19">
        <v>4.07</v>
      </c>
      <c r="W298" s="19">
        <v>3.4413</v>
      </c>
      <c r="X298" s="19">
        <v>4.07</v>
      </c>
      <c r="Y298" s="19">
        <v>3.4413</v>
      </c>
      <c r="Z298" s="4"/>
      <c r="AA298" s="4"/>
      <c r="AB298" s="4" t="e">
        <f ca="1">_xll.ciqfunctions.udf.CIQ("^SPX", "IQ_PRICEDATE", "2/27/2015")</f>
        <v>#NAME?</v>
      </c>
      <c r="AC298" s="16">
        <v>2104.5032493243002</v>
      </c>
    </row>
    <row r="299" spans="1:29" x14ac:dyDescent="0.35">
      <c r="A299" s="2" t="s">
        <v>309</v>
      </c>
      <c r="B299" s="4" t="s">
        <v>1273</v>
      </c>
      <c r="C299" s="4" t="s">
        <v>573</v>
      </c>
      <c r="D299" s="4" t="s">
        <v>579</v>
      </c>
      <c r="E299" s="4" t="s">
        <v>579</v>
      </c>
      <c r="F299" s="4" t="s">
        <v>580</v>
      </c>
      <c r="G299" s="14">
        <v>44.66</v>
      </c>
      <c r="H299" s="10">
        <v>21.555149</v>
      </c>
      <c r="I299" s="10">
        <v>8.9880689999999994</v>
      </c>
      <c r="J299" s="10">
        <v>1.0120739999999999</v>
      </c>
      <c r="K299" s="15">
        <v>3.7616999999999998E-2</v>
      </c>
      <c r="L299" s="17">
        <v>44429.462444999997</v>
      </c>
      <c r="M299" s="4" t="s">
        <v>1274</v>
      </c>
      <c r="N299" s="19">
        <v>4.9688090000000003</v>
      </c>
      <c r="O299" s="19">
        <v>5.2276999999999996</v>
      </c>
      <c r="P299" s="19">
        <v>4.53</v>
      </c>
      <c r="Q299" s="19">
        <v>4.5159000000000002</v>
      </c>
      <c r="R299" s="19">
        <v>3.13</v>
      </c>
      <c r="S299" s="19">
        <v>5.3220000000000001</v>
      </c>
      <c r="T299" s="19">
        <v>3.13</v>
      </c>
      <c r="U299" s="19">
        <v>5.7436999999999996</v>
      </c>
      <c r="V299" s="19">
        <v>5.42</v>
      </c>
      <c r="W299" s="19">
        <v>5.76</v>
      </c>
      <c r="X299" s="19">
        <v>5.42</v>
      </c>
      <c r="Y299" s="19">
        <v>5.76</v>
      </c>
      <c r="Z299" s="4"/>
      <c r="AA299" s="4"/>
      <c r="AB299" s="4" t="e">
        <f ca="1">_xll.ciqfunctions.udf.CIQ("^SPX", "IQ_PRICEDATE", "3/2/2015")</f>
        <v>#NAME?</v>
      </c>
      <c r="AC299" s="16">
        <v>2117.3933347360999</v>
      </c>
    </row>
    <row r="300" spans="1:29" x14ac:dyDescent="0.35">
      <c r="A300" s="2" t="s">
        <v>310</v>
      </c>
      <c r="B300" s="4" t="s">
        <v>1275</v>
      </c>
      <c r="C300" s="4" t="s">
        <v>530</v>
      </c>
      <c r="D300" s="4" t="s">
        <v>537</v>
      </c>
      <c r="E300" s="4" t="s">
        <v>583</v>
      </c>
      <c r="F300" s="4" t="s">
        <v>583</v>
      </c>
      <c r="G300" s="14">
        <v>578.69000000000005</v>
      </c>
      <c r="H300" s="10">
        <v>22.263456999999999</v>
      </c>
      <c r="I300" s="10">
        <v>39.119819999999997</v>
      </c>
      <c r="J300" s="10" t="s">
        <v>534</v>
      </c>
      <c r="K300" s="15">
        <v>0</v>
      </c>
      <c r="L300" s="17">
        <v>14590.990125</v>
      </c>
      <c r="M300" s="4" t="s">
        <v>1276</v>
      </c>
      <c r="N300" s="19">
        <v>14.792757</v>
      </c>
      <c r="O300" s="19">
        <v>21.353000000000002</v>
      </c>
      <c r="P300" s="19">
        <v>14.24</v>
      </c>
      <c r="Q300" s="19">
        <v>19.140499999999999</v>
      </c>
      <c r="R300" s="19">
        <v>14.219999</v>
      </c>
      <c r="S300" s="19">
        <v>15.7037</v>
      </c>
      <c r="T300" s="19">
        <v>14.219999</v>
      </c>
      <c r="U300" s="19">
        <v>13.7766</v>
      </c>
      <c r="V300" s="19">
        <v>11.44</v>
      </c>
      <c r="W300" s="19">
        <v>12.564299999999999</v>
      </c>
      <c r="X300" s="19">
        <v>11.44</v>
      </c>
      <c r="Y300" s="19">
        <v>12.564299999999999</v>
      </c>
      <c r="Z300" s="4"/>
      <c r="AA300" s="4"/>
      <c r="AB300" s="4" t="e">
        <f ca="1">_xll.ciqfunctions.udf.CIQ("^SPX", "IQ_PRICEDATE", "3/3/2015")</f>
        <v>#NAME?</v>
      </c>
      <c r="AC300" s="16">
        <v>2107.7784174444</v>
      </c>
    </row>
    <row r="301" spans="1:29" x14ac:dyDescent="0.35">
      <c r="A301" s="2" t="s">
        <v>311</v>
      </c>
      <c r="B301" s="4" t="s">
        <v>1277</v>
      </c>
      <c r="C301" s="4" t="s">
        <v>559</v>
      </c>
      <c r="D301" s="4" t="s">
        <v>798</v>
      </c>
      <c r="E301" s="4" t="s">
        <v>799</v>
      </c>
      <c r="F301" s="4" t="s">
        <v>1278</v>
      </c>
      <c r="G301" s="14">
        <v>27.92</v>
      </c>
      <c r="H301" s="10">
        <v>12.402637</v>
      </c>
      <c r="I301" s="10">
        <v>8.5436420000000002</v>
      </c>
      <c r="J301" s="10">
        <v>11.830769</v>
      </c>
      <c r="K301" s="15">
        <v>1.7191000000000001E-2</v>
      </c>
      <c r="L301" s="17">
        <v>15018.227079</v>
      </c>
      <c r="M301" s="4" t="s">
        <v>1279</v>
      </c>
      <c r="N301" s="19">
        <v>3.2679269999999998</v>
      </c>
      <c r="O301" s="19">
        <v>1.1268</v>
      </c>
      <c r="P301" s="19">
        <v>3.3546499999999999</v>
      </c>
      <c r="Q301" s="19">
        <v>1.236</v>
      </c>
      <c r="R301" s="19">
        <v>1.921033</v>
      </c>
      <c r="S301" s="19">
        <v>1.2794000000000001</v>
      </c>
      <c r="T301" s="19">
        <v>1.921033</v>
      </c>
      <c r="U301" s="19">
        <v>0.57110000000000005</v>
      </c>
      <c r="V301" s="19">
        <v>-0.30601</v>
      </c>
      <c r="W301" s="19">
        <v>0.53300000000000003</v>
      </c>
      <c r="X301" s="19">
        <v>-0.30601</v>
      </c>
      <c r="Y301" s="19">
        <v>0.53300000000000003</v>
      </c>
      <c r="Z301" s="4"/>
      <c r="AA301" s="4"/>
      <c r="AB301" s="4" t="e">
        <f ca="1">_xll.ciqfunctions.udf.CIQ("^SPX", "IQ_PRICEDATE", "3/4/2015")</f>
        <v>#NAME?</v>
      </c>
      <c r="AC301" s="16">
        <v>2098.5330535804001</v>
      </c>
    </row>
    <row r="302" spans="1:29" x14ac:dyDescent="0.35">
      <c r="A302" s="2" t="s">
        <v>312</v>
      </c>
      <c r="B302" s="4" t="s">
        <v>1280</v>
      </c>
      <c r="C302" s="4" t="s">
        <v>559</v>
      </c>
      <c r="D302" s="4" t="s">
        <v>912</v>
      </c>
      <c r="E302" s="4" t="s">
        <v>1097</v>
      </c>
      <c r="F302" s="4" t="s">
        <v>1098</v>
      </c>
      <c r="G302" s="14">
        <v>62.38</v>
      </c>
      <c r="H302" s="10">
        <v>8.4249170000000007</v>
      </c>
      <c r="I302" s="10">
        <v>14.711650000000001</v>
      </c>
      <c r="J302" s="10">
        <v>173.590723</v>
      </c>
      <c r="K302" s="15">
        <v>0</v>
      </c>
      <c r="L302" s="17">
        <v>9305.1369560000003</v>
      </c>
      <c r="M302" s="4" t="s">
        <v>1281</v>
      </c>
      <c r="N302" s="19">
        <v>4.2401770000000001</v>
      </c>
      <c r="O302" s="19">
        <v>5.0564999999999998</v>
      </c>
      <c r="P302" s="19">
        <v>3.3294570000000001</v>
      </c>
      <c r="Q302" s="19">
        <v>3.9893999999999998</v>
      </c>
      <c r="R302" s="19">
        <v>4.3754530000000003</v>
      </c>
      <c r="S302" s="19">
        <v>4.4847999999999999</v>
      </c>
      <c r="T302" s="19">
        <v>4.3754530000000003</v>
      </c>
      <c r="U302" s="19">
        <v>4.3769999999999998</v>
      </c>
      <c r="V302" s="19">
        <v>4.1599360000000001</v>
      </c>
      <c r="W302" s="19">
        <v>4.4702999999999999</v>
      </c>
      <c r="X302" s="19">
        <v>4.1599360000000001</v>
      </c>
      <c r="Y302" s="19">
        <v>4.4702999999999999</v>
      </c>
      <c r="Z302" s="4"/>
      <c r="AA302" s="4"/>
      <c r="AB302" s="4" t="e">
        <f ca="1">_xll.ciqfunctions.udf.CIQ("^SPX", "IQ_PRICEDATE", "3/5/2015")</f>
        <v>#NAME?</v>
      </c>
      <c r="AC302" s="16">
        <v>2101.0420529524999</v>
      </c>
    </row>
    <row r="303" spans="1:29" x14ac:dyDescent="0.35">
      <c r="A303" s="2" t="s">
        <v>313</v>
      </c>
      <c r="B303" s="4" t="s">
        <v>1282</v>
      </c>
      <c r="C303" s="4" t="s">
        <v>543</v>
      </c>
      <c r="D303" s="4" t="s">
        <v>565</v>
      </c>
      <c r="E303" s="4" t="s">
        <v>565</v>
      </c>
      <c r="F303" s="4" t="s">
        <v>566</v>
      </c>
      <c r="G303" s="14">
        <v>69.05</v>
      </c>
      <c r="H303" s="10">
        <v>17.165426</v>
      </c>
      <c r="I303" s="10">
        <v>142.604299</v>
      </c>
      <c r="J303" s="10" t="s">
        <v>534</v>
      </c>
      <c r="K303" s="15">
        <v>2.1086000000000001E-2</v>
      </c>
      <c r="L303" s="17">
        <v>16265.268023000001</v>
      </c>
      <c r="M303" s="4" t="s">
        <v>1283</v>
      </c>
      <c r="N303" s="19">
        <v>0.484207</v>
      </c>
      <c r="O303" s="19">
        <v>6.9287000000000001</v>
      </c>
      <c r="P303" s="19">
        <v>1.0271079999999999</v>
      </c>
      <c r="Q303" s="19">
        <v>5.6483999999999996</v>
      </c>
      <c r="R303" s="19">
        <v>0.43665500000000002</v>
      </c>
      <c r="S303" s="19">
        <v>3.8492999999999999</v>
      </c>
      <c r="T303" s="19">
        <v>0.43665500000000002</v>
      </c>
      <c r="U303" s="19">
        <v>2.7298</v>
      </c>
      <c r="V303" s="19">
        <v>1.7077009999999999</v>
      </c>
      <c r="W303" s="19">
        <v>2.6915</v>
      </c>
      <c r="X303" s="19">
        <v>1.7077009999999999</v>
      </c>
      <c r="Y303" s="19">
        <v>2.6915</v>
      </c>
      <c r="Z303" s="4"/>
      <c r="AA303" s="4"/>
      <c r="AB303" s="4" t="e">
        <f ca="1">_xll.ciqfunctions.udf.CIQ("^SPX", "IQ_PRICEDATE", "3/6/2015")</f>
        <v>#NAME?</v>
      </c>
      <c r="AC303" s="16">
        <v>2071.2621063056999</v>
      </c>
    </row>
    <row r="304" spans="1:29" x14ac:dyDescent="0.35">
      <c r="A304" s="2" t="s">
        <v>314</v>
      </c>
      <c r="B304" s="4" t="s">
        <v>1284</v>
      </c>
      <c r="C304" s="4" t="s">
        <v>543</v>
      </c>
      <c r="D304" s="4" t="s">
        <v>565</v>
      </c>
      <c r="E304" s="4" t="s">
        <v>565</v>
      </c>
      <c r="F304" s="4" t="s">
        <v>566</v>
      </c>
      <c r="G304" s="14">
        <v>42.35</v>
      </c>
      <c r="H304" s="10">
        <v>2.3795829999999998</v>
      </c>
      <c r="I304" s="10">
        <v>3.6794090000000002</v>
      </c>
      <c r="J304" s="10">
        <v>1.5997509999999999</v>
      </c>
      <c r="K304" s="15">
        <v>0</v>
      </c>
      <c r="L304" s="17">
        <v>48035.715130999997</v>
      </c>
      <c r="M304" s="4" t="s">
        <v>1285</v>
      </c>
      <c r="N304" s="19">
        <v>11.51</v>
      </c>
      <c r="O304" s="19">
        <v>10.607049999999999</v>
      </c>
      <c r="P304" s="19">
        <v>6.3977510000000004</v>
      </c>
      <c r="Q304" s="19">
        <v>9.7083999999999993</v>
      </c>
      <c r="R304" s="19">
        <v>-0.30013000000000001</v>
      </c>
      <c r="S304" s="19">
        <v>2.7976000000000001</v>
      </c>
      <c r="T304" s="19">
        <v>-0.30013000000000001</v>
      </c>
      <c r="U304" s="19">
        <v>0.56930000000000003</v>
      </c>
      <c r="V304" s="19">
        <v>3.0776029999999999</v>
      </c>
      <c r="W304" s="19">
        <v>3.7490700000000001</v>
      </c>
      <c r="X304" s="19">
        <v>3.0776029999999999</v>
      </c>
      <c r="Y304" s="19">
        <v>3.7490700000000001</v>
      </c>
      <c r="Z304" s="4"/>
      <c r="AA304" s="4"/>
      <c r="AB304" s="4" t="e">
        <f ca="1">_xll.ciqfunctions.udf.CIQ("^SPX", "IQ_PRICEDATE", "3/9/2015")</f>
        <v>#NAME?</v>
      </c>
      <c r="AC304" s="16">
        <v>2079.4254666122001</v>
      </c>
    </row>
    <row r="305" spans="1:29" x14ac:dyDescent="0.35">
      <c r="A305" s="2" t="s">
        <v>315</v>
      </c>
      <c r="B305" s="4" t="s">
        <v>1286</v>
      </c>
      <c r="C305" s="4" t="s">
        <v>543</v>
      </c>
      <c r="D305" s="4" t="s">
        <v>544</v>
      </c>
      <c r="E305" s="4" t="s">
        <v>555</v>
      </c>
      <c r="F305" s="4" t="s">
        <v>782</v>
      </c>
      <c r="G305" s="14">
        <v>110.71</v>
      </c>
      <c r="H305" s="10">
        <v>17.879272</v>
      </c>
      <c r="I305" s="10">
        <v>51.976525000000002</v>
      </c>
      <c r="J305" s="10">
        <v>21.802903000000001</v>
      </c>
      <c r="K305" s="15">
        <v>1.6618999999999998E-2</v>
      </c>
      <c r="L305" s="17">
        <v>849977.32351799996</v>
      </c>
      <c r="M305" s="4" t="s">
        <v>1287</v>
      </c>
      <c r="N305" s="19">
        <v>2.13</v>
      </c>
      <c r="O305" s="19">
        <v>4.2925899999999997</v>
      </c>
      <c r="P305" s="19">
        <v>1.2299960000000001</v>
      </c>
      <c r="Q305" s="19">
        <v>3.4314</v>
      </c>
      <c r="R305" s="19">
        <v>2.383178</v>
      </c>
      <c r="S305" s="19">
        <v>2.9746999999999999</v>
      </c>
      <c r="T305" s="19">
        <v>2.383178</v>
      </c>
      <c r="U305" s="19">
        <v>2.7997000000000001</v>
      </c>
      <c r="V305" s="19">
        <v>2.4794459999999998</v>
      </c>
      <c r="W305" s="19">
        <v>2.8952</v>
      </c>
      <c r="X305" s="19">
        <v>2.4794459999999998</v>
      </c>
      <c r="Y305" s="19">
        <v>2.8952</v>
      </c>
      <c r="Z305" s="4"/>
      <c r="AA305" s="4"/>
      <c r="AB305" s="4" t="e">
        <f ca="1">_xll.ciqfunctions.udf.CIQ("^SPX", "IQ_PRICEDATE", "3/10/2015")</f>
        <v>#NAME?</v>
      </c>
      <c r="AC305" s="16">
        <v>2044.1626309388</v>
      </c>
    </row>
    <row r="306" spans="1:29" x14ac:dyDescent="0.35">
      <c r="A306" s="2" t="s">
        <v>316</v>
      </c>
      <c r="B306" s="4" t="s">
        <v>1288</v>
      </c>
      <c r="C306" s="4" t="s">
        <v>601</v>
      </c>
      <c r="D306" s="4" t="s">
        <v>601</v>
      </c>
      <c r="E306" s="4" t="s">
        <v>602</v>
      </c>
      <c r="F306" s="4" t="s">
        <v>685</v>
      </c>
      <c r="G306" s="14">
        <v>98.11</v>
      </c>
      <c r="H306" s="10">
        <v>18.067543000000001</v>
      </c>
      <c r="I306" s="10">
        <v>32.507334999999998</v>
      </c>
      <c r="J306" s="10">
        <v>1.7858449999999999</v>
      </c>
      <c r="K306" s="15">
        <v>3.7610000000000005E-2</v>
      </c>
      <c r="L306" s="17">
        <v>11165.894587000001</v>
      </c>
      <c r="M306" s="4" t="s">
        <v>1289</v>
      </c>
      <c r="N306" s="19">
        <v>3.0180880000000001</v>
      </c>
      <c r="O306" s="19">
        <v>1.9883</v>
      </c>
      <c r="P306" s="19">
        <v>2.8560080000000001</v>
      </c>
      <c r="Q306" s="19">
        <v>2.0318999999999998</v>
      </c>
      <c r="R306" s="19">
        <v>2.689276</v>
      </c>
      <c r="S306" s="19">
        <v>1.895</v>
      </c>
      <c r="T306" s="19">
        <v>2.689276</v>
      </c>
      <c r="U306" s="19">
        <v>2.1225000000000001</v>
      </c>
      <c r="V306" s="19">
        <v>1.8986019999999999</v>
      </c>
      <c r="W306" s="19">
        <v>1.885</v>
      </c>
      <c r="X306" s="19">
        <v>1.8986019999999999</v>
      </c>
      <c r="Y306" s="19">
        <v>1.885</v>
      </c>
      <c r="Z306" s="4"/>
      <c r="AA306" s="4"/>
      <c r="AB306" s="4" t="e">
        <f ca="1">_xll.ciqfunctions.udf.CIQ("^SPX", "IQ_PRICEDATE", "3/11/2015")</f>
        <v>#NAME?</v>
      </c>
      <c r="AC306" s="16">
        <v>2040.2351976913999</v>
      </c>
    </row>
    <row r="307" spans="1:29" x14ac:dyDescent="0.35">
      <c r="A307" s="2" t="s">
        <v>317</v>
      </c>
      <c r="B307" s="4" t="s">
        <v>1290</v>
      </c>
      <c r="C307" s="4" t="s">
        <v>559</v>
      </c>
      <c r="D307" s="4" t="s">
        <v>912</v>
      </c>
      <c r="E307" s="4" t="s">
        <v>913</v>
      </c>
      <c r="F307" s="4" t="s">
        <v>1222</v>
      </c>
      <c r="G307" s="14">
        <v>155.94999999999999</v>
      </c>
      <c r="H307" s="10">
        <v>7.5434130000000001</v>
      </c>
      <c r="I307" s="10">
        <v>12.762679</v>
      </c>
      <c r="J307" s="10">
        <v>2.8655789999999999</v>
      </c>
      <c r="K307" s="15">
        <v>0</v>
      </c>
      <c r="L307" s="17">
        <v>11634.320851</v>
      </c>
      <c r="M307" s="4" t="s">
        <v>1291</v>
      </c>
      <c r="N307" s="19">
        <v>12.219220999999999</v>
      </c>
      <c r="O307" s="19">
        <v>14.0388</v>
      </c>
      <c r="P307" s="19">
        <v>12.98</v>
      </c>
      <c r="Q307" s="19">
        <v>14.451700000000001</v>
      </c>
      <c r="R307" s="19">
        <v>12.48</v>
      </c>
      <c r="S307" s="19">
        <v>13.2964</v>
      </c>
      <c r="T307" s="19">
        <v>12.48</v>
      </c>
      <c r="U307" s="19">
        <v>11.652699999999999</v>
      </c>
      <c r="V307" s="19">
        <v>7.25</v>
      </c>
      <c r="W307" s="19">
        <v>9.0420999999999996</v>
      </c>
      <c r="X307" s="19">
        <v>7.25</v>
      </c>
      <c r="Y307" s="19">
        <v>9.0420999999999996</v>
      </c>
      <c r="Z307" s="4"/>
      <c r="AA307" s="4"/>
      <c r="AB307" s="4" t="e">
        <f ca="1">_xll.ciqfunctions.udf.CIQ("^SPX", "IQ_PRICEDATE", "3/12/2015")</f>
        <v>#NAME?</v>
      </c>
      <c r="AC307" s="16">
        <v>2065.9542896005</v>
      </c>
    </row>
    <row r="308" spans="1:29" x14ac:dyDescent="0.35">
      <c r="A308" s="2" t="s">
        <v>318</v>
      </c>
      <c r="B308" s="4" t="s">
        <v>1292</v>
      </c>
      <c r="C308" s="4" t="s">
        <v>626</v>
      </c>
      <c r="D308" s="4" t="s">
        <v>627</v>
      </c>
      <c r="E308" s="4" t="s">
        <v>775</v>
      </c>
      <c r="F308" s="4" t="s">
        <v>1293</v>
      </c>
      <c r="G308" s="14">
        <v>59.57</v>
      </c>
      <c r="H308" s="10">
        <v>9.5026679999999999</v>
      </c>
      <c r="I308" s="10">
        <v>8.1947489999999998</v>
      </c>
      <c r="J308" s="10" t="s">
        <v>534</v>
      </c>
      <c r="K308" s="15">
        <v>2.7530000000000002E-2</v>
      </c>
      <c r="L308" s="17">
        <v>12872.404688000001</v>
      </c>
      <c r="M308" s="4" t="s">
        <v>1294</v>
      </c>
      <c r="N308" s="19">
        <v>7.2692889999999997</v>
      </c>
      <c r="O308" s="19">
        <v>4.9176000000000002</v>
      </c>
      <c r="P308" s="19">
        <v>6.52</v>
      </c>
      <c r="Q308" s="19">
        <v>4.7706999999999997</v>
      </c>
      <c r="R308" s="19">
        <v>9.35</v>
      </c>
      <c r="S308" s="19">
        <v>5.3032000000000004</v>
      </c>
      <c r="T308" s="19">
        <v>9.35</v>
      </c>
      <c r="U308" s="19">
        <v>3.8633000000000002</v>
      </c>
      <c r="V308" s="19">
        <v>2.76</v>
      </c>
      <c r="W308" s="19">
        <v>4.2073999999999998</v>
      </c>
      <c r="X308" s="19">
        <v>2.76</v>
      </c>
      <c r="Y308" s="19">
        <v>4.2073999999999998</v>
      </c>
      <c r="Z308" s="4"/>
      <c r="AA308" s="4"/>
      <c r="AB308" s="4" t="e">
        <f ca="1">_xll.ciqfunctions.udf.CIQ("^SPX", "IQ_PRICEDATE", "3/13/2015")</f>
        <v>#NAME?</v>
      </c>
      <c r="AC308" s="16">
        <v>2053.3982557016998</v>
      </c>
    </row>
    <row r="309" spans="1:29" x14ac:dyDescent="0.35">
      <c r="A309" s="2" t="s">
        <v>319</v>
      </c>
      <c r="B309" s="4" t="s">
        <v>1295</v>
      </c>
      <c r="C309" s="4" t="s">
        <v>626</v>
      </c>
      <c r="D309" s="4" t="s">
        <v>627</v>
      </c>
      <c r="E309" s="4" t="s">
        <v>699</v>
      </c>
      <c r="F309" s="4" t="s">
        <v>789</v>
      </c>
      <c r="G309" s="14">
        <v>41.16</v>
      </c>
      <c r="H309" s="10">
        <v>14.952602000000001</v>
      </c>
      <c r="I309" s="10">
        <v>20.312253999999999</v>
      </c>
      <c r="J309" s="10" t="s">
        <v>534</v>
      </c>
      <c r="K309" s="15">
        <v>2.5266999999999998E-2</v>
      </c>
      <c r="L309" s="17">
        <v>60363.650718999997</v>
      </c>
      <c r="M309" s="4" t="s">
        <v>1296</v>
      </c>
      <c r="N309" s="19">
        <v>2.0263629999999999</v>
      </c>
      <c r="O309" s="19">
        <v>2.4335</v>
      </c>
      <c r="P309" s="19">
        <v>1.91</v>
      </c>
      <c r="Q309" s="19">
        <v>2.3098000000000001</v>
      </c>
      <c r="R309" s="19">
        <v>1.05</v>
      </c>
      <c r="S309" s="19">
        <v>2.0310999999999999</v>
      </c>
      <c r="T309" s="19">
        <v>1.05</v>
      </c>
      <c r="U309" s="19">
        <v>1.927</v>
      </c>
      <c r="V309" s="19">
        <v>1.28</v>
      </c>
      <c r="W309" s="19">
        <v>1.7676000000000001</v>
      </c>
      <c r="X309" s="19">
        <v>1.28</v>
      </c>
      <c r="Y309" s="19">
        <v>1.7676000000000001</v>
      </c>
      <c r="Z309" s="4"/>
      <c r="AA309" s="4"/>
      <c r="AB309" s="4" t="e">
        <f ca="1">_xll.ciqfunctions.udf.CIQ("^SPX", "IQ_PRICEDATE", "3/16/2015")</f>
        <v>#NAME?</v>
      </c>
      <c r="AC309" s="16">
        <v>2081.1927519049</v>
      </c>
    </row>
    <row r="310" spans="1:29" x14ac:dyDescent="0.35">
      <c r="A310" s="2" t="s">
        <v>320</v>
      </c>
      <c r="B310" s="4" t="s">
        <v>1297</v>
      </c>
      <c r="C310" s="4" t="s">
        <v>626</v>
      </c>
      <c r="D310" s="4" t="s">
        <v>627</v>
      </c>
      <c r="E310" s="4" t="s">
        <v>775</v>
      </c>
      <c r="F310" s="4" t="s">
        <v>1298</v>
      </c>
      <c r="G310" s="14">
        <v>52.63</v>
      </c>
      <c r="H310" s="10">
        <v>21.630203999999999</v>
      </c>
      <c r="I310" s="10">
        <v>33.323265999999997</v>
      </c>
      <c r="J310" s="10">
        <v>23.560040999999998</v>
      </c>
      <c r="K310" s="15">
        <v>0</v>
      </c>
      <c r="L310" s="17">
        <v>29079.292332000001</v>
      </c>
      <c r="M310" s="4" t="s">
        <v>1299</v>
      </c>
      <c r="N310" s="19">
        <v>1.579377</v>
      </c>
      <c r="O310" s="19">
        <v>1.8596999999999999</v>
      </c>
      <c r="P310" s="19">
        <v>1.42</v>
      </c>
      <c r="Q310" s="19">
        <v>1.6449</v>
      </c>
      <c r="R310" s="19">
        <v>1.19</v>
      </c>
      <c r="S310" s="19">
        <v>1.4362999999999999</v>
      </c>
      <c r="T310" s="19">
        <v>1.19</v>
      </c>
      <c r="U310" s="19">
        <v>1.2426999999999999</v>
      </c>
      <c r="V310" s="19">
        <v>0.92</v>
      </c>
      <c r="W310" s="19">
        <v>1.0047999999999999</v>
      </c>
      <c r="X310" s="19">
        <v>0.92</v>
      </c>
      <c r="Y310" s="19">
        <v>1.0047999999999999</v>
      </c>
      <c r="Z310" s="4"/>
      <c r="AA310" s="4"/>
      <c r="AB310" s="4" t="e">
        <f ca="1">_xll.ciqfunctions.udf.CIQ("^SPX", "IQ_PRICEDATE", "3/17/2015")</f>
        <v>#NAME?</v>
      </c>
      <c r="AC310" s="16">
        <v>2074.2764352814002</v>
      </c>
    </row>
    <row r="311" spans="1:29" x14ac:dyDescent="0.35">
      <c r="A311" s="2" t="s">
        <v>321</v>
      </c>
      <c r="B311" s="4" t="s">
        <v>1300</v>
      </c>
      <c r="C311" s="4" t="s">
        <v>573</v>
      </c>
      <c r="D311" s="4" t="s">
        <v>574</v>
      </c>
      <c r="E311" s="4" t="s">
        <v>575</v>
      </c>
      <c r="F311" s="4" t="s">
        <v>807</v>
      </c>
      <c r="G311" s="14">
        <v>161.83000000000001</v>
      </c>
      <c r="H311" s="10">
        <v>16.366043000000001</v>
      </c>
      <c r="I311" s="10">
        <v>28.836867999999999</v>
      </c>
      <c r="J311" s="10" t="s">
        <v>534</v>
      </c>
      <c r="K311" s="15">
        <v>1.0874999999999999E-2</v>
      </c>
      <c r="L311" s="17">
        <v>31055.177</v>
      </c>
      <c r="M311" s="4" t="s">
        <v>1301</v>
      </c>
      <c r="N311" s="19">
        <v>5.6119130000000004</v>
      </c>
      <c r="O311" s="19">
        <v>7.9436</v>
      </c>
      <c r="P311" s="19">
        <v>5.15</v>
      </c>
      <c r="Q311" s="19">
        <v>6.2826000000000004</v>
      </c>
      <c r="R311" s="19">
        <v>1.36</v>
      </c>
      <c r="S311" s="19">
        <v>4.9725999999999999</v>
      </c>
      <c r="T311" s="19">
        <v>1.36</v>
      </c>
      <c r="U311" s="19">
        <v>4.9287000000000001</v>
      </c>
      <c r="V311" s="19">
        <v>4.6100000000000003</v>
      </c>
      <c r="W311" s="19">
        <v>4.4413999999999998</v>
      </c>
      <c r="X311" s="19">
        <v>4.6100000000000003</v>
      </c>
      <c r="Y311" s="19">
        <v>4.4413999999999998</v>
      </c>
      <c r="Z311" s="4"/>
      <c r="AA311" s="4"/>
      <c r="AB311" s="4" t="e">
        <f ca="1">_xll.ciqfunctions.udf.CIQ("^SPX", "IQ_PRICEDATE", "3/18/2015")</f>
        <v>#NAME?</v>
      </c>
      <c r="AC311" s="16">
        <v>2099.5007136298</v>
      </c>
    </row>
    <row r="312" spans="1:29" x14ac:dyDescent="0.35">
      <c r="A312" s="2" t="s">
        <v>322</v>
      </c>
      <c r="B312" s="4" t="s">
        <v>1302</v>
      </c>
      <c r="C312" s="4" t="s">
        <v>573</v>
      </c>
      <c r="D312" s="4" t="s">
        <v>574</v>
      </c>
      <c r="E312" s="4" t="s">
        <v>575</v>
      </c>
      <c r="F312" s="4" t="s">
        <v>963</v>
      </c>
      <c r="G312" s="14">
        <v>47.19</v>
      </c>
      <c r="H312" s="10">
        <v>0</v>
      </c>
      <c r="I312" s="10">
        <v>11.312206</v>
      </c>
      <c r="J312" s="10">
        <v>1.341121</v>
      </c>
      <c r="K312" s="15">
        <v>2.5429E-2</v>
      </c>
      <c r="L312" s="17">
        <v>80223</v>
      </c>
      <c r="M312" s="4" t="s">
        <v>1303</v>
      </c>
      <c r="N312" s="19">
        <v>4.1715999999999998</v>
      </c>
      <c r="O312" s="19">
        <v>4.7832999999999997</v>
      </c>
      <c r="P312" s="19">
        <v>3.08</v>
      </c>
      <c r="Q312" s="19">
        <v>3.9678</v>
      </c>
      <c r="R312" s="19">
        <v>2.92</v>
      </c>
      <c r="S312" s="19">
        <v>3.2086999999999999</v>
      </c>
      <c r="T312" s="19">
        <v>2.92</v>
      </c>
      <c r="U312" s="19">
        <v>2.9138999999999999</v>
      </c>
      <c r="V312" s="19">
        <v>1.61</v>
      </c>
      <c r="W312" s="19">
        <v>2.8113999999999999</v>
      </c>
      <c r="X312" s="19">
        <v>1.61</v>
      </c>
      <c r="Y312" s="19">
        <v>2.8113999999999999</v>
      </c>
      <c r="Z312" s="4"/>
      <c r="AA312" s="4"/>
      <c r="AB312" s="4" t="e">
        <f ca="1">_xll.ciqfunctions.udf.CIQ("^SPX", "IQ_PRICEDATE", "3/19/2015")</f>
        <v>#NAME?</v>
      </c>
      <c r="AC312" s="16">
        <v>2089.274370696</v>
      </c>
    </row>
    <row r="313" spans="1:29" x14ac:dyDescent="0.35">
      <c r="A313" s="2" t="s">
        <v>323</v>
      </c>
      <c r="B313" s="4" t="s">
        <v>1304</v>
      </c>
      <c r="C313" s="4" t="s">
        <v>543</v>
      </c>
      <c r="D313" s="4" t="s">
        <v>664</v>
      </c>
      <c r="E313" s="4" t="s">
        <v>706</v>
      </c>
      <c r="F313" s="4" t="s">
        <v>706</v>
      </c>
      <c r="G313" s="14">
        <v>123.56</v>
      </c>
      <c r="H313" s="10">
        <v>14.005463000000001</v>
      </c>
      <c r="I313" s="10" t="s">
        <v>534</v>
      </c>
      <c r="J313" s="10" t="s">
        <v>534</v>
      </c>
      <c r="K313" s="15">
        <v>1.6833000000000001E-2</v>
      </c>
      <c r="L313" s="17">
        <v>20049.685932</v>
      </c>
      <c r="M313" s="4" t="s">
        <v>1305</v>
      </c>
      <c r="N313" s="19">
        <v>-0.41529899999999997</v>
      </c>
      <c r="O313" s="19">
        <v>7.0298999999999996</v>
      </c>
      <c r="P313" s="19">
        <v>-0.95150299999999999</v>
      </c>
      <c r="Q313" s="19">
        <v>5.5968999999999998</v>
      </c>
      <c r="R313" s="19">
        <v>3.24</v>
      </c>
      <c r="S313" s="19">
        <v>4.9733000000000001</v>
      </c>
      <c r="T313" s="19">
        <v>3.24</v>
      </c>
      <c r="U313" s="19">
        <v>3.8220999999999998</v>
      </c>
      <c r="V313" s="19">
        <v>-2.84</v>
      </c>
      <c r="W313" s="19">
        <v>3.1013999999999999</v>
      </c>
      <c r="X313" s="19">
        <v>-2.84</v>
      </c>
      <c r="Y313" s="19">
        <v>3.1013999999999999</v>
      </c>
      <c r="Z313" s="4"/>
      <c r="AA313" s="4"/>
      <c r="AB313" s="4" t="e">
        <f ca="1">_xll.ciqfunctions.udf.CIQ("^SPX", "IQ_PRICEDATE", "3/20/2015")</f>
        <v>#NAME?</v>
      </c>
      <c r="AC313" s="16">
        <v>2108.0973212684999</v>
      </c>
    </row>
    <row r="314" spans="1:29" x14ac:dyDescent="0.35">
      <c r="A314" s="2" t="s">
        <v>324</v>
      </c>
      <c r="B314" s="4" t="s">
        <v>1306</v>
      </c>
      <c r="C314" s="4" t="s">
        <v>573</v>
      </c>
      <c r="D314" s="4" t="s">
        <v>574</v>
      </c>
      <c r="E314" s="4" t="s">
        <v>575</v>
      </c>
      <c r="F314" s="4" t="s">
        <v>807</v>
      </c>
      <c r="G314" s="14">
        <v>157.28</v>
      </c>
      <c r="H314" s="10">
        <v>20.900062999999999</v>
      </c>
      <c r="I314" s="10">
        <v>37.901049999999998</v>
      </c>
      <c r="J314" s="10" t="s">
        <v>534</v>
      </c>
      <c r="K314" s="15">
        <v>1.4750000000000001E-2</v>
      </c>
      <c r="L314" s="17">
        <v>13971.638354999999</v>
      </c>
      <c r="M314" s="4" t="s">
        <v>1307</v>
      </c>
      <c r="N314" s="19">
        <v>4.1497529999999996</v>
      </c>
      <c r="O314" s="19">
        <v>5.5590999999999999</v>
      </c>
      <c r="P314" s="19">
        <v>3.31</v>
      </c>
      <c r="Q314" s="19">
        <v>4.3346</v>
      </c>
      <c r="R314" s="19">
        <v>2.7</v>
      </c>
      <c r="S314" s="19">
        <v>3.2816999999999998</v>
      </c>
      <c r="T314" s="19">
        <v>2.7</v>
      </c>
      <c r="U314" s="19">
        <v>2.6101000000000001</v>
      </c>
      <c r="V314" s="19">
        <v>1.7</v>
      </c>
      <c r="W314" s="19">
        <v>2.0375000000000001</v>
      </c>
      <c r="X314" s="19">
        <v>1.7</v>
      </c>
      <c r="Y314" s="19">
        <v>2.0375000000000001</v>
      </c>
      <c r="Z314" s="4"/>
      <c r="AA314" s="4"/>
      <c r="AB314" s="4" t="e">
        <f ca="1">_xll.ciqfunctions.udf.CIQ("^SPX", "IQ_PRICEDATE", "3/23/2015")</f>
        <v>#NAME?</v>
      </c>
      <c r="AC314" s="16">
        <v>2104.4201169500998</v>
      </c>
    </row>
    <row r="315" spans="1:29" x14ac:dyDescent="0.35">
      <c r="A315" s="2" t="s">
        <v>325</v>
      </c>
      <c r="B315" s="4" t="s">
        <v>1308</v>
      </c>
      <c r="C315" s="4" t="s">
        <v>530</v>
      </c>
      <c r="D315" s="4" t="s">
        <v>537</v>
      </c>
      <c r="E315" s="4" t="s">
        <v>613</v>
      </c>
      <c r="F315" s="4" t="s">
        <v>613</v>
      </c>
      <c r="G315" s="14">
        <v>33.020000000000003</v>
      </c>
      <c r="H315" s="10">
        <v>9.0554609999999993</v>
      </c>
      <c r="I315" s="10">
        <v>38.080475999999997</v>
      </c>
      <c r="J315" s="10" t="s">
        <v>534</v>
      </c>
      <c r="K315" s="15">
        <v>0</v>
      </c>
      <c r="L315" s="17">
        <v>17024.030727000001</v>
      </c>
      <c r="M315" s="4" t="s">
        <v>1309</v>
      </c>
      <c r="N315" s="19">
        <v>0.86711099999999997</v>
      </c>
      <c r="O315" s="19">
        <v>4.9622000000000002</v>
      </c>
      <c r="P315" s="19">
        <v>1.3</v>
      </c>
      <c r="Q315" s="19">
        <v>5.2491000000000003</v>
      </c>
      <c r="R315" s="19">
        <v>0.92</v>
      </c>
      <c r="S315" s="19">
        <v>5.3051000000000004</v>
      </c>
      <c r="T315" s="19">
        <v>0.92</v>
      </c>
      <c r="U315" s="19">
        <v>4.8670999999999998</v>
      </c>
      <c r="V315" s="19">
        <v>2.34</v>
      </c>
      <c r="W315" s="19">
        <v>4.0833000000000004</v>
      </c>
      <c r="X315" s="19">
        <v>2.34</v>
      </c>
      <c r="Y315" s="19">
        <v>4.0833000000000004</v>
      </c>
      <c r="Z315" s="4"/>
      <c r="AA315" s="4"/>
      <c r="AB315" s="4" t="e">
        <f ca="1">_xll.ciqfunctions.udf.CIQ("^SPX", "IQ_PRICEDATE", "3/24/2015")</f>
        <v>#NAME?</v>
      </c>
      <c r="AC315" s="16">
        <v>2091.5017884394001</v>
      </c>
    </row>
    <row r="316" spans="1:29" x14ac:dyDescent="0.35">
      <c r="A316" s="2" t="s">
        <v>326</v>
      </c>
      <c r="B316" s="4" t="s">
        <v>1310</v>
      </c>
      <c r="C316" s="4" t="s">
        <v>573</v>
      </c>
      <c r="D316" s="4" t="s">
        <v>574</v>
      </c>
      <c r="E316" s="4" t="s">
        <v>575</v>
      </c>
      <c r="F316" s="4" t="s">
        <v>807</v>
      </c>
      <c r="G316" s="14">
        <v>80.63</v>
      </c>
      <c r="H316" s="10">
        <v>12.503247999999999</v>
      </c>
      <c r="I316" s="10">
        <v>17.912168999999999</v>
      </c>
      <c r="J316" s="10" t="s">
        <v>534</v>
      </c>
      <c r="K316" s="15">
        <v>2.1828E-2</v>
      </c>
      <c r="L316" s="17">
        <v>13264.320919</v>
      </c>
      <c r="M316" s="4" t="s">
        <v>1311</v>
      </c>
      <c r="N316" s="19">
        <v>4.5014089999999998</v>
      </c>
      <c r="O316" s="19">
        <v>4.9147999999999996</v>
      </c>
      <c r="P316" s="19">
        <v>4.3299989999999999</v>
      </c>
      <c r="Q316" s="19">
        <v>4.2944000000000004</v>
      </c>
      <c r="R316" s="19">
        <v>0.63999899999999998</v>
      </c>
      <c r="S316" s="19">
        <v>4.0232999999999999</v>
      </c>
      <c r="T316" s="19">
        <v>0.63999899999999998</v>
      </c>
      <c r="U316" s="19">
        <v>3.657</v>
      </c>
      <c r="V316" s="19">
        <v>2.389999</v>
      </c>
      <c r="W316" s="19">
        <v>3.1396000000000002</v>
      </c>
      <c r="X316" s="19">
        <v>2.389999</v>
      </c>
      <c r="Y316" s="19">
        <v>3.1396000000000002</v>
      </c>
      <c r="Z316" s="4"/>
      <c r="AA316" s="4"/>
      <c r="AB316" s="4" t="e">
        <f ca="1">_xll.ciqfunctions.udf.CIQ("^SPX", "IQ_PRICEDATE", "3/25/2015")</f>
        <v>#NAME?</v>
      </c>
      <c r="AC316" s="16">
        <v>2061.0474809228999</v>
      </c>
    </row>
    <row r="317" spans="1:29" x14ac:dyDescent="0.35">
      <c r="A317" s="2" t="s">
        <v>327</v>
      </c>
      <c r="B317" s="4" t="s">
        <v>1312</v>
      </c>
      <c r="C317" s="4" t="s">
        <v>669</v>
      </c>
      <c r="D317" s="4" t="s">
        <v>669</v>
      </c>
      <c r="E317" s="4" t="s">
        <v>730</v>
      </c>
      <c r="F317" s="4" t="s">
        <v>731</v>
      </c>
      <c r="G317" s="14">
        <v>41.87</v>
      </c>
      <c r="H317" s="10">
        <v>28.175878999999998</v>
      </c>
      <c r="I317" s="10" t="s">
        <v>534</v>
      </c>
      <c r="J317" s="10">
        <v>3.5943700000000001</v>
      </c>
      <c r="K317" s="15">
        <v>4.7759999999999999E-3</v>
      </c>
      <c r="L317" s="17">
        <v>16020.276706000001</v>
      </c>
      <c r="M317" s="4" t="s">
        <v>1313</v>
      </c>
      <c r="N317" s="19">
        <v>-0.23</v>
      </c>
      <c r="O317" s="19">
        <v>0.66539999999999999</v>
      </c>
      <c r="P317" s="19">
        <v>-0.63</v>
      </c>
      <c r="Q317" s="19">
        <v>9.01E-2</v>
      </c>
      <c r="R317" s="19">
        <v>-6.4148930000000002</v>
      </c>
      <c r="S317" s="19">
        <v>-0.7802</v>
      </c>
      <c r="T317" s="19">
        <v>-6.4148930000000002</v>
      </c>
      <c r="U317" s="19">
        <v>1.5317000000000001</v>
      </c>
      <c r="V317" s="19">
        <v>5.7</v>
      </c>
      <c r="W317" s="19">
        <v>5.9945000000000004</v>
      </c>
      <c r="X317" s="19">
        <v>5.7</v>
      </c>
      <c r="Y317" s="19">
        <v>5.9945000000000004</v>
      </c>
      <c r="Z317" s="4"/>
      <c r="AA317" s="4"/>
      <c r="AB317" s="4" t="e">
        <f ca="1">_xll.ciqfunctions.udf.CIQ("^SPX", "IQ_PRICEDATE", "3/26/2015")</f>
        <v>#NAME?</v>
      </c>
      <c r="AC317" s="16">
        <v>2056.1488082319001</v>
      </c>
    </row>
    <row r="318" spans="1:29" x14ac:dyDescent="0.35">
      <c r="A318" s="2" t="s">
        <v>328</v>
      </c>
      <c r="B318" s="4" t="s">
        <v>1314</v>
      </c>
      <c r="C318" s="4" t="s">
        <v>530</v>
      </c>
      <c r="D318" s="4" t="s">
        <v>537</v>
      </c>
      <c r="E318" s="4" t="s">
        <v>613</v>
      </c>
      <c r="F318" s="4" t="s">
        <v>613</v>
      </c>
      <c r="G318" s="14">
        <v>50.59</v>
      </c>
      <c r="H318" s="10">
        <v>7.4100630000000001</v>
      </c>
      <c r="I318" s="10">
        <v>9.4104489999999998</v>
      </c>
      <c r="J318" s="10">
        <v>4.8895179999999998</v>
      </c>
      <c r="K318" s="15">
        <v>0</v>
      </c>
      <c r="L318" s="17">
        <v>8725.1952259999998</v>
      </c>
      <c r="M318" s="4" t="s">
        <v>1315</v>
      </c>
      <c r="N318" s="19">
        <v>5.3759389999999998</v>
      </c>
      <c r="O318" s="19">
        <v>-2.4963000000000002</v>
      </c>
      <c r="P318" s="19">
        <v>-0.62000699999999997</v>
      </c>
      <c r="Q318" s="19">
        <v>-1.3118000000000001</v>
      </c>
      <c r="R318" s="19">
        <v>-1.0997729999999999</v>
      </c>
      <c r="S318" s="19">
        <v>-0.9375</v>
      </c>
      <c r="T318" s="19">
        <v>-1.0997729999999999</v>
      </c>
      <c r="U318" s="19">
        <v>-1.4531000000000001</v>
      </c>
      <c r="V318" s="19">
        <v>-0.42496</v>
      </c>
      <c r="W318" s="19">
        <v>-0.39600000000000002</v>
      </c>
      <c r="X318" s="19">
        <v>-0.42496</v>
      </c>
      <c r="Y318" s="19">
        <v>-0.39600000000000002</v>
      </c>
      <c r="Z318" s="4"/>
      <c r="AA318" s="4"/>
      <c r="AB318" s="4" t="e">
        <f ca="1">_xll.ciqfunctions.udf.CIQ("^SPX", "IQ_PRICEDATE", "3/27/2015")</f>
        <v>#NAME?</v>
      </c>
      <c r="AC318" s="16">
        <v>2061.0219968101001</v>
      </c>
    </row>
    <row r="319" spans="1:29" x14ac:dyDescent="0.35">
      <c r="A319" s="2" t="s">
        <v>329</v>
      </c>
      <c r="B319" s="4" t="s">
        <v>1316</v>
      </c>
      <c r="C319" s="4" t="s">
        <v>543</v>
      </c>
      <c r="D319" s="4" t="s">
        <v>664</v>
      </c>
      <c r="E319" s="4" t="s">
        <v>688</v>
      </c>
      <c r="F319" s="4" t="s">
        <v>688</v>
      </c>
      <c r="G319" s="14">
        <v>79.069999999999993</v>
      </c>
      <c r="H319" s="10">
        <v>14.533227999999999</v>
      </c>
      <c r="I319" s="10">
        <v>94.492610999999997</v>
      </c>
      <c r="J319" s="10">
        <v>201.55133599999999</v>
      </c>
      <c r="K319" s="15">
        <v>2.0235E-2</v>
      </c>
      <c r="L319" s="17">
        <v>20500.340686</v>
      </c>
      <c r="M319" s="4" t="s">
        <v>1317</v>
      </c>
      <c r="N319" s="19">
        <v>0.836785</v>
      </c>
      <c r="O319" s="19">
        <v>4.4036999999999997</v>
      </c>
      <c r="P319" s="19">
        <v>2.3137349999999999</v>
      </c>
      <c r="Q319" s="19">
        <v>3.5114000000000001</v>
      </c>
      <c r="R319" s="19">
        <v>1.1017729999999999</v>
      </c>
      <c r="S319" s="19">
        <v>2.8216000000000001</v>
      </c>
      <c r="T319" s="19">
        <v>1.1017729999999999</v>
      </c>
      <c r="U319" s="19">
        <v>2.5897000000000001</v>
      </c>
      <c r="V319" s="19">
        <v>1.906989</v>
      </c>
      <c r="W319" s="19">
        <v>3.0823</v>
      </c>
      <c r="X319" s="19">
        <v>1.906989</v>
      </c>
      <c r="Y319" s="19">
        <v>3.0823</v>
      </c>
      <c r="Z319" s="4"/>
      <c r="AA319" s="4"/>
      <c r="AB319" s="4" t="e">
        <f ca="1">_xll.ciqfunctions.udf.CIQ("^SPX", "IQ_PRICEDATE", "3/30/2015")</f>
        <v>#NAME?</v>
      </c>
      <c r="AC319" s="16">
        <v>2086.2373115864998</v>
      </c>
    </row>
    <row r="320" spans="1:29" x14ac:dyDescent="0.35">
      <c r="A320" s="2" t="s">
        <v>330</v>
      </c>
      <c r="B320" s="4" t="s">
        <v>1318</v>
      </c>
      <c r="C320" s="4" t="s">
        <v>549</v>
      </c>
      <c r="D320" s="4" t="s">
        <v>550</v>
      </c>
      <c r="E320" s="4" t="s">
        <v>551</v>
      </c>
      <c r="F320" s="4" t="s">
        <v>1319</v>
      </c>
      <c r="G320" s="14">
        <v>364.7</v>
      </c>
      <c r="H320" s="10">
        <v>95.742203000000003</v>
      </c>
      <c r="I320" s="10">
        <v>130.17440500000001</v>
      </c>
      <c r="J320" s="10" t="s">
        <v>534</v>
      </c>
      <c r="K320" s="15">
        <v>0</v>
      </c>
      <c r="L320" s="17">
        <v>158811.35207399999</v>
      </c>
      <c r="M320" s="4" t="s">
        <v>1320</v>
      </c>
      <c r="N320" s="19">
        <v>2.8016260000000002</v>
      </c>
      <c r="O320" s="19">
        <v>3.3824000000000001</v>
      </c>
      <c r="P320" s="19">
        <v>1.25</v>
      </c>
      <c r="Q320" s="19">
        <v>2.15</v>
      </c>
      <c r="R320" s="19">
        <v>0.43</v>
      </c>
      <c r="S320" s="19">
        <v>0.76919999999999999</v>
      </c>
      <c r="T320" s="19">
        <v>0.43</v>
      </c>
      <c r="U320" s="19">
        <v>0.15329999999999999</v>
      </c>
      <c r="V320" s="19">
        <v>0.62</v>
      </c>
      <c r="W320" s="19">
        <v>0.50800000000000001</v>
      </c>
      <c r="X320" s="19">
        <v>0.62</v>
      </c>
      <c r="Y320" s="19">
        <v>0.50800000000000001</v>
      </c>
      <c r="Z320" s="4"/>
      <c r="AA320" s="4"/>
      <c r="AB320" s="4" t="e">
        <f ca="1">_xll.ciqfunctions.udf.CIQ("^SPX", "IQ_PRICEDATE", "3/31/2015")</f>
        <v>#NAME?</v>
      </c>
      <c r="AC320" s="16">
        <v>2067.8872407585</v>
      </c>
    </row>
    <row r="321" spans="1:29" x14ac:dyDescent="0.35">
      <c r="A321" s="2" t="s">
        <v>331</v>
      </c>
      <c r="B321" s="4" t="s">
        <v>1321</v>
      </c>
      <c r="C321" s="4" t="s">
        <v>559</v>
      </c>
      <c r="D321" s="4" t="s">
        <v>912</v>
      </c>
      <c r="E321" s="4" t="s">
        <v>913</v>
      </c>
      <c r="F321" s="4" t="s">
        <v>1322</v>
      </c>
      <c r="G321" s="14">
        <v>17.75</v>
      </c>
      <c r="H321" s="10">
        <v>8.4282540000000008</v>
      </c>
      <c r="I321" s="10">
        <v>4.2112100000000003</v>
      </c>
      <c r="J321" s="10" t="s">
        <v>534</v>
      </c>
      <c r="K321" s="15">
        <v>5.1830000000000001E-2</v>
      </c>
      <c r="L321" s="17">
        <v>8386.875</v>
      </c>
      <c r="M321" s="4" t="s">
        <v>1323</v>
      </c>
      <c r="N321" s="19">
        <v>4.2149400000000004</v>
      </c>
      <c r="O321" s="19">
        <v>2.1389</v>
      </c>
      <c r="P321" s="19">
        <v>5.63</v>
      </c>
      <c r="Q321" s="19">
        <v>2.8382000000000001</v>
      </c>
      <c r="R321" s="19">
        <v>1.25</v>
      </c>
      <c r="S321" s="19">
        <v>2.7991999999999999</v>
      </c>
      <c r="T321" s="19">
        <v>1.25</v>
      </c>
      <c r="U321" s="19">
        <v>2.3395999999999999</v>
      </c>
      <c r="V321" s="19">
        <v>1.34</v>
      </c>
      <c r="W321" s="19">
        <v>2.1078000000000001</v>
      </c>
      <c r="X321" s="19">
        <v>1.34</v>
      </c>
      <c r="Y321" s="19">
        <v>2.1078000000000001</v>
      </c>
      <c r="Z321" s="4"/>
      <c r="AA321" s="4"/>
      <c r="AB321" s="4" t="e">
        <f ca="1">_xll.ciqfunctions.udf.CIQ("^SPX", "IQ_PRICEDATE", "4/1/2015")</f>
        <v>#NAME?</v>
      </c>
      <c r="AC321" s="16">
        <v>2059.6908719502999</v>
      </c>
    </row>
    <row r="322" spans="1:29" x14ac:dyDescent="0.35">
      <c r="A322" s="2" t="s">
        <v>332</v>
      </c>
      <c r="B322" s="4" t="s">
        <v>1324</v>
      </c>
      <c r="C322" s="4" t="s">
        <v>669</v>
      </c>
      <c r="D322" s="4" t="s">
        <v>669</v>
      </c>
      <c r="E322" s="4" t="s">
        <v>670</v>
      </c>
      <c r="F322" s="4" t="s">
        <v>671</v>
      </c>
      <c r="G322" s="14">
        <v>24.54</v>
      </c>
      <c r="H322" s="10">
        <v>7.1722869999999999</v>
      </c>
      <c r="I322" s="10">
        <v>12.715025000000001</v>
      </c>
      <c r="J322" s="10">
        <v>2.9578380000000002</v>
      </c>
      <c r="K322" s="15">
        <v>0</v>
      </c>
      <c r="L322" s="17">
        <v>4850.9799359999997</v>
      </c>
      <c r="M322" s="4" t="s">
        <v>1325</v>
      </c>
      <c r="N322" s="19">
        <v>1.93</v>
      </c>
      <c r="O322" s="19">
        <v>3.7919</v>
      </c>
      <c r="P322" s="19">
        <v>2.13</v>
      </c>
      <c r="Q322" s="19">
        <v>2.2008000000000001</v>
      </c>
      <c r="R322" s="19">
        <v>-6.3730560000000001</v>
      </c>
      <c r="S322" s="19">
        <v>1.5844</v>
      </c>
      <c r="T322" s="19">
        <v>-6.3730560000000001</v>
      </c>
      <c r="U322" s="19">
        <v>0.38550000000000001</v>
      </c>
      <c r="V322" s="19">
        <v>4.71</v>
      </c>
      <c r="W322" s="19">
        <v>1.8422000000000001</v>
      </c>
      <c r="X322" s="19">
        <v>4.71</v>
      </c>
      <c r="Y322" s="19">
        <v>1.8422000000000001</v>
      </c>
      <c r="Z322" s="4"/>
      <c r="AA322" s="4"/>
      <c r="AB322" s="4" t="e">
        <f ca="1">_xll.ciqfunctions.udf.CIQ("^SPX", "IQ_PRICEDATE", "4/2/2015")</f>
        <v>#NAME?</v>
      </c>
      <c r="AC322" s="16">
        <v>2066.9648541660999</v>
      </c>
    </row>
    <row r="323" spans="1:29" x14ac:dyDescent="0.35">
      <c r="A323" s="2" t="s">
        <v>333</v>
      </c>
      <c r="B323" s="4" t="s">
        <v>1326</v>
      </c>
      <c r="C323" s="4" t="s">
        <v>586</v>
      </c>
      <c r="D323" s="4" t="s">
        <v>586</v>
      </c>
      <c r="E323" s="4" t="s">
        <v>1066</v>
      </c>
      <c r="F323" s="4" t="s">
        <v>1327</v>
      </c>
      <c r="G323" s="14">
        <v>32.11</v>
      </c>
      <c r="H323" s="10">
        <v>6.8900480000000002</v>
      </c>
      <c r="I323" s="10">
        <v>139.18508800000001</v>
      </c>
      <c r="J323" s="10">
        <v>1.5827819999999999</v>
      </c>
      <c r="K323" s="15">
        <v>1.7440000000000001E-2</v>
      </c>
      <c r="L323" s="17">
        <v>17127.433316999999</v>
      </c>
      <c r="M323" s="4" t="s">
        <v>1328</v>
      </c>
      <c r="N323" s="19">
        <v>0.23069999999999999</v>
      </c>
      <c r="O323" s="19">
        <v>1.2717000000000001</v>
      </c>
      <c r="P323" s="19">
        <v>-0.11257</v>
      </c>
      <c r="Q323" s="19">
        <v>1.3714</v>
      </c>
      <c r="R323" s="19">
        <v>-0.41509400000000002</v>
      </c>
      <c r="S323" s="19">
        <v>1.5692999999999999</v>
      </c>
      <c r="T323" s="19">
        <v>-0.41509400000000002</v>
      </c>
      <c r="U323" s="19">
        <v>0.78839999999999999</v>
      </c>
      <c r="V323" s="19">
        <v>1.3</v>
      </c>
      <c r="W323" s="19">
        <v>0.83399999999999996</v>
      </c>
      <c r="X323" s="19">
        <v>1.3</v>
      </c>
      <c r="Y323" s="19">
        <v>0.83399999999999996</v>
      </c>
      <c r="Z323" s="4"/>
      <c r="AA323" s="4"/>
      <c r="AB323" s="4" t="e">
        <f ca="1">_xll.ciqfunctions.udf.CIQ("^SPX", "IQ_PRICEDATE", "4/6/2015")</f>
        <v>#NAME?</v>
      </c>
      <c r="AC323" s="16">
        <v>2080.6177622591999</v>
      </c>
    </row>
    <row r="324" spans="1:29" x14ac:dyDescent="0.35">
      <c r="A324" s="2" t="s">
        <v>334</v>
      </c>
      <c r="B324" s="4" t="s">
        <v>1329</v>
      </c>
      <c r="C324" s="4" t="s">
        <v>549</v>
      </c>
      <c r="D324" s="4" t="s">
        <v>550</v>
      </c>
      <c r="E324" s="4" t="s">
        <v>814</v>
      </c>
      <c r="F324" s="4" t="s">
        <v>1330</v>
      </c>
      <c r="G324" s="14">
        <v>13.51</v>
      </c>
      <c r="H324" s="10" t="s">
        <v>534</v>
      </c>
      <c r="I324" s="10">
        <v>0</v>
      </c>
      <c r="J324" s="10">
        <v>0</v>
      </c>
      <c r="K324" s="15">
        <v>0</v>
      </c>
      <c r="L324" s="17">
        <v>7785.5289599999996</v>
      </c>
      <c r="M324" s="4" t="s">
        <v>1331</v>
      </c>
      <c r="N324" s="19">
        <v>-2.6016810000000001</v>
      </c>
      <c r="O324" s="19">
        <v>0.36312</v>
      </c>
      <c r="P324" s="19">
        <v>-0.77938600000000002</v>
      </c>
      <c r="Q324" s="19">
        <v>0.50560000000000005</v>
      </c>
      <c r="R324" s="19">
        <v>-0.61660300000000001</v>
      </c>
      <c r="S324" s="19">
        <v>0.37619999999999998</v>
      </c>
      <c r="T324" s="19">
        <v>-0.61660300000000001</v>
      </c>
      <c r="U324" s="19">
        <v>0.53839999999999999</v>
      </c>
      <c r="V324" s="19">
        <v>0.52976699999999999</v>
      </c>
      <c r="W324" s="19">
        <v>0.45250000000000001</v>
      </c>
      <c r="X324" s="19">
        <v>0.52976699999999999</v>
      </c>
      <c r="Y324" s="19">
        <v>0.45250000000000001</v>
      </c>
      <c r="Z324" s="4"/>
      <c r="AA324" s="4"/>
      <c r="AB324" s="4" t="e">
        <f ca="1">_xll.ciqfunctions.udf.CIQ("^SPX", "IQ_PRICEDATE", "4/7/2015")</f>
        <v>#NAME?</v>
      </c>
      <c r="AC324" s="16">
        <v>2076.3337338901001</v>
      </c>
    </row>
    <row r="325" spans="1:29" x14ac:dyDescent="0.35">
      <c r="A325" s="2" t="s">
        <v>335</v>
      </c>
      <c r="B325" s="4" t="s">
        <v>1329</v>
      </c>
      <c r="C325" s="4" t="s">
        <v>549</v>
      </c>
      <c r="D325" s="4" t="s">
        <v>550</v>
      </c>
      <c r="E325" s="4" t="s">
        <v>814</v>
      </c>
      <c r="F325" s="4" t="s">
        <v>1330</v>
      </c>
      <c r="G325" s="14">
        <v>13.21</v>
      </c>
      <c r="H325" s="10" t="s">
        <v>534</v>
      </c>
      <c r="I325" s="10" t="s">
        <v>534</v>
      </c>
      <c r="J325" s="10">
        <v>8.1272950000000002</v>
      </c>
      <c r="K325" s="15">
        <v>1.5140000000000001E-2</v>
      </c>
      <c r="L325" s="17">
        <v>7785.5289599999996</v>
      </c>
      <c r="M325" s="4" t="s">
        <v>1331</v>
      </c>
      <c r="N325" s="19">
        <v>-2.6016810000000001</v>
      </c>
      <c r="O325" s="19">
        <v>0.36312</v>
      </c>
      <c r="P325" s="19">
        <v>-0.77938600000000002</v>
      </c>
      <c r="Q325" s="19">
        <v>0.50560000000000005</v>
      </c>
      <c r="R325" s="19">
        <v>-0.61660300000000001</v>
      </c>
      <c r="S325" s="19">
        <v>0.37619999999999998</v>
      </c>
      <c r="T325" s="19">
        <v>-0.61660300000000001</v>
      </c>
      <c r="U325" s="19">
        <v>0.53839999999999999</v>
      </c>
      <c r="V325" s="19">
        <v>0.52976699999999999</v>
      </c>
      <c r="W325" s="19">
        <v>0.51949999999999996</v>
      </c>
      <c r="X325" s="19">
        <v>0.52976699999999999</v>
      </c>
      <c r="Y325" s="19">
        <v>0.51949999999999996</v>
      </c>
      <c r="Z325" s="4"/>
      <c r="AA325" s="4"/>
      <c r="AB325" s="4" t="e">
        <f ca="1">_xll.ciqfunctions.udf.CIQ("^SPX", "IQ_PRICEDATE", "4/8/2015")</f>
        <v>#NAME?</v>
      </c>
      <c r="AC325" s="16">
        <v>2081.9039764783001</v>
      </c>
    </row>
    <row r="326" spans="1:29" x14ac:dyDescent="0.35">
      <c r="A326" s="2" t="s">
        <v>336</v>
      </c>
      <c r="B326" s="4" t="s">
        <v>1332</v>
      </c>
      <c r="C326" s="4" t="s">
        <v>619</v>
      </c>
      <c r="D326" s="4" t="s">
        <v>619</v>
      </c>
      <c r="E326" s="4" t="s">
        <v>620</v>
      </c>
      <c r="F326" s="4" t="s">
        <v>620</v>
      </c>
      <c r="G326" s="14">
        <v>170.82</v>
      </c>
      <c r="H326" s="10">
        <v>13.342378999999999</v>
      </c>
      <c r="I326" s="10">
        <v>9.8845340000000004</v>
      </c>
      <c r="J326" s="10">
        <v>2.4396439999999999</v>
      </c>
      <c r="K326" s="15">
        <v>2.5992000000000001E-2</v>
      </c>
      <c r="L326" s="17">
        <v>80559.512121000007</v>
      </c>
      <c r="M326" s="4" t="s">
        <v>1333</v>
      </c>
      <c r="N326" s="19">
        <v>17.281542999999999</v>
      </c>
      <c r="O326" s="19">
        <v>7.7286000000000001</v>
      </c>
      <c r="P326" s="19">
        <v>11.38</v>
      </c>
      <c r="Q326" s="19">
        <v>6.8398000000000003</v>
      </c>
      <c r="R326" s="19">
        <v>6.25</v>
      </c>
      <c r="S326" s="19">
        <v>6.2187999999999999</v>
      </c>
      <c r="T326" s="19">
        <v>6.25</v>
      </c>
      <c r="U326" s="19">
        <v>5.8682999999999996</v>
      </c>
      <c r="V326" s="19">
        <v>5.6</v>
      </c>
      <c r="W326" s="19">
        <v>5.5164</v>
      </c>
      <c r="X326" s="19">
        <v>5.6</v>
      </c>
      <c r="Y326" s="19">
        <v>5.5164</v>
      </c>
      <c r="Z326" s="4"/>
      <c r="AA326" s="4"/>
      <c r="AB326" s="4" t="e">
        <f ca="1">_xll.ciqfunctions.udf.CIQ("^SPX", "IQ_PRICEDATE", "4/9/2015")</f>
        <v>#NAME?</v>
      </c>
      <c r="AC326" s="16">
        <v>2091.1811724098002</v>
      </c>
    </row>
    <row r="327" spans="1:29" x14ac:dyDescent="0.35">
      <c r="A327" s="2" t="s">
        <v>337</v>
      </c>
      <c r="B327" s="4" t="s">
        <v>1334</v>
      </c>
      <c r="C327" s="4" t="s">
        <v>525</v>
      </c>
      <c r="D327" s="4" t="s">
        <v>855</v>
      </c>
      <c r="E327" s="4" t="s">
        <v>990</v>
      </c>
      <c r="F327" s="4" t="s">
        <v>991</v>
      </c>
      <c r="G327" s="14">
        <v>27.05</v>
      </c>
      <c r="H327" s="10">
        <v>10.911452000000001</v>
      </c>
      <c r="I327" s="10">
        <v>26.00074</v>
      </c>
      <c r="J327" s="10" t="s">
        <v>534</v>
      </c>
      <c r="K327" s="15">
        <v>5.1756000000000003E-2</v>
      </c>
      <c r="L327" s="17">
        <v>9608.3658230000001</v>
      </c>
      <c r="M327" s="4" t="s">
        <v>1335</v>
      </c>
      <c r="N327" s="19">
        <v>1.0403549999999999</v>
      </c>
      <c r="O327" s="19">
        <v>2.1158999999999999</v>
      </c>
      <c r="P327" s="19">
        <v>1.2</v>
      </c>
      <c r="Q327" s="19">
        <v>2.5840999999999998</v>
      </c>
      <c r="R327" s="19">
        <v>1.389999</v>
      </c>
      <c r="S327" s="19">
        <v>2.6619999999999999</v>
      </c>
      <c r="T327" s="19">
        <v>1.389999</v>
      </c>
      <c r="U327" s="19">
        <v>2.774</v>
      </c>
      <c r="V327" s="19">
        <v>0.99903299999999995</v>
      </c>
      <c r="W327" s="19">
        <v>2.7361</v>
      </c>
      <c r="X327" s="19">
        <v>0.99903299999999995</v>
      </c>
      <c r="Y327" s="19">
        <v>2.7361</v>
      </c>
      <c r="Z327" s="4"/>
      <c r="AA327" s="4"/>
      <c r="AB327" s="4" t="e">
        <f ca="1">_xll.ciqfunctions.udf.CIQ("^SPX", "IQ_PRICEDATE", "4/10/2015")</f>
        <v>#NAME?</v>
      </c>
      <c r="AC327" s="16">
        <v>2102.0553488088999</v>
      </c>
    </row>
    <row r="328" spans="1:29" x14ac:dyDescent="0.35">
      <c r="A328" s="2" t="s">
        <v>338</v>
      </c>
      <c r="B328" s="4" t="s">
        <v>1336</v>
      </c>
      <c r="C328" s="4" t="s">
        <v>559</v>
      </c>
      <c r="D328" s="4" t="s">
        <v>912</v>
      </c>
      <c r="E328" s="4" t="s">
        <v>1097</v>
      </c>
      <c r="F328" s="4" t="s">
        <v>1337</v>
      </c>
      <c r="G328" s="14">
        <v>76.48</v>
      </c>
      <c r="H328" s="10">
        <v>22.170774000000002</v>
      </c>
      <c r="I328" s="10">
        <v>60.602649999999997</v>
      </c>
      <c r="J328" s="10">
        <v>14.207007000000001</v>
      </c>
      <c r="K328" s="15">
        <v>1.0460000000000001E-2</v>
      </c>
      <c r="L328" s="17">
        <v>121458.526761</v>
      </c>
      <c r="M328" s="4" t="s">
        <v>1338</v>
      </c>
      <c r="N328" s="19">
        <v>1.2619910000000001</v>
      </c>
      <c r="O328" s="19">
        <v>2.7951999999999999</v>
      </c>
      <c r="P328" s="19">
        <v>2.3112910000000002</v>
      </c>
      <c r="Q328" s="19">
        <v>2.4445000000000001</v>
      </c>
      <c r="R328" s="19">
        <v>2.267814</v>
      </c>
      <c r="S328" s="19">
        <v>2.4293</v>
      </c>
      <c r="T328" s="19">
        <v>2.267814</v>
      </c>
      <c r="U328" s="19">
        <v>2.2677</v>
      </c>
      <c r="V328" s="19">
        <v>1.674021</v>
      </c>
      <c r="W328" s="19">
        <v>1.9109</v>
      </c>
      <c r="X328" s="19">
        <v>1.674021</v>
      </c>
      <c r="Y328" s="19">
        <v>1.9109</v>
      </c>
      <c r="Z328" s="4"/>
      <c r="AA328" s="4"/>
      <c r="AB328" s="4" t="e">
        <f ca="1">_xll.ciqfunctions.udf.CIQ("^SPX", "IQ_PRICEDATE", "4/13/2015")</f>
        <v>#NAME?</v>
      </c>
      <c r="AC328" s="16">
        <v>2092.4295913532001</v>
      </c>
    </row>
    <row r="329" spans="1:29" x14ac:dyDescent="0.35">
      <c r="A329" s="2" t="s">
        <v>339</v>
      </c>
      <c r="B329" s="4" t="s">
        <v>1339</v>
      </c>
      <c r="C329" s="4" t="s">
        <v>619</v>
      </c>
      <c r="D329" s="4" t="s">
        <v>619</v>
      </c>
      <c r="E329" s="4" t="s">
        <v>634</v>
      </c>
      <c r="F329" s="4" t="s">
        <v>634</v>
      </c>
      <c r="G329" s="14">
        <v>25.03</v>
      </c>
      <c r="H329" s="10">
        <v>12.416881999999999</v>
      </c>
      <c r="I329" s="10">
        <v>32.696984999999998</v>
      </c>
      <c r="J329" s="10">
        <v>2.8821789999999998</v>
      </c>
      <c r="K329" s="15">
        <v>3.1162000000000002E-2</v>
      </c>
      <c r="L329" s="17">
        <v>9086.8082259999992</v>
      </c>
      <c r="M329" s="4" t="s">
        <v>1340</v>
      </c>
      <c r="N329" s="19">
        <v>0.76551400000000003</v>
      </c>
      <c r="O329" s="19">
        <v>1.3664000000000001</v>
      </c>
      <c r="P329" s="19">
        <v>0.39</v>
      </c>
      <c r="Q329" s="19">
        <v>1.2854000000000001</v>
      </c>
      <c r="R329" s="19">
        <v>1.01</v>
      </c>
      <c r="S329" s="19">
        <v>1.1627000000000001</v>
      </c>
      <c r="T329" s="19">
        <v>1.01</v>
      </c>
      <c r="U329" s="19">
        <v>1.0684</v>
      </c>
      <c r="V329" s="19">
        <v>0.81</v>
      </c>
      <c r="W329" s="19">
        <v>1.7846</v>
      </c>
      <c r="X329" s="19">
        <v>0.81</v>
      </c>
      <c r="Y329" s="19">
        <v>1.7846</v>
      </c>
      <c r="Z329" s="4"/>
      <c r="AA329" s="4"/>
      <c r="AB329" s="4" t="e">
        <f ca="1">_xll.ciqfunctions.udf.CIQ("^SPX", "IQ_PRICEDATE", "4/14/2015")</f>
        <v>#NAME?</v>
      </c>
      <c r="AC329" s="16">
        <v>2095.8353553612001</v>
      </c>
    </row>
    <row r="330" spans="1:29" x14ac:dyDescent="0.35">
      <c r="A330" s="2" t="s">
        <v>340</v>
      </c>
      <c r="B330" s="4" t="s">
        <v>1341</v>
      </c>
      <c r="C330" s="4" t="s">
        <v>669</v>
      </c>
      <c r="D330" s="4" t="s">
        <v>669</v>
      </c>
      <c r="E330" s="4" t="s">
        <v>670</v>
      </c>
      <c r="F330" s="4" t="s">
        <v>671</v>
      </c>
      <c r="G330" s="14">
        <v>31.4</v>
      </c>
      <c r="H330" s="10">
        <v>8.5730280000000008</v>
      </c>
      <c r="I330" s="10">
        <v>17.148152</v>
      </c>
      <c r="J330" s="10">
        <v>1.782918</v>
      </c>
      <c r="K330" s="15">
        <v>1.4012E-2</v>
      </c>
      <c r="L330" s="17">
        <v>15074.121321000001</v>
      </c>
      <c r="M330" s="4" t="s">
        <v>1342</v>
      </c>
      <c r="N330" s="19">
        <v>1.8311010000000001</v>
      </c>
      <c r="O330" s="19">
        <v>0.98440000000000005</v>
      </c>
      <c r="P330" s="19">
        <v>-2.3837950000000001</v>
      </c>
      <c r="Q330" s="19">
        <v>0.1216</v>
      </c>
      <c r="R330" s="19">
        <v>-2.3209300000000002</v>
      </c>
      <c r="S330" s="19">
        <v>-0.49909999999999999</v>
      </c>
      <c r="T330" s="19">
        <v>-2.3209300000000002</v>
      </c>
      <c r="U330" s="19">
        <v>-0.2122</v>
      </c>
      <c r="V330" s="19">
        <v>3.2615799999999999</v>
      </c>
      <c r="W330" s="19">
        <v>1.6998</v>
      </c>
      <c r="X330" s="19">
        <v>3.2615799999999999</v>
      </c>
      <c r="Y330" s="19">
        <v>1.6998</v>
      </c>
      <c r="Z330" s="4"/>
      <c r="AA330" s="4"/>
      <c r="AB330" s="4" t="e">
        <f ca="1">_xll.ciqfunctions.udf.CIQ("^SPX", "IQ_PRICEDATE", "4/15/2015")</f>
        <v>#NAME?</v>
      </c>
      <c r="AC330" s="16">
        <v>2106.6262636495999</v>
      </c>
    </row>
    <row r="331" spans="1:29" x14ac:dyDescent="0.35">
      <c r="A331" s="2" t="s">
        <v>341</v>
      </c>
      <c r="B331" s="4" t="s">
        <v>1343</v>
      </c>
      <c r="C331" s="4" t="s">
        <v>559</v>
      </c>
      <c r="D331" s="4" t="s">
        <v>560</v>
      </c>
      <c r="E331" s="4" t="s">
        <v>940</v>
      </c>
      <c r="F331" s="4" t="s">
        <v>1211</v>
      </c>
      <c r="G331" s="14">
        <v>60.41</v>
      </c>
      <c r="H331" s="10">
        <v>7.0530400000000002</v>
      </c>
      <c r="I331" s="10">
        <v>19.942202999999999</v>
      </c>
      <c r="J331" s="10">
        <v>11.356539</v>
      </c>
      <c r="K331" s="15">
        <v>2.4499E-2</v>
      </c>
      <c r="L331" s="17">
        <v>10183.039377999999</v>
      </c>
      <c r="M331" s="4" t="s">
        <v>1344</v>
      </c>
      <c r="N331" s="19">
        <v>3.0292539999999999</v>
      </c>
      <c r="O331" s="19">
        <v>3.6128999999999998</v>
      </c>
      <c r="P331" s="19">
        <v>2.8575499999999998</v>
      </c>
      <c r="Q331" s="19">
        <v>2.968</v>
      </c>
      <c r="R331" s="19">
        <v>1.8787050000000001</v>
      </c>
      <c r="S331" s="19">
        <v>3.0581999999999998</v>
      </c>
      <c r="T331" s="19">
        <v>1.8787050000000001</v>
      </c>
      <c r="U331" s="19">
        <v>3.3942999999999999</v>
      </c>
      <c r="V331" s="19">
        <v>3.7707609999999998</v>
      </c>
      <c r="W331" s="19">
        <v>3.9209000000000001</v>
      </c>
      <c r="X331" s="19">
        <v>3.7707609999999998</v>
      </c>
      <c r="Y331" s="19">
        <v>3.9209000000000001</v>
      </c>
      <c r="Z331" s="4"/>
      <c r="AA331" s="4"/>
      <c r="AB331" s="4" t="e">
        <f ca="1">_xll.ciqfunctions.udf.CIQ("^SPX", "IQ_PRICEDATE", "4/16/2015")</f>
        <v>#NAME?</v>
      </c>
      <c r="AC331" s="16">
        <v>2104.9857874947002</v>
      </c>
    </row>
    <row r="332" spans="1:29" x14ac:dyDescent="0.35">
      <c r="A332" s="2" t="s">
        <v>342</v>
      </c>
      <c r="B332" s="4" t="s">
        <v>1345</v>
      </c>
      <c r="C332" s="4" t="s">
        <v>525</v>
      </c>
      <c r="D332" s="4" t="s">
        <v>594</v>
      </c>
      <c r="E332" s="4" t="s">
        <v>903</v>
      </c>
      <c r="F332" s="4" t="s">
        <v>904</v>
      </c>
      <c r="G332" s="14">
        <v>169</v>
      </c>
      <c r="H332" s="10">
        <v>11.600863</v>
      </c>
      <c r="I332" s="10">
        <v>8.4499999999999993</v>
      </c>
      <c r="J332" s="10">
        <v>2.8579639999999999</v>
      </c>
      <c r="K332" s="15">
        <v>1.8933999999999999E-2</v>
      </c>
      <c r="L332" s="17">
        <v>47325.030116000002</v>
      </c>
      <c r="M332" s="4" t="s">
        <v>1346</v>
      </c>
      <c r="N332" s="19">
        <v>20</v>
      </c>
      <c r="O332" s="19">
        <v>9.5861999999999998</v>
      </c>
      <c r="P332" s="19">
        <v>18.608336000000001</v>
      </c>
      <c r="Q332" s="19">
        <v>6.8451000000000004</v>
      </c>
      <c r="R332" s="19">
        <v>5.6216210000000002</v>
      </c>
      <c r="S332" s="19">
        <v>5.8533999999999997</v>
      </c>
      <c r="T332" s="19">
        <v>5.6216210000000002</v>
      </c>
      <c r="U332" s="19">
        <v>5.5622999999999996</v>
      </c>
      <c r="V332" s="19">
        <v>6.3872</v>
      </c>
      <c r="W332" s="19">
        <v>7.0490000000000004</v>
      </c>
      <c r="X332" s="19">
        <v>6.3872</v>
      </c>
      <c r="Y332" s="19">
        <v>7.0490000000000004</v>
      </c>
      <c r="Z332" s="4"/>
      <c r="AA332" s="4"/>
      <c r="AB332" s="4" t="e">
        <f ca="1">_xll.ciqfunctions.udf.CIQ("^SPX", "IQ_PRICEDATE", "4/17/2015")</f>
        <v>#NAME?</v>
      </c>
      <c r="AC332" s="16">
        <v>2081.1777536902</v>
      </c>
    </row>
    <row r="333" spans="1:29" x14ac:dyDescent="0.35">
      <c r="A333" s="2" t="s">
        <v>343</v>
      </c>
      <c r="B333" s="4" t="s">
        <v>1347</v>
      </c>
      <c r="C333" s="4" t="s">
        <v>573</v>
      </c>
      <c r="D333" s="4" t="s">
        <v>574</v>
      </c>
      <c r="E333" s="4" t="s">
        <v>575</v>
      </c>
      <c r="F333" s="4" t="s">
        <v>576</v>
      </c>
      <c r="G333" s="14">
        <v>94.21</v>
      </c>
      <c r="H333" s="10">
        <v>0</v>
      </c>
      <c r="I333" s="10">
        <v>15.782382999999999</v>
      </c>
      <c r="J333" s="10">
        <v>2.4309919999999998</v>
      </c>
      <c r="K333" s="15">
        <v>2.3351999999999998E-2</v>
      </c>
      <c r="L333" s="17">
        <v>20857.622950000001</v>
      </c>
      <c r="M333" s="4" t="s">
        <v>1348</v>
      </c>
      <c r="N333" s="19">
        <v>6.3517710000000003</v>
      </c>
      <c r="O333" s="19">
        <v>6.8392999999999997</v>
      </c>
      <c r="P333" s="19">
        <v>4.92</v>
      </c>
      <c r="Q333" s="19">
        <v>5.4245000000000001</v>
      </c>
      <c r="R333" s="19">
        <v>4.32</v>
      </c>
      <c r="S333" s="19">
        <v>4.5838999999999999</v>
      </c>
      <c r="T333" s="19">
        <v>4.32</v>
      </c>
      <c r="U333" s="19">
        <v>4.0640000000000001</v>
      </c>
      <c r="V333" s="19">
        <v>3.32</v>
      </c>
      <c r="W333" s="19">
        <v>3.5537999999999998</v>
      </c>
      <c r="X333" s="19">
        <v>3.32</v>
      </c>
      <c r="Y333" s="19">
        <v>3.5537999999999998</v>
      </c>
      <c r="Z333" s="4"/>
      <c r="AA333" s="4"/>
      <c r="AB333" s="4" t="e">
        <f ca="1">_xll.ciqfunctions.udf.CIQ("^SPX", "IQ_PRICEDATE", "4/20/2015")</f>
        <v>#NAME?</v>
      </c>
      <c r="AC333" s="16">
        <v>2100.4009440958998</v>
      </c>
    </row>
    <row r="334" spans="1:29" x14ac:dyDescent="0.35">
      <c r="A334" s="2" t="s">
        <v>344</v>
      </c>
      <c r="B334" s="4" t="s">
        <v>1349</v>
      </c>
      <c r="C334" s="4" t="s">
        <v>525</v>
      </c>
      <c r="D334" s="4" t="s">
        <v>526</v>
      </c>
      <c r="E334" s="4" t="s">
        <v>703</v>
      </c>
      <c r="F334" s="4" t="s">
        <v>703</v>
      </c>
      <c r="G334" s="14">
        <v>309.5</v>
      </c>
      <c r="H334" s="10">
        <v>16.487465</v>
      </c>
      <c r="I334" s="10">
        <v>24.26032</v>
      </c>
      <c r="J334" s="10" t="s">
        <v>534</v>
      </c>
      <c r="K334" s="15">
        <v>1.5507999999999999E-2</v>
      </c>
      <c r="L334" s="17">
        <v>53891.198181</v>
      </c>
      <c r="M334" s="4" t="s">
        <v>1350</v>
      </c>
      <c r="N334" s="19">
        <v>12.757457</v>
      </c>
      <c r="O334" s="19">
        <v>17.9908</v>
      </c>
      <c r="P334" s="19">
        <v>11.47</v>
      </c>
      <c r="Q334" s="19">
        <v>12.540699999999999</v>
      </c>
      <c r="R334" s="19">
        <v>12.19</v>
      </c>
      <c r="S334" s="19">
        <v>11.597300000000001</v>
      </c>
      <c r="T334" s="19">
        <v>12.19</v>
      </c>
      <c r="U334" s="19">
        <v>9.7711000000000006</v>
      </c>
      <c r="V334" s="19">
        <v>9.75</v>
      </c>
      <c r="W334" s="19">
        <v>8.8088999999999995</v>
      </c>
      <c r="X334" s="19">
        <v>9.75</v>
      </c>
      <c r="Y334" s="19">
        <v>8.8088999999999995</v>
      </c>
      <c r="Z334" s="4"/>
      <c r="AA334" s="4"/>
      <c r="AB334" s="4" t="e">
        <f ca="1">_xll.ciqfunctions.udf.CIQ("^SPX", "IQ_PRICEDATE", "4/21/2015")</f>
        <v>#NAME?</v>
      </c>
      <c r="AC334" s="16">
        <v>2097.2888943436001</v>
      </c>
    </row>
    <row r="335" spans="1:29" x14ac:dyDescent="0.35">
      <c r="A335" s="2" t="s">
        <v>345</v>
      </c>
      <c r="B335" s="4" t="s">
        <v>1351</v>
      </c>
      <c r="C335" s="4" t="s">
        <v>559</v>
      </c>
      <c r="D335" s="4" t="s">
        <v>798</v>
      </c>
      <c r="E335" s="4" t="s">
        <v>799</v>
      </c>
      <c r="F335" s="4" t="s">
        <v>800</v>
      </c>
      <c r="G335" s="14">
        <v>51.42</v>
      </c>
      <c r="H335" s="10">
        <v>10.840752999999999</v>
      </c>
      <c r="I335" s="10">
        <v>14.194938</v>
      </c>
      <c r="J335" s="10">
        <v>3.3105370000000001</v>
      </c>
      <c r="K335" s="15">
        <v>0</v>
      </c>
      <c r="L335" s="17">
        <v>11387.901426</v>
      </c>
      <c r="M335" s="4" t="s">
        <v>1352</v>
      </c>
      <c r="N335" s="19">
        <v>3.6224180000000001</v>
      </c>
      <c r="O335" s="19">
        <v>4.9335000000000004</v>
      </c>
      <c r="P335" s="19">
        <v>3.3099989999999999</v>
      </c>
      <c r="Q335" s="19">
        <v>4.4551999999999996</v>
      </c>
      <c r="R335" s="19">
        <v>2.7799990000000001</v>
      </c>
      <c r="S335" s="19">
        <v>3.6316000000000002</v>
      </c>
      <c r="T335" s="19">
        <v>2.7799990000000001</v>
      </c>
      <c r="U335" s="19">
        <v>3.5331000000000001</v>
      </c>
      <c r="V335" s="19">
        <v>1.619999</v>
      </c>
      <c r="W335" s="19">
        <v>2.6339999999999999</v>
      </c>
      <c r="X335" s="19">
        <v>1.619999</v>
      </c>
      <c r="Y335" s="19">
        <v>2.6339999999999999</v>
      </c>
      <c r="Z335" s="4"/>
      <c r="AA335" s="4"/>
      <c r="AB335" s="4" t="e">
        <f ca="1">_xll.ciqfunctions.udf.CIQ("^SPX", "IQ_PRICEDATE", "4/22/2015")</f>
        <v>#NAME?</v>
      </c>
      <c r="AC335" s="16">
        <v>2107.9640776233</v>
      </c>
    </row>
    <row r="336" spans="1:29" x14ac:dyDescent="0.35">
      <c r="A336" s="2" t="s">
        <v>346</v>
      </c>
      <c r="B336" s="4" t="s">
        <v>1353</v>
      </c>
      <c r="C336" s="4" t="s">
        <v>619</v>
      </c>
      <c r="D336" s="4" t="s">
        <v>619</v>
      </c>
      <c r="E336" s="4" t="s">
        <v>1354</v>
      </c>
      <c r="F336" s="4" t="s">
        <v>1355</v>
      </c>
      <c r="G336" s="14">
        <v>37.520000000000003</v>
      </c>
      <c r="H336" s="10">
        <v>10.296574</v>
      </c>
      <c r="I336" s="10" t="s">
        <v>534</v>
      </c>
      <c r="J336" s="10" t="s">
        <v>534</v>
      </c>
      <c r="K336" s="15">
        <v>3.1979999999999999E-3</v>
      </c>
      <c r="L336" s="17">
        <v>11352.367306</v>
      </c>
      <c r="M336" s="4" t="s">
        <v>1356</v>
      </c>
      <c r="N336" s="19">
        <v>-3.079113</v>
      </c>
      <c r="O336" s="19">
        <v>2.8513999999999999</v>
      </c>
      <c r="P336" s="19">
        <v>-4.3028389999999996</v>
      </c>
      <c r="Q336" s="19">
        <v>1.2450000000000001</v>
      </c>
      <c r="R336" s="19">
        <v>-2.5099999999999998</v>
      </c>
      <c r="S336" s="19">
        <v>-0.86</v>
      </c>
      <c r="T336" s="19">
        <v>-2.5099999999999998</v>
      </c>
      <c r="U336" s="19">
        <v>0.37169999999999997</v>
      </c>
      <c r="V336" s="19">
        <v>0.23</v>
      </c>
      <c r="W336" s="19">
        <v>1.9650000000000001</v>
      </c>
      <c r="X336" s="19">
        <v>0.23</v>
      </c>
      <c r="Y336" s="19">
        <v>1.9650000000000001</v>
      </c>
      <c r="Z336" s="4"/>
      <c r="AA336" s="4"/>
      <c r="AB336" s="4" t="e">
        <f ca="1">_xll.ciqfunctions.udf.CIQ("^SPX", "IQ_PRICEDATE", "4/23/2015")</f>
        <v>#NAME?</v>
      </c>
      <c r="AC336" s="16">
        <v>2112.9289997132</v>
      </c>
    </row>
    <row r="337" spans="1:29" x14ac:dyDescent="0.35">
      <c r="A337" s="2" t="s">
        <v>347</v>
      </c>
      <c r="B337" s="4" t="s">
        <v>1357</v>
      </c>
      <c r="C337" s="4" t="s">
        <v>586</v>
      </c>
      <c r="D337" s="4" t="s">
        <v>586</v>
      </c>
      <c r="E337" s="4" t="s">
        <v>1066</v>
      </c>
      <c r="F337" s="4" t="s">
        <v>1358</v>
      </c>
      <c r="G337" s="14">
        <v>59.09</v>
      </c>
      <c r="H337" s="10">
        <v>7.2447100000000004</v>
      </c>
      <c r="I337" s="10">
        <v>11.328200000000001</v>
      </c>
      <c r="J337" s="10">
        <v>2.9578549999999999</v>
      </c>
      <c r="K337" s="15">
        <v>2.5722999999999999E-2</v>
      </c>
      <c r="L337" s="17">
        <v>18692.736706</v>
      </c>
      <c r="M337" s="4" t="s">
        <v>1359</v>
      </c>
      <c r="N337" s="19">
        <v>5.2161860000000004</v>
      </c>
      <c r="O337" s="19">
        <v>7.81</v>
      </c>
      <c r="P337" s="19">
        <v>4.096819</v>
      </c>
      <c r="Q337" s="19">
        <v>4.0796000000000001</v>
      </c>
      <c r="R337" s="19">
        <v>2.4815049999999998</v>
      </c>
      <c r="S337" s="19">
        <v>3.0131000000000001</v>
      </c>
      <c r="T337" s="19">
        <v>2.4815049999999998</v>
      </c>
      <c r="U337" s="19">
        <v>2.1333000000000002</v>
      </c>
      <c r="V337" s="19">
        <v>2.11</v>
      </c>
      <c r="W337" s="19">
        <v>3.1785999999999999</v>
      </c>
      <c r="X337" s="19">
        <v>2.11</v>
      </c>
      <c r="Y337" s="19">
        <v>3.1785999999999999</v>
      </c>
      <c r="Z337" s="4"/>
      <c r="AA337" s="4"/>
      <c r="AB337" s="4" t="e">
        <f ca="1">_xll.ciqfunctions.udf.CIQ("^SPX", "IQ_PRICEDATE", "4/24/2015")</f>
        <v>#NAME?</v>
      </c>
      <c r="AC337" s="16">
        <v>2117.6899287491001</v>
      </c>
    </row>
    <row r="338" spans="1:29" x14ac:dyDescent="0.35">
      <c r="A338" s="2" t="s">
        <v>348</v>
      </c>
      <c r="B338" s="4" t="s">
        <v>1360</v>
      </c>
      <c r="C338" s="4" t="s">
        <v>543</v>
      </c>
      <c r="D338" s="4" t="s">
        <v>565</v>
      </c>
      <c r="E338" s="4" t="s">
        <v>565</v>
      </c>
      <c r="F338" s="4" t="s">
        <v>566</v>
      </c>
      <c r="G338" s="14">
        <v>243.06</v>
      </c>
      <c r="H338" s="10">
        <v>30.575227000000002</v>
      </c>
      <c r="I338" s="10">
        <v>35.425474999999999</v>
      </c>
      <c r="J338" s="10">
        <v>18.186129000000001</v>
      </c>
      <c r="K338" s="15">
        <v>2.4679999999999997E-3</v>
      </c>
      <c r="L338" s="17">
        <v>147780.48000000001</v>
      </c>
      <c r="M338" s="4" t="s">
        <v>1361</v>
      </c>
      <c r="N338" s="19">
        <v>6.8611639999999996</v>
      </c>
      <c r="O338" s="19">
        <v>7.9511000000000003</v>
      </c>
      <c r="P338" s="19">
        <v>4.0005249999999997</v>
      </c>
      <c r="Q338" s="19">
        <v>5.0218999999999996</v>
      </c>
      <c r="R338" s="19">
        <v>1.956553</v>
      </c>
      <c r="S338" s="19">
        <v>3.3001</v>
      </c>
      <c r="T338" s="19">
        <v>1.956553</v>
      </c>
      <c r="U338" s="19">
        <v>1.6435</v>
      </c>
      <c r="V338" s="19">
        <v>1.022451</v>
      </c>
      <c r="W338" s="19">
        <v>1.4068000000000001</v>
      </c>
      <c r="X338" s="19">
        <v>1.022451</v>
      </c>
      <c r="Y338" s="19">
        <v>1.4068000000000001</v>
      </c>
      <c r="Z338" s="4"/>
      <c r="AA338" s="4"/>
      <c r="AB338" s="4" t="e">
        <f ca="1">_xll.ciqfunctions.udf.CIQ("^SPX", "IQ_PRICEDATE", "4/27/2015")</f>
        <v>#NAME?</v>
      </c>
      <c r="AC338" s="16">
        <v>2108.9211408291999</v>
      </c>
    </row>
    <row r="339" spans="1:29" x14ac:dyDescent="0.35">
      <c r="A339" s="2" t="s">
        <v>349</v>
      </c>
      <c r="B339" s="4" t="s">
        <v>1362</v>
      </c>
      <c r="C339" s="4" t="s">
        <v>559</v>
      </c>
      <c r="D339" s="4" t="s">
        <v>560</v>
      </c>
      <c r="E339" s="4" t="s">
        <v>561</v>
      </c>
      <c r="F339" s="4" t="s">
        <v>562</v>
      </c>
      <c r="G339" s="14">
        <v>334.78</v>
      </c>
      <c r="H339" s="10">
        <v>14.97048</v>
      </c>
      <c r="I339" s="10">
        <v>22.874863999999999</v>
      </c>
      <c r="J339" s="10" t="s">
        <v>534</v>
      </c>
      <c r="K339" s="15">
        <v>0</v>
      </c>
      <c r="L339" s="17">
        <v>26970.884152999999</v>
      </c>
      <c r="M339" s="4" t="s">
        <v>1363</v>
      </c>
      <c r="N339" s="19">
        <v>14.635278</v>
      </c>
      <c r="O339" s="19">
        <v>16.7653</v>
      </c>
      <c r="P339" s="19">
        <v>12.67</v>
      </c>
      <c r="Q339" s="19">
        <v>12.696400000000001</v>
      </c>
      <c r="R339" s="19">
        <v>10.73</v>
      </c>
      <c r="S339" s="19">
        <v>11.896000000000001</v>
      </c>
      <c r="T339" s="19">
        <v>10.73</v>
      </c>
      <c r="U339" s="19">
        <v>10.028600000000001</v>
      </c>
      <c r="V339" s="19">
        <v>7.34</v>
      </c>
      <c r="W339" s="19">
        <v>8.0328999999999997</v>
      </c>
      <c r="X339" s="19">
        <v>7.34</v>
      </c>
      <c r="Y339" s="19">
        <v>8.0328999999999997</v>
      </c>
      <c r="Z339" s="4"/>
      <c r="AA339" s="4"/>
      <c r="AB339" s="4" t="e">
        <f ca="1">_xll.ciqfunctions.udf.CIQ("^SPX", "IQ_PRICEDATE", "4/28/2015")</f>
        <v>#NAME?</v>
      </c>
      <c r="AC339" s="16">
        <v>2114.7615406107998</v>
      </c>
    </row>
    <row r="340" spans="1:29" x14ac:dyDescent="0.35">
      <c r="A340" s="2" t="s">
        <v>350</v>
      </c>
      <c r="B340" s="4" t="s">
        <v>1364</v>
      </c>
      <c r="C340" s="4" t="s">
        <v>669</v>
      </c>
      <c r="D340" s="4" t="s">
        <v>669</v>
      </c>
      <c r="E340" s="4" t="s">
        <v>670</v>
      </c>
      <c r="F340" s="4" t="s">
        <v>836</v>
      </c>
      <c r="G340" s="14">
        <v>72.92</v>
      </c>
      <c r="H340" s="10">
        <v>9.1004760000000005</v>
      </c>
      <c r="I340" s="10">
        <v>25.053072</v>
      </c>
      <c r="J340" s="10">
        <v>2.664018</v>
      </c>
      <c r="K340" s="15">
        <v>4.2785999999999998E-2</v>
      </c>
      <c r="L340" s="17">
        <v>55763.488353000001</v>
      </c>
      <c r="M340" s="4" t="s">
        <v>1365</v>
      </c>
      <c r="N340" s="19">
        <v>2.9106209999999999</v>
      </c>
      <c r="O340" s="19">
        <v>6.2939999999999996</v>
      </c>
      <c r="P340" s="19">
        <v>1.7</v>
      </c>
      <c r="Q340" s="19">
        <v>1.6597</v>
      </c>
      <c r="R340" s="19">
        <v>-1.3118609999999999</v>
      </c>
      <c r="S340" s="19">
        <v>0.76859999999999995</v>
      </c>
      <c r="T340" s="19">
        <v>-1.3118609999999999</v>
      </c>
      <c r="U340" s="19">
        <v>0.48039999999999999</v>
      </c>
      <c r="V340" s="19">
        <v>-0.18435499999999999</v>
      </c>
      <c r="W340" s="19">
        <v>3.3957000000000002</v>
      </c>
      <c r="X340" s="19">
        <v>-0.18435499999999999</v>
      </c>
      <c r="Y340" s="19">
        <v>3.3957000000000002</v>
      </c>
      <c r="Z340" s="4"/>
      <c r="AA340" s="4"/>
      <c r="AB340" s="4" t="e">
        <f ca="1">_xll.ciqfunctions.udf.CIQ("^SPX", "IQ_PRICEDATE", "4/29/2015")</f>
        <v>#NAME?</v>
      </c>
      <c r="AC340" s="16">
        <v>2106.8509961673999</v>
      </c>
    </row>
    <row r="341" spans="1:29" x14ac:dyDescent="0.35">
      <c r="A341" s="2" t="s">
        <v>351</v>
      </c>
      <c r="B341" s="4" t="s">
        <v>1366</v>
      </c>
      <c r="C341" s="4" t="s">
        <v>549</v>
      </c>
      <c r="D341" s="4" t="s">
        <v>550</v>
      </c>
      <c r="E341" s="4" t="s">
        <v>814</v>
      </c>
      <c r="F341" s="4" t="s">
        <v>1367</v>
      </c>
      <c r="G341" s="14">
        <v>75.69</v>
      </c>
      <c r="H341" s="10">
        <v>8.7426829999999995</v>
      </c>
      <c r="I341" s="10">
        <v>14.679341000000001</v>
      </c>
      <c r="J341" s="10" t="s">
        <v>534</v>
      </c>
      <c r="K341" s="15">
        <v>3.1708E-2</v>
      </c>
      <c r="L341" s="17">
        <v>16962.558540999999</v>
      </c>
      <c r="M341" s="4" t="s">
        <v>1368</v>
      </c>
      <c r="N341" s="19">
        <v>5.1562260000000002</v>
      </c>
      <c r="O341" s="19">
        <v>5.5791000000000004</v>
      </c>
      <c r="P341" s="19">
        <v>4.6500000000000004</v>
      </c>
      <c r="Q341" s="19">
        <v>5.2290000000000001</v>
      </c>
      <c r="R341" s="19">
        <v>4.78</v>
      </c>
      <c r="S341" s="19">
        <v>4.9657</v>
      </c>
      <c r="T341" s="19">
        <v>4.78</v>
      </c>
      <c r="U341" s="19">
        <v>4.5791000000000004</v>
      </c>
      <c r="V341" s="19">
        <v>4.24</v>
      </c>
      <c r="W341" s="19">
        <v>4.4665999999999997</v>
      </c>
      <c r="X341" s="19">
        <v>4.24</v>
      </c>
      <c r="Y341" s="19">
        <v>4.4665999999999997</v>
      </c>
      <c r="Z341" s="4"/>
      <c r="AA341" s="4"/>
      <c r="AB341" s="4" t="e">
        <f ca="1">_xll.ciqfunctions.udf.CIQ("^SPX", "IQ_PRICEDATE", "4/30/2015")</f>
        <v>#NAME?</v>
      </c>
      <c r="AC341" s="16">
        <v>2085.5136532975998</v>
      </c>
    </row>
    <row r="342" spans="1:29" x14ac:dyDescent="0.35">
      <c r="A342" s="2" t="s">
        <v>352</v>
      </c>
      <c r="B342" s="4" t="s">
        <v>1369</v>
      </c>
      <c r="C342" s="4" t="s">
        <v>669</v>
      </c>
      <c r="D342" s="4" t="s">
        <v>669</v>
      </c>
      <c r="E342" s="4" t="s">
        <v>670</v>
      </c>
      <c r="F342" s="4" t="s">
        <v>1206</v>
      </c>
      <c r="G342" s="14">
        <v>67.02</v>
      </c>
      <c r="H342" s="10">
        <v>16.309066000000001</v>
      </c>
      <c r="I342" s="10">
        <v>34.590521000000003</v>
      </c>
      <c r="J342" s="10">
        <v>4.8538249999999996</v>
      </c>
      <c r="K342" s="15">
        <v>4.9238999999999998E-2</v>
      </c>
      <c r="L342" s="17">
        <v>27561.939747</v>
      </c>
      <c r="M342" s="4" t="s">
        <v>1370</v>
      </c>
      <c r="N342" s="19">
        <v>1.9375249999999999</v>
      </c>
      <c r="O342" s="19">
        <v>2.8071999999999999</v>
      </c>
      <c r="P342" s="19">
        <v>1.29</v>
      </c>
      <c r="Q342" s="19">
        <v>2.08</v>
      </c>
      <c r="R342" s="19">
        <v>1.67</v>
      </c>
      <c r="S342" s="19">
        <v>1.6295999999999999</v>
      </c>
      <c r="T342" s="19">
        <v>1.67</v>
      </c>
      <c r="U342" s="19">
        <v>1.6425000000000001</v>
      </c>
      <c r="V342" s="19">
        <v>1.52</v>
      </c>
      <c r="W342" s="19">
        <v>1.7535000000000001</v>
      </c>
      <c r="X342" s="19">
        <v>1.52</v>
      </c>
      <c r="Y342" s="19">
        <v>1.7535000000000001</v>
      </c>
      <c r="Z342" s="4"/>
      <c r="AA342" s="4"/>
      <c r="AB342" s="4" t="e">
        <f ca="1">_xll.ciqfunctions.udf.CIQ("^SPX", "IQ_PRICEDATE", "5/1/2015")</f>
        <v>#NAME?</v>
      </c>
      <c r="AC342" s="16">
        <v>2108.2902805086001</v>
      </c>
    </row>
    <row r="343" spans="1:29" x14ac:dyDescent="0.35">
      <c r="A343" s="2" t="s">
        <v>353</v>
      </c>
      <c r="B343" s="4" t="s">
        <v>1371</v>
      </c>
      <c r="C343" s="4" t="s">
        <v>543</v>
      </c>
      <c r="D343" s="4" t="s">
        <v>544</v>
      </c>
      <c r="E343" s="4" t="s">
        <v>555</v>
      </c>
      <c r="F343" s="4" t="s">
        <v>782</v>
      </c>
      <c r="G343" s="14">
        <v>47.86</v>
      </c>
      <c r="H343" s="10">
        <v>11.143684</v>
      </c>
      <c r="I343" s="10">
        <v>50.465429</v>
      </c>
      <c r="J343" s="10" t="s">
        <v>534</v>
      </c>
      <c r="K343" s="15">
        <v>1.5879000000000001E-2</v>
      </c>
      <c r="L343" s="17">
        <v>181324.22214599999</v>
      </c>
      <c r="M343" s="4" t="s">
        <v>1372</v>
      </c>
      <c r="N343" s="19">
        <v>0.94837199999999999</v>
      </c>
      <c r="O343" s="19">
        <v>3.4506000000000001</v>
      </c>
      <c r="P343" s="19">
        <v>2.3073899999999998</v>
      </c>
      <c r="Q343" s="19">
        <v>3.0503999999999998</v>
      </c>
      <c r="R343" s="19">
        <v>2.0948920000000002</v>
      </c>
      <c r="S343" s="19">
        <v>2.6434000000000002</v>
      </c>
      <c r="T343" s="19">
        <v>2.0948920000000002</v>
      </c>
      <c r="U343" s="19">
        <v>2.6959</v>
      </c>
      <c r="V343" s="19">
        <v>2.4040140000000001</v>
      </c>
      <c r="W343" s="19">
        <v>3.0528</v>
      </c>
      <c r="X343" s="19">
        <v>2.4040140000000001</v>
      </c>
      <c r="Y343" s="19">
        <v>3.0528</v>
      </c>
      <c r="Z343" s="4"/>
      <c r="AA343" s="4"/>
      <c r="AB343" s="4" t="e">
        <f ca="1">_xll.ciqfunctions.udf.CIQ("^SPX", "IQ_PRICEDATE", "5/4/2015")</f>
        <v>#NAME?</v>
      </c>
      <c r="AC343" s="16">
        <v>2114.4864683408</v>
      </c>
    </row>
    <row r="344" spans="1:29" x14ac:dyDescent="0.35">
      <c r="A344" s="2" t="s">
        <v>354</v>
      </c>
      <c r="B344" s="4" t="s">
        <v>1373</v>
      </c>
      <c r="C344" s="4" t="s">
        <v>525</v>
      </c>
      <c r="D344" s="4" t="s">
        <v>526</v>
      </c>
      <c r="E344" s="4" t="s">
        <v>803</v>
      </c>
      <c r="F344" s="4" t="s">
        <v>804</v>
      </c>
      <c r="G344" s="14">
        <v>61.74</v>
      </c>
      <c r="H344" s="10">
        <v>9.0038529999999994</v>
      </c>
      <c r="I344" s="10">
        <v>10.554795</v>
      </c>
      <c r="J344" s="10">
        <v>2.4662519999999999</v>
      </c>
      <c r="K344" s="15">
        <v>3.7575999999999998E-2</v>
      </c>
      <c r="L344" s="17">
        <v>21642.540563999999</v>
      </c>
      <c r="M344" s="4" t="s">
        <v>1374</v>
      </c>
      <c r="N344" s="19">
        <v>5.8494739999999998</v>
      </c>
      <c r="O344" s="19">
        <v>6.1204999999999998</v>
      </c>
      <c r="P344" s="19">
        <v>4.75</v>
      </c>
      <c r="Q344" s="19">
        <v>4.6715</v>
      </c>
      <c r="R344" s="19">
        <v>1.48</v>
      </c>
      <c r="S344" s="19">
        <v>3.5116000000000001</v>
      </c>
      <c r="T344" s="19">
        <v>1.48</v>
      </c>
      <c r="U344" s="19">
        <v>4.2267999999999999</v>
      </c>
      <c r="V344" s="19">
        <v>3.82</v>
      </c>
      <c r="W344" s="19">
        <v>4.2896000000000001</v>
      </c>
      <c r="X344" s="19">
        <v>3.82</v>
      </c>
      <c r="Y344" s="19">
        <v>4.2896000000000001</v>
      </c>
      <c r="Z344" s="4"/>
      <c r="AA344" s="4"/>
      <c r="AB344" s="4" t="e">
        <f ca="1">_xll.ciqfunctions.udf.CIQ("^SPX", "IQ_PRICEDATE", "5/5/2015")</f>
        <v>#NAME?</v>
      </c>
      <c r="AC344" s="16">
        <v>2089.4601421030002</v>
      </c>
    </row>
    <row r="345" spans="1:29" x14ac:dyDescent="0.35">
      <c r="A345" s="2" t="s">
        <v>355</v>
      </c>
      <c r="B345" s="4" t="s">
        <v>1375</v>
      </c>
      <c r="C345" s="4" t="s">
        <v>586</v>
      </c>
      <c r="D345" s="4" t="s">
        <v>586</v>
      </c>
      <c r="E345" s="4" t="s">
        <v>726</v>
      </c>
      <c r="F345" s="4" t="s">
        <v>727</v>
      </c>
      <c r="G345" s="14">
        <v>90.91</v>
      </c>
      <c r="H345" s="10">
        <v>7.6609619999999996</v>
      </c>
      <c r="I345" s="10">
        <v>11.702617999999999</v>
      </c>
      <c r="J345" s="10">
        <v>7.6423420000000002</v>
      </c>
      <c r="K345" s="15">
        <v>3.4759000000000005E-2</v>
      </c>
      <c r="L345" s="17">
        <v>8522.7398630000007</v>
      </c>
      <c r="M345" s="4" t="s">
        <v>1376</v>
      </c>
      <c r="N345" s="19">
        <v>7.7683470000000003</v>
      </c>
      <c r="O345" s="19">
        <v>8.5388000000000002</v>
      </c>
      <c r="P345" s="19">
        <v>7.07</v>
      </c>
      <c r="Q345" s="19">
        <v>6.4749999999999996</v>
      </c>
      <c r="R345" s="19">
        <v>4.75</v>
      </c>
      <c r="S345" s="19">
        <v>5.5372000000000003</v>
      </c>
      <c r="T345" s="19">
        <v>4.75</v>
      </c>
      <c r="U345" s="19">
        <v>4.7121000000000004</v>
      </c>
      <c r="V345" s="19">
        <v>3.9886590000000002</v>
      </c>
      <c r="W345" s="19">
        <v>5.1288</v>
      </c>
      <c r="X345" s="19">
        <v>3.9886590000000002</v>
      </c>
      <c r="Y345" s="19">
        <v>5.1288</v>
      </c>
      <c r="Z345" s="4"/>
      <c r="AA345" s="4"/>
      <c r="AB345" s="4" t="e">
        <f ca="1">_xll.ciqfunctions.udf.CIQ("^SPX", "IQ_PRICEDATE", "5/6/2015")</f>
        <v>#NAME?</v>
      </c>
      <c r="AC345" s="16">
        <v>2080.1450500901001</v>
      </c>
    </row>
    <row r="346" spans="1:29" x14ac:dyDescent="0.35">
      <c r="A346" s="2" t="s">
        <v>356</v>
      </c>
      <c r="B346" s="4" t="s">
        <v>1377</v>
      </c>
      <c r="C346" s="4" t="s">
        <v>525</v>
      </c>
      <c r="D346" s="4" t="s">
        <v>526</v>
      </c>
      <c r="E346" s="4" t="s">
        <v>803</v>
      </c>
      <c r="F346" s="4" t="s">
        <v>948</v>
      </c>
      <c r="G346" s="14">
        <v>162.54</v>
      </c>
      <c r="H346" s="10">
        <v>10.33174</v>
      </c>
      <c r="I346" s="10">
        <v>20.758623</v>
      </c>
      <c r="J346" s="10" t="s">
        <v>534</v>
      </c>
      <c r="K346" s="15">
        <v>1.8703000000000001E-2</v>
      </c>
      <c r="L346" s="17">
        <v>21522.903629</v>
      </c>
      <c r="M346" s="4" t="s">
        <v>1378</v>
      </c>
      <c r="N346" s="19">
        <v>7.8299989999999999</v>
      </c>
      <c r="O346" s="19">
        <v>11.417590000000001</v>
      </c>
      <c r="P346" s="19">
        <v>6.4283330000000003</v>
      </c>
      <c r="Q346" s="19">
        <v>9.8341999999999992</v>
      </c>
      <c r="R346" s="19">
        <v>6.4823550000000001</v>
      </c>
      <c r="S346" s="19">
        <v>6.9569000000000001</v>
      </c>
      <c r="T346" s="19">
        <v>6.4823550000000001</v>
      </c>
      <c r="U346" s="19">
        <v>6.1521999999999997</v>
      </c>
      <c r="V346" s="19">
        <v>7.2502250000000004</v>
      </c>
      <c r="W346" s="19">
        <v>8.1905999999999999</v>
      </c>
      <c r="X346" s="19">
        <v>7.2502250000000004</v>
      </c>
      <c r="Y346" s="19">
        <v>8.1905999999999999</v>
      </c>
      <c r="Z346" s="4"/>
      <c r="AA346" s="4"/>
      <c r="AB346" s="4" t="e">
        <f ca="1">_xll.ciqfunctions.udf.CIQ("^SPX", "IQ_PRICEDATE", "5/7/2015")</f>
        <v>#NAME?</v>
      </c>
      <c r="AC346" s="16">
        <v>2087.9973305568001</v>
      </c>
    </row>
    <row r="347" spans="1:29" x14ac:dyDescent="0.35">
      <c r="A347" s="2" t="s">
        <v>357</v>
      </c>
      <c r="B347" s="4" t="s">
        <v>1379</v>
      </c>
      <c r="C347" s="4" t="s">
        <v>543</v>
      </c>
      <c r="D347" s="4" t="s">
        <v>544</v>
      </c>
      <c r="E347" s="4" t="s">
        <v>545</v>
      </c>
      <c r="F347" s="4" t="s">
        <v>616</v>
      </c>
      <c r="G347" s="14">
        <v>68.89</v>
      </c>
      <c r="H347" s="10">
        <v>16.944186999999999</v>
      </c>
      <c r="I347" s="10">
        <v>25.801971000000002</v>
      </c>
      <c r="J347" s="10">
        <v>17.196155000000001</v>
      </c>
      <c r="K347" s="15">
        <v>3.2515000000000002E-2</v>
      </c>
      <c r="L347" s="17">
        <v>24737.154847000002</v>
      </c>
      <c r="M347" s="4" t="s">
        <v>1380</v>
      </c>
      <c r="N347" s="19">
        <v>2.6699510000000002</v>
      </c>
      <c r="O347" s="19">
        <v>2.9075000000000002</v>
      </c>
      <c r="P347" s="19">
        <v>2.2698049999999999</v>
      </c>
      <c r="Q347" s="19">
        <v>2.6501000000000001</v>
      </c>
      <c r="R347" s="19">
        <v>2.1501570000000001</v>
      </c>
      <c r="S347" s="19">
        <v>2.3043</v>
      </c>
      <c r="T347" s="19">
        <v>2.1501570000000001</v>
      </c>
      <c r="U347" s="19">
        <v>2.125</v>
      </c>
      <c r="V347" s="19">
        <v>1.769779</v>
      </c>
      <c r="W347" s="19">
        <v>1.9277</v>
      </c>
      <c r="X347" s="19">
        <v>1.769779</v>
      </c>
      <c r="Y347" s="19">
        <v>1.9277</v>
      </c>
      <c r="Z347" s="4"/>
      <c r="AA347" s="4"/>
      <c r="AB347" s="4" t="e">
        <f ca="1">_xll.ciqfunctions.udf.CIQ("^SPX", "IQ_PRICEDATE", "5/8/2015")</f>
        <v>#NAME?</v>
      </c>
      <c r="AC347" s="16">
        <v>2116.0951116755</v>
      </c>
    </row>
    <row r="348" spans="1:29" x14ac:dyDescent="0.35">
      <c r="A348" s="2" t="s">
        <v>358</v>
      </c>
      <c r="B348" s="4" t="s">
        <v>1381</v>
      </c>
      <c r="C348" s="4" t="s">
        <v>543</v>
      </c>
      <c r="D348" s="4" t="s">
        <v>544</v>
      </c>
      <c r="E348" s="4" t="s">
        <v>545</v>
      </c>
      <c r="F348" s="4" t="s">
        <v>616</v>
      </c>
      <c r="G348" s="14">
        <v>80.09</v>
      </c>
      <c r="H348" s="10">
        <v>32.757137999999998</v>
      </c>
      <c r="I348" s="10">
        <v>47.700386999999999</v>
      </c>
      <c r="J348" s="10">
        <v>8.9772379999999998</v>
      </c>
      <c r="K348" s="15">
        <v>0</v>
      </c>
      <c r="L348" s="17">
        <v>94800.331166000004</v>
      </c>
      <c r="M348" s="4" t="s">
        <v>1382</v>
      </c>
      <c r="N348" s="19">
        <v>1.679022</v>
      </c>
      <c r="O348" s="19">
        <v>2.5468000000000002</v>
      </c>
      <c r="P348" s="19">
        <v>1.47</v>
      </c>
      <c r="Q348" s="19">
        <v>2.1452</v>
      </c>
      <c r="R348" s="19">
        <v>1.1499999999999999</v>
      </c>
      <c r="S348" s="19">
        <v>1.6547000000000001</v>
      </c>
      <c r="T348" s="19">
        <v>1.1499999999999999</v>
      </c>
      <c r="U348" s="19">
        <v>1.4307000000000001</v>
      </c>
      <c r="V348" s="19">
        <v>0.34</v>
      </c>
      <c r="W348" s="19">
        <v>0</v>
      </c>
      <c r="X348" s="19">
        <v>0.34</v>
      </c>
      <c r="Y348" s="19">
        <v>0</v>
      </c>
      <c r="Z348" s="4"/>
      <c r="AA348" s="4"/>
      <c r="AB348" s="4" t="e">
        <f ca="1">_xll.ciqfunctions.udf.CIQ("^SPX", "IQ_PRICEDATE", "5/11/2015")</f>
        <v>#NAME?</v>
      </c>
      <c r="AC348" s="16">
        <v>2105.3275425463999</v>
      </c>
    </row>
    <row r="349" spans="1:29" x14ac:dyDescent="0.35">
      <c r="A349" s="2" t="s">
        <v>359</v>
      </c>
      <c r="B349" s="4" t="s">
        <v>1383</v>
      </c>
      <c r="C349" s="4" t="s">
        <v>525</v>
      </c>
      <c r="D349" s="4" t="s">
        <v>526</v>
      </c>
      <c r="E349" s="4" t="s">
        <v>803</v>
      </c>
      <c r="F349" s="4" t="s">
        <v>948</v>
      </c>
      <c r="G349" s="14">
        <v>38.994999999999997</v>
      </c>
      <c r="H349" s="10">
        <v>7.4371559999999999</v>
      </c>
      <c r="I349" s="10">
        <v>11.725459000000001</v>
      </c>
      <c r="J349" s="10" t="s">
        <v>534</v>
      </c>
      <c r="K349" s="15">
        <v>1.787E-2</v>
      </c>
      <c r="L349" s="17">
        <v>6870.5694309999999</v>
      </c>
      <c r="M349" s="4" t="s">
        <v>1384</v>
      </c>
      <c r="N349" s="19">
        <v>3.3405939999999998</v>
      </c>
      <c r="O349" s="19">
        <v>2.4123000000000001</v>
      </c>
      <c r="P349" s="19">
        <v>2.61</v>
      </c>
      <c r="Q349" s="19">
        <v>3.8936000000000002</v>
      </c>
      <c r="R349" s="19">
        <v>2.4700000000000002</v>
      </c>
      <c r="S349" s="19">
        <v>3.3353000000000002</v>
      </c>
      <c r="T349" s="19">
        <v>2.4700000000000002</v>
      </c>
      <c r="U349" s="19">
        <v>4.0029000000000003</v>
      </c>
      <c r="V349" s="19">
        <v>1.84</v>
      </c>
      <c r="W349" s="19">
        <v>4.1447000000000003</v>
      </c>
      <c r="X349" s="19">
        <v>1.84</v>
      </c>
      <c r="Y349" s="19">
        <v>4.1447000000000003</v>
      </c>
      <c r="Z349" s="4"/>
      <c r="AA349" s="4"/>
      <c r="AB349" s="4" t="e">
        <f ca="1">_xll.ciqfunctions.udf.CIQ("^SPX", "IQ_PRICEDATE", "5/12/2015")</f>
        <v>#NAME?</v>
      </c>
      <c r="AC349" s="16">
        <v>2099.1159344456</v>
      </c>
    </row>
    <row r="350" spans="1:29" x14ac:dyDescent="0.35">
      <c r="A350" s="2" t="s">
        <v>360</v>
      </c>
      <c r="B350" s="4" t="s">
        <v>1385</v>
      </c>
      <c r="C350" s="4" t="s">
        <v>573</v>
      </c>
      <c r="D350" s="4" t="s">
        <v>737</v>
      </c>
      <c r="E350" s="4" t="s">
        <v>737</v>
      </c>
      <c r="F350" s="4" t="s">
        <v>743</v>
      </c>
      <c r="G350" s="14">
        <v>16.350000000000001</v>
      </c>
      <c r="H350" s="10">
        <v>0</v>
      </c>
      <c r="I350" s="10">
        <v>14.013439999999999</v>
      </c>
      <c r="J350" s="10">
        <v>1.811957</v>
      </c>
      <c r="K350" s="15">
        <v>4.2812999999999997E-2</v>
      </c>
      <c r="L350" s="17">
        <v>6056.4263010000004</v>
      </c>
      <c r="M350" s="4" t="s">
        <v>1386</v>
      </c>
      <c r="N350" s="19">
        <v>1.1667369999999999</v>
      </c>
      <c r="O350" s="19">
        <v>1.3675999999999999</v>
      </c>
      <c r="P350" s="19">
        <v>0.97</v>
      </c>
      <c r="Q350" s="19">
        <v>1.1198999999999999</v>
      </c>
      <c r="R350" s="19">
        <v>0.91817800000000005</v>
      </c>
      <c r="S350" s="19">
        <v>0.93940000000000001</v>
      </c>
      <c r="T350" s="19">
        <v>0.91817800000000005</v>
      </c>
      <c r="U350" s="19">
        <v>0.92410000000000003</v>
      </c>
      <c r="V350" s="19">
        <v>0.84</v>
      </c>
      <c r="W350" s="19">
        <v>0.85940000000000005</v>
      </c>
      <c r="X350" s="19">
        <v>0.84</v>
      </c>
      <c r="Y350" s="19">
        <v>0.85940000000000005</v>
      </c>
      <c r="Z350" s="4"/>
      <c r="AA350" s="4"/>
      <c r="AB350" s="4" t="e">
        <f ca="1">_xll.ciqfunctions.udf.CIQ("^SPX", "IQ_PRICEDATE", "5/13/2015")</f>
        <v>#NAME?</v>
      </c>
      <c r="AC350" s="16">
        <v>2098.4776424717002</v>
      </c>
    </row>
    <row r="351" spans="1:29" x14ac:dyDescent="0.35">
      <c r="A351" s="2" t="s">
        <v>361</v>
      </c>
      <c r="B351" s="4" t="s">
        <v>1387</v>
      </c>
      <c r="C351" s="4" t="s">
        <v>626</v>
      </c>
      <c r="D351" s="4" t="s">
        <v>627</v>
      </c>
      <c r="E351" s="4" t="s">
        <v>775</v>
      </c>
      <c r="F351" s="4" t="s">
        <v>1298</v>
      </c>
      <c r="G351" s="14">
        <v>108.31</v>
      </c>
      <c r="H351" s="10">
        <v>13.702133</v>
      </c>
      <c r="I351" s="10">
        <v>31.244959999999999</v>
      </c>
      <c r="J351" s="10" t="s">
        <v>534</v>
      </c>
      <c r="K351" s="15">
        <v>3.4252999999999999E-2</v>
      </c>
      <c r="L351" s="17">
        <v>152886.93007999999</v>
      </c>
      <c r="M351" s="4" t="s">
        <v>1388</v>
      </c>
      <c r="N351" s="19">
        <v>3.4664790000000001</v>
      </c>
      <c r="O351" s="19">
        <v>5.8837999999999999</v>
      </c>
      <c r="P351" s="19">
        <v>3.3776069999999998</v>
      </c>
      <c r="Q351" s="19">
        <v>5.4755000000000003</v>
      </c>
      <c r="R351" s="19">
        <v>4.3588149999999999</v>
      </c>
      <c r="S351" s="19">
        <v>5.0688000000000004</v>
      </c>
      <c r="T351" s="19">
        <v>4.3588149999999999</v>
      </c>
      <c r="U351" s="19">
        <v>4.6847000000000003</v>
      </c>
      <c r="V351" s="19">
        <v>4.265225</v>
      </c>
      <c r="W351" s="19">
        <v>4.7572999999999999</v>
      </c>
      <c r="X351" s="19">
        <v>4.265225</v>
      </c>
      <c r="Y351" s="19">
        <v>4.7572999999999999</v>
      </c>
      <c r="Z351" s="4"/>
      <c r="AA351" s="4"/>
      <c r="AB351" s="4" t="e">
        <f ca="1">_xll.ciqfunctions.udf.CIQ("^SPX", "IQ_PRICEDATE", "5/14/2015")</f>
        <v>#NAME?</v>
      </c>
      <c r="AC351" s="16">
        <v>2121.0952244886998</v>
      </c>
    </row>
    <row r="352" spans="1:29" x14ac:dyDescent="0.35">
      <c r="A352" s="2" t="s">
        <v>362</v>
      </c>
      <c r="B352" s="4" t="s">
        <v>1389</v>
      </c>
      <c r="C352" s="4" t="s">
        <v>530</v>
      </c>
      <c r="D352" s="4" t="s">
        <v>537</v>
      </c>
      <c r="E352" s="4" t="s">
        <v>583</v>
      </c>
      <c r="F352" s="4" t="s">
        <v>583</v>
      </c>
      <c r="G352" s="14">
        <v>90.09</v>
      </c>
      <c r="H352" s="10">
        <v>23.292202</v>
      </c>
      <c r="I352" s="10">
        <v>67.212857999999997</v>
      </c>
      <c r="J352" s="10" t="s">
        <v>534</v>
      </c>
      <c r="K352" s="15">
        <v>3.1050000000000001E-3</v>
      </c>
      <c r="L352" s="17">
        <v>9983.7784319999992</v>
      </c>
      <c r="M352" s="4" t="s">
        <v>1390</v>
      </c>
      <c r="N352" s="19">
        <v>1.34141</v>
      </c>
      <c r="O352" s="19">
        <v>3.8965999999999998</v>
      </c>
      <c r="P352" s="19">
        <v>1.42</v>
      </c>
      <c r="Q352" s="19">
        <v>3.2837999999999998</v>
      </c>
      <c r="R352" s="19">
        <v>1.7889029999999999</v>
      </c>
      <c r="S352" s="19">
        <v>2.9066999999999998</v>
      </c>
      <c r="T352" s="19">
        <v>1.7889029999999999</v>
      </c>
      <c r="U352" s="19">
        <v>2.7705000000000002</v>
      </c>
      <c r="V352" s="19">
        <v>1.1399999999999999</v>
      </c>
      <c r="W352" s="19">
        <v>2.6059000000000001</v>
      </c>
      <c r="X352" s="19">
        <v>1.1399999999999999</v>
      </c>
      <c r="Y352" s="19">
        <v>2.6059000000000001</v>
      </c>
      <c r="Z352" s="4"/>
      <c r="AA352" s="4"/>
      <c r="AB352" s="4" t="e">
        <f ca="1">_xll.ciqfunctions.udf.CIQ("^SPX", "IQ_PRICEDATE", "5/15/2015")</f>
        <v>#NAME?</v>
      </c>
      <c r="AC352" s="16">
        <v>2122.7341297664002</v>
      </c>
    </row>
    <row r="353" spans="1:29" x14ac:dyDescent="0.35">
      <c r="A353" s="2" t="s">
        <v>363</v>
      </c>
      <c r="B353" s="4" t="s">
        <v>1391</v>
      </c>
      <c r="C353" s="4" t="s">
        <v>530</v>
      </c>
      <c r="D353" s="4" t="s">
        <v>537</v>
      </c>
      <c r="E353" s="4" t="s">
        <v>613</v>
      </c>
      <c r="F353" s="4" t="s">
        <v>613</v>
      </c>
      <c r="G353" s="14">
        <v>73.87</v>
      </c>
      <c r="H353" s="10">
        <v>12.218610999999999</v>
      </c>
      <c r="I353" s="10">
        <v>44.208649000000001</v>
      </c>
      <c r="J353" s="10" t="s">
        <v>534</v>
      </c>
      <c r="K353" s="15">
        <v>1.0287999999999999E-2</v>
      </c>
      <c r="L353" s="17">
        <v>10107.823054</v>
      </c>
      <c r="M353" s="4" t="s">
        <v>1392</v>
      </c>
      <c r="N353" s="19">
        <v>1.6709400000000001</v>
      </c>
      <c r="O353" s="19">
        <v>4.9934000000000003</v>
      </c>
      <c r="P353" s="19">
        <v>0.84</v>
      </c>
      <c r="Q353" s="19">
        <v>5.1871</v>
      </c>
      <c r="R353" s="19">
        <v>-28.01</v>
      </c>
      <c r="S353" s="19">
        <v>7.1489000000000003</v>
      </c>
      <c r="T353" s="19">
        <v>-28.01</v>
      </c>
      <c r="U353" s="19">
        <v>9.0718999999999994</v>
      </c>
      <c r="V353" s="19">
        <v>2.565439</v>
      </c>
      <c r="W353" s="19">
        <v>0</v>
      </c>
      <c r="X353" s="19">
        <v>2.565439</v>
      </c>
      <c r="Y353" s="19">
        <v>0</v>
      </c>
      <c r="Z353" s="4"/>
      <c r="AA353" s="4"/>
      <c r="AB353" s="4" t="e">
        <f ca="1">_xll.ciqfunctions.udf.CIQ("^SPX", "IQ_PRICEDATE", "5/18/2015")</f>
        <v>#NAME?</v>
      </c>
      <c r="AC353" s="16">
        <v>2129.2039046988998</v>
      </c>
    </row>
    <row r="354" spans="1:29" x14ac:dyDescent="0.35">
      <c r="A354" s="2" t="s">
        <v>364</v>
      </c>
      <c r="B354" s="4" t="s">
        <v>1393</v>
      </c>
      <c r="C354" s="4" t="s">
        <v>530</v>
      </c>
      <c r="D354" s="4" t="s">
        <v>537</v>
      </c>
      <c r="E354" s="4" t="s">
        <v>613</v>
      </c>
      <c r="F354" s="4" t="s">
        <v>613</v>
      </c>
      <c r="G354" s="14">
        <v>44.57</v>
      </c>
      <c r="H354" s="10">
        <v>13.467200999999999</v>
      </c>
      <c r="I354" s="10">
        <v>11.905595</v>
      </c>
      <c r="J354" s="10" t="s">
        <v>534</v>
      </c>
      <c r="K354" s="15">
        <v>3.0512999999999998E-2</v>
      </c>
      <c r="L354" s="17">
        <v>261274.22054899999</v>
      </c>
      <c r="M354" s="4" t="s">
        <v>1394</v>
      </c>
      <c r="N354" s="19">
        <v>3.7436180000000001</v>
      </c>
      <c r="O354" s="19">
        <v>3.0602999999999998</v>
      </c>
      <c r="P354" s="19">
        <v>3.5170020000000002</v>
      </c>
      <c r="Q354" s="19">
        <v>2.6686000000000001</v>
      </c>
      <c r="R354" s="19">
        <v>1.17</v>
      </c>
      <c r="S354" s="19">
        <v>2.4758</v>
      </c>
      <c r="T354" s="19">
        <v>1.17</v>
      </c>
      <c r="U354" s="19">
        <v>2.3218000000000001</v>
      </c>
      <c r="V354" s="19">
        <v>1.4143829999999999</v>
      </c>
      <c r="W354" s="19">
        <v>2.1695000000000002</v>
      </c>
      <c r="X354" s="19">
        <v>1.4143829999999999</v>
      </c>
      <c r="Y354" s="19">
        <v>2.1695000000000002</v>
      </c>
      <c r="Z354" s="4"/>
      <c r="AA354" s="4"/>
      <c r="AB354" s="4" t="e">
        <f ca="1">_xll.ciqfunctions.udf.CIQ("^SPX", "IQ_PRICEDATE", "5/19/2015")</f>
        <v>#NAME?</v>
      </c>
      <c r="AC354" s="16">
        <v>2127.8250587712</v>
      </c>
    </row>
    <row r="355" spans="1:29" x14ac:dyDescent="0.35">
      <c r="A355" s="2" t="s">
        <v>365</v>
      </c>
      <c r="B355" s="4" t="s">
        <v>1395</v>
      </c>
      <c r="C355" s="4" t="s">
        <v>619</v>
      </c>
      <c r="D355" s="4" t="s">
        <v>619</v>
      </c>
      <c r="E355" s="4" t="s">
        <v>620</v>
      </c>
      <c r="F355" s="4" t="s">
        <v>620</v>
      </c>
      <c r="G355" s="14">
        <v>48.96</v>
      </c>
      <c r="H355" s="10">
        <v>7.8465959999999999</v>
      </c>
      <c r="I355" s="10">
        <v>208.86213599999999</v>
      </c>
      <c r="J355" s="10">
        <v>1.346023</v>
      </c>
      <c r="K355" s="15">
        <v>0</v>
      </c>
      <c r="L355" s="17">
        <v>25319.729459999999</v>
      </c>
      <c r="M355" s="4" t="s">
        <v>1396</v>
      </c>
      <c r="N355" s="19">
        <v>0.23441300000000001</v>
      </c>
      <c r="O355" s="19">
        <v>3.6970000000000001</v>
      </c>
      <c r="P355" s="19">
        <v>3.21</v>
      </c>
      <c r="Q355" s="19">
        <v>3.4001000000000001</v>
      </c>
      <c r="R355" s="19">
        <v>2.78</v>
      </c>
      <c r="S355" s="19">
        <v>3.7797000000000001</v>
      </c>
      <c r="T355" s="19">
        <v>2.78</v>
      </c>
      <c r="U355" s="19">
        <v>3.4639000000000002</v>
      </c>
      <c r="V355" s="19">
        <v>3.06</v>
      </c>
      <c r="W355" s="19">
        <v>3.2985000000000002</v>
      </c>
      <c r="X355" s="19">
        <v>3.06</v>
      </c>
      <c r="Y355" s="19">
        <v>3.2985000000000002</v>
      </c>
      <c r="Z355" s="4"/>
      <c r="AA355" s="4"/>
      <c r="AB355" s="4" t="e">
        <f ca="1">_xll.ciqfunctions.udf.CIQ("^SPX", "IQ_PRICEDATE", "5/20/2015")</f>
        <v>#NAME?</v>
      </c>
      <c r="AC355" s="16">
        <v>2125.8487640356998</v>
      </c>
    </row>
    <row r="356" spans="1:29" x14ac:dyDescent="0.35">
      <c r="A356" s="2" t="s">
        <v>366</v>
      </c>
      <c r="B356" s="4" t="s">
        <v>1397</v>
      </c>
      <c r="C356" s="4" t="s">
        <v>626</v>
      </c>
      <c r="D356" s="4" t="s">
        <v>627</v>
      </c>
      <c r="E356" s="4" t="s">
        <v>628</v>
      </c>
      <c r="F356" s="4" t="s">
        <v>628</v>
      </c>
      <c r="G356" s="14">
        <v>84.56</v>
      </c>
      <c r="H356" s="10">
        <v>12.273115000000001</v>
      </c>
      <c r="I356" s="10">
        <v>20.523150999999999</v>
      </c>
      <c r="J356" s="10" t="s">
        <v>534</v>
      </c>
      <c r="K356" s="15">
        <v>5.3926000000000002E-2</v>
      </c>
      <c r="L356" s="17">
        <v>131449.09881299999</v>
      </c>
      <c r="M356" s="4" t="s">
        <v>1398</v>
      </c>
      <c r="N356" s="19">
        <v>4.1202249999999996</v>
      </c>
      <c r="O356" s="19">
        <v>5.0110999999999999</v>
      </c>
      <c r="P356" s="19">
        <v>3.8795099999999998</v>
      </c>
      <c r="Q356" s="19">
        <v>5.1825999999999999</v>
      </c>
      <c r="R356" s="19">
        <v>4.4796899999999997</v>
      </c>
      <c r="S356" s="19">
        <v>4.7333999999999996</v>
      </c>
      <c r="T356" s="19">
        <v>4.4796899999999997</v>
      </c>
      <c r="U356" s="19">
        <v>4.4893999999999998</v>
      </c>
      <c r="V356" s="19">
        <v>4.76</v>
      </c>
      <c r="W356" s="19">
        <v>4.8090999999999999</v>
      </c>
      <c r="X356" s="19">
        <v>4.76</v>
      </c>
      <c r="Y356" s="19">
        <v>4.8090999999999999</v>
      </c>
      <c r="Z356" s="4"/>
      <c r="AA356" s="4"/>
      <c r="AB356" s="4" t="e">
        <f ca="1">_xll.ciqfunctions.udf.CIQ("^SPX", "IQ_PRICEDATE", "5/21/2015")</f>
        <v>#NAME?</v>
      </c>
      <c r="AC356" s="16">
        <v>2130.8168954618</v>
      </c>
    </row>
    <row r="357" spans="1:29" x14ac:dyDescent="0.35">
      <c r="A357" s="2" t="s">
        <v>367</v>
      </c>
      <c r="B357" s="4" t="s">
        <v>1399</v>
      </c>
      <c r="C357" s="4" t="s">
        <v>669</v>
      </c>
      <c r="D357" s="4" t="s">
        <v>669</v>
      </c>
      <c r="E357" s="4" t="s">
        <v>670</v>
      </c>
      <c r="F357" s="4" t="s">
        <v>1126</v>
      </c>
      <c r="G357" s="14">
        <v>108.78</v>
      </c>
      <c r="H357" s="10">
        <v>10.004242</v>
      </c>
      <c r="I357" s="10">
        <v>9.2006700000000006</v>
      </c>
      <c r="J357" s="10">
        <v>2.7446990000000002</v>
      </c>
      <c r="K357" s="15">
        <v>2.9416999999999999E-2</v>
      </c>
      <c r="L357" s="17">
        <v>50502.464959999998</v>
      </c>
      <c r="M357" s="4" t="s">
        <v>1400</v>
      </c>
      <c r="N357" s="19">
        <v>11.823051</v>
      </c>
      <c r="O357" s="19">
        <v>8.7157</v>
      </c>
      <c r="P357" s="19">
        <v>9.8474850000000007</v>
      </c>
      <c r="Q357" s="19">
        <v>6.2218999999999998</v>
      </c>
      <c r="R357" s="19">
        <v>2.9241640000000002</v>
      </c>
      <c r="S357" s="19">
        <v>5.0987999999999998</v>
      </c>
      <c r="T357" s="19">
        <v>2.9241640000000002</v>
      </c>
      <c r="U357" s="19">
        <v>7.4589999999999996</v>
      </c>
      <c r="V357" s="19">
        <v>7.0970630000000003</v>
      </c>
      <c r="W357" s="19">
        <v>6.7664999999999997</v>
      </c>
      <c r="X357" s="19">
        <v>7.0970630000000003</v>
      </c>
      <c r="Y357" s="19">
        <v>6.7664999999999997</v>
      </c>
      <c r="Z357" s="4"/>
      <c r="AA357" s="4"/>
      <c r="AB357" s="4" t="e">
        <f ca="1">_xll.ciqfunctions.udf.CIQ("^SPX", "IQ_PRICEDATE", "5/22/2015")</f>
        <v>#NAME?</v>
      </c>
      <c r="AC357" s="16">
        <v>2126.0614088692</v>
      </c>
    </row>
    <row r="358" spans="1:29" x14ac:dyDescent="0.35">
      <c r="A358" s="2" t="s">
        <v>368</v>
      </c>
      <c r="B358" s="4" t="s">
        <v>1401</v>
      </c>
      <c r="C358" s="4" t="s">
        <v>619</v>
      </c>
      <c r="D358" s="4" t="s">
        <v>619</v>
      </c>
      <c r="E358" s="4" t="s">
        <v>620</v>
      </c>
      <c r="F358" s="4" t="s">
        <v>620</v>
      </c>
      <c r="G358" s="14">
        <v>83.69</v>
      </c>
      <c r="H358" s="10">
        <v>9.9353280000000002</v>
      </c>
      <c r="I358" s="10">
        <v>20.122198999999998</v>
      </c>
      <c r="J358" s="10">
        <v>1.962518</v>
      </c>
      <c r="K358" s="15">
        <v>3.3216999999999997E-2</v>
      </c>
      <c r="L358" s="17">
        <v>9371.1156929999997</v>
      </c>
      <c r="M358" s="4" t="s">
        <v>1402</v>
      </c>
      <c r="N358" s="19">
        <v>4.1590879999999997</v>
      </c>
      <c r="O358" s="19">
        <v>4.6233000000000004</v>
      </c>
      <c r="P358" s="19">
        <v>4.3499990000000004</v>
      </c>
      <c r="Q358" s="19">
        <v>4.4267000000000003</v>
      </c>
      <c r="R358" s="19">
        <v>3.95</v>
      </c>
      <c r="S358" s="19">
        <v>4.3037000000000001</v>
      </c>
      <c r="T358" s="19">
        <v>3.95</v>
      </c>
      <c r="U358" s="19">
        <v>3.9756</v>
      </c>
      <c r="V358" s="19">
        <v>3.58</v>
      </c>
      <c r="W358" s="19">
        <v>3.8540000000000001</v>
      </c>
      <c r="X358" s="19">
        <v>3.58</v>
      </c>
      <c r="Y358" s="19">
        <v>3.8540000000000001</v>
      </c>
      <c r="Z358" s="4"/>
      <c r="AA358" s="4"/>
      <c r="AB358" s="4" t="e">
        <f ca="1">_xll.ciqfunctions.udf.CIQ("^SPX", "IQ_PRICEDATE", "5/26/2015")</f>
        <v>#NAME?</v>
      </c>
      <c r="AC358" s="16">
        <v>2104.1993725443999</v>
      </c>
    </row>
    <row r="359" spans="1:29" x14ac:dyDescent="0.35">
      <c r="A359" s="2" t="s">
        <v>369</v>
      </c>
      <c r="B359" s="4" t="s">
        <v>1403</v>
      </c>
      <c r="C359" s="4" t="s">
        <v>669</v>
      </c>
      <c r="D359" s="4" t="s">
        <v>669</v>
      </c>
      <c r="E359" s="4" t="s">
        <v>670</v>
      </c>
      <c r="F359" s="4" t="s">
        <v>671</v>
      </c>
      <c r="G359" s="14">
        <v>170.18</v>
      </c>
      <c r="H359" s="10">
        <v>15.654123</v>
      </c>
      <c r="I359" s="10">
        <v>33.024165000000004</v>
      </c>
      <c r="J359" s="10">
        <v>2.586176</v>
      </c>
      <c r="K359" s="15">
        <v>1.8799999999999999E-3</v>
      </c>
      <c r="L359" s="17">
        <v>28998.880300000001</v>
      </c>
      <c r="M359" s="4" t="s">
        <v>1404</v>
      </c>
      <c r="N359" s="19">
        <v>5.1531960000000003</v>
      </c>
      <c r="O359" s="19">
        <v>9.2149000000000001</v>
      </c>
      <c r="P359" s="19">
        <v>4.8499999999999996</v>
      </c>
      <c r="Q359" s="19">
        <v>3.3130999999999999</v>
      </c>
      <c r="R359" s="19">
        <v>-3.3493970000000002</v>
      </c>
      <c r="S359" s="19">
        <v>0.74819999999999998</v>
      </c>
      <c r="T359" s="19">
        <v>-3.3493970000000002</v>
      </c>
      <c r="U359" s="19">
        <v>-0.19969999999999999</v>
      </c>
      <c r="V359" s="19">
        <v>7.15</v>
      </c>
      <c r="W359" s="19">
        <v>4.4124999999999996</v>
      </c>
      <c r="X359" s="19">
        <v>7.15</v>
      </c>
      <c r="Y359" s="19">
        <v>4.4124999999999996</v>
      </c>
      <c r="Z359" s="4"/>
      <c r="AA359" s="4"/>
      <c r="AB359" s="4" t="e">
        <f ca="1">_xll.ciqfunctions.udf.CIQ("^SPX", "IQ_PRICEDATE", "5/27/2015")</f>
        <v>#NAME?</v>
      </c>
      <c r="AC359" s="16">
        <v>2123.4758687950002</v>
      </c>
    </row>
    <row r="360" spans="1:29" x14ac:dyDescent="0.35">
      <c r="A360" s="2" t="s">
        <v>370</v>
      </c>
      <c r="B360" s="4" t="s">
        <v>1405</v>
      </c>
      <c r="C360" s="4" t="s">
        <v>586</v>
      </c>
      <c r="D360" s="4" t="s">
        <v>586</v>
      </c>
      <c r="E360" s="4" t="s">
        <v>587</v>
      </c>
      <c r="F360" s="4" t="s">
        <v>598</v>
      </c>
      <c r="G360" s="14">
        <v>98.12</v>
      </c>
      <c r="H360" s="10">
        <v>11.401399</v>
      </c>
      <c r="I360" s="10">
        <v>19.969313</v>
      </c>
      <c r="J360" s="10" t="s">
        <v>534</v>
      </c>
      <c r="K360" s="15">
        <v>1.9567000000000001E-2</v>
      </c>
      <c r="L360" s="17">
        <v>23746.816363999998</v>
      </c>
      <c r="M360" s="4" t="s">
        <v>1406</v>
      </c>
      <c r="N360" s="19">
        <v>4.9135390000000001</v>
      </c>
      <c r="O360" s="19">
        <v>6.1002000000000001</v>
      </c>
      <c r="P360" s="19">
        <v>5.31</v>
      </c>
      <c r="Q360" s="19">
        <v>6.4161999999999999</v>
      </c>
      <c r="R360" s="19">
        <v>2.04</v>
      </c>
      <c r="S360" s="19">
        <v>6.1288999999999998</v>
      </c>
      <c r="T360" s="19">
        <v>2.04</v>
      </c>
      <c r="U360" s="19">
        <v>6.2786999999999997</v>
      </c>
      <c r="V360" s="19">
        <v>3.7646350000000002</v>
      </c>
      <c r="W360" s="19">
        <v>5.5399000000000003</v>
      </c>
      <c r="X360" s="19">
        <v>3.7646350000000002</v>
      </c>
      <c r="Y360" s="19">
        <v>5.5399000000000003</v>
      </c>
      <c r="Z360" s="4"/>
      <c r="AA360" s="4"/>
      <c r="AB360" s="4" t="e">
        <f ca="1">_xll.ciqfunctions.udf.CIQ("^SPX", "IQ_PRICEDATE", "5/28/2015")</f>
        <v>#NAME?</v>
      </c>
      <c r="AC360" s="16">
        <v>2120.7897623846002</v>
      </c>
    </row>
    <row r="361" spans="1:29" x14ac:dyDescent="0.35">
      <c r="A361" s="2" t="s">
        <v>371</v>
      </c>
      <c r="B361" s="4" t="s">
        <v>1407</v>
      </c>
      <c r="C361" s="4" t="s">
        <v>619</v>
      </c>
      <c r="D361" s="4" t="s">
        <v>619</v>
      </c>
      <c r="E361" s="4" t="s">
        <v>620</v>
      </c>
      <c r="F361" s="4" t="s">
        <v>620</v>
      </c>
      <c r="G361" s="14">
        <v>30.9</v>
      </c>
      <c r="H361" s="10">
        <v>10.155426</v>
      </c>
      <c r="I361" s="10">
        <v>15.328384</v>
      </c>
      <c r="J361" s="10">
        <v>2.9846720000000002</v>
      </c>
      <c r="K361" s="15">
        <v>5.3074000000000003E-2</v>
      </c>
      <c r="L361" s="17">
        <v>22234.733393999999</v>
      </c>
      <c r="M361" s="4" t="s">
        <v>1408</v>
      </c>
      <c r="N361" s="19">
        <v>2.0158680000000002</v>
      </c>
      <c r="O361" s="19">
        <v>2.3231999999999999</v>
      </c>
      <c r="P361" s="19">
        <v>1.64</v>
      </c>
      <c r="Q361" s="19">
        <v>2.2665000000000002</v>
      </c>
      <c r="R361" s="19">
        <v>2.79</v>
      </c>
      <c r="S361" s="19">
        <v>2.1981999999999999</v>
      </c>
      <c r="T361" s="19">
        <v>2.79</v>
      </c>
      <c r="U361" s="19">
        <v>2.2444999999999999</v>
      </c>
      <c r="V361" s="19">
        <v>2.1577449999999998</v>
      </c>
      <c r="W361" s="19">
        <v>2.3094000000000001</v>
      </c>
      <c r="X361" s="19">
        <v>2.1577449999999998</v>
      </c>
      <c r="Y361" s="19">
        <v>2.3094000000000001</v>
      </c>
      <c r="Z361" s="4"/>
      <c r="AA361" s="4"/>
      <c r="AB361" s="4" t="e">
        <f ca="1">_xll.ciqfunctions.udf.CIQ("^SPX", "IQ_PRICEDATE", "5/29/2015")</f>
        <v>#NAME?</v>
      </c>
      <c r="AC361" s="16">
        <v>2107.3895783551002</v>
      </c>
    </row>
    <row r="362" spans="1:29" x14ac:dyDescent="0.35">
      <c r="A362" s="2" t="s">
        <v>372</v>
      </c>
      <c r="B362" s="4" t="s">
        <v>1409</v>
      </c>
      <c r="C362" s="4" t="s">
        <v>586</v>
      </c>
      <c r="D362" s="4" t="s">
        <v>586</v>
      </c>
      <c r="E362" s="4" t="s">
        <v>587</v>
      </c>
      <c r="F362" s="4" t="s">
        <v>588</v>
      </c>
      <c r="G362" s="14">
        <v>159.79</v>
      </c>
      <c r="H362" s="10">
        <v>13.742234</v>
      </c>
      <c r="I362" s="10">
        <v>33.244315</v>
      </c>
      <c r="J362" s="10">
        <v>19.961658</v>
      </c>
      <c r="K362" s="15">
        <v>2.0652E-2</v>
      </c>
      <c r="L362" s="17">
        <v>45951.734525</v>
      </c>
      <c r="M362" s="4" t="s">
        <v>1410</v>
      </c>
      <c r="N362" s="19">
        <v>4.8065360000000004</v>
      </c>
      <c r="O362" s="19">
        <v>7.0350000000000001</v>
      </c>
      <c r="P362" s="19">
        <v>4.32</v>
      </c>
      <c r="Q362" s="19">
        <v>6.2965999999999998</v>
      </c>
      <c r="R362" s="19">
        <v>5.21</v>
      </c>
      <c r="S362" s="19">
        <v>5.8258999999999999</v>
      </c>
      <c r="T362" s="19">
        <v>5.21</v>
      </c>
      <c r="U362" s="19">
        <v>5.9588000000000001</v>
      </c>
      <c r="V362" s="19">
        <v>5.73</v>
      </c>
      <c r="W362" s="19">
        <v>6.6227</v>
      </c>
      <c r="X362" s="19">
        <v>5.73</v>
      </c>
      <c r="Y362" s="19">
        <v>6.6227</v>
      </c>
      <c r="Z362" s="4"/>
      <c r="AA362" s="4"/>
      <c r="AB362" s="4" t="e">
        <f ca="1">_xll.ciqfunctions.udf.CIQ("^SPX", "IQ_PRICEDATE", "6/1/2015")</f>
        <v>#NAME?</v>
      </c>
      <c r="AC362" s="16">
        <v>2111.7315555443001</v>
      </c>
    </row>
    <row r="363" spans="1:29" x14ac:dyDescent="0.35">
      <c r="A363" s="2" t="s">
        <v>373</v>
      </c>
      <c r="B363" s="4" t="s">
        <v>1411</v>
      </c>
      <c r="C363" s="4" t="s">
        <v>573</v>
      </c>
      <c r="D363" s="4" t="s">
        <v>579</v>
      </c>
      <c r="E363" s="4" t="s">
        <v>579</v>
      </c>
      <c r="F363" s="4" t="s">
        <v>580</v>
      </c>
      <c r="G363" s="14">
        <v>55.08</v>
      </c>
      <c r="H363" s="10">
        <v>6.0108459999999999</v>
      </c>
      <c r="I363" s="10">
        <v>6.4307720000000002</v>
      </c>
      <c r="J363" s="10">
        <v>1.7074689999999999</v>
      </c>
      <c r="K363" s="15">
        <v>3.8489000000000002E-2</v>
      </c>
      <c r="L363" s="17">
        <v>15683.961756000001</v>
      </c>
      <c r="M363" s="4" t="s">
        <v>1412</v>
      </c>
      <c r="N363" s="19">
        <v>8.5650680000000001</v>
      </c>
      <c r="O363" s="19">
        <v>6.0256999999999996</v>
      </c>
      <c r="P363" s="19">
        <v>7.88</v>
      </c>
      <c r="Q363" s="19">
        <v>5.4653999999999998</v>
      </c>
      <c r="R363" s="19">
        <v>4.5</v>
      </c>
      <c r="S363" s="19">
        <v>4.7317</v>
      </c>
      <c r="T363" s="19">
        <v>4.5</v>
      </c>
      <c r="U363" s="19">
        <v>4.29</v>
      </c>
      <c r="V363" s="19">
        <v>3.65</v>
      </c>
      <c r="W363" s="19">
        <v>4.2855999999999996</v>
      </c>
      <c r="X363" s="19">
        <v>3.65</v>
      </c>
      <c r="Y363" s="19">
        <v>4.2855999999999996</v>
      </c>
      <c r="Z363" s="4"/>
      <c r="AA363" s="4"/>
      <c r="AB363" s="4" t="e">
        <f ca="1">_xll.ciqfunctions.udf.CIQ("^SPX", "IQ_PRICEDATE", "6/2/2015")</f>
        <v>#NAME?</v>
      </c>
      <c r="AC363" s="16">
        <v>2109.5971932025</v>
      </c>
    </row>
    <row r="364" spans="1:29" x14ac:dyDescent="0.35">
      <c r="A364" s="2" t="s">
        <v>374</v>
      </c>
      <c r="B364" s="4" t="s">
        <v>1413</v>
      </c>
      <c r="C364" s="4" t="s">
        <v>601</v>
      </c>
      <c r="D364" s="4" t="s">
        <v>601</v>
      </c>
      <c r="E364" s="4" t="s">
        <v>602</v>
      </c>
      <c r="F364" s="4" t="s">
        <v>958</v>
      </c>
      <c r="G364" s="14">
        <v>62.86</v>
      </c>
      <c r="H364" s="10">
        <v>29.059937999999999</v>
      </c>
      <c r="I364" s="10">
        <v>25.663626000000001</v>
      </c>
      <c r="J364" s="10">
        <v>1.705268</v>
      </c>
      <c r="K364" s="15">
        <v>3.0543999999999998E-2</v>
      </c>
      <c r="L364" s="17">
        <v>39571.564339999997</v>
      </c>
      <c r="M364" s="4" t="s">
        <v>1414</v>
      </c>
      <c r="N364" s="19">
        <v>2.4493809999999998</v>
      </c>
      <c r="O364" s="19">
        <v>1.7458</v>
      </c>
      <c r="P364" s="19">
        <v>3.056692</v>
      </c>
      <c r="Q364" s="19">
        <v>1.5014000000000001</v>
      </c>
      <c r="R364" s="19">
        <v>2.2688380000000001</v>
      </c>
      <c r="S364" s="19">
        <v>1.1967000000000001</v>
      </c>
      <c r="T364" s="19">
        <v>2.2688380000000001</v>
      </c>
      <c r="U364" s="19">
        <v>0.42280000000000001</v>
      </c>
      <c r="V364" s="19">
        <v>1.2359439999999999</v>
      </c>
      <c r="W364" s="19">
        <v>0.45</v>
      </c>
      <c r="X364" s="19">
        <v>1.2359439999999999</v>
      </c>
      <c r="Y364" s="19">
        <v>0.45</v>
      </c>
      <c r="Z364" s="4"/>
      <c r="AA364" s="4"/>
      <c r="AB364" s="4" t="e">
        <f ca="1">_xll.ciqfunctions.udf.CIQ("^SPX", "IQ_PRICEDATE", "6/3/2015")</f>
        <v>#NAME?</v>
      </c>
      <c r="AC364" s="16">
        <v>2114.0673737123998</v>
      </c>
    </row>
    <row r="365" spans="1:29" x14ac:dyDescent="0.35">
      <c r="A365" s="2" t="s">
        <v>375</v>
      </c>
      <c r="B365" s="4" t="s">
        <v>1415</v>
      </c>
      <c r="C365" s="4" t="s">
        <v>573</v>
      </c>
      <c r="D365" s="4" t="s">
        <v>579</v>
      </c>
      <c r="E365" s="4" t="s">
        <v>579</v>
      </c>
      <c r="F365" s="4" t="s">
        <v>580</v>
      </c>
      <c r="G365" s="14">
        <v>99.7</v>
      </c>
      <c r="H365" s="10">
        <v>7.1693439999999997</v>
      </c>
      <c r="I365" s="10">
        <v>5.7440930000000003</v>
      </c>
      <c r="J365" s="10">
        <v>0.86344699999999996</v>
      </c>
      <c r="K365" s="15">
        <v>3.6108000000000001E-2</v>
      </c>
      <c r="L365" s="17">
        <v>41645.819701</v>
      </c>
      <c r="M365" s="4" t="s">
        <v>1416</v>
      </c>
      <c r="N365" s="19">
        <v>17.356960000000001</v>
      </c>
      <c r="O365" s="19">
        <v>12.6372</v>
      </c>
      <c r="P365" s="19">
        <v>17.857797999999999</v>
      </c>
      <c r="Q365" s="19">
        <v>11.2858</v>
      </c>
      <c r="R365" s="19">
        <v>9.7089110000000005</v>
      </c>
      <c r="S365" s="19">
        <v>10.2933</v>
      </c>
      <c r="T365" s="19">
        <v>9.7089110000000005</v>
      </c>
      <c r="U365" s="19">
        <v>9.9460999999999995</v>
      </c>
      <c r="V365" s="19">
        <v>2.8860480000000002</v>
      </c>
      <c r="W365" s="19">
        <v>9.8229000000000006</v>
      </c>
      <c r="X365" s="19">
        <v>2.8860480000000002</v>
      </c>
      <c r="Y365" s="19">
        <v>9.8229000000000006</v>
      </c>
      <c r="Z365" s="4"/>
      <c r="AA365" s="4"/>
      <c r="AB365" s="4" t="e">
        <f ca="1">_xll.ciqfunctions.udf.CIQ("^SPX", "IQ_PRICEDATE", "6/4/2015")</f>
        <v>#NAME?</v>
      </c>
      <c r="AC365" s="16">
        <v>2095.8440838400002</v>
      </c>
    </row>
    <row r="366" spans="1:29" x14ac:dyDescent="0.35">
      <c r="A366" s="2" t="s">
        <v>376</v>
      </c>
      <c r="B366" s="4" t="s">
        <v>1417</v>
      </c>
      <c r="C366" s="4" t="s">
        <v>619</v>
      </c>
      <c r="D366" s="4" t="s">
        <v>619</v>
      </c>
      <c r="E366" s="4" t="s">
        <v>634</v>
      </c>
      <c r="F366" s="4" t="s">
        <v>634</v>
      </c>
      <c r="G366" s="14">
        <v>53.65</v>
      </c>
      <c r="H366" s="10">
        <v>15.427460999999999</v>
      </c>
      <c r="I366" s="10">
        <v>12.505827</v>
      </c>
      <c r="J366" s="10">
        <v>1.929332</v>
      </c>
      <c r="K366" s="15">
        <v>3.3549999999999996E-2</v>
      </c>
      <c r="L366" s="17">
        <v>27110.596440000001</v>
      </c>
      <c r="M366" s="4" t="s">
        <v>1418</v>
      </c>
      <c r="N366" s="19">
        <v>4.29</v>
      </c>
      <c r="O366" s="19">
        <v>3.3405999999999998</v>
      </c>
      <c r="P366" s="19">
        <v>3.1</v>
      </c>
      <c r="Q366" s="19">
        <v>3.0203000000000002</v>
      </c>
      <c r="R366" s="19">
        <v>1.75</v>
      </c>
      <c r="S366" s="19">
        <v>2.9262999999999999</v>
      </c>
      <c r="T366" s="19">
        <v>1.75</v>
      </c>
      <c r="U366" s="19">
        <v>2.9211</v>
      </c>
      <c r="V366" s="19">
        <v>2.99</v>
      </c>
      <c r="W366" s="19">
        <v>2.7528000000000001</v>
      </c>
      <c r="X366" s="19">
        <v>2.99</v>
      </c>
      <c r="Y366" s="19">
        <v>2.7528000000000001</v>
      </c>
      <c r="Z366" s="4"/>
      <c r="AA366" s="4"/>
      <c r="AB366" s="4" t="e">
        <f ca="1">_xll.ciqfunctions.udf.CIQ("^SPX", "IQ_PRICEDATE", "6/5/2015")</f>
        <v>#NAME?</v>
      </c>
      <c r="AC366" s="16">
        <v>2092.8309484256001</v>
      </c>
    </row>
    <row r="367" spans="1:29" x14ac:dyDescent="0.35">
      <c r="A367" s="2" t="s">
        <v>377</v>
      </c>
      <c r="B367" s="4" t="s">
        <v>1419</v>
      </c>
      <c r="C367" s="4" t="s">
        <v>601</v>
      </c>
      <c r="D367" s="4" t="s">
        <v>601</v>
      </c>
      <c r="E367" s="4" t="s">
        <v>602</v>
      </c>
      <c r="F367" s="4" t="s">
        <v>647</v>
      </c>
      <c r="G367" s="14">
        <v>198.13</v>
      </c>
      <c r="H367" s="10">
        <v>19.940149000000002</v>
      </c>
      <c r="I367" s="10">
        <v>27.595341000000001</v>
      </c>
      <c r="J367" s="10">
        <v>7.3898929999999998</v>
      </c>
      <c r="K367" s="15">
        <v>4.0377000000000003E-2</v>
      </c>
      <c r="L367" s="17">
        <v>34522.255207000002</v>
      </c>
      <c r="M367" s="4" t="s">
        <v>1420</v>
      </c>
      <c r="N367" s="19">
        <v>7.1798349999999997</v>
      </c>
      <c r="O367" s="19">
        <v>7.4696999999999996</v>
      </c>
      <c r="P367" s="19">
        <v>6.73</v>
      </c>
      <c r="Q367" s="19">
        <v>7.4301000000000004</v>
      </c>
      <c r="R367" s="19">
        <v>6.81</v>
      </c>
      <c r="S367" s="19">
        <v>7.3371000000000004</v>
      </c>
      <c r="T367" s="19">
        <v>6.81</v>
      </c>
      <c r="U367" s="19">
        <v>6.7283999999999997</v>
      </c>
      <c r="V367" s="19">
        <v>5.25</v>
      </c>
      <c r="W367" s="19">
        <v>5.5126999999999997</v>
      </c>
      <c r="X367" s="19">
        <v>5.25</v>
      </c>
      <c r="Y367" s="19">
        <v>5.5126999999999997</v>
      </c>
      <c r="Z367" s="4"/>
      <c r="AA367" s="4"/>
      <c r="AB367" s="4" t="e">
        <f ca="1">_xll.ciqfunctions.udf.CIQ("^SPX", "IQ_PRICEDATE", "6/8/2015")</f>
        <v>#NAME?</v>
      </c>
      <c r="AC367" s="16">
        <v>2079.2803854418999</v>
      </c>
    </row>
    <row r="368" spans="1:29" x14ac:dyDescent="0.35">
      <c r="A368" s="2" t="s">
        <v>378</v>
      </c>
      <c r="B368" s="4" t="s">
        <v>1421</v>
      </c>
      <c r="C368" s="4" t="s">
        <v>559</v>
      </c>
      <c r="D368" s="4" t="s">
        <v>912</v>
      </c>
      <c r="E368" s="4" t="s">
        <v>913</v>
      </c>
      <c r="F368" s="4" t="s">
        <v>914</v>
      </c>
      <c r="G368" s="14">
        <v>22.82</v>
      </c>
      <c r="H368" s="10">
        <v>6.5710879999999996</v>
      </c>
      <c r="I368" s="10">
        <v>8.952045</v>
      </c>
      <c r="J368" s="10">
        <v>1.477282</v>
      </c>
      <c r="K368" s="15">
        <v>1.5774999999999997E-2</v>
      </c>
      <c r="L368" s="17">
        <v>6481.3036990000001</v>
      </c>
      <c r="M368" s="4" t="s">
        <v>1422</v>
      </c>
      <c r="N368" s="19">
        <v>2.5491380000000001</v>
      </c>
      <c r="O368" s="19">
        <v>3.6315</v>
      </c>
      <c r="P368" s="19">
        <v>1.4427890000000001</v>
      </c>
      <c r="Q368" s="19">
        <v>2.6408</v>
      </c>
      <c r="R368" s="19">
        <v>1.7479119999999999</v>
      </c>
      <c r="S368" s="19">
        <v>1.9226000000000001</v>
      </c>
      <c r="T368" s="19">
        <v>1.7479119999999999</v>
      </c>
      <c r="U368" s="19">
        <v>1.4933000000000001</v>
      </c>
      <c r="V368" s="19">
        <v>1.259314</v>
      </c>
      <c r="W368" s="19">
        <v>1.3675999999999999</v>
      </c>
      <c r="X368" s="19">
        <v>1.259314</v>
      </c>
      <c r="Y368" s="19">
        <v>1.3675999999999999</v>
      </c>
      <c r="Z368" s="4"/>
      <c r="AA368" s="4"/>
      <c r="AB368" s="4" t="e">
        <f ca="1">_xll.ciqfunctions.udf.CIQ("^SPX", "IQ_PRICEDATE", "6/9/2015")</f>
        <v>#NAME?</v>
      </c>
      <c r="AC368" s="16">
        <v>2080.1520763919998</v>
      </c>
    </row>
    <row r="369" spans="1:29" x14ac:dyDescent="0.35">
      <c r="A369" s="2" t="s">
        <v>379</v>
      </c>
      <c r="B369" s="4" t="s">
        <v>1423</v>
      </c>
      <c r="C369" s="4" t="s">
        <v>559</v>
      </c>
      <c r="D369" s="4" t="s">
        <v>912</v>
      </c>
      <c r="E369" s="4" t="s">
        <v>1097</v>
      </c>
      <c r="F369" s="4" t="s">
        <v>1098</v>
      </c>
      <c r="G369" s="14">
        <v>127.96</v>
      </c>
      <c r="H369" s="10">
        <v>10.616185</v>
      </c>
      <c r="I369" s="10">
        <v>14.450281</v>
      </c>
      <c r="J369" s="10" t="s">
        <v>534</v>
      </c>
      <c r="K369" s="15">
        <v>1.1720000000000001E-3</v>
      </c>
      <c r="L369" s="17">
        <v>9816.5094939999999</v>
      </c>
      <c r="M369" s="4" t="s">
        <v>1424</v>
      </c>
      <c r="N369" s="19">
        <v>8.8551909999999996</v>
      </c>
      <c r="O369" s="19">
        <v>9.8125</v>
      </c>
      <c r="P369" s="19">
        <v>6.7120579999999999</v>
      </c>
      <c r="Q369" s="19">
        <v>8.6102000000000007</v>
      </c>
      <c r="R369" s="19">
        <v>7.1465800000000002</v>
      </c>
      <c r="S369" s="19">
        <v>7.1961000000000004</v>
      </c>
      <c r="T369" s="19">
        <v>7.1465800000000002</v>
      </c>
      <c r="U369" s="19">
        <v>6.5484999999999998</v>
      </c>
      <c r="V369" s="19">
        <v>4.2196809999999996</v>
      </c>
      <c r="W369" s="19">
        <v>8.0885999999999996</v>
      </c>
      <c r="X369" s="19">
        <v>4.2196809999999996</v>
      </c>
      <c r="Y369" s="19">
        <v>8.0885999999999996</v>
      </c>
      <c r="Z369" s="4"/>
      <c r="AA369" s="4"/>
      <c r="AB369" s="4" t="e">
        <f ca="1">_xll.ciqfunctions.udf.CIQ("^SPX", "IQ_PRICEDATE", "6/10/2015")</f>
        <v>#NAME?</v>
      </c>
      <c r="AC369" s="16">
        <v>2105.2022673125998</v>
      </c>
    </row>
    <row r="370" spans="1:29" x14ac:dyDescent="0.35">
      <c r="A370" s="2" t="s">
        <v>380</v>
      </c>
      <c r="B370" s="4" t="s">
        <v>1425</v>
      </c>
      <c r="C370" s="4" t="s">
        <v>543</v>
      </c>
      <c r="D370" s="4" t="s">
        <v>565</v>
      </c>
      <c r="E370" s="4" t="s">
        <v>565</v>
      </c>
      <c r="F370" s="4" t="s">
        <v>566</v>
      </c>
      <c r="G370" s="14">
        <v>75.42</v>
      </c>
      <c r="H370" s="10">
        <v>11.11843</v>
      </c>
      <c r="I370" s="10" t="s">
        <v>534</v>
      </c>
      <c r="J370" s="10">
        <v>5.3367430000000002</v>
      </c>
      <c r="K370" s="15">
        <v>0</v>
      </c>
      <c r="L370" s="17">
        <v>9476.0162529999998</v>
      </c>
      <c r="M370" s="4" t="s">
        <v>1426</v>
      </c>
      <c r="N370" s="19">
        <v>-0.31903599999999999</v>
      </c>
      <c r="O370" s="19">
        <v>6.7069000000000001</v>
      </c>
      <c r="P370" s="19">
        <v>0.217893</v>
      </c>
      <c r="Q370" s="19">
        <v>6.2256</v>
      </c>
      <c r="R370" s="19">
        <v>-0.75099499999999997</v>
      </c>
      <c r="S370" s="19">
        <v>5.0407000000000002</v>
      </c>
      <c r="T370" s="19">
        <v>-0.75099499999999997</v>
      </c>
      <c r="U370" s="19">
        <v>4.8334000000000001</v>
      </c>
      <c r="V370" s="19">
        <v>2.5673659999999998</v>
      </c>
      <c r="W370" s="19">
        <v>0</v>
      </c>
      <c r="X370" s="19">
        <v>2.5673659999999998</v>
      </c>
      <c r="Y370" s="19">
        <v>0</v>
      </c>
      <c r="Z370" s="4"/>
      <c r="AA370" s="4"/>
      <c r="AB370" s="4" t="e">
        <f ca="1">_xll.ciqfunctions.udf.CIQ("^SPX", "IQ_PRICEDATE", "6/11/2015")</f>
        <v>#NAME?</v>
      </c>
      <c r="AC370" s="16">
        <v>2108.8561965326999</v>
      </c>
    </row>
    <row r="371" spans="1:29" x14ac:dyDescent="0.35">
      <c r="A371" s="2" t="s">
        <v>381</v>
      </c>
      <c r="B371" s="4" t="s">
        <v>1427</v>
      </c>
      <c r="C371" s="4" t="s">
        <v>543</v>
      </c>
      <c r="D371" s="4" t="s">
        <v>565</v>
      </c>
      <c r="E371" s="4" t="s">
        <v>565</v>
      </c>
      <c r="F371" s="4" t="s">
        <v>566</v>
      </c>
      <c r="G371" s="14">
        <v>66.099999999999994</v>
      </c>
      <c r="H371" s="10">
        <v>12.284266000000001</v>
      </c>
      <c r="I371" s="10" t="s">
        <v>534</v>
      </c>
      <c r="J371" s="10">
        <v>7.3206350000000002</v>
      </c>
      <c r="K371" s="15">
        <v>3.7517999999999996E-2</v>
      </c>
      <c r="L371" s="17">
        <v>97109.421281999996</v>
      </c>
      <c r="M371" s="4" t="s">
        <v>1428</v>
      </c>
      <c r="N371" s="19">
        <v>-2.8526340000000001</v>
      </c>
      <c r="O371" s="19">
        <v>3.7048999999999999</v>
      </c>
      <c r="P371" s="19">
        <v>-2.8315619999999999</v>
      </c>
      <c r="Q371" s="19">
        <v>3.6014900000000001</v>
      </c>
      <c r="R371" s="19">
        <v>3.278559</v>
      </c>
      <c r="S371" s="19">
        <v>4.7089600000000003</v>
      </c>
      <c r="T371" s="19">
        <v>3.278559</v>
      </c>
      <c r="U371" s="19">
        <v>4.1777199999999999</v>
      </c>
      <c r="V371" s="19">
        <v>4.7318119999999997</v>
      </c>
      <c r="W371" s="19">
        <v>5.2083199999999996</v>
      </c>
      <c r="X371" s="19">
        <v>4.7318119999999997</v>
      </c>
      <c r="Y371" s="19">
        <v>5.2083199999999996</v>
      </c>
      <c r="Z371" s="4"/>
      <c r="AA371" s="4"/>
      <c r="AB371" s="4" t="e">
        <f ca="1">_xll.ciqfunctions.udf.CIQ("^SPX", "IQ_PRICEDATE", "6/12/2015")</f>
        <v>#NAME?</v>
      </c>
      <c r="AC371" s="16">
        <v>2094.1056542483002</v>
      </c>
    </row>
    <row r="372" spans="1:29" x14ac:dyDescent="0.35">
      <c r="A372" s="2" t="s">
        <v>382</v>
      </c>
      <c r="B372" s="4" t="s">
        <v>1429</v>
      </c>
      <c r="C372" s="4" t="s">
        <v>525</v>
      </c>
      <c r="D372" s="4" t="s">
        <v>526</v>
      </c>
      <c r="E372" s="4" t="s">
        <v>1046</v>
      </c>
      <c r="F372" s="4" t="s">
        <v>1046</v>
      </c>
      <c r="G372" s="14">
        <v>32.58</v>
      </c>
      <c r="H372" s="10">
        <v>8.5303269999999998</v>
      </c>
      <c r="I372" s="10">
        <v>16.295328000000001</v>
      </c>
      <c r="J372" s="10">
        <v>3.1826050000000001</v>
      </c>
      <c r="K372" s="15">
        <v>0</v>
      </c>
      <c r="L372" s="17">
        <v>4863.9875730000003</v>
      </c>
      <c r="M372" s="4" t="s">
        <v>1430</v>
      </c>
      <c r="N372" s="19">
        <v>1.9993460000000001</v>
      </c>
      <c r="O372" s="19">
        <v>3.0196000000000001</v>
      </c>
      <c r="P372" s="19">
        <v>2</v>
      </c>
      <c r="Q372" s="19">
        <v>2.2818999999999998</v>
      </c>
      <c r="R372" s="19">
        <v>1.26</v>
      </c>
      <c r="S372" s="19">
        <v>2.0802</v>
      </c>
      <c r="T372" s="19">
        <v>1.26</v>
      </c>
      <c r="U372" s="19">
        <v>1.5874999999999999</v>
      </c>
      <c r="V372" s="19">
        <v>1.22</v>
      </c>
      <c r="W372" s="19">
        <v>2.1514000000000002</v>
      </c>
      <c r="X372" s="19">
        <v>1.22</v>
      </c>
      <c r="Y372" s="19">
        <v>2.1514000000000002</v>
      </c>
      <c r="Z372" s="4"/>
      <c r="AA372" s="4"/>
      <c r="AB372" s="4" t="e">
        <f ca="1">_xll.ciqfunctions.udf.CIQ("^SPX", "IQ_PRICEDATE", "6/15/2015")</f>
        <v>#NAME?</v>
      </c>
      <c r="AC372" s="16">
        <v>2084.4252841215998</v>
      </c>
    </row>
    <row r="373" spans="1:29" x14ac:dyDescent="0.35">
      <c r="A373" s="2" t="s">
        <v>383</v>
      </c>
      <c r="B373" s="4" t="s">
        <v>1431</v>
      </c>
      <c r="C373" s="4" t="s">
        <v>530</v>
      </c>
      <c r="D373" s="4" t="s">
        <v>531</v>
      </c>
      <c r="E373" s="4" t="s">
        <v>569</v>
      </c>
      <c r="F373" s="4" t="s">
        <v>909</v>
      </c>
      <c r="G373" s="14">
        <v>102.38</v>
      </c>
      <c r="H373" s="10">
        <v>11.041496</v>
      </c>
      <c r="I373" s="10">
        <v>17.619931999999999</v>
      </c>
      <c r="J373" s="10" t="s">
        <v>534</v>
      </c>
      <c r="K373" s="15">
        <v>1.9535E-2</v>
      </c>
      <c r="L373" s="17">
        <v>13991.934493999999</v>
      </c>
      <c r="M373" s="4" t="s">
        <v>1432</v>
      </c>
      <c r="N373" s="19">
        <v>5.8104649999999998</v>
      </c>
      <c r="O373" s="19">
        <v>6.7607999999999997</v>
      </c>
      <c r="P373" s="19">
        <v>5.5</v>
      </c>
      <c r="Q373" s="19">
        <v>5.7065000000000001</v>
      </c>
      <c r="R373" s="19">
        <v>4.51</v>
      </c>
      <c r="S373" s="19">
        <v>5.3535000000000004</v>
      </c>
      <c r="T373" s="19">
        <v>4.51</v>
      </c>
      <c r="U373" s="19">
        <v>4.9916999999999998</v>
      </c>
      <c r="V373" s="19">
        <v>3.78</v>
      </c>
      <c r="W373" s="19">
        <v>4.3490000000000002</v>
      </c>
      <c r="X373" s="19">
        <v>3.78</v>
      </c>
      <c r="Y373" s="19">
        <v>4.3490000000000002</v>
      </c>
      <c r="Z373" s="4"/>
      <c r="AA373" s="4"/>
      <c r="AB373" s="4" t="e">
        <f ca="1">_xll.ciqfunctions.udf.CIQ("^SPX", "IQ_PRICEDATE", "6/16/2015")</f>
        <v>#NAME?</v>
      </c>
      <c r="AC373" s="16">
        <v>2096.2923688098999</v>
      </c>
    </row>
    <row r="374" spans="1:29" x14ac:dyDescent="0.35">
      <c r="A374" s="2" t="s">
        <v>384</v>
      </c>
      <c r="B374" s="4" t="s">
        <v>1433</v>
      </c>
      <c r="C374" s="4" t="s">
        <v>559</v>
      </c>
      <c r="D374" s="4" t="s">
        <v>912</v>
      </c>
      <c r="E374" s="4" t="s">
        <v>1097</v>
      </c>
      <c r="F374" s="4" t="s">
        <v>1098</v>
      </c>
      <c r="G374" s="14">
        <v>128.16999999999999</v>
      </c>
      <c r="H374" s="10">
        <v>9.7130709999999993</v>
      </c>
      <c r="I374" s="10">
        <v>49.939976000000001</v>
      </c>
      <c r="J374" s="10">
        <v>4.498068</v>
      </c>
      <c r="K374" s="15">
        <v>1.9504999999999998E-2</v>
      </c>
      <c r="L374" s="17">
        <v>10398.446968</v>
      </c>
      <c r="M374" s="4" t="s">
        <v>1434</v>
      </c>
      <c r="N374" s="19">
        <v>2.566481</v>
      </c>
      <c r="O374" s="19">
        <v>6.7205000000000004</v>
      </c>
      <c r="P374" s="19">
        <v>-1.0085569999999999</v>
      </c>
      <c r="Q374" s="19">
        <v>5.6300999999999997</v>
      </c>
      <c r="R374" s="19">
        <v>1.7486139999999999</v>
      </c>
      <c r="S374" s="19">
        <v>5.4927000000000001</v>
      </c>
      <c r="T374" s="19">
        <v>1.7486139999999999</v>
      </c>
      <c r="U374" s="19">
        <v>7.1894</v>
      </c>
      <c r="V374" s="19">
        <v>8.1375340000000005</v>
      </c>
      <c r="W374" s="19">
        <v>9.1341000000000001</v>
      </c>
      <c r="X374" s="19">
        <v>8.1375340000000005</v>
      </c>
      <c r="Y374" s="19">
        <v>9.1341000000000001</v>
      </c>
      <c r="Z374" s="4"/>
      <c r="AA374" s="4"/>
      <c r="AB374" s="4" t="e">
        <f ca="1">_xll.ciqfunctions.udf.CIQ("^SPX", "IQ_PRICEDATE", "6/17/2015")</f>
        <v>#NAME?</v>
      </c>
      <c r="AC374" s="16">
        <v>2100.4437209033999</v>
      </c>
    </row>
    <row r="375" spans="1:29" x14ac:dyDescent="0.35">
      <c r="A375" s="2" t="s">
        <v>385</v>
      </c>
      <c r="B375" s="4" t="s">
        <v>1435</v>
      </c>
      <c r="C375" s="4" t="s">
        <v>573</v>
      </c>
      <c r="D375" s="4" t="s">
        <v>574</v>
      </c>
      <c r="E375" s="4" t="s">
        <v>575</v>
      </c>
      <c r="F375" s="4" t="s">
        <v>963</v>
      </c>
      <c r="G375" s="14">
        <v>89.18</v>
      </c>
      <c r="H375" s="10">
        <v>0</v>
      </c>
      <c r="I375" s="10">
        <v>16.845255999999999</v>
      </c>
      <c r="J375" s="10">
        <v>2.3547199999999999</v>
      </c>
      <c r="K375" s="15">
        <v>1.3455E-2</v>
      </c>
      <c r="L375" s="17">
        <v>12587.40028</v>
      </c>
      <c r="M375" s="4" t="s">
        <v>1436</v>
      </c>
      <c r="N375" s="19">
        <v>5.2940719999999999</v>
      </c>
      <c r="O375" s="19">
        <v>7.5509000000000004</v>
      </c>
      <c r="P375" s="19">
        <v>4.1229310000000003</v>
      </c>
      <c r="Q375" s="19">
        <v>6.0290699999999999</v>
      </c>
      <c r="R375" s="19">
        <v>3.9355730000000002</v>
      </c>
      <c r="S375" s="19">
        <v>4.3505000000000003</v>
      </c>
      <c r="T375" s="19">
        <v>3.9355730000000002</v>
      </c>
      <c r="U375" s="19">
        <v>3.85243</v>
      </c>
      <c r="V375" s="19">
        <v>3.3785249999999998</v>
      </c>
      <c r="W375" s="19">
        <v>3.6553100000000001</v>
      </c>
      <c r="X375" s="19">
        <v>3.3785249999999998</v>
      </c>
      <c r="Y375" s="19">
        <v>3.6553100000000001</v>
      </c>
      <c r="Z375" s="4"/>
      <c r="AA375" s="4"/>
      <c r="AB375" s="4" t="e">
        <f ca="1">_xll.ciqfunctions.udf.CIQ("^SPX", "IQ_PRICEDATE", "6/18/2015")</f>
        <v>#NAME?</v>
      </c>
      <c r="AC375" s="16">
        <v>2121.2354112715998</v>
      </c>
    </row>
    <row r="376" spans="1:29" x14ac:dyDescent="0.35">
      <c r="A376" s="2" t="s">
        <v>386</v>
      </c>
      <c r="B376" s="4" t="s">
        <v>1437</v>
      </c>
      <c r="C376" s="4" t="s">
        <v>525</v>
      </c>
      <c r="D376" s="4" t="s">
        <v>526</v>
      </c>
      <c r="E376" s="4" t="s">
        <v>703</v>
      </c>
      <c r="F376" s="4" t="s">
        <v>703</v>
      </c>
      <c r="G376" s="14">
        <v>193.12</v>
      </c>
      <c r="H376" s="10">
        <v>14.827256</v>
      </c>
      <c r="I376" s="10">
        <v>23.288088999999999</v>
      </c>
      <c r="J376" s="10" t="s">
        <v>534</v>
      </c>
      <c r="K376" s="15">
        <v>1.7967999999999998E-2</v>
      </c>
      <c r="L376" s="17">
        <v>55089.411200000002</v>
      </c>
      <c r="M376" s="4" t="s">
        <v>1438</v>
      </c>
      <c r="N376" s="19">
        <v>8.2926509999999993</v>
      </c>
      <c r="O376" s="19">
        <v>10.5326</v>
      </c>
      <c r="P376" s="19">
        <v>6.94</v>
      </c>
      <c r="Q376" s="19">
        <v>7.9721000000000002</v>
      </c>
      <c r="R376" s="19">
        <v>7.55</v>
      </c>
      <c r="S376" s="19">
        <v>6.9596</v>
      </c>
      <c r="T376" s="19">
        <v>7.55</v>
      </c>
      <c r="U376" s="19">
        <v>6.8864999999999998</v>
      </c>
      <c r="V376" s="19">
        <v>6.97</v>
      </c>
      <c r="W376" s="19">
        <v>6.8384999999999998</v>
      </c>
      <c r="X376" s="19">
        <v>6.97</v>
      </c>
      <c r="Y376" s="19">
        <v>6.8384999999999998</v>
      </c>
      <c r="Z376" s="4"/>
      <c r="AA376" s="4"/>
      <c r="AB376" s="4" t="e">
        <f ca="1">_xll.ciqfunctions.udf.CIQ("^SPX", "IQ_PRICEDATE", "6/19/2015")</f>
        <v>#NAME?</v>
      </c>
      <c r="AC376" s="16">
        <v>2109.9882780010998</v>
      </c>
    </row>
    <row r="377" spans="1:29" x14ac:dyDescent="0.35">
      <c r="A377" s="2" t="s">
        <v>387</v>
      </c>
      <c r="B377" s="4" t="s">
        <v>1439</v>
      </c>
      <c r="C377" s="4" t="s">
        <v>601</v>
      </c>
      <c r="D377" s="4" t="s">
        <v>601</v>
      </c>
      <c r="E377" s="4" t="s">
        <v>602</v>
      </c>
      <c r="F377" s="4" t="s">
        <v>1026</v>
      </c>
      <c r="G377" s="14">
        <v>58.04</v>
      </c>
      <c r="H377" s="10">
        <v>20.322717000000001</v>
      </c>
      <c r="I377" s="10">
        <v>49.958812000000002</v>
      </c>
      <c r="J377" s="10">
        <v>2.7009439999999998</v>
      </c>
      <c r="K377" s="15">
        <v>4.5589000000000005E-2</v>
      </c>
      <c r="L377" s="17">
        <v>16834.113131999999</v>
      </c>
      <c r="M377" s="4" t="s">
        <v>1440</v>
      </c>
      <c r="N377" s="19">
        <v>1.1617569999999999</v>
      </c>
      <c r="O377" s="19">
        <v>1.3156000000000001</v>
      </c>
      <c r="P377" s="19">
        <v>1.0999989999999999</v>
      </c>
      <c r="Q377" s="19">
        <v>1.2678</v>
      </c>
      <c r="R377" s="19">
        <v>1.1299999999999999</v>
      </c>
      <c r="S377" s="19">
        <v>1.2182999999999999</v>
      </c>
      <c r="T377" s="19">
        <v>1.1299999999999999</v>
      </c>
      <c r="U377" s="19">
        <v>1.0723</v>
      </c>
      <c r="V377" s="19">
        <v>1.0291539999999999</v>
      </c>
      <c r="W377" s="19">
        <v>0.96919999999999995</v>
      </c>
      <c r="X377" s="19">
        <v>1.0291539999999999</v>
      </c>
      <c r="Y377" s="19">
        <v>0.96919999999999995</v>
      </c>
      <c r="Z377" s="4"/>
      <c r="AA377" s="4"/>
      <c r="AB377" s="4" t="e">
        <f ca="1">_xll.ciqfunctions.udf.CIQ("^SPX", "IQ_PRICEDATE", "6/22/2015")</f>
        <v>#NAME?</v>
      </c>
      <c r="AC377" s="16">
        <v>2122.8467894445998</v>
      </c>
    </row>
    <row r="378" spans="1:29" x14ac:dyDescent="0.35">
      <c r="A378" s="2" t="s">
        <v>388</v>
      </c>
      <c r="B378" s="4" t="s">
        <v>1441</v>
      </c>
      <c r="C378" s="4" t="s">
        <v>543</v>
      </c>
      <c r="D378" s="4" t="s">
        <v>544</v>
      </c>
      <c r="E378" s="4" t="s">
        <v>555</v>
      </c>
      <c r="F378" s="4" t="s">
        <v>782</v>
      </c>
      <c r="G378" s="14">
        <v>124.84</v>
      </c>
      <c r="H378" s="10">
        <v>34.442061000000002</v>
      </c>
      <c r="I378" s="10">
        <v>81.723285000000004</v>
      </c>
      <c r="J378" s="10" t="s">
        <v>534</v>
      </c>
      <c r="K378" s="15">
        <v>0</v>
      </c>
      <c r="L378" s="17">
        <v>21968.553962000002</v>
      </c>
      <c r="M378" s="4" t="s">
        <v>1442</v>
      </c>
      <c r="N378" s="19">
        <v>1.5275939999999999</v>
      </c>
      <c r="O378" s="19">
        <v>3.7183999999999999</v>
      </c>
      <c r="P378" s="19">
        <v>1.852301</v>
      </c>
      <c r="Q378" s="19">
        <v>3.2326999999999999</v>
      </c>
      <c r="R378" s="19">
        <v>1.3097810000000001</v>
      </c>
      <c r="S378" s="19">
        <v>2.5049999999999999</v>
      </c>
      <c r="T378" s="19">
        <v>1.3097810000000001</v>
      </c>
      <c r="U378" s="19">
        <v>2.0676999999999999</v>
      </c>
      <c r="V378" s="19">
        <v>0.940052</v>
      </c>
      <c r="W378" s="19">
        <v>1.7611000000000001</v>
      </c>
      <c r="X378" s="19">
        <v>0.940052</v>
      </c>
      <c r="Y378" s="19">
        <v>1.7611000000000001</v>
      </c>
      <c r="Z378" s="4"/>
      <c r="AA378" s="4"/>
      <c r="AB378" s="4" t="e">
        <f ca="1">_xll.ciqfunctions.udf.CIQ("^SPX", "IQ_PRICEDATE", "6/23/2015")</f>
        <v>#NAME?</v>
      </c>
      <c r="AC378" s="16">
        <v>2124.1984754584</v>
      </c>
    </row>
    <row r="379" spans="1:29" x14ac:dyDescent="0.35">
      <c r="A379" s="2" t="s">
        <v>389</v>
      </c>
      <c r="B379" s="4" t="s">
        <v>1443</v>
      </c>
      <c r="C379" s="4" t="s">
        <v>601</v>
      </c>
      <c r="D379" s="4" t="s">
        <v>601</v>
      </c>
      <c r="E379" s="4" t="s">
        <v>602</v>
      </c>
      <c r="F379" s="4" t="s">
        <v>1026</v>
      </c>
      <c r="G379" s="14">
        <v>63.02</v>
      </c>
      <c r="H379" s="10">
        <v>19.780158</v>
      </c>
      <c r="I379" s="10">
        <v>43.796644999999998</v>
      </c>
      <c r="J379" s="10">
        <v>1.844967</v>
      </c>
      <c r="K379" s="15">
        <v>3.5226E-2</v>
      </c>
      <c r="L379" s="17">
        <v>10677.838191999999</v>
      </c>
      <c r="M379" s="4" t="s">
        <v>1444</v>
      </c>
      <c r="N379" s="19">
        <v>1.438923</v>
      </c>
      <c r="O379" s="19">
        <v>1.4756</v>
      </c>
      <c r="P379" s="19">
        <v>1</v>
      </c>
      <c r="Q379" s="19">
        <v>1.3922000000000001</v>
      </c>
      <c r="R379" s="19">
        <v>1.42</v>
      </c>
      <c r="S379" s="19">
        <v>1.5489999999999999</v>
      </c>
      <c r="T379" s="19">
        <v>1.42</v>
      </c>
      <c r="U379" s="19">
        <v>1.1554</v>
      </c>
      <c r="V379" s="19">
        <v>1.7957669999999999</v>
      </c>
      <c r="W379" s="19">
        <v>0.99760000000000004</v>
      </c>
      <c r="X379" s="19">
        <v>1.7957669999999999</v>
      </c>
      <c r="Y379" s="19">
        <v>0.99760000000000004</v>
      </c>
      <c r="Z379" s="4"/>
      <c r="AA379" s="4"/>
      <c r="AB379" s="4" t="e">
        <f ca="1">_xll.ciqfunctions.udf.CIQ("^SPX", "IQ_PRICEDATE", "6/24/2015")</f>
        <v>#NAME?</v>
      </c>
      <c r="AC379" s="16">
        <v>2108.5780593228001</v>
      </c>
    </row>
    <row r="380" spans="1:29" x14ac:dyDescent="0.35">
      <c r="A380" s="2" t="s">
        <v>390</v>
      </c>
      <c r="B380" s="4" t="s">
        <v>1445</v>
      </c>
      <c r="C380" s="4" t="s">
        <v>530</v>
      </c>
      <c r="D380" s="4" t="s">
        <v>537</v>
      </c>
      <c r="E380" s="4" t="s">
        <v>538</v>
      </c>
      <c r="F380" s="4" t="s">
        <v>538</v>
      </c>
      <c r="G380" s="14">
        <v>399.06</v>
      </c>
      <c r="H380" s="10">
        <v>17.321949</v>
      </c>
      <c r="I380" s="10">
        <v>28.973458999999998</v>
      </c>
      <c r="J380" s="10">
        <v>5.9860939999999996</v>
      </c>
      <c r="K380" s="15">
        <v>0</v>
      </c>
      <c r="L380" s="17">
        <v>43076.569212000002</v>
      </c>
      <c r="M380" s="4" t="s">
        <v>1446</v>
      </c>
      <c r="N380" s="19">
        <v>13.773294999999999</v>
      </c>
      <c r="O380" s="19">
        <v>20.823799999999999</v>
      </c>
      <c r="P380" s="19">
        <v>10.34</v>
      </c>
      <c r="Q380" s="19">
        <v>16.898900000000001</v>
      </c>
      <c r="R380" s="19">
        <v>7.6990809999999996</v>
      </c>
      <c r="S380" s="19">
        <v>13.571300000000001</v>
      </c>
      <c r="T380" s="19">
        <v>7.6990809999999996</v>
      </c>
      <c r="U380" s="19">
        <v>14.7066</v>
      </c>
      <c r="V380" s="19">
        <v>2.98</v>
      </c>
      <c r="W380" s="19">
        <v>10.794</v>
      </c>
      <c r="X380" s="19">
        <v>2.98</v>
      </c>
      <c r="Y380" s="19">
        <v>10.794</v>
      </c>
      <c r="Z380" s="4"/>
      <c r="AA380" s="4"/>
      <c r="AB380" s="4" t="e">
        <f ca="1">_xll.ciqfunctions.udf.CIQ("^SPX", "IQ_PRICEDATE", "6/25/2015")</f>
        <v>#NAME?</v>
      </c>
      <c r="AC380" s="16">
        <v>2102.3120563614002</v>
      </c>
    </row>
    <row r="381" spans="1:29" x14ac:dyDescent="0.35">
      <c r="A381" s="2" t="s">
        <v>391</v>
      </c>
      <c r="B381" s="4" t="s">
        <v>1447</v>
      </c>
      <c r="C381" s="4" t="s">
        <v>573</v>
      </c>
      <c r="D381" s="4" t="s">
        <v>737</v>
      </c>
      <c r="E381" s="4" t="s">
        <v>737</v>
      </c>
      <c r="F381" s="4" t="s">
        <v>743</v>
      </c>
      <c r="G381" s="14">
        <v>17.329999999999998</v>
      </c>
      <c r="H381" s="10">
        <v>0</v>
      </c>
      <c r="I381" s="10">
        <v>14.460537</v>
      </c>
      <c r="J381" s="10">
        <v>1.9513240000000001</v>
      </c>
      <c r="K381" s="15">
        <v>3.2313000000000001E-2</v>
      </c>
      <c r="L381" s="17">
        <v>19105.808375000001</v>
      </c>
      <c r="M381" s="4" t="s">
        <v>1448</v>
      </c>
      <c r="N381" s="19">
        <v>1.198434</v>
      </c>
      <c r="O381" s="19">
        <v>1.4888999999999999</v>
      </c>
      <c r="P381" s="19">
        <v>1</v>
      </c>
      <c r="Q381" s="19">
        <v>1.1037999999999999</v>
      </c>
      <c r="R381" s="19">
        <v>0.87</v>
      </c>
      <c r="S381" s="19">
        <v>0.94189999999999996</v>
      </c>
      <c r="T381" s="19">
        <v>0.87</v>
      </c>
      <c r="U381" s="19">
        <v>0.82430000000000003</v>
      </c>
      <c r="V381" s="19">
        <v>0.78</v>
      </c>
      <c r="W381" s="19">
        <v>0.85</v>
      </c>
      <c r="X381" s="19">
        <v>0.78</v>
      </c>
      <c r="Y381" s="19">
        <v>0.85</v>
      </c>
      <c r="Z381" s="4"/>
      <c r="AA381" s="4"/>
      <c r="AB381" s="4" t="e">
        <f ca="1">_xll.ciqfunctions.udf.CIQ("^SPX", "IQ_PRICEDATE", "6/26/2015")</f>
        <v>#NAME?</v>
      </c>
      <c r="AC381" s="16">
        <v>2101.4873869614999</v>
      </c>
    </row>
    <row r="382" spans="1:29" x14ac:dyDescent="0.35">
      <c r="A382" s="2" t="s">
        <v>392</v>
      </c>
      <c r="B382" s="4" t="s">
        <v>1449</v>
      </c>
      <c r="C382" s="4" t="s">
        <v>525</v>
      </c>
      <c r="D382" s="4" t="s">
        <v>855</v>
      </c>
      <c r="E382" s="4" t="s">
        <v>856</v>
      </c>
      <c r="F382" s="4" t="s">
        <v>1450</v>
      </c>
      <c r="G382" s="14">
        <v>71.959999999999994</v>
      </c>
      <c r="H382" s="10">
        <v>11.416579</v>
      </c>
      <c r="I382" s="10">
        <v>17.679811999999998</v>
      </c>
      <c r="J382" s="10" t="s">
        <v>534</v>
      </c>
      <c r="K382" s="15">
        <v>2.0844000000000001E-2</v>
      </c>
      <c r="L382" s="17">
        <v>23430.175999999999</v>
      </c>
      <c r="M382" s="4" t="s">
        <v>1451</v>
      </c>
      <c r="N382" s="19">
        <v>4.0701790000000004</v>
      </c>
      <c r="O382" s="19">
        <v>3.1497000000000002</v>
      </c>
      <c r="P382" s="19">
        <v>3.77</v>
      </c>
      <c r="Q382" s="19">
        <v>2.5028999999999999</v>
      </c>
      <c r="R382" s="19">
        <v>1.78</v>
      </c>
      <c r="S382" s="19">
        <v>2.3121999999999998</v>
      </c>
      <c r="T382" s="19">
        <v>1.78</v>
      </c>
      <c r="U382" s="19">
        <v>2.1122999999999998</v>
      </c>
      <c r="V382" s="19">
        <v>1.53</v>
      </c>
      <c r="W382" s="19">
        <v>2.0036</v>
      </c>
      <c r="X382" s="19">
        <v>1.53</v>
      </c>
      <c r="Y382" s="19">
        <v>2.0036</v>
      </c>
      <c r="Z382" s="4"/>
      <c r="AA382" s="4"/>
      <c r="AB382" s="4" t="e">
        <f ca="1">_xll.ciqfunctions.udf.CIQ("^SPX", "IQ_PRICEDATE", "6/29/2015")</f>
        <v>#NAME?</v>
      </c>
      <c r="AC382" s="16">
        <v>2057.6410918902002</v>
      </c>
    </row>
    <row r="383" spans="1:29" x14ac:dyDescent="0.35">
      <c r="A383" s="2" t="s">
        <v>393</v>
      </c>
      <c r="B383" s="4" t="s">
        <v>1452</v>
      </c>
      <c r="C383" s="4" t="s">
        <v>530</v>
      </c>
      <c r="D383" s="4" t="s">
        <v>531</v>
      </c>
      <c r="E383" s="4" t="s">
        <v>532</v>
      </c>
      <c r="F383" s="4" t="s">
        <v>533</v>
      </c>
      <c r="G383" s="14">
        <v>106.66</v>
      </c>
      <c r="H383" s="10">
        <v>22.510649999999998</v>
      </c>
      <c r="I383" s="10">
        <v>48.703195999999998</v>
      </c>
      <c r="J383" s="10">
        <v>19.640149999999998</v>
      </c>
      <c r="K383" s="15">
        <v>1.3875E-2</v>
      </c>
      <c r="L383" s="17">
        <v>15219.508988</v>
      </c>
      <c r="M383" s="4" t="s">
        <v>1453</v>
      </c>
      <c r="N383" s="19">
        <v>2.19</v>
      </c>
      <c r="O383" s="19">
        <v>3.7151100000000001</v>
      </c>
      <c r="P383" s="19">
        <v>1.987322</v>
      </c>
      <c r="Q383" s="19">
        <v>3.1392000000000002</v>
      </c>
      <c r="R383" s="19">
        <v>2.3097089999999998</v>
      </c>
      <c r="S383" s="19">
        <v>2.82</v>
      </c>
      <c r="T383" s="19">
        <v>2.3097089999999998</v>
      </c>
      <c r="U383" s="19">
        <v>2.7869999999999999</v>
      </c>
      <c r="V383" s="19">
        <v>2.4607209999999999</v>
      </c>
      <c r="W383" s="19">
        <v>2.6614</v>
      </c>
      <c r="X383" s="19">
        <v>2.4607209999999999</v>
      </c>
      <c r="Y383" s="19">
        <v>2.6614</v>
      </c>
      <c r="Z383" s="4"/>
      <c r="AA383" s="4"/>
      <c r="AB383" s="4" t="e">
        <f ca="1">_xll.ciqfunctions.udf.CIQ("^SPX", "IQ_PRICEDATE", "6/30/2015")</f>
        <v>#NAME?</v>
      </c>
      <c r="AC383" s="16">
        <v>2063.1118322236998</v>
      </c>
    </row>
    <row r="384" spans="1:29" x14ac:dyDescent="0.35">
      <c r="A384" s="2" t="s">
        <v>394</v>
      </c>
      <c r="B384" s="4" t="s">
        <v>1454</v>
      </c>
      <c r="C384" s="4" t="s">
        <v>525</v>
      </c>
      <c r="D384" s="4" t="s">
        <v>855</v>
      </c>
      <c r="E384" s="4" t="s">
        <v>990</v>
      </c>
      <c r="F384" s="4" t="s">
        <v>1455</v>
      </c>
      <c r="G384" s="14">
        <v>64.55</v>
      </c>
      <c r="H384" s="10">
        <v>12.243043999999999</v>
      </c>
      <c r="I384" s="10">
        <v>23.514814000000001</v>
      </c>
      <c r="J384" s="10">
        <v>8.7478300000000004</v>
      </c>
      <c r="K384" s="15">
        <v>1.7350000000000001E-2</v>
      </c>
      <c r="L384" s="17">
        <v>7768.2052000000003</v>
      </c>
      <c r="M384" s="4" t="s">
        <v>1456</v>
      </c>
      <c r="N384" s="19">
        <v>2.7450779999999999</v>
      </c>
      <c r="O384" s="19">
        <v>3.6137000000000001</v>
      </c>
      <c r="P384" s="19">
        <v>2.33</v>
      </c>
      <c r="Q384" s="19">
        <v>3.0674000000000001</v>
      </c>
      <c r="R384" s="19">
        <v>2.67</v>
      </c>
      <c r="S384" s="19">
        <v>2.7521</v>
      </c>
      <c r="T384" s="19">
        <v>2.67</v>
      </c>
      <c r="U384" s="19">
        <v>2.9569999999999999</v>
      </c>
      <c r="V384" s="19">
        <v>2.2599999999999998</v>
      </c>
      <c r="W384" s="19">
        <v>2.5206</v>
      </c>
      <c r="X384" s="19">
        <v>2.2599999999999998</v>
      </c>
      <c r="Y384" s="19">
        <v>2.5206</v>
      </c>
      <c r="Z384" s="4"/>
      <c r="AA384" s="4"/>
      <c r="AB384" s="4" t="e">
        <f ca="1">_xll.ciqfunctions.udf.CIQ("^SPX", "IQ_PRICEDATE", "7/1/2015")</f>
        <v>#NAME?</v>
      </c>
      <c r="AC384" s="16">
        <v>2077.4243417120001</v>
      </c>
    </row>
    <row r="385" spans="1:29" x14ac:dyDescent="0.35">
      <c r="A385" s="2" t="s">
        <v>395</v>
      </c>
      <c r="B385" s="4" t="s">
        <v>1457</v>
      </c>
      <c r="C385" s="4" t="s">
        <v>525</v>
      </c>
      <c r="D385" s="4" t="s">
        <v>526</v>
      </c>
      <c r="E385" s="4" t="s">
        <v>658</v>
      </c>
      <c r="F385" s="4" t="s">
        <v>659</v>
      </c>
      <c r="G385" s="14">
        <v>171.52</v>
      </c>
      <c r="H385" s="10">
        <v>15.32572</v>
      </c>
      <c r="I385" s="10">
        <v>55.878953000000003</v>
      </c>
      <c r="J385" s="10">
        <v>147.522639</v>
      </c>
      <c r="K385" s="15">
        <v>2.1455000000000002E-2</v>
      </c>
      <c r="L385" s="17">
        <v>21125.235586999999</v>
      </c>
      <c r="M385" s="4" t="s">
        <v>1458</v>
      </c>
      <c r="N385" s="19">
        <v>3.0694919999999999</v>
      </c>
      <c r="O385" s="19">
        <v>8.7108000000000008</v>
      </c>
      <c r="P385" s="19">
        <v>2.8949769999999999</v>
      </c>
      <c r="Q385" s="19">
        <v>7.4127400000000003</v>
      </c>
      <c r="R385" s="19">
        <v>5.8084829999999998</v>
      </c>
      <c r="S385" s="19">
        <v>6.0611100000000002</v>
      </c>
      <c r="T385" s="19">
        <v>5.8084829999999998</v>
      </c>
      <c r="U385" s="19">
        <v>6.0425500000000003</v>
      </c>
      <c r="V385" s="19">
        <v>6.0596209999999999</v>
      </c>
      <c r="W385" s="19">
        <v>6.7373399999999997</v>
      </c>
      <c r="X385" s="19">
        <v>6.0596209999999999</v>
      </c>
      <c r="Y385" s="19">
        <v>6.7373399999999997</v>
      </c>
      <c r="Z385" s="4"/>
      <c r="AA385" s="4"/>
      <c r="AB385" s="4" t="e">
        <f ca="1">_xll.ciqfunctions.udf.CIQ("^SPX", "IQ_PRICEDATE", "7/2/2015")</f>
        <v>#NAME?</v>
      </c>
      <c r="AC385" s="16">
        <v>2076.7757002570002</v>
      </c>
    </row>
    <row r="386" spans="1:29" x14ac:dyDescent="0.35">
      <c r="A386" s="2" t="s">
        <v>396</v>
      </c>
      <c r="B386" s="4" t="s">
        <v>1459</v>
      </c>
      <c r="C386" s="4" t="s">
        <v>525</v>
      </c>
      <c r="D386" s="4" t="s">
        <v>526</v>
      </c>
      <c r="E386" s="4" t="s">
        <v>703</v>
      </c>
      <c r="F386" s="4" t="s">
        <v>703</v>
      </c>
      <c r="G386" s="14">
        <v>133.59</v>
      </c>
      <c r="H386" s="10">
        <v>15.769275</v>
      </c>
      <c r="I386" s="10">
        <v>21.987825000000001</v>
      </c>
      <c r="J386" s="10" t="s">
        <v>534</v>
      </c>
      <c r="K386" s="15">
        <v>9.8799999999999999E-3</v>
      </c>
      <c r="L386" s="17">
        <v>21957.619340000001</v>
      </c>
      <c r="M386" s="4" t="s">
        <v>1460</v>
      </c>
      <c r="N386" s="19">
        <v>6.0756350000000001</v>
      </c>
      <c r="O386" s="19">
        <v>8.1076999999999995</v>
      </c>
      <c r="P386" s="19">
        <v>5.3962649999999996</v>
      </c>
      <c r="Q386" s="19">
        <v>6.9805999999999999</v>
      </c>
      <c r="R386" s="19">
        <v>5.6025780000000003</v>
      </c>
      <c r="S386" s="19">
        <v>5.43682</v>
      </c>
      <c r="T386" s="19">
        <v>5.6025780000000003</v>
      </c>
      <c r="U386" s="19">
        <v>5.37425</v>
      </c>
      <c r="V386" s="19">
        <v>4.7990300000000001</v>
      </c>
      <c r="W386" s="19">
        <v>5.03308</v>
      </c>
      <c r="X386" s="19">
        <v>4.7990300000000001</v>
      </c>
      <c r="Y386" s="19">
        <v>5.03308</v>
      </c>
      <c r="Z386" s="4"/>
      <c r="AA386" s="4"/>
      <c r="AB386" s="4" t="e">
        <f ca="1">_xll.ciqfunctions.udf.CIQ("^SPX", "IQ_PRICEDATE", "7/6/2015")</f>
        <v>#NAME?</v>
      </c>
      <c r="AC386" s="16">
        <v>2068.7566460202002</v>
      </c>
    </row>
    <row r="387" spans="1:29" x14ac:dyDescent="0.35">
      <c r="A387" s="2" t="s">
        <v>397</v>
      </c>
      <c r="B387" s="4" t="s">
        <v>1461</v>
      </c>
      <c r="C387" s="4" t="s">
        <v>525</v>
      </c>
      <c r="D387" s="4" t="s">
        <v>855</v>
      </c>
      <c r="E387" s="4" t="s">
        <v>856</v>
      </c>
      <c r="F387" s="4" t="s">
        <v>1450</v>
      </c>
      <c r="G387" s="14">
        <v>57.37</v>
      </c>
      <c r="H387" s="10">
        <v>34.270729000000003</v>
      </c>
      <c r="I387" s="10">
        <v>63.040145000000003</v>
      </c>
      <c r="J387" s="10">
        <v>138.66866400000001</v>
      </c>
      <c r="K387" s="15">
        <v>1.1504E-2</v>
      </c>
      <c r="L387" s="17">
        <v>12516.679269</v>
      </c>
      <c r="M387" s="4" t="s">
        <v>1462</v>
      </c>
      <c r="N387" s="19">
        <v>0.91005499999999995</v>
      </c>
      <c r="O387" s="19">
        <v>1.1359999999999999</v>
      </c>
      <c r="P387" s="19">
        <v>0.82</v>
      </c>
      <c r="Q387" s="19">
        <v>0.92649999999999999</v>
      </c>
      <c r="R387" s="19">
        <v>0.76688900000000004</v>
      </c>
      <c r="S387" s="19">
        <v>0.82320000000000004</v>
      </c>
      <c r="T387" s="19">
        <v>0.76688900000000004</v>
      </c>
      <c r="U387" s="19">
        <v>0.74860000000000004</v>
      </c>
      <c r="V387" s="19">
        <v>0.62947900000000001</v>
      </c>
      <c r="W387" s="19">
        <v>0.69330000000000003</v>
      </c>
      <c r="X387" s="19">
        <v>0.62947900000000001</v>
      </c>
      <c r="Y387" s="19">
        <v>0.69330000000000003</v>
      </c>
      <c r="Z387" s="4"/>
      <c r="AA387" s="4"/>
      <c r="AB387" s="4" t="e">
        <f ca="1">_xll.ciqfunctions.udf.CIQ("^SPX", "IQ_PRICEDATE", "7/7/2015")</f>
        <v>#NAME?</v>
      </c>
      <c r="AC387" s="16">
        <v>2081.340933767</v>
      </c>
    </row>
    <row r="388" spans="1:29" x14ac:dyDescent="0.35">
      <c r="A388" s="2" t="s">
        <v>398</v>
      </c>
      <c r="B388" s="4" t="s">
        <v>1463</v>
      </c>
      <c r="C388" s="4" t="s">
        <v>525</v>
      </c>
      <c r="D388" s="4" t="s">
        <v>526</v>
      </c>
      <c r="E388" s="4" t="s">
        <v>1077</v>
      </c>
      <c r="F388" s="4" t="s">
        <v>1077</v>
      </c>
      <c r="G388" s="14">
        <v>284.32</v>
      </c>
      <c r="H388" s="10">
        <v>20.785246000000001</v>
      </c>
      <c r="I388" s="10">
        <v>27.531662000000001</v>
      </c>
      <c r="J388" s="10" t="s">
        <v>534</v>
      </c>
      <c r="K388" s="15">
        <v>5.803E-3</v>
      </c>
      <c r="L388" s="17">
        <v>29383.158157000002</v>
      </c>
      <c r="M388" s="4" t="s">
        <v>1464</v>
      </c>
      <c r="N388" s="19">
        <v>10.327019</v>
      </c>
      <c r="O388" s="19">
        <v>11.9902</v>
      </c>
      <c r="P388" s="19">
        <v>9.39</v>
      </c>
      <c r="Q388" s="19">
        <v>9.9524000000000008</v>
      </c>
      <c r="R388" s="19">
        <v>6.43</v>
      </c>
      <c r="S388" s="19">
        <v>7.8586999999999998</v>
      </c>
      <c r="T388" s="19">
        <v>6.43</v>
      </c>
      <c r="U388" s="19">
        <v>7.2096</v>
      </c>
      <c r="V388" s="19">
        <v>6.4</v>
      </c>
      <c r="W388" s="19">
        <v>6.7225000000000001</v>
      </c>
      <c r="X388" s="19">
        <v>6.4</v>
      </c>
      <c r="Y388" s="19">
        <v>6.7225000000000001</v>
      </c>
      <c r="Z388" s="4"/>
      <c r="AA388" s="4"/>
      <c r="AB388" s="4" t="e">
        <f ca="1">_xll.ciqfunctions.udf.CIQ("^SPX", "IQ_PRICEDATE", "7/8/2015")</f>
        <v>#NAME?</v>
      </c>
      <c r="AC388" s="16">
        <v>2046.6840334527001</v>
      </c>
    </row>
    <row r="389" spans="1:29" x14ac:dyDescent="0.35">
      <c r="A389" s="2" t="s">
        <v>399</v>
      </c>
      <c r="B389" s="4" t="s">
        <v>1465</v>
      </c>
      <c r="C389" s="4" t="s">
        <v>559</v>
      </c>
      <c r="D389" s="4" t="s">
        <v>560</v>
      </c>
      <c r="E389" s="4" t="s">
        <v>561</v>
      </c>
      <c r="F389" s="4" t="s">
        <v>1051</v>
      </c>
      <c r="G389" s="14">
        <v>96.96</v>
      </c>
      <c r="H389" s="10">
        <v>14.566182</v>
      </c>
      <c r="I389" s="10">
        <v>23.878373</v>
      </c>
      <c r="J389" s="10">
        <v>11.382944999999999</v>
      </c>
      <c r="K389" s="15">
        <v>9.2820000000000003E-3</v>
      </c>
      <c r="L389" s="17">
        <v>36201.537012000001</v>
      </c>
      <c r="M389" s="4" t="s">
        <v>1466</v>
      </c>
      <c r="N389" s="19">
        <v>4.0605779999999996</v>
      </c>
      <c r="O389" s="19">
        <v>4.3414000000000001</v>
      </c>
      <c r="P389" s="19">
        <v>3.1314730000000002</v>
      </c>
      <c r="Q389" s="19">
        <v>3.5348999999999999</v>
      </c>
      <c r="R389" s="19">
        <v>2.7201879999999998</v>
      </c>
      <c r="S389" s="19">
        <v>3.0390999999999999</v>
      </c>
      <c r="T389" s="19">
        <v>2.7201879999999998</v>
      </c>
      <c r="U389" s="19">
        <v>2.6808000000000001</v>
      </c>
      <c r="V389" s="19">
        <v>2.1200749999999999</v>
      </c>
      <c r="W389" s="19">
        <v>2.3216999999999999</v>
      </c>
      <c r="X389" s="19">
        <v>2.1200749999999999</v>
      </c>
      <c r="Y389" s="19">
        <v>2.3216999999999999</v>
      </c>
      <c r="Z389" s="4"/>
      <c r="AA389" s="4"/>
      <c r="AB389" s="4" t="e">
        <f ca="1">_xll.ciqfunctions.udf.CIQ("^SPX", "IQ_PRICEDATE", "7/9/2015")</f>
        <v>#NAME?</v>
      </c>
      <c r="AC389" s="16">
        <v>2051.3113582238002</v>
      </c>
    </row>
    <row r="390" spans="1:29" x14ac:dyDescent="0.35">
      <c r="A390" s="2" t="s">
        <v>400</v>
      </c>
      <c r="B390" s="4" t="s">
        <v>1467</v>
      </c>
      <c r="C390" s="4" t="s">
        <v>559</v>
      </c>
      <c r="D390" s="4" t="s">
        <v>798</v>
      </c>
      <c r="E390" s="4" t="s">
        <v>799</v>
      </c>
      <c r="F390" s="4" t="s">
        <v>800</v>
      </c>
      <c r="G390" s="14">
        <v>120.59</v>
      </c>
      <c r="H390" s="10">
        <v>11.372239</v>
      </c>
      <c r="I390" s="10">
        <v>14.996243</v>
      </c>
      <c r="J390" s="10">
        <v>2.4207719999999999</v>
      </c>
      <c r="K390" s="15">
        <v>2.3219E-2</v>
      </c>
      <c r="L390" s="17">
        <v>25199.695435000001</v>
      </c>
      <c r="M390" s="4" t="s">
        <v>1468</v>
      </c>
      <c r="N390" s="19">
        <v>8.041347</v>
      </c>
      <c r="O390" s="19">
        <v>9.2256</v>
      </c>
      <c r="P390" s="19">
        <v>7.53</v>
      </c>
      <c r="Q390" s="19">
        <v>8.1911000000000005</v>
      </c>
      <c r="R390" s="19">
        <v>5.93</v>
      </c>
      <c r="S390" s="19">
        <v>6.5033000000000003</v>
      </c>
      <c r="T390" s="19">
        <v>5.93</v>
      </c>
      <c r="U390" s="19">
        <v>5.9537000000000004</v>
      </c>
      <c r="V390" s="19">
        <v>3.43</v>
      </c>
      <c r="W390" s="19">
        <v>4.5311000000000003</v>
      </c>
      <c r="X390" s="19">
        <v>3.43</v>
      </c>
      <c r="Y390" s="19">
        <v>4.5311000000000003</v>
      </c>
      <c r="Z390" s="4"/>
      <c r="AA390" s="4"/>
      <c r="AB390" s="4" t="e">
        <f ca="1">_xll.ciqfunctions.udf.CIQ("^SPX", "IQ_PRICEDATE", "7/10/2015")</f>
        <v>#NAME?</v>
      </c>
      <c r="AC390" s="16">
        <v>2076.6183523557002</v>
      </c>
    </row>
    <row r="391" spans="1:29" x14ac:dyDescent="0.35">
      <c r="A391" s="2" t="s">
        <v>401</v>
      </c>
      <c r="B391" s="4" t="s">
        <v>1469</v>
      </c>
      <c r="C391" s="4" t="s">
        <v>573</v>
      </c>
      <c r="D391" s="4" t="s">
        <v>574</v>
      </c>
      <c r="E391" s="4" t="s">
        <v>575</v>
      </c>
      <c r="F391" s="4" t="s">
        <v>807</v>
      </c>
      <c r="G391" s="14">
        <v>190.63</v>
      </c>
      <c r="H391" s="10">
        <v>16.667462</v>
      </c>
      <c r="I391" s="10">
        <v>29.930627999999999</v>
      </c>
      <c r="J391" s="10" t="s">
        <v>534</v>
      </c>
      <c r="K391" s="15">
        <v>1.0490999999999999E-2</v>
      </c>
      <c r="L391" s="17">
        <v>47943.445</v>
      </c>
      <c r="M391" s="4" t="s">
        <v>1470</v>
      </c>
      <c r="N391" s="19">
        <v>6.3690610000000003</v>
      </c>
      <c r="O391" s="19">
        <v>8.9459</v>
      </c>
      <c r="P391" s="19">
        <v>5.78</v>
      </c>
      <c r="Q391" s="19">
        <v>7.0751999999999997</v>
      </c>
      <c r="R391" s="19">
        <v>7.94</v>
      </c>
      <c r="S391" s="19">
        <v>5.6291000000000002</v>
      </c>
      <c r="T391" s="19">
        <v>7.94</v>
      </c>
      <c r="U391" s="19">
        <v>4.7160000000000002</v>
      </c>
      <c r="V391" s="19">
        <v>-1.08</v>
      </c>
      <c r="W391" s="19">
        <v>4.1563999999999997</v>
      </c>
      <c r="X391" s="19">
        <v>-1.08</v>
      </c>
      <c r="Y391" s="19">
        <v>4.1563999999999997</v>
      </c>
      <c r="Z391" s="4"/>
      <c r="AA391" s="4"/>
      <c r="AB391" s="4" t="e">
        <f ca="1">_xll.ciqfunctions.udf.CIQ("^SPX", "IQ_PRICEDATE", "7/13/2015")</f>
        <v>#NAME?</v>
      </c>
      <c r="AC391" s="16">
        <v>2099.5991931722001</v>
      </c>
    </row>
    <row r="392" spans="1:29" x14ac:dyDescent="0.35">
      <c r="A392" s="2" t="s">
        <v>402</v>
      </c>
      <c r="B392" s="4" t="s">
        <v>1471</v>
      </c>
      <c r="C392" s="4" t="s">
        <v>543</v>
      </c>
      <c r="D392" s="4" t="s">
        <v>544</v>
      </c>
      <c r="E392" s="4" t="s">
        <v>555</v>
      </c>
      <c r="F392" s="4" t="s">
        <v>556</v>
      </c>
      <c r="G392" s="14">
        <v>147.01</v>
      </c>
      <c r="H392" s="10">
        <v>101.765415</v>
      </c>
      <c r="I392" s="10">
        <v>153.290783</v>
      </c>
      <c r="J392" s="10" t="s">
        <v>534</v>
      </c>
      <c r="K392" s="15">
        <v>0</v>
      </c>
      <c r="L392" s="17">
        <v>111242.467</v>
      </c>
      <c r="M392" s="4" t="s">
        <v>1472</v>
      </c>
      <c r="N392" s="19">
        <v>0.95902699999999996</v>
      </c>
      <c r="O392" s="19">
        <v>2.3761000000000001</v>
      </c>
      <c r="P392" s="19">
        <v>6.5492999999999996E-2</v>
      </c>
      <c r="Q392" s="19">
        <v>1.5885</v>
      </c>
      <c r="R392" s="19">
        <v>0.29475400000000002</v>
      </c>
      <c r="S392" s="19">
        <v>1.1863999999999999</v>
      </c>
      <c r="T392" s="19">
        <v>0.29475400000000002</v>
      </c>
      <c r="U392" s="19">
        <v>0.90739999999999998</v>
      </c>
      <c r="V392" s="19">
        <v>-0.51642699999999997</v>
      </c>
      <c r="W392" s="19">
        <v>0.63560000000000005</v>
      </c>
      <c r="X392" s="19">
        <v>-0.51642699999999997</v>
      </c>
      <c r="Y392" s="19">
        <v>0.63560000000000005</v>
      </c>
      <c r="Z392" s="4"/>
      <c r="AA392" s="4"/>
      <c r="AB392" s="4" t="e">
        <f ca="1">_xll.ciqfunctions.udf.CIQ("^SPX", "IQ_PRICEDATE", "7/14/2015")</f>
        <v>#NAME?</v>
      </c>
      <c r="AC392" s="16">
        <v>2108.9549682367001</v>
      </c>
    </row>
    <row r="393" spans="1:29" x14ac:dyDescent="0.35">
      <c r="A393" s="2" t="s">
        <v>403</v>
      </c>
      <c r="B393" s="4" t="s">
        <v>1473</v>
      </c>
      <c r="C393" s="4" t="s">
        <v>601</v>
      </c>
      <c r="D393" s="4" t="s">
        <v>601</v>
      </c>
      <c r="E393" s="4" t="s">
        <v>602</v>
      </c>
      <c r="F393" s="4" t="s">
        <v>647</v>
      </c>
      <c r="G393" s="14">
        <v>152.34</v>
      </c>
      <c r="H393" s="10">
        <v>22.840526000000001</v>
      </c>
      <c r="I393" s="10" t="s">
        <v>534</v>
      </c>
      <c r="J393" s="10" t="s">
        <v>534</v>
      </c>
      <c r="K393" s="15">
        <v>0</v>
      </c>
      <c r="L393" s="17">
        <v>17495.386602999999</v>
      </c>
      <c r="M393" s="4" t="s">
        <v>1474</v>
      </c>
      <c r="N393" s="19">
        <v>0.26447799999999999</v>
      </c>
      <c r="O393" s="19">
        <v>1.1674</v>
      </c>
      <c r="P393" s="19">
        <v>0.86</v>
      </c>
      <c r="Q393" s="19">
        <v>1.0752999999999999</v>
      </c>
      <c r="R393" s="19">
        <v>0.61</v>
      </c>
      <c r="S393" s="19">
        <v>1.004</v>
      </c>
      <c r="T393" s="19">
        <v>0.61</v>
      </c>
      <c r="U393" s="19">
        <v>0.47020000000000001</v>
      </c>
      <c r="V393" s="19">
        <v>-0.19</v>
      </c>
      <c r="W393" s="19">
        <v>-3.3500000000000002E-2</v>
      </c>
      <c r="X393" s="19">
        <v>-0.19</v>
      </c>
      <c r="Y393" s="19">
        <v>-3.3500000000000002E-2</v>
      </c>
      <c r="Z393" s="4"/>
      <c r="AA393" s="4"/>
      <c r="AB393" s="4" t="e">
        <f ca="1">_xll.ciqfunctions.udf.CIQ("^SPX", "IQ_PRICEDATE", "7/15/2015")</f>
        <v>#NAME?</v>
      </c>
      <c r="AC393" s="16">
        <v>2107.4030475322002</v>
      </c>
    </row>
    <row r="394" spans="1:29" x14ac:dyDescent="0.35">
      <c r="A394" s="2" t="s">
        <v>404</v>
      </c>
      <c r="B394" s="4" t="s">
        <v>1475</v>
      </c>
      <c r="C394" s="4" t="s">
        <v>619</v>
      </c>
      <c r="D394" s="4" t="s">
        <v>619</v>
      </c>
      <c r="E394" s="4" t="s">
        <v>634</v>
      </c>
      <c r="F394" s="4" t="s">
        <v>634</v>
      </c>
      <c r="G394" s="14">
        <v>40.08</v>
      </c>
      <c r="H394" s="10">
        <v>9.1816010000000006</v>
      </c>
      <c r="I394" s="10" t="s">
        <v>534</v>
      </c>
      <c r="J394" s="10">
        <v>1.114965</v>
      </c>
      <c r="K394" s="15">
        <v>1.2345E-2</v>
      </c>
      <c r="L394" s="17">
        <v>5716.4266729999999</v>
      </c>
      <c r="M394" s="4" t="s">
        <v>1476</v>
      </c>
      <c r="N394" s="19">
        <v>-1.636363</v>
      </c>
      <c r="O394" s="19">
        <v>2.9784999999999999</v>
      </c>
      <c r="P394" s="19">
        <v>-0.83216699999999999</v>
      </c>
      <c r="Q394" s="19">
        <v>3.4148000000000001</v>
      </c>
      <c r="R394" s="19">
        <v>4.16</v>
      </c>
      <c r="S394" s="19">
        <v>4.1891999999999996</v>
      </c>
      <c r="T394" s="19">
        <v>4.16</v>
      </c>
      <c r="U394" s="19">
        <v>3.9243999999999999</v>
      </c>
      <c r="V394" s="19">
        <v>3.79</v>
      </c>
      <c r="W394" s="19">
        <v>3.722</v>
      </c>
      <c r="X394" s="19">
        <v>3.79</v>
      </c>
      <c r="Y394" s="19">
        <v>3.722</v>
      </c>
      <c r="Z394" s="4"/>
      <c r="AA394" s="4"/>
      <c r="AB394" s="4" t="e">
        <f ca="1">_xll.ciqfunctions.udf.CIQ("^SPX", "IQ_PRICEDATE", "7/16/2015")</f>
        <v>#NAME?</v>
      </c>
      <c r="AC394" s="16">
        <v>2124.2864594386001</v>
      </c>
    </row>
    <row r="395" spans="1:29" x14ac:dyDescent="0.35">
      <c r="A395" s="2" t="s">
        <v>405</v>
      </c>
      <c r="B395" s="4" t="s">
        <v>1477</v>
      </c>
      <c r="C395" s="4" t="s">
        <v>669</v>
      </c>
      <c r="D395" s="4" t="s">
        <v>669</v>
      </c>
      <c r="E395" s="4" t="s">
        <v>730</v>
      </c>
      <c r="F395" s="4" t="s">
        <v>731</v>
      </c>
      <c r="G395" s="14">
        <v>59.24</v>
      </c>
      <c r="H395" s="10">
        <v>13.833671000000001</v>
      </c>
      <c r="I395" s="10" t="s">
        <v>534</v>
      </c>
      <c r="J395" s="10">
        <v>51.732027000000002</v>
      </c>
      <c r="K395" s="15">
        <v>3.3759999999999998E-2</v>
      </c>
      <c r="L395" s="17">
        <v>81995.204287999994</v>
      </c>
      <c r="M395" s="4" t="s">
        <v>1478</v>
      </c>
      <c r="N395" s="19">
        <v>-0.544929</v>
      </c>
      <c r="O395" s="19">
        <v>1.9111</v>
      </c>
      <c r="P395" s="19">
        <v>-1.084293</v>
      </c>
      <c r="Q395" s="19">
        <v>1.9665999999999999</v>
      </c>
      <c r="R395" s="19">
        <v>-1.2431829999999999</v>
      </c>
      <c r="S395" s="19">
        <v>1.5141</v>
      </c>
      <c r="T395" s="19">
        <v>-1.2431829999999999</v>
      </c>
      <c r="U395" s="19">
        <v>2.4939</v>
      </c>
      <c r="V395" s="19">
        <v>4.3099999999999996</v>
      </c>
      <c r="W395" s="19">
        <v>5.3281000000000001</v>
      </c>
      <c r="X395" s="19">
        <v>4.3099999999999996</v>
      </c>
      <c r="Y395" s="19">
        <v>5.3281000000000001</v>
      </c>
      <c r="Z395" s="4"/>
      <c r="AA395" s="4"/>
      <c r="AB395" s="4" t="e">
        <f ca="1">_xll.ciqfunctions.udf.CIQ("^SPX", "IQ_PRICEDATE", "7/17/2015")</f>
        <v>#NAME?</v>
      </c>
      <c r="AC395" s="16">
        <v>2126.6439439241999</v>
      </c>
    </row>
    <row r="396" spans="1:29" x14ac:dyDescent="0.35">
      <c r="A396" s="2" t="s">
        <v>406</v>
      </c>
      <c r="B396" s="4" t="s">
        <v>1479</v>
      </c>
      <c r="C396" s="4" t="s">
        <v>543</v>
      </c>
      <c r="D396" s="4" t="s">
        <v>664</v>
      </c>
      <c r="E396" s="4" t="s">
        <v>688</v>
      </c>
      <c r="F396" s="4" t="s">
        <v>688</v>
      </c>
      <c r="G396" s="14">
        <v>44.12</v>
      </c>
      <c r="H396" s="10">
        <v>6.7305109999999999</v>
      </c>
      <c r="I396" s="10">
        <v>10.893827</v>
      </c>
      <c r="J396" s="10">
        <v>52.791538000000003</v>
      </c>
      <c r="K396" s="15">
        <v>5.7116E-2</v>
      </c>
      <c r="L396" s="17">
        <v>12702.629790000001</v>
      </c>
      <c r="M396" s="4" t="s">
        <v>1480</v>
      </c>
      <c r="N396" s="19">
        <v>4.05</v>
      </c>
      <c r="O396" s="19">
        <v>6.1776299999999997</v>
      </c>
      <c r="P396" s="19">
        <v>2.1981009999999999</v>
      </c>
      <c r="Q396" s="19">
        <v>4.0801999999999996</v>
      </c>
      <c r="R396" s="19">
        <v>1.7144900000000001</v>
      </c>
      <c r="S396" s="19">
        <v>3.7997000000000001</v>
      </c>
      <c r="T396" s="19">
        <v>1.7144900000000001</v>
      </c>
      <c r="U396" s="19">
        <v>3.496</v>
      </c>
      <c r="V396" s="19">
        <v>4.487457</v>
      </c>
      <c r="W396" s="19">
        <v>5.2712000000000003</v>
      </c>
      <c r="X396" s="19">
        <v>4.487457</v>
      </c>
      <c r="Y396" s="19">
        <v>5.2712000000000003</v>
      </c>
      <c r="Z396" s="4"/>
      <c r="AA396" s="4"/>
      <c r="AB396" s="4" t="e">
        <f ca="1">_xll.ciqfunctions.udf.CIQ("^SPX", "IQ_PRICEDATE", "7/20/2015")</f>
        <v>#NAME?</v>
      </c>
      <c r="AC396" s="16">
        <v>2128.2835669705</v>
      </c>
    </row>
    <row r="397" spans="1:29" x14ac:dyDescent="0.35">
      <c r="A397" s="2" t="s">
        <v>407</v>
      </c>
      <c r="B397" s="4" t="s">
        <v>1481</v>
      </c>
      <c r="C397" s="4" t="s">
        <v>586</v>
      </c>
      <c r="D397" s="4" t="s">
        <v>586</v>
      </c>
      <c r="E397" s="4" t="s">
        <v>726</v>
      </c>
      <c r="F397" s="4" t="s">
        <v>727</v>
      </c>
      <c r="G397" s="14">
        <v>35.28</v>
      </c>
      <c r="H397" s="10">
        <v>11.106391</v>
      </c>
      <c r="I397" s="10" t="s">
        <v>534</v>
      </c>
      <c r="J397" s="10" t="s">
        <v>534</v>
      </c>
      <c r="K397" s="15">
        <v>1.814E-2</v>
      </c>
      <c r="L397" s="17">
        <v>5602.9004139999997</v>
      </c>
      <c r="M397" s="4" t="s">
        <v>1482</v>
      </c>
      <c r="N397" s="19">
        <v>-0.245777</v>
      </c>
      <c r="O397" s="19">
        <v>2.6915</v>
      </c>
      <c r="P397" s="19">
        <v>0.30852800000000002</v>
      </c>
      <c r="Q397" s="19">
        <v>2.3214000000000001</v>
      </c>
      <c r="R397" s="19">
        <v>1.4757199999999999</v>
      </c>
      <c r="S397" s="19">
        <v>2.8933</v>
      </c>
      <c r="T397" s="19">
        <v>1.4757199999999999</v>
      </c>
      <c r="U397" s="19">
        <v>2.4399000000000002</v>
      </c>
      <c r="V397" s="19">
        <v>1.1996249999999999</v>
      </c>
      <c r="W397" s="19">
        <v>1.9958</v>
      </c>
      <c r="X397" s="19">
        <v>1.1996249999999999</v>
      </c>
      <c r="Y397" s="19">
        <v>1.9958</v>
      </c>
      <c r="Z397" s="4"/>
      <c r="AA397" s="4"/>
      <c r="AB397" s="4" t="e">
        <f ca="1">_xll.ciqfunctions.udf.CIQ("^SPX", "IQ_PRICEDATE", "7/21/2015")</f>
        <v>#NAME?</v>
      </c>
      <c r="AC397" s="16">
        <v>2119.2099513663002</v>
      </c>
    </row>
    <row r="398" spans="1:29" x14ac:dyDescent="0.35">
      <c r="A398" s="2" t="s">
        <v>408</v>
      </c>
      <c r="B398" s="4" t="s">
        <v>1483</v>
      </c>
      <c r="C398" s="4" t="s">
        <v>619</v>
      </c>
      <c r="D398" s="4" t="s">
        <v>619</v>
      </c>
      <c r="E398" s="4" t="s">
        <v>634</v>
      </c>
      <c r="F398" s="4" t="s">
        <v>634</v>
      </c>
      <c r="G398" s="14">
        <v>115.3</v>
      </c>
      <c r="H398" s="10">
        <v>16.099806000000001</v>
      </c>
      <c r="I398" s="10" t="s">
        <v>534</v>
      </c>
      <c r="J398" s="10">
        <v>2.7174070000000001</v>
      </c>
      <c r="K398" s="15">
        <v>3.1049000000000004E-2</v>
      </c>
      <c r="L398" s="17">
        <v>31529.758938999999</v>
      </c>
      <c r="M398" s="4" t="s">
        <v>1484</v>
      </c>
      <c r="N398" s="19">
        <v>-2.5682659999999999</v>
      </c>
      <c r="O398" s="19">
        <v>5.6677</v>
      </c>
      <c r="P398" s="19">
        <v>1.01</v>
      </c>
      <c r="Q398" s="19">
        <v>5.4333</v>
      </c>
      <c r="R398" s="19">
        <v>5.46</v>
      </c>
      <c r="S398" s="19">
        <v>5.0349000000000004</v>
      </c>
      <c r="T398" s="19">
        <v>5.46</v>
      </c>
      <c r="U398" s="19">
        <v>5.2542999999999997</v>
      </c>
      <c r="V398" s="19">
        <v>4.63</v>
      </c>
      <c r="W398" s="19">
        <v>4.7480000000000002</v>
      </c>
      <c r="X398" s="19">
        <v>4.63</v>
      </c>
      <c r="Y398" s="19">
        <v>4.7480000000000002</v>
      </c>
      <c r="Z398" s="4"/>
      <c r="AA398" s="4"/>
      <c r="AB398" s="4" t="e">
        <f ca="1">_xll.ciqfunctions.udf.CIQ("^SPX", "IQ_PRICEDATE", "7/22/2015")</f>
        <v>#NAME?</v>
      </c>
      <c r="AC398" s="16">
        <v>2114.1512378338002</v>
      </c>
    </row>
    <row r="399" spans="1:29" x14ac:dyDescent="0.35">
      <c r="A399" s="2" t="s">
        <v>409</v>
      </c>
      <c r="B399" s="4" t="s">
        <v>1485</v>
      </c>
      <c r="C399" s="4" t="s">
        <v>601</v>
      </c>
      <c r="D399" s="4" t="s">
        <v>601</v>
      </c>
      <c r="E399" s="4" t="s">
        <v>602</v>
      </c>
      <c r="F399" s="4" t="s">
        <v>1026</v>
      </c>
      <c r="G399" s="14">
        <v>172.75</v>
      </c>
      <c r="H399" s="10">
        <v>16.715260000000001</v>
      </c>
      <c r="I399" s="10">
        <v>23.805133000000001</v>
      </c>
      <c r="J399" s="10">
        <v>16.050348</v>
      </c>
      <c r="K399" s="15">
        <v>4.6308999999999996E-2</v>
      </c>
      <c r="L399" s="17">
        <v>53417.354738000002</v>
      </c>
      <c r="M399" s="4" t="s">
        <v>1486</v>
      </c>
      <c r="N399" s="19">
        <v>7.2568380000000001</v>
      </c>
      <c r="O399" s="19">
        <v>7.2000999999999999</v>
      </c>
      <c r="P399" s="19">
        <v>6.24</v>
      </c>
      <c r="Q399" s="19">
        <v>6.5951000000000004</v>
      </c>
      <c r="R399" s="19">
        <v>5.87</v>
      </c>
      <c r="S399" s="19">
        <v>6.6962999999999999</v>
      </c>
      <c r="T399" s="19">
        <v>5.87</v>
      </c>
      <c r="U399" s="19">
        <v>5.9370000000000003</v>
      </c>
      <c r="V399" s="19">
        <v>4.4279130000000002</v>
      </c>
      <c r="W399" s="19">
        <v>5.2740999999999998</v>
      </c>
      <c r="X399" s="19">
        <v>4.4279130000000002</v>
      </c>
      <c r="Y399" s="19">
        <v>5.2740999999999998</v>
      </c>
      <c r="Z399" s="4"/>
      <c r="AA399" s="4"/>
      <c r="AB399" s="4" t="e">
        <f ca="1">_xll.ciqfunctions.udf.CIQ("^SPX", "IQ_PRICEDATE", "7/23/2015")</f>
        <v>#NAME?</v>
      </c>
      <c r="AC399" s="16">
        <v>2102.1479844647001</v>
      </c>
    </row>
    <row r="400" spans="1:29" x14ac:dyDescent="0.35">
      <c r="A400" s="2" t="s">
        <v>410</v>
      </c>
      <c r="B400" s="4" t="s">
        <v>1487</v>
      </c>
      <c r="C400" s="4" t="s">
        <v>543</v>
      </c>
      <c r="D400" s="4" t="s">
        <v>565</v>
      </c>
      <c r="E400" s="4" t="s">
        <v>565</v>
      </c>
      <c r="F400" s="4" t="s">
        <v>566</v>
      </c>
      <c r="G400" s="14">
        <v>88.38</v>
      </c>
      <c r="H400" s="10">
        <v>8.9610749999999992</v>
      </c>
      <c r="I400" s="10">
        <v>17.842344000000001</v>
      </c>
      <c r="J400" s="10">
        <v>5.057925</v>
      </c>
      <c r="K400" s="15">
        <v>1.4482E-2</v>
      </c>
      <c r="L400" s="17">
        <v>15818.388946999999</v>
      </c>
      <c r="M400" s="4" t="s">
        <v>1488</v>
      </c>
      <c r="N400" s="19">
        <v>4.9533849999999999</v>
      </c>
      <c r="O400" s="19">
        <v>7.6551</v>
      </c>
      <c r="P400" s="19">
        <v>4.413761</v>
      </c>
      <c r="Q400" s="19">
        <v>7.2417400000000001</v>
      </c>
      <c r="R400" s="19">
        <v>4.7264020000000002</v>
      </c>
      <c r="S400" s="19">
        <v>6.15604</v>
      </c>
      <c r="T400" s="19">
        <v>4.7264020000000002</v>
      </c>
      <c r="U400" s="19">
        <v>6.26959</v>
      </c>
      <c r="V400" s="19">
        <v>2.38</v>
      </c>
      <c r="W400" s="19">
        <v>4.4965000000000002</v>
      </c>
      <c r="X400" s="19">
        <v>2.38</v>
      </c>
      <c r="Y400" s="19">
        <v>4.4965000000000002</v>
      </c>
      <c r="Z400" s="4"/>
      <c r="AA400" s="4"/>
      <c r="AB400" s="4" t="e">
        <f ca="1">_xll.ciqfunctions.udf.CIQ("^SPX", "IQ_PRICEDATE", "7/24/2015")</f>
        <v>#NAME?</v>
      </c>
      <c r="AC400" s="16">
        <v>2079.6492126245998</v>
      </c>
    </row>
    <row r="401" spans="1:29" x14ac:dyDescent="0.35">
      <c r="A401" s="2" t="s">
        <v>411</v>
      </c>
      <c r="B401" s="4" t="s">
        <v>1489</v>
      </c>
      <c r="C401" s="4" t="s">
        <v>601</v>
      </c>
      <c r="D401" s="4" t="s">
        <v>601</v>
      </c>
      <c r="E401" s="4" t="s">
        <v>602</v>
      </c>
      <c r="F401" s="4" t="s">
        <v>603</v>
      </c>
      <c r="G401" s="14">
        <v>92.17</v>
      </c>
      <c r="H401" s="10">
        <v>20.455514999999998</v>
      </c>
      <c r="I401" s="10">
        <v>26.907028</v>
      </c>
      <c r="J401" s="10">
        <v>1.3171660000000001</v>
      </c>
      <c r="K401" s="15">
        <v>3.526E-2</v>
      </c>
      <c r="L401" s="17">
        <v>7889.1989800000001</v>
      </c>
      <c r="M401" s="4" t="s">
        <v>1490</v>
      </c>
      <c r="N401" s="19">
        <v>3.4254989999999998</v>
      </c>
      <c r="O401" s="19">
        <v>1.4849000000000001</v>
      </c>
      <c r="P401" s="19">
        <v>0.87443300000000002</v>
      </c>
      <c r="Q401" s="19">
        <v>2.1</v>
      </c>
      <c r="R401" s="19">
        <v>2.3367619999999998</v>
      </c>
      <c r="S401" s="19">
        <v>1.2424999999999999</v>
      </c>
      <c r="T401" s="19">
        <v>2.3367619999999998</v>
      </c>
      <c r="U401" s="19">
        <v>0.65110000000000001</v>
      </c>
      <c r="V401" s="19">
        <v>3.3513269999999999</v>
      </c>
      <c r="W401" s="19">
        <v>1.8984000000000001</v>
      </c>
      <c r="X401" s="19">
        <v>3.3513269999999999</v>
      </c>
      <c r="Y401" s="19">
        <v>1.8984000000000001</v>
      </c>
      <c r="Z401" s="4"/>
      <c r="AA401" s="4"/>
      <c r="AB401" s="4" t="e">
        <f ca="1">_xll.ciqfunctions.udf.CIQ("^SPX", "IQ_PRICEDATE", "7/27/2015")</f>
        <v>#NAME?</v>
      </c>
      <c r="AC401" s="16">
        <v>2067.6418261434001</v>
      </c>
    </row>
    <row r="402" spans="1:29" x14ac:dyDescent="0.35">
      <c r="A402" s="2" t="s">
        <v>412</v>
      </c>
      <c r="B402" s="4" t="s">
        <v>1491</v>
      </c>
      <c r="C402" s="4" t="s">
        <v>525</v>
      </c>
      <c r="D402" s="4" t="s">
        <v>526</v>
      </c>
      <c r="E402" s="4" t="s">
        <v>803</v>
      </c>
      <c r="F402" s="4" t="s">
        <v>948</v>
      </c>
      <c r="G402" s="14">
        <v>167.57</v>
      </c>
      <c r="H402" s="10">
        <v>10.087440000000001</v>
      </c>
      <c r="I402" s="10">
        <v>16.020188000000001</v>
      </c>
      <c r="J402" s="10">
        <v>4.8684079999999996</v>
      </c>
      <c r="K402" s="15">
        <v>1.9573E-2</v>
      </c>
      <c r="L402" s="17">
        <v>9451.3134699999991</v>
      </c>
      <c r="M402" s="4" t="s">
        <v>1492</v>
      </c>
      <c r="N402" s="19">
        <v>10.459927</v>
      </c>
      <c r="O402" s="19">
        <v>12.326700000000001</v>
      </c>
      <c r="P402" s="19">
        <v>9.52</v>
      </c>
      <c r="Q402" s="19">
        <v>10.6473</v>
      </c>
      <c r="R402" s="19">
        <v>9.1999999999999993</v>
      </c>
      <c r="S402" s="19">
        <v>9.8010999999999999</v>
      </c>
      <c r="T402" s="19">
        <v>9.1999999999999993</v>
      </c>
      <c r="U402" s="19">
        <v>8.8339999999999996</v>
      </c>
      <c r="V402" s="19">
        <v>6.7795030000000001</v>
      </c>
      <c r="W402" s="19">
        <v>7.5033000000000003</v>
      </c>
      <c r="X402" s="19">
        <v>6.7795030000000001</v>
      </c>
      <c r="Y402" s="19">
        <v>7.5033000000000003</v>
      </c>
      <c r="Z402" s="4"/>
      <c r="AA402" s="4"/>
      <c r="AB402" s="4" t="e">
        <f ca="1">_xll.ciqfunctions.udf.CIQ("^SPX", "IQ_PRICEDATE", "7/28/2015")</f>
        <v>#NAME?</v>
      </c>
      <c r="AC402" s="16">
        <v>2093.253342511</v>
      </c>
    </row>
    <row r="403" spans="1:29" x14ac:dyDescent="0.35">
      <c r="A403" s="2" t="s">
        <v>413</v>
      </c>
      <c r="B403" s="4" t="s">
        <v>1493</v>
      </c>
      <c r="C403" s="4" t="s">
        <v>525</v>
      </c>
      <c r="D403" s="4" t="s">
        <v>594</v>
      </c>
      <c r="E403" s="4" t="s">
        <v>595</v>
      </c>
      <c r="F403" s="4" t="s">
        <v>595</v>
      </c>
      <c r="G403" s="14">
        <v>59.2</v>
      </c>
      <c r="H403" s="10">
        <v>8.0103709999999992</v>
      </c>
      <c r="I403" s="10">
        <v>9.6756700000000002</v>
      </c>
      <c r="J403" s="10">
        <v>3.934895</v>
      </c>
      <c r="K403" s="15">
        <v>1.081E-2</v>
      </c>
      <c r="L403" s="17">
        <v>33922.736047999999</v>
      </c>
      <c r="M403" s="4" t="s">
        <v>1494</v>
      </c>
      <c r="N403" s="19">
        <v>6.1184390000000004</v>
      </c>
      <c r="O403" s="19">
        <v>4.5202999999999998</v>
      </c>
      <c r="P403" s="19">
        <v>5.79</v>
      </c>
      <c r="Q403" s="19">
        <v>4.2991999999999999</v>
      </c>
      <c r="R403" s="19">
        <v>3.5481829999999999</v>
      </c>
      <c r="S403" s="19">
        <v>3.4277000000000002</v>
      </c>
      <c r="T403" s="19">
        <v>3.5481829999999999</v>
      </c>
      <c r="U403" s="19">
        <v>4.0465</v>
      </c>
      <c r="V403" s="19">
        <v>1.637931</v>
      </c>
      <c r="W403" s="19">
        <v>2.7282999999999999</v>
      </c>
      <c r="X403" s="19">
        <v>1.637931</v>
      </c>
      <c r="Y403" s="19">
        <v>2.7282999999999999</v>
      </c>
      <c r="Z403" s="4"/>
      <c r="AA403" s="4"/>
      <c r="AB403" s="4" t="e">
        <f ca="1">_xll.ciqfunctions.udf.CIQ("^SPX", "IQ_PRICEDATE", "7/29/2015")</f>
        <v>#NAME?</v>
      </c>
      <c r="AC403" s="16">
        <v>2108.5685642213002</v>
      </c>
    </row>
    <row r="404" spans="1:29" x14ac:dyDescent="0.35">
      <c r="A404" s="2" t="s">
        <v>414</v>
      </c>
      <c r="B404" s="4" t="s">
        <v>1495</v>
      </c>
      <c r="C404" s="4" t="s">
        <v>525</v>
      </c>
      <c r="D404" s="4" t="s">
        <v>526</v>
      </c>
      <c r="E404" s="4" t="s">
        <v>803</v>
      </c>
      <c r="F404" s="4" t="s">
        <v>948</v>
      </c>
      <c r="G404" s="14">
        <v>123.57</v>
      </c>
      <c r="H404" s="10">
        <v>11.257039000000001</v>
      </c>
      <c r="I404" s="10">
        <v>18.57386</v>
      </c>
      <c r="J404" s="10" t="s">
        <v>534</v>
      </c>
      <c r="K404" s="15">
        <v>2.1364000000000001E-2</v>
      </c>
      <c r="L404" s="17">
        <v>18907.421356999999</v>
      </c>
      <c r="M404" s="4" t="s">
        <v>1496</v>
      </c>
      <c r="N404" s="19">
        <v>6.6528980000000004</v>
      </c>
      <c r="O404" s="19">
        <v>8.4849999999999994</v>
      </c>
      <c r="P404" s="19">
        <v>8.0399999999999991</v>
      </c>
      <c r="Q404" s="19">
        <v>8.1202000000000005</v>
      </c>
      <c r="R404" s="19">
        <v>6.51</v>
      </c>
      <c r="S404" s="19">
        <v>6.7171000000000003</v>
      </c>
      <c r="T404" s="19">
        <v>6.51</v>
      </c>
      <c r="U404" s="19">
        <v>6.4880000000000004</v>
      </c>
      <c r="V404" s="19">
        <v>4.4186930000000002</v>
      </c>
      <c r="W404" s="19">
        <v>5.9595000000000002</v>
      </c>
      <c r="X404" s="19">
        <v>4.4186930000000002</v>
      </c>
      <c r="Y404" s="19">
        <v>5.9595000000000002</v>
      </c>
      <c r="Z404" s="4"/>
      <c r="AA404" s="4"/>
      <c r="AB404" s="4" t="e">
        <f ca="1">_xll.ciqfunctions.udf.CIQ("^SPX", "IQ_PRICEDATE", "7/30/2015")</f>
        <v>#NAME?</v>
      </c>
      <c r="AC404" s="16">
        <v>2108.6299535420999</v>
      </c>
    </row>
    <row r="405" spans="1:29" x14ac:dyDescent="0.35">
      <c r="A405" s="2" t="s">
        <v>415</v>
      </c>
      <c r="B405" s="4" t="s">
        <v>1497</v>
      </c>
      <c r="C405" s="4" t="s">
        <v>559</v>
      </c>
      <c r="D405" s="4" t="s">
        <v>798</v>
      </c>
      <c r="E405" s="4" t="s">
        <v>799</v>
      </c>
      <c r="F405" s="4" t="s">
        <v>839</v>
      </c>
      <c r="G405" s="14">
        <v>59.1</v>
      </c>
      <c r="H405" s="10">
        <v>15.665952000000001</v>
      </c>
      <c r="I405" s="10">
        <v>18.452586</v>
      </c>
      <c r="J405" s="10" t="s">
        <v>534</v>
      </c>
      <c r="K405" s="15">
        <v>2.4365000000000001E-2</v>
      </c>
      <c r="L405" s="17">
        <v>79731.81</v>
      </c>
      <c r="M405" s="4" t="s">
        <v>1498</v>
      </c>
      <c r="N405" s="19">
        <v>3.2028029999999998</v>
      </c>
      <c r="O405" s="19">
        <v>2.5272000000000001</v>
      </c>
      <c r="P405" s="19">
        <v>3.016486</v>
      </c>
      <c r="Q405" s="19">
        <v>2.3214899999999998</v>
      </c>
      <c r="R405" s="19">
        <v>1.9</v>
      </c>
      <c r="S405" s="19">
        <v>2.1384500000000002</v>
      </c>
      <c r="T405" s="19">
        <v>1.9</v>
      </c>
      <c r="U405" s="19">
        <v>1.8896599999999999</v>
      </c>
      <c r="V405" s="19">
        <v>1.6437349999999999</v>
      </c>
      <c r="W405" s="19">
        <v>1.5526800000000001</v>
      </c>
      <c r="X405" s="19">
        <v>1.6437349999999999</v>
      </c>
      <c r="Y405" s="19">
        <v>1.5526800000000001</v>
      </c>
      <c r="Z405" s="4"/>
      <c r="AA405" s="4"/>
      <c r="AB405" s="4" t="e">
        <f ca="1">_xll.ciqfunctions.udf.CIQ("^SPX", "IQ_PRICEDATE", "7/31/2015")</f>
        <v>#NAME?</v>
      </c>
      <c r="AC405" s="16">
        <v>2103.8353651370999</v>
      </c>
    </row>
    <row r="406" spans="1:29" x14ac:dyDescent="0.35">
      <c r="A406" s="2" t="s">
        <v>416</v>
      </c>
      <c r="B406" s="4" t="s">
        <v>1499</v>
      </c>
      <c r="C406" s="4" t="s">
        <v>573</v>
      </c>
      <c r="D406" s="4" t="s">
        <v>574</v>
      </c>
      <c r="E406" s="4" t="s">
        <v>575</v>
      </c>
      <c r="F406" s="4" t="s">
        <v>576</v>
      </c>
      <c r="G406" s="14">
        <v>82.15</v>
      </c>
      <c r="H406" s="10">
        <v>0</v>
      </c>
      <c r="I406" s="10">
        <v>13.574719999999999</v>
      </c>
      <c r="J406" s="10">
        <v>2.5250149999999998</v>
      </c>
      <c r="K406" s="15">
        <v>2.2884000000000002E-2</v>
      </c>
      <c r="L406" s="17">
        <v>31168.977164</v>
      </c>
      <c r="M406" s="4" t="s">
        <v>1500</v>
      </c>
      <c r="N406" s="19">
        <v>6.0516899999999998</v>
      </c>
      <c r="O406" s="19">
        <v>7.7119999999999997</v>
      </c>
      <c r="P406" s="19">
        <v>5.24</v>
      </c>
      <c r="Q406" s="19">
        <v>6.907</v>
      </c>
      <c r="R406" s="19">
        <v>4.97</v>
      </c>
      <c r="S406" s="19">
        <v>5.5077999999999996</v>
      </c>
      <c r="T406" s="19">
        <v>4.97</v>
      </c>
      <c r="U406" s="19">
        <v>5.0037000000000003</v>
      </c>
      <c r="V406" s="19">
        <v>4.53</v>
      </c>
      <c r="W406" s="19">
        <v>5.1422999999999996</v>
      </c>
      <c r="X406" s="19">
        <v>4.53</v>
      </c>
      <c r="Y406" s="19">
        <v>5.1422999999999996</v>
      </c>
      <c r="Z406" s="4"/>
      <c r="AA406" s="4"/>
      <c r="AB406" s="4" t="e">
        <f ca="1">_xll.ciqfunctions.udf.CIQ("^SPX", "IQ_PRICEDATE", "8/3/2015")</f>
        <v>#NAME?</v>
      </c>
      <c r="AC406" s="16">
        <v>2098.0396633670998</v>
      </c>
    </row>
    <row r="407" spans="1:29" x14ac:dyDescent="0.35">
      <c r="A407" s="2" t="s">
        <v>417</v>
      </c>
      <c r="B407" s="4" t="s">
        <v>1501</v>
      </c>
      <c r="C407" s="4" t="s">
        <v>525</v>
      </c>
      <c r="D407" s="4" t="s">
        <v>855</v>
      </c>
      <c r="E407" s="4" t="s">
        <v>856</v>
      </c>
      <c r="F407" s="4" t="s">
        <v>1450</v>
      </c>
      <c r="G407" s="14">
        <v>53.75</v>
      </c>
      <c r="H407" s="10">
        <v>10.560729</v>
      </c>
      <c r="I407" s="10">
        <v>27.860004</v>
      </c>
      <c r="J407" s="10" t="s">
        <v>534</v>
      </c>
      <c r="K407" s="15">
        <v>0</v>
      </c>
      <c r="L407" s="17">
        <v>4616.468175</v>
      </c>
      <c r="M407" s="4" t="s">
        <v>1502</v>
      </c>
      <c r="N407" s="19">
        <v>1.929289</v>
      </c>
      <c r="O407" s="19">
        <v>4.3295000000000003</v>
      </c>
      <c r="P407" s="19">
        <v>0.27</v>
      </c>
      <c r="Q407" s="19">
        <v>4.4885000000000002</v>
      </c>
      <c r="R407" s="19">
        <v>2.08</v>
      </c>
      <c r="S407" s="19">
        <v>4.6181000000000001</v>
      </c>
      <c r="T407" s="19">
        <v>2.08</v>
      </c>
      <c r="U407" s="19">
        <v>4.7899000000000003</v>
      </c>
      <c r="V407" s="19">
        <v>3.7899989999999999</v>
      </c>
      <c r="W407" s="19">
        <v>4.6071</v>
      </c>
      <c r="X407" s="19">
        <v>3.7899989999999999</v>
      </c>
      <c r="Y407" s="19">
        <v>4.6071</v>
      </c>
      <c r="Z407" s="4"/>
      <c r="AA407" s="4"/>
      <c r="AB407" s="4" t="e">
        <f ca="1">_xll.ciqfunctions.udf.CIQ("^SPX", "IQ_PRICEDATE", "8/4/2015")</f>
        <v>#NAME?</v>
      </c>
      <c r="AC407" s="16">
        <v>2093.3239169262001</v>
      </c>
    </row>
    <row r="408" spans="1:29" x14ac:dyDescent="0.35">
      <c r="A408" s="2" t="s">
        <v>418</v>
      </c>
      <c r="B408" s="4" t="s">
        <v>1503</v>
      </c>
      <c r="C408" s="4" t="s">
        <v>530</v>
      </c>
      <c r="D408" s="4" t="s">
        <v>531</v>
      </c>
      <c r="E408" s="4" t="s">
        <v>532</v>
      </c>
      <c r="F408" s="4" t="s">
        <v>533</v>
      </c>
      <c r="G408" s="14">
        <v>176.23</v>
      </c>
      <c r="H408" s="10">
        <v>19.974844000000001</v>
      </c>
      <c r="I408" s="10">
        <v>62.233204999999998</v>
      </c>
      <c r="J408" s="10" t="s">
        <v>534</v>
      </c>
      <c r="K408" s="15">
        <v>1.0666999999999999E-2</v>
      </c>
      <c r="L408" s="17">
        <v>65908.344758000007</v>
      </c>
      <c r="M408" s="4" t="s">
        <v>1504</v>
      </c>
      <c r="N408" s="19">
        <v>2.8317679999999998</v>
      </c>
      <c r="O408" s="19">
        <v>7.5571000000000002</v>
      </c>
      <c r="P408" s="19">
        <v>2.68</v>
      </c>
      <c r="Q408" s="19">
        <v>6.9295999999999998</v>
      </c>
      <c r="R408" s="19">
        <v>4.3499999999999996</v>
      </c>
      <c r="S408" s="19">
        <v>6.2773000000000003</v>
      </c>
      <c r="T408" s="19">
        <v>4.3499999999999996</v>
      </c>
      <c r="U408" s="19">
        <v>5.4596999999999998</v>
      </c>
      <c r="V408" s="19">
        <v>1.34</v>
      </c>
      <c r="W408" s="19">
        <v>5.0968</v>
      </c>
      <c r="X408" s="19">
        <v>1.34</v>
      </c>
      <c r="Y408" s="19">
        <v>5.0968</v>
      </c>
      <c r="Z408" s="4"/>
      <c r="AA408" s="4"/>
      <c r="AB408" s="4" t="e">
        <f ca="1">_xll.ciqfunctions.udf.CIQ("^SPX", "IQ_PRICEDATE", "8/5/2015")</f>
        <v>#NAME?</v>
      </c>
      <c r="AC408" s="16">
        <v>2099.8422217912998</v>
      </c>
    </row>
    <row r="409" spans="1:29" x14ac:dyDescent="0.35">
      <c r="A409" s="2" t="s">
        <v>419</v>
      </c>
      <c r="B409" s="4" t="s">
        <v>1505</v>
      </c>
      <c r="C409" s="4" t="s">
        <v>573</v>
      </c>
      <c r="D409" s="4" t="s">
        <v>737</v>
      </c>
      <c r="E409" s="4" t="s">
        <v>737</v>
      </c>
      <c r="F409" s="4" t="s">
        <v>743</v>
      </c>
      <c r="G409" s="14">
        <v>62.42</v>
      </c>
      <c r="H409" s="10">
        <v>0</v>
      </c>
      <c r="I409" s="10">
        <v>11.747455</v>
      </c>
      <c r="J409" s="10">
        <v>1.8328139999999999</v>
      </c>
      <c r="K409" s="15">
        <v>3.2041E-2</v>
      </c>
      <c r="L409" s="17">
        <v>28758.766599999999</v>
      </c>
      <c r="M409" s="4" t="s">
        <v>1506</v>
      </c>
      <c r="N409" s="19">
        <v>5.313491</v>
      </c>
      <c r="O409" s="19">
        <v>5.5731999999999999</v>
      </c>
      <c r="P409" s="19">
        <v>4.47</v>
      </c>
      <c r="Q409" s="19">
        <v>4.3282999999999996</v>
      </c>
      <c r="R409" s="19">
        <v>3.6</v>
      </c>
      <c r="S409" s="19">
        <v>3.6676000000000002</v>
      </c>
      <c r="T409" s="19">
        <v>3.6</v>
      </c>
      <c r="U409" s="19">
        <v>3.5158</v>
      </c>
      <c r="V409" s="19">
        <v>3.23</v>
      </c>
      <c r="W409" s="19">
        <v>3.1966000000000001</v>
      </c>
      <c r="X409" s="19">
        <v>3.23</v>
      </c>
      <c r="Y409" s="19">
        <v>3.1966000000000001</v>
      </c>
      <c r="Z409" s="4"/>
      <c r="AA409" s="4"/>
      <c r="AB409" s="4" t="e">
        <f ca="1">_xll.ciqfunctions.udf.CIQ("^SPX", "IQ_PRICEDATE", "8/6/2015")</f>
        <v>#NAME?</v>
      </c>
      <c r="AC409" s="16">
        <v>2083.5585172903002</v>
      </c>
    </row>
    <row r="410" spans="1:29" x14ac:dyDescent="0.35">
      <c r="A410" s="2" t="s">
        <v>420</v>
      </c>
      <c r="B410" s="4" t="s">
        <v>1507</v>
      </c>
      <c r="C410" s="4" t="s">
        <v>573</v>
      </c>
      <c r="D410" s="4" t="s">
        <v>737</v>
      </c>
      <c r="E410" s="4" t="s">
        <v>737</v>
      </c>
      <c r="F410" s="4" t="s">
        <v>743</v>
      </c>
      <c r="G410" s="14">
        <v>296.98</v>
      </c>
      <c r="H410" s="10">
        <v>0</v>
      </c>
      <c r="I410" s="10">
        <v>22.780117000000001</v>
      </c>
      <c r="J410" s="10">
        <v>3.392801</v>
      </c>
      <c r="K410" s="15">
        <v>0</v>
      </c>
      <c r="L410" s="17">
        <v>15803.415614</v>
      </c>
      <c r="M410" s="4" t="s">
        <v>1508</v>
      </c>
      <c r="N410" s="19">
        <v>13.036807</v>
      </c>
      <c r="O410" s="19">
        <v>19.271699999999999</v>
      </c>
      <c r="P410" s="19">
        <v>9.1999999999999993</v>
      </c>
      <c r="Q410" s="19">
        <v>11.307</v>
      </c>
      <c r="R410" s="19">
        <v>7.31</v>
      </c>
      <c r="S410" s="19">
        <v>7.7786</v>
      </c>
      <c r="T410" s="19">
        <v>7.31</v>
      </c>
      <c r="U410" s="19">
        <v>6.8251999999999997</v>
      </c>
      <c r="V410" s="19">
        <v>5.31</v>
      </c>
      <c r="W410" s="19">
        <v>5.3982999999999999</v>
      </c>
      <c r="X410" s="19">
        <v>5.31</v>
      </c>
      <c r="Y410" s="19">
        <v>5.3982999999999999</v>
      </c>
      <c r="Z410" s="4"/>
      <c r="AA410" s="4"/>
      <c r="AB410" s="4" t="e">
        <f ca="1">_xll.ciqfunctions.udf.CIQ("^SPX", "IQ_PRICEDATE", "8/7/2015")</f>
        <v>#NAME?</v>
      </c>
      <c r="AC410" s="16">
        <v>2077.5684171683001</v>
      </c>
    </row>
    <row r="411" spans="1:29" x14ac:dyDescent="0.35">
      <c r="A411" s="2" t="s">
        <v>421</v>
      </c>
      <c r="B411" s="4" t="s">
        <v>1509</v>
      </c>
      <c r="C411" s="4" t="s">
        <v>543</v>
      </c>
      <c r="D411" s="4" t="s">
        <v>544</v>
      </c>
      <c r="E411" s="4" t="s">
        <v>555</v>
      </c>
      <c r="F411" s="4" t="s">
        <v>782</v>
      </c>
      <c r="G411" s="14">
        <v>20.57</v>
      </c>
      <c r="H411" s="10">
        <v>12.554335</v>
      </c>
      <c r="I411" s="10">
        <v>11.577239000000001</v>
      </c>
      <c r="J411" s="10" t="s">
        <v>534</v>
      </c>
      <c r="K411" s="15">
        <v>1.4584E-2</v>
      </c>
      <c r="L411" s="17">
        <v>12785.049988999999</v>
      </c>
      <c r="M411" s="4" t="s">
        <v>1510</v>
      </c>
      <c r="N411" s="19">
        <v>1.776762</v>
      </c>
      <c r="O411" s="19">
        <v>1.5720000000000001</v>
      </c>
      <c r="P411" s="19">
        <v>1.5471250000000001</v>
      </c>
      <c r="Q411" s="19">
        <v>1.83</v>
      </c>
      <c r="R411" s="19">
        <v>-1.7213579999999999</v>
      </c>
      <c r="S411" s="19">
        <v>1.3633999999999999</v>
      </c>
      <c r="T411" s="19">
        <v>-1.7213579999999999</v>
      </c>
      <c r="U411" s="19">
        <v>1.0382</v>
      </c>
      <c r="V411" s="19">
        <v>0.83640300000000001</v>
      </c>
      <c r="W411" s="19">
        <v>1.952</v>
      </c>
      <c r="X411" s="19">
        <v>0.83640300000000001</v>
      </c>
      <c r="Y411" s="19">
        <v>1.952</v>
      </c>
      <c r="Z411" s="4"/>
      <c r="AA411" s="4"/>
      <c r="AB411" s="4" t="e">
        <f ca="1">_xll.ciqfunctions.udf.CIQ("^SPX", "IQ_PRICEDATE", "8/10/2015")</f>
        <v>#NAME?</v>
      </c>
      <c r="AC411" s="16">
        <v>2104.1825034717999</v>
      </c>
    </row>
    <row r="412" spans="1:29" x14ac:dyDescent="0.35">
      <c r="A412" s="2" t="s">
        <v>422</v>
      </c>
      <c r="B412" s="4" t="s">
        <v>1511</v>
      </c>
      <c r="C412" s="4" t="s">
        <v>573</v>
      </c>
      <c r="D412" s="4" t="s">
        <v>574</v>
      </c>
      <c r="E412" s="4" t="s">
        <v>641</v>
      </c>
      <c r="F412" s="4" t="s">
        <v>641</v>
      </c>
      <c r="G412" s="14">
        <v>30.07</v>
      </c>
      <c r="H412" s="10">
        <v>0</v>
      </c>
      <c r="I412" s="10">
        <v>10.258984999999999</v>
      </c>
      <c r="J412" s="10">
        <v>1.785873</v>
      </c>
      <c r="K412" s="15">
        <v>2.7934E-2</v>
      </c>
      <c r="L412" s="17">
        <v>22272.431388000001</v>
      </c>
      <c r="M412" s="4" t="s">
        <v>1512</v>
      </c>
      <c r="N412" s="19">
        <v>2.9310890000000001</v>
      </c>
      <c r="O412" s="19">
        <v>3.6911999999999998</v>
      </c>
      <c r="P412" s="19">
        <v>2.42</v>
      </c>
      <c r="Q412" s="19">
        <v>2.9068000000000001</v>
      </c>
      <c r="R412" s="19">
        <v>2.71</v>
      </c>
      <c r="S412" s="19">
        <v>2.9849000000000001</v>
      </c>
      <c r="T412" s="19">
        <v>2.71</v>
      </c>
      <c r="U412" s="19">
        <v>2.75</v>
      </c>
      <c r="V412" s="19">
        <v>2.78</v>
      </c>
      <c r="W412" s="19">
        <v>2.5200999999999998</v>
      </c>
      <c r="X412" s="19">
        <v>2.78</v>
      </c>
      <c r="Y412" s="19">
        <v>2.5200999999999998</v>
      </c>
      <c r="Z412" s="4"/>
      <c r="AA412" s="4"/>
      <c r="AB412" s="4" t="e">
        <f ca="1">_xll.ciqfunctions.udf.CIQ("^SPX", "IQ_PRICEDATE", "8/11/2015")</f>
        <v>#NAME?</v>
      </c>
      <c r="AC412" s="16">
        <v>2084.0735079156998</v>
      </c>
    </row>
    <row r="413" spans="1:29" x14ac:dyDescent="0.35">
      <c r="A413" s="2" t="s">
        <v>423</v>
      </c>
      <c r="B413" s="4" t="s">
        <v>1513</v>
      </c>
      <c r="C413" s="4" t="s">
        <v>543</v>
      </c>
      <c r="D413" s="4" t="s">
        <v>544</v>
      </c>
      <c r="E413" s="4" t="s">
        <v>555</v>
      </c>
      <c r="F413" s="4" t="s">
        <v>556</v>
      </c>
      <c r="G413" s="14">
        <v>89.57</v>
      </c>
      <c r="H413" s="10">
        <v>25.671937</v>
      </c>
      <c r="I413" s="10">
        <v>241.57442699999999</v>
      </c>
      <c r="J413" s="10" t="s">
        <v>534</v>
      </c>
      <c r="K413" s="15">
        <v>0</v>
      </c>
      <c r="L413" s="17">
        <v>13309.036744000001</v>
      </c>
      <c r="M413" s="4" t="s">
        <v>1514</v>
      </c>
      <c r="N413" s="19">
        <v>0.37077599999999999</v>
      </c>
      <c r="O413" s="19">
        <v>3.9087000000000001</v>
      </c>
      <c r="P413" s="19">
        <v>0.88</v>
      </c>
      <c r="Q413" s="19">
        <v>3.5009999999999999</v>
      </c>
      <c r="R413" s="19">
        <v>1.73</v>
      </c>
      <c r="S413" s="19">
        <v>3.2007500000000002</v>
      </c>
      <c r="T413" s="19">
        <v>1.73</v>
      </c>
      <c r="U413" s="19">
        <v>2.9549099999999999</v>
      </c>
      <c r="V413" s="19">
        <v>1.64</v>
      </c>
      <c r="W413" s="19">
        <v>2.69</v>
      </c>
      <c r="X413" s="19">
        <v>1.64</v>
      </c>
      <c r="Y413" s="19">
        <v>2.69</v>
      </c>
      <c r="Z413" s="4"/>
      <c r="AA413" s="4"/>
      <c r="AB413" s="4" t="e">
        <f ca="1">_xll.ciqfunctions.udf.CIQ("^SPX", "IQ_PRICEDATE", "8/12/2015")</f>
        <v>#NAME?</v>
      </c>
      <c r="AC413" s="16">
        <v>2086.0464367455002</v>
      </c>
    </row>
    <row r="414" spans="1:29" x14ac:dyDescent="0.35">
      <c r="A414" s="2" t="s">
        <v>424</v>
      </c>
      <c r="B414" s="4" t="s">
        <v>1515</v>
      </c>
      <c r="C414" s="4" t="s">
        <v>626</v>
      </c>
      <c r="D414" s="4" t="s">
        <v>894</v>
      </c>
      <c r="E414" s="4" t="s">
        <v>894</v>
      </c>
      <c r="F414" s="4" t="s">
        <v>1516</v>
      </c>
      <c r="G414" s="14">
        <v>70.38</v>
      </c>
      <c r="H414" s="10">
        <v>13.652329999999999</v>
      </c>
      <c r="I414" s="10">
        <v>26.066666000000001</v>
      </c>
      <c r="J414" s="10" t="s">
        <v>534</v>
      </c>
      <c r="K414" s="15">
        <v>2.0459999999999999E-2</v>
      </c>
      <c r="L414" s="17">
        <v>36646.111455999999</v>
      </c>
      <c r="M414" s="4" t="s">
        <v>1517</v>
      </c>
      <c r="N414" s="19">
        <v>2.7</v>
      </c>
      <c r="O414" s="19">
        <v>3.5036</v>
      </c>
      <c r="P414" s="19">
        <v>2.226518</v>
      </c>
      <c r="Q414" s="19">
        <v>2.8266</v>
      </c>
      <c r="R414" s="19">
        <v>1.834436</v>
      </c>
      <c r="S414" s="19">
        <v>2.5177999999999998</v>
      </c>
      <c r="T414" s="19">
        <v>1.834436</v>
      </c>
      <c r="U414" s="19">
        <v>1.9779</v>
      </c>
      <c r="V414" s="19">
        <v>1.470086</v>
      </c>
      <c r="W414" s="19">
        <v>1.9001999999999999</v>
      </c>
      <c r="X414" s="19">
        <v>1.470086</v>
      </c>
      <c r="Y414" s="19">
        <v>1.9001999999999999</v>
      </c>
      <c r="Z414" s="4"/>
      <c r="AA414" s="4"/>
      <c r="AB414" s="4" t="e">
        <f ca="1">_xll.ciqfunctions.udf.CIQ("^SPX", "IQ_PRICEDATE", "8/13/2015")</f>
        <v>#NAME?</v>
      </c>
      <c r="AC414" s="16">
        <v>2083.3873035974002</v>
      </c>
    </row>
    <row r="415" spans="1:29" x14ac:dyDescent="0.35">
      <c r="A415" s="2" t="s">
        <v>425</v>
      </c>
      <c r="B415" s="4" t="s">
        <v>1518</v>
      </c>
      <c r="C415" s="4" t="s">
        <v>573</v>
      </c>
      <c r="D415" s="4" t="s">
        <v>574</v>
      </c>
      <c r="E415" s="4" t="s">
        <v>575</v>
      </c>
      <c r="F415" s="4" t="s">
        <v>576</v>
      </c>
      <c r="G415" s="14">
        <v>102.66</v>
      </c>
      <c r="H415" s="10">
        <v>10.073513999999999</v>
      </c>
      <c r="I415" s="10">
        <v>15.833651</v>
      </c>
      <c r="J415" s="10">
        <v>4.5816319999999999</v>
      </c>
      <c r="K415" s="15">
        <v>2.7274E-2</v>
      </c>
      <c r="L415" s="17">
        <v>24965.957569999999</v>
      </c>
      <c r="M415" s="4" t="s">
        <v>1519</v>
      </c>
      <c r="N415" s="19">
        <v>6.4836590000000003</v>
      </c>
      <c r="O415" s="19">
        <v>7.5735000000000001</v>
      </c>
      <c r="P415" s="19">
        <v>5.97</v>
      </c>
      <c r="Q415" s="19">
        <v>5.6021000000000001</v>
      </c>
      <c r="R415" s="19">
        <v>4.75</v>
      </c>
      <c r="S415" s="19">
        <v>4.8513999999999999</v>
      </c>
      <c r="T415" s="19">
        <v>4.75</v>
      </c>
      <c r="U415" s="19">
        <v>4.5837000000000003</v>
      </c>
      <c r="V415" s="19">
        <v>4.55</v>
      </c>
      <c r="W415" s="19">
        <v>4.7064000000000004</v>
      </c>
      <c r="X415" s="19">
        <v>4.55</v>
      </c>
      <c r="Y415" s="19">
        <v>4.7064000000000004</v>
      </c>
      <c r="Z415" s="4"/>
      <c r="AA415" s="4"/>
      <c r="AB415" s="4" t="e">
        <f ca="1">_xll.ciqfunctions.udf.CIQ("^SPX", "IQ_PRICEDATE", "8/14/2015")</f>
        <v>#NAME?</v>
      </c>
      <c r="AC415" s="16">
        <v>2091.5436408942001</v>
      </c>
    </row>
    <row r="416" spans="1:29" x14ac:dyDescent="0.35">
      <c r="A416" s="2" t="s">
        <v>426</v>
      </c>
      <c r="B416" s="4" t="s">
        <v>1520</v>
      </c>
      <c r="C416" s="4" t="s">
        <v>549</v>
      </c>
      <c r="D416" s="4" t="s">
        <v>550</v>
      </c>
      <c r="E416" s="4" t="s">
        <v>551</v>
      </c>
      <c r="F416" s="4" t="s">
        <v>552</v>
      </c>
      <c r="G416" s="14">
        <v>132.06</v>
      </c>
      <c r="H416" s="10">
        <v>59.969042000000002</v>
      </c>
      <c r="I416" s="10">
        <v>82.561235999999994</v>
      </c>
      <c r="J416" s="10">
        <v>22.838864000000001</v>
      </c>
      <c r="K416" s="15">
        <v>0</v>
      </c>
      <c r="L416" s="17">
        <v>15032.154337</v>
      </c>
      <c r="M416" s="4" t="s">
        <v>1521</v>
      </c>
      <c r="N416" s="19">
        <v>1.59954</v>
      </c>
      <c r="O416" s="19">
        <v>5.4131999999999998</v>
      </c>
      <c r="P416" s="19">
        <v>1.633982</v>
      </c>
      <c r="Q416" s="19">
        <v>3.8226</v>
      </c>
      <c r="R416" s="19">
        <v>0.16561600000000001</v>
      </c>
      <c r="S416" s="19">
        <v>1.6736</v>
      </c>
      <c r="T416" s="19">
        <v>0.16561600000000001</v>
      </c>
      <c r="U416" s="19">
        <v>1.1617999999999999</v>
      </c>
      <c r="V416" s="19">
        <v>-0.83181799999999995</v>
      </c>
      <c r="W416" s="19">
        <v>1.8036000000000001</v>
      </c>
      <c r="X416" s="19">
        <v>-0.83181799999999995</v>
      </c>
      <c r="Y416" s="19">
        <v>1.8036000000000001</v>
      </c>
      <c r="Z416" s="4"/>
      <c r="AA416" s="4"/>
      <c r="AB416" s="4" t="e">
        <f ca="1">_xll.ciqfunctions.udf.CIQ("^SPX", "IQ_PRICEDATE", "8/17/2015")</f>
        <v>#NAME?</v>
      </c>
      <c r="AC416" s="16">
        <v>2102.4363504756002</v>
      </c>
    </row>
    <row r="417" spans="1:29" x14ac:dyDescent="0.35">
      <c r="A417" s="2" t="s">
        <v>427</v>
      </c>
      <c r="B417" s="4" t="s">
        <v>1522</v>
      </c>
      <c r="C417" s="4" t="s">
        <v>559</v>
      </c>
      <c r="D417" s="4" t="s">
        <v>912</v>
      </c>
      <c r="E417" s="4" t="s">
        <v>1097</v>
      </c>
      <c r="F417" s="4" t="s">
        <v>1098</v>
      </c>
      <c r="G417" s="14">
        <v>43.99</v>
      </c>
      <c r="H417" s="10">
        <v>11.194981</v>
      </c>
      <c r="I417" s="10">
        <v>31.876811</v>
      </c>
      <c r="J417" s="10" t="s">
        <v>534</v>
      </c>
      <c r="K417" s="15">
        <v>3.0688E-2</v>
      </c>
      <c r="L417" s="17">
        <v>12740.810855</v>
      </c>
      <c r="M417" s="4" t="s">
        <v>1523</v>
      </c>
      <c r="N417" s="19">
        <v>1.38</v>
      </c>
      <c r="O417" s="19">
        <v>2.7761100000000001</v>
      </c>
      <c r="P417" s="19">
        <v>1.116808</v>
      </c>
      <c r="Q417" s="19">
        <v>2.4628000000000001</v>
      </c>
      <c r="R417" s="19">
        <v>1.8221339999999999</v>
      </c>
      <c r="S417" s="19">
        <v>2.1831</v>
      </c>
      <c r="T417" s="19">
        <v>1.8221339999999999</v>
      </c>
      <c r="U417" s="19">
        <v>1.9338</v>
      </c>
      <c r="V417" s="19">
        <v>2.0517210000000001</v>
      </c>
      <c r="W417" s="19">
        <v>1.8629</v>
      </c>
      <c r="X417" s="19">
        <v>2.0517210000000001</v>
      </c>
      <c r="Y417" s="19">
        <v>1.8629</v>
      </c>
      <c r="Z417" s="4"/>
      <c r="AA417" s="4"/>
      <c r="AB417" s="4" t="e">
        <f ca="1">_xll.ciqfunctions.udf.CIQ("^SPX", "IQ_PRICEDATE", "8/18/2015")</f>
        <v>#NAME?</v>
      </c>
      <c r="AC417" s="16">
        <v>2096.9193711046</v>
      </c>
    </row>
    <row r="418" spans="1:29" x14ac:dyDescent="0.35">
      <c r="A418" s="2" t="s">
        <v>428</v>
      </c>
      <c r="B418" s="4" t="s">
        <v>1524</v>
      </c>
      <c r="C418" s="4" t="s">
        <v>559</v>
      </c>
      <c r="D418" s="4" t="s">
        <v>560</v>
      </c>
      <c r="E418" s="4" t="s">
        <v>940</v>
      </c>
      <c r="F418" s="4" t="s">
        <v>941</v>
      </c>
      <c r="G418" s="14">
        <v>84.42</v>
      </c>
      <c r="H418" s="10">
        <v>8.2758509999999994</v>
      </c>
      <c r="I418" s="10">
        <v>14.801658</v>
      </c>
      <c r="J418" s="10">
        <v>3.9772940000000001</v>
      </c>
      <c r="K418" s="15">
        <v>3.0324E-2</v>
      </c>
      <c r="L418" s="17">
        <v>44434.550323000003</v>
      </c>
      <c r="M418" s="4" t="s">
        <v>1525</v>
      </c>
      <c r="N418" s="19">
        <v>5.7034149999999997</v>
      </c>
      <c r="O418" s="19">
        <v>5.5453000000000001</v>
      </c>
      <c r="P418" s="19">
        <v>4.7610070000000002</v>
      </c>
      <c r="Q418" s="19">
        <v>4.2606000000000002</v>
      </c>
      <c r="R418" s="19">
        <v>5.4889349999999997</v>
      </c>
      <c r="S418" s="19">
        <v>5.4146000000000001</v>
      </c>
      <c r="T418" s="19">
        <v>5.4889349999999997</v>
      </c>
      <c r="U418" s="19">
        <v>5.0492999999999997</v>
      </c>
      <c r="V418" s="19">
        <v>4.2760059999999998</v>
      </c>
      <c r="W418" s="19">
        <v>3.7113999999999998</v>
      </c>
      <c r="X418" s="19">
        <v>4.2760059999999998</v>
      </c>
      <c r="Y418" s="19">
        <v>3.7113999999999998</v>
      </c>
      <c r="Z418" s="4"/>
      <c r="AA418" s="4"/>
      <c r="AB418" s="4" t="e">
        <f ca="1">_xll.ciqfunctions.udf.CIQ("^SPX", "IQ_PRICEDATE", "8/19/2015")</f>
        <v>#NAME?</v>
      </c>
      <c r="AC418" s="16">
        <v>2079.6106568018999</v>
      </c>
    </row>
    <row r="419" spans="1:29" x14ac:dyDescent="0.35">
      <c r="A419" s="2" t="s">
        <v>429</v>
      </c>
      <c r="B419" s="4" t="s">
        <v>1526</v>
      </c>
      <c r="C419" s="4" t="s">
        <v>543</v>
      </c>
      <c r="D419" s="4" t="s">
        <v>664</v>
      </c>
      <c r="E419" s="4" t="s">
        <v>665</v>
      </c>
      <c r="F419" s="4" t="s">
        <v>1174</v>
      </c>
      <c r="G419" s="14">
        <v>79.55</v>
      </c>
      <c r="H419" s="10">
        <v>9.9439469999999996</v>
      </c>
      <c r="I419" s="10">
        <v>21.150727</v>
      </c>
      <c r="J419" s="10">
        <v>12.725485000000001</v>
      </c>
      <c r="K419" s="15">
        <v>2.2124000000000001E-2</v>
      </c>
      <c r="L419" s="17">
        <v>27719.892767000001</v>
      </c>
      <c r="M419" s="4" t="s">
        <v>1527</v>
      </c>
      <c r="N419" s="19">
        <v>3.7610999999999999</v>
      </c>
      <c r="O419" s="19">
        <v>5.7514000000000003</v>
      </c>
      <c r="P419" s="19">
        <v>3.4455290000000001</v>
      </c>
      <c r="Q419" s="19">
        <v>5.2727899999999996</v>
      </c>
      <c r="R419" s="19">
        <v>5.5997500000000002</v>
      </c>
      <c r="S419" s="19">
        <v>4.35914</v>
      </c>
      <c r="T419" s="19">
        <v>5.5997500000000002</v>
      </c>
      <c r="U419" s="19">
        <v>3.9870299999999999</v>
      </c>
      <c r="V419" s="19">
        <v>4.1699270000000004</v>
      </c>
      <c r="W419" s="19">
        <v>4.2041700000000004</v>
      </c>
      <c r="X419" s="19">
        <v>4.1699270000000004</v>
      </c>
      <c r="Y419" s="19">
        <v>4.2041700000000004</v>
      </c>
      <c r="Z419" s="4"/>
      <c r="AA419" s="4"/>
      <c r="AB419" s="4" t="e">
        <f ca="1">_xll.ciqfunctions.udf.CIQ("^SPX", "IQ_PRICEDATE", "8/20/2015")</f>
        <v>#NAME?</v>
      </c>
      <c r="AC419" s="16">
        <v>2035.7341442458001</v>
      </c>
    </row>
    <row r="420" spans="1:29" x14ac:dyDescent="0.35">
      <c r="A420" s="2" t="s">
        <v>430</v>
      </c>
      <c r="B420" s="4" t="s">
        <v>1528</v>
      </c>
      <c r="C420" s="4" t="s">
        <v>669</v>
      </c>
      <c r="D420" s="4" t="s">
        <v>669</v>
      </c>
      <c r="E420" s="4" t="s">
        <v>730</v>
      </c>
      <c r="F420" s="4" t="s">
        <v>731</v>
      </c>
      <c r="G420" s="14">
        <v>29.75</v>
      </c>
      <c r="H420" s="10">
        <v>6.1323049999999997</v>
      </c>
      <c r="I420" s="10">
        <v>83.140270000000001</v>
      </c>
      <c r="J420" s="10">
        <v>4.9993210000000001</v>
      </c>
      <c r="K420" s="15">
        <v>1.7478E-2</v>
      </c>
      <c r="L420" s="17">
        <v>13367.502199</v>
      </c>
      <c r="M420" s="4" t="s">
        <v>1529</v>
      </c>
      <c r="N420" s="19">
        <v>0.35782900000000001</v>
      </c>
      <c r="O420" s="19">
        <v>1.4746999999999999</v>
      </c>
      <c r="P420" s="19">
        <v>0.24</v>
      </c>
      <c r="Q420" s="19">
        <v>1.4136</v>
      </c>
      <c r="R420" s="19">
        <v>3.155875</v>
      </c>
      <c r="S420" s="19">
        <v>0</v>
      </c>
      <c r="T420" s="19">
        <v>3.155875</v>
      </c>
      <c r="U420" s="19">
        <v>0</v>
      </c>
      <c r="V420" s="19">
        <v>4.4177049999999998</v>
      </c>
      <c r="W420" s="19">
        <v>0</v>
      </c>
      <c r="X420" s="19">
        <v>4.4177049999999998</v>
      </c>
      <c r="Y420" s="19">
        <v>0</v>
      </c>
      <c r="Z420" s="4"/>
      <c r="AA420" s="4"/>
      <c r="AB420" s="4" t="e">
        <f ca="1">_xll.ciqfunctions.udf.CIQ("^SPX", "IQ_PRICEDATE", "8/21/2015")</f>
        <v>#NAME?</v>
      </c>
      <c r="AC420" s="16">
        <v>1970.8890645414001</v>
      </c>
    </row>
    <row r="421" spans="1:29" x14ac:dyDescent="0.35">
      <c r="A421" s="2" t="s">
        <v>431</v>
      </c>
      <c r="B421" s="4" t="s">
        <v>1530</v>
      </c>
      <c r="C421" s="4" t="s">
        <v>543</v>
      </c>
      <c r="D421" s="4" t="s">
        <v>565</v>
      </c>
      <c r="E421" s="4" t="s">
        <v>565</v>
      </c>
      <c r="F421" s="4" t="s">
        <v>566</v>
      </c>
      <c r="G421" s="14">
        <v>101.54</v>
      </c>
      <c r="H421" s="10">
        <v>13.291926999999999</v>
      </c>
      <c r="I421" s="10">
        <v>23.360717000000001</v>
      </c>
      <c r="J421" s="10">
        <v>18.376128000000001</v>
      </c>
      <c r="K421" s="15">
        <v>3.0331999999999998E-2</v>
      </c>
      <c r="L421" s="17">
        <v>98716.687611000001</v>
      </c>
      <c r="M421" s="4" t="s">
        <v>1531</v>
      </c>
      <c r="N421" s="19">
        <v>4.3466129999999996</v>
      </c>
      <c r="O421" s="19">
        <v>5.9795999999999996</v>
      </c>
      <c r="P421" s="19">
        <v>3.605731</v>
      </c>
      <c r="Q421" s="19">
        <v>4.6287000000000003</v>
      </c>
      <c r="R421" s="19">
        <v>3.4779620000000002</v>
      </c>
      <c r="S421" s="19">
        <v>3.5226999999999999</v>
      </c>
      <c r="T421" s="19">
        <v>3.4779620000000002</v>
      </c>
      <c r="U421" s="19">
        <v>3.0630999999999999</v>
      </c>
      <c r="V421" s="19">
        <v>2.572222</v>
      </c>
      <c r="W421" s="19">
        <v>3.0369000000000002</v>
      </c>
      <c r="X421" s="19">
        <v>2.572222</v>
      </c>
      <c r="Y421" s="19">
        <v>3.0369000000000002</v>
      </c>
      <c r="Z421" s="4"/>
      <c r="AA421" s="4"/>
      <c r="AB421" s="4" t="e">
        <f ca="1">_xll.ciqfunctions.udf.CIQ("^SPX", "IQ_PRICEDATE", "8/24/2015")</f>
        <v>#NAME?</v>
      </c>
      <c r="AC421" s="16">
        <v>1893.2139388332</v>
      </c>
    </row>
    <row r="422" spans="1:29" x14ac:dyDescent="0.35">
      <c r="A422" s="2" t="s">
        <v>432</v>
      </c>
      <c r="B422" s="4" t="s">
        <v>1532</v>
      </c>
      <c r="C422" s="4" t="s">
        <v>525</v>
      </c>
      <c r="D422" s="4" t="s">
        <v>526</v>
      </c>
      <c r="E422" s="4" t="s">
        <v>703</v>
      </c>
      <c r="F422" s="4" t="s">
        <v>703</v>
      </c>
      <c r="G422" s="14">
        <v>64.78</v>
      </c>
      <c r="H422" s="10">
        <v>12.349684</v>
      </c>
      <c r="I422" s="10">
        <v>36.645721999999999</v>
      </c>
      <c r="J422" s="10">
        <v>5.110741</v>
      </c>
      <c r="K422" s="15">
        <v>1.2339999999999999E-3</v>
      </c>
      <c r="L422" s="17">
        <v>16092.053631999999</v>
      </c>
      <c r="M422" s="4" t="s">
        <v>1533</v>
      </c>
      <c r="N422" s="19">
        <v>1.7677369999999999</v>
      </c>
      <c r="O422" s="19">
        <v>3.4117999999999999</v>
      </c>
      <c r="P422" s="19">
        <v>1.1399999999999999</v>
      </c>
      <c r="Q422" s="19">
        <v>2.6858</v>
      </c>
      <c r="R422" s="19">
        <v>3.09</v>
      </c>
      <c r="S422" s="19">
        <v>2.8826999999999998</v>
      </c>
      <c r="T422" s="19">
        <v>3.09</v>
      </c>
      <c r="U422" s="19">
        <v>2.7608000000000001</v>
      </c>
      <c r="V422" s="19">
        <v>1.9911080000000001</v>
      </c>
      <c r="W422" s="19">
        <v>2.4639000000000002</v>
      </c>
      <c r="X422" s="19">
        <v>1.9911080000000001</v>
      </c>
      <c r="Y422" s="19">
        <v>2.4639000000000002</v>
      </c>
      <c r="Z422" s="4"/>
      <c r="AA422" s="4"/>
      <c r="AB422" s="4" t="e">
        <f ca="1">_xll.ciqfunctions.udf.CIQ("^SPX", "IQ_PRICEDATE", "8/25/2015")</f>
        <v>#NAME?</v>
      </c>
      <c r="AC422" s="16">
        <v>1867.6109248626999</v>
      </c>
    </row>
    <row r="423" spans="1:29" x14ac:dyDescent="0.35">
      <c r="A423" s="2" t="s">
        <v>433</v>
      </c>
      <c r="B423" s="4" t="s">
        <v>1534</v>
      </c>
      <c r="C423" s="4" t="s">
        <v>619</v>
      </c>
      <c r="D423" s="4" t="s">
        <v>619</v>
      </c>
      <c r="E423" s="4" t="s">
        <v>1354</v>
      </c>
      <c r="F423" s="4" t="s">
        <v>1355</v>
      </c>
      <c r="G423" s="14">
        <v>15.08</v>
      </c>
      <c r="H423" s="10">
        <v>8.4477840000000004</v>
      </c>
      <c r="I423" s="10">
        <v>40.654460999999998</v>
      </c>
      <c r="J423" s="10">
        <v>5.2256970000000003</v>
      </c>
      <c r="K423" s="15">
        <v>3.4481999999999999E-2</v>
      </c>
      <c r="L423" s="17">
        <v>9978.1866669999999</v>
      </c>
      <c r="M423" s="4" t="s">
        <v>1535</v>
      </c>
      <c r="N423" s="19">
        <v>0.37093100000000001</v>
      </c>
      <c r="O423" s="19">
        <v>1.3411</v>
      </c>
      <c r="P423" s="19">
        <v>-0.77</v>
      </c>
      <c r="Q423" s="19">
        <v>1.2398</v>
      </c>
      <c r="R423" s="19">
        <v>-0.04</v>
      </c>
      <c r="S423" s="19">
        <v>1.252</v>
      </c>
      <c r="T423" s="19">
        <v>-0.04</v>
      </c>
      <c r="U423" s="19">
        <v>1.2125999999999999</v>
      </c>
      <c r="V423" s="19">
        <v>0.97</v>
      </c>
      <c r="W423" s="19">
        <v>1.2941</v>
      </c>
      <c r="X423" s="19">
        <v>0.97</v>
      </c>
      <c r="Y423" s="19">
        <v>1.2941</v>
      </c>
      <c r="Z423" s="4"/>
      <c r="AA423" s="4"/>
      <c r="AB423" s="4" t="e">
        <f ca="1">_xll.ciqfunctions.udf.CIQ("^SPX", "IQ_PRICEDATE", "8/26/2015")</f>
        <v>#NAME?</v>
      </c>
      <c r="AC423" s="16">
        <v>1940.5107172512</v>
      </c>
    </row>
    <row r="424" spans="1:29" x14ac:dyDescent="0.35">
      <c r="A424" s="2" t="s">
        <v>434</v>
      </c>
      <c r="B424" s="4" t="s">
        <v>1536</v>
      </c>
      <c r="C424" s="4" t="s">
        <v>573</v>
      </c>
      <c r="D424" s="4" t="s">
        <v>579</v>
      </c>
      <c r="E424" s="4" t="s">
        <v>579</v>
      </c>
      <c r="F424" s="4" t="s">
        <v>842</v>
      </c>
      <c r="G424" s="14">
        <v>95.75</v>
      </c>
      <c r="H424" s="10">
        <v>7.9077229999999998</v>
      </c>
      <c r="I424" s="10">
        <v>10.059168</v>
      </c>
      <c r="J424" s="10">
        <v>1.8381879999999999</v>
      </c>
      <c r="K424" s="15">
        <v>1.9216E-2</v>
      </c>
      <c r="L424" s="17">
        <v>33151.747990999997</v>
      </c>
      <c r="M424" s="4" t="s">
        <v>1537</v>
      </c>
      <c r="N424" s="19">
        <v>9.5186790000000006</v>
      </c>
      <c r="O424" s="19">
        <v>8.8592999999999993</v>
      </c>
      <c r="P424" s="19">
        <v>8.36</v>
      </c>
      <c r="Q424" s="19">
        <v>6.9157000000000002</v>
      </c>
      <c r="R424" s="19">
        <v>4.67</v>
      </c>
      <c r="S424" s="19">
        <v>5.8446999999999996</v>
      </c>
      <c r="T424" s="19">
        <v>4.67</v>
      </c>
      <c r="U424" s="19">
        <v>5.1920000000000002</v>
      </c>
      <c r="V424" s="19">
        <v>6.27</v>
      </c>
      <c r="W424" s="19">
        <v>5.6212</v>
      </c>
      <c r="X424" s="19">
        <v>6.27</v>
      </c>
      <c r="Y424" s="19">
        <v>5.6212</v>
      </c>
      <c r="Z424" s="4"/>
      <c r="AA424" s="4"/>
      <c r="AB424" s="4" t="e">
        <f ca="1">_xll.ciqfunctions.udf.CIQ("^SPX", "IQ_PRICEDATE", "8/27/2015")</f>
        <v>#NAME?</v>
      </c>
      <c r="AC424" s="16">
        <v>1987.6624923115</v>
      </c>
    </row>
    <row r="425" spans="1:29" x14ac:dyDescent="0.35">
      <c r="A425" s="2" t="s">
        <v>435</v>
      </c>
      <c r="B425" s="4" t="s">
        <v>1538</v>
      </c>
      <c r="C425" s="4" t="s">
        <v>573</v>
      </c>
      <c r="D425" s="4" t="s">
        <v>574</v>
      </c>
      <c r="E425" s="4" t="s">
        <v>575</v>
      </c>
      <c r="F425" s="4" t="s">
        <v>576</v>
      </c>
      <c r="G425" s="14">
        <v>49.15</v>
      </c>
      <c r="H425" s="10">
        <v>0</v>
      </c>
      <c r="I425" s="10">
        <v>11.81385</v>
      </c>
      <c r="J425" s="10">
        <v>3.1329940000000001</v>
      </c>
      <c r="K425" s="15">
        <v>2.2787000000000002E-2</v>
      </c>
      <c r="L425" s="17">
        <v>49147.276450999998</v>
      </c>
      <c r="M425" s="4" t="s">
        <v>1539</v>
      </c>
      <c r="N425" s="19">
        <v>4.1603709999999996</v>
      </c>
      <c r="O425" s="19">
        <v>4.2137000000000002</v>
      </c>
      <c r="P425" s="19">
        <v>3.72</v>
      </c>
      <c r="Q425" s="19">
        <v>3.8774999999999999</v>
      </c>
      <c r="R425" s="19">
        <v>3.15</v>
      </c>
      <c r="S425" s="19">
        <v>3.4152</v>
      </c>
      <c r="T425" s="19">
        <v>3.15</v>
      </c>
      <c r="U425" s="19">
        <v>2.9577</v>
      </c>
      <c r="V425" s="19">
        <v>2.15</v>
      </c>
      <c r="W425" s="19">
        <v>2.5171000000000001</v>
      </c>
      <c r="X425" s="19">
        <v>2.15</v>
      </c>
      <c r="Y425" s="19">
        <v>2.5171000000000001</v>
      </c>
      <c r="Z425" s="4"/>
      <c r="AA425" s="4"/>
      <c r="AB425" s="4" t="e">
        <f ca="1">_xll.ciqfunctions.udf.CIQ("^SPX", "IQ_PRICEDATE", "8/28/2015")</f>
        <v>#NAME?</v>
      </c>
      <c r="AC425" s="16">
        <v>1988.8714072271</v>
      </c>
    </row>
    <row r="426" spans="1:29" x14ac:dyDescent="0.35">
      <c r="A426" s="2" t="s">
        <v>436</v>
      </c>
      <c r="B426" s="4" t="s">
        <v>1540</v>
      </c>
      <c r="C426" s="4" t="s">
        <v>525</v>
      </c>
      <c r="D426" s="4" t="s">
        <v>526</v>
      </c>
      <c r="E426" s="4" t="s">
        <v>703</v>
      </c>
      <c r="F426" s="4" t="s">
        <v>703</v>
      </c>
      <c r="G426" s="14">
        <v>365.5</v>
      </c>
      <c r="H426" s="10">
        <v>16.268211999999998</v>
      </c>
      <c r="I426" s="10">
        <v>22.956282999999999</v>
      </c>
      <c r="J426" s="10" t="s">
        <v>534</v>
      </c>
      <c r="K426" s="15">
        <v>1.8713999999999998E-2</v>
      </c>
      <c r="L426" s="17">
        <v>209982.78876699999</v>
      </c>
      <c r="M426" s="4" t="s">
        <v>1541</v>
      </c>
      <c r="N426" s="19">
        <v>15.921567</v>
      </c>
      <c r="O426" s="19">
        <v>15.833299999999999</v>
      </c>
      <c r="P426" s="19">
        <v>13.43</v>
      </c>
      <c r="Q426" s="19">
        <v>10.849</v>
      </c>
      <c r="R426" s="19">
        <v>7.61</v>
      </c>
      <c r="S426" s="19">
        <v>9.0985999999999994</v>
      </c>
      <c r="T426" s="19">
        <v>7.61</v>
      </c>
      <c r="U426" s="19">
        <v>9.1153999999999993</v>
      </c>
      <c r="V426" s="19">
        <v>7.38</v>
      </c>
      <c r="W426" s="19">
        <v>8.4928000000000008</v>
      </c>
      <c r="X426" s="19">
        <v>7.38</v>
      </c>
      <c r="Y426" s="19">
        <v>8.4928000000000008</v>
      </c>
      <c r="Z426" s="4"/>
      <c r="AA426" s="4"/>
      <c r="AB426" s="4" t="e">
        <f ca="1">_xll.ciqfunctions.udf.CIQ("^SPX", "IQ_PRICEDATE", "8/31/2015")</f>
        <v>#NAME?</v>
      </c>
      <c r="AC426" s="16">
        <v>1972.1846887109</v>
      </c>
    </row>
    <row r="427" spans="1:29" x14ac:dyDescent="0.35">
      <c r="A427" s="2" t="s">
        <v>437</v>
      </c>
      <c r="B427" s="4" t="s">
        <v>1542</v>
      </c>
      <c r="C427" s="4" t="s">
        <v>573</v>
      </c>
      <c r="D427" s="4" t="s">
        <v>574</v>
      </c>
      <c r="E427" s="4" t="s">
        <v>575</v>
      </c>
      <c r="F427" s="4" t="s">
        <v>963</v>
      </c>
      <c r="G427" s="14">
        <v>48.04</v>
      </c>
      <c r="H427" s="10">
        <v>0</v>
      </c>
      <c r="I427" s="10">
        <v>21.928412999999999</v>
      </c>
      <c r="J427" s="10">
        <v>3.1202899999999998</v>
      </c>
      <c r="K427" s="15">
        <v>1.0824E-2</v>
      </c>
      <c r="L427" s="17">
        <v>64905.056095</v>
      </c>
      <c r="M427" s="4" t="s">
        <v>1543</v>
      </c>
      <c r="N427" s="19">
        <v>2.1907649999999999</v>
      </c>
      <c r="O427" s="19">
        <v>2.7970000000000002</v>
      </c>
      <c r="P427" s="19">
        <v>1.61</v>
      </c>
      <c r="Q427" s="19">
        <v>1.8414999999999999</v>
      </c>
      <c r="R427" s="19">
        <v>1.31</v>
      </c>
      <c r="S427" s="19">
        <v>1.5119</v>
      </c>
      <c r="T427" s="19">
        <v>1.31</v>
      </c>
      <c r="U427" s="19">
        <v>1.2218</v>
      </c>
      <c r="V427" s="19">
        <v>0.95</v>
      </c>
      <c r="W427" s="19">
        <v>1.0673999999999999</v>
      </c>
      <c r="X427" s="19">
        <v>0.95</v>
      </c>
      <c r="Y427" s="19">
        <v>1.0673999999999999</v>
      </c>
      <c r="Z427" s="4"/>
      <c r="AA427" s="4"/>
      <c r="AB427" s="4" t="e">
        <f ca="1">_xll.ciqfunctions.udf.CIQ("^SPX", "IQ_PRICEDATE", "9/1/2015")</f>
        <v>#NAME?</v>
      </c>
      <c r="AC427" s="16">
        <v>1913.8526947388</v>
      </c>
    </row>
    <row r="428" spans="1:29" x14ac:dyDescent="0.35">
      <c r="A428" s="2" t="s">
        <v>438</v>
      </c>
      <c r="B428" s="4" t="s">
        <v>1544</v>
      </c>
      <c r="C428" s="4" t="s">
        <v>626</v>
      </c>
      <c r="D428" s="4" t="s">
        <v>845</v>
      </c>
      <c r="E428" s="4" t="s">
        <v>846</v>
      </c>
      <c r="F428" s="4" t="s">
        <v>846</v>
      </c>
      <c r="G428" s="14">
        <v>149.43</v>
      </c>
      <c r="H428" s="10">
        <v>16.537621000000001</v>
      </c>
      <c r="I428" s="10">
        <v>23.870607</v>
      </c>
      <c r="J428" s="10" t="s">
        <v>534</v>
      </c>
      <c r="K428" s="15">
        <v>2.5697000000000001E-2</v>
      </c>
      <c r="L428" s="17">
        <v>19080.757345000002</v>
      </c>
      <c r="M428" s="4" t="s">
        <v>1545</v>
      </c>
      <c r="N428" s="19">
        <v>6.26</v>
      </c>
      <c r="O428" s="19">
        <v>6.4449699999999996</v>
      </c>
      <c r="P428" s="19">
        <v>6.0693510000000002</v>
      </c>
      <c r="Q428" s="19">
        <v>5.6807999999999996</v>
      </c>
      <c r="R428" s="19">
        <v>4.9698950000000002</v>
      </c>
      <c r="S428" s="19">
        <v>5.4089999999999998</v>
      </c>
      <c r="T428" s="19">
        <v>4.9698950000000002</v>
      </c>
      <c r="U428" s="19">
        <v>4.9394</v>
      </c>
      <c r="V428" s="19">
        <v>4.5105890000000004</v>
      </c>
      <c r="W428" s="19">
        <v>4.5160999999999998</v>
      </c>
      <c r="X428" s="19">
        <v>4.5105890000000004</v>
      </c>
      <c r="Y428" s="19">
        <v>4.5160999999999998</v>
      </c>
      <c r="Z428" s="4"/>
      <c r="AA428" s="4"/>
      <c r="AB428" s="4" t="e">
        <f ca="1">_xll.ciqfunctions.udf.CIQ("^SPX", "IQ_PRICEDATE", "9/2/2015")</f>
        <v>#NAME?</v>
      </c>
      <c r="AC428" s="16">
        <v>1948.8626025962999</v>
      </c>
    </row>
    <row r="429" spans="1:29" x14ac:dyDescent="0.35">
      <c r="A429" s="2" t="s">
        <v>439</v>
      </c>
      <c r="B429" s="4" t="s">
        <v>1546</v>
      </c>
      <c r="C429" s="4" t="s">
        <v>626</v>
      </c>
      <c r="D429" s="4" t="s">
        <v>627</v>
      </c>
      <c r="E429" s="4" t="s">
        <v>775</v>
      </c>
      <c r="F429" s="4" t="s">
        <v>1298</v>
      </c>
      <c r="G429" s="14">
        <v>45.86</v>
      </c>
      <c r="H429" s="10">
        <v>18.702285</v>
      </c>
      <c r="I429" s="10">
        <v>90.363106999999999</v>
      </c>
      <c r="J429" s="10">
        <v>133.49945500000001</v>
      </c>
      <c r="K429" s="15">
        <v>3.4016000000000005E-2</v>
      </c>
      <c r="L429" s="17">
        <v>195039.023419</v>
      </c>
      <c r="M429" s="4" t="s">
        <v>1547</v>
      </c>
      <c r="N429" s="19">
        <v>0.50750799999999996</v>
      </c>
      <c r="O429" s="19">
        <v>2.1431</v>
      </c>
      <c r="P429" s="19">
        <v>0.26849200000000001</v>
      </c>
      <c r="Q429" s="19">
        <v>1.9507000000000001</v>
      </c>
      <c r="R429" s="19">
        <v>1.49</v>
      </c>
      <c r="S429" s="19">
        <v>1.9345000000000001</v>
      </c>
      <c r="T429" s="19">
        <v>1.49</v>
      </c>
      <c r="U429" s="19">
        <v>2.0082</v>
      </c>
      <c r="V429" s="19">
        <v>1.6</v>
      </c>
      <c r="W429" s="19">
        <v>2.0051000000000001</v>
      </c>
      <c r="X429" s="19">
        <v>1.6</v>
      </c>
      <c r="Y429" s="19">
        <v>2.0051000000000001</v>
      </c>
      <c r="Z429" s="4"/>
      <c r="AA429" s="4"/>
      <c r="AB429" s="4" t="e">
        <f ca="1">_xll.ciqfunctions.udf.CIQ("^SPX", "IQ_PRICEDATE", "9/3/2015")</f>
        <v>#NAME?</v>
      </c>
      <c r="AC429" s="16">
        <v>1951.1277803734999</v>
      </c>
    </row>
    <row r="430" spans="1:29" x14ac:dyDescent="0.35">
      <c r="A430" s="2" t="s">
        <v>440</v>
      </c>
      <c r="B430" s="4" t="s">
        <v>1548</v>
      </c>
      <c r="C430" s="4" t="s">
        <v>530</v>
      </c>
      <c r="D430" s="4" t="s">
        <v>531</v>
      </c>
      <c r="E430" s="4" t="s">
        <v>532</v>
      </c>
      <c r="F430" s="4" t="s">
        <v>608</v>
      </c>
      <c r="G430" s="14">
        <v>264.27999999999997</v>
      </c>
      <c r="H430" s="10">
        <v>19.112124000000001</v>
      </c>
      <c r="I430" s="10">
        <v>102.52654099999999</v>
      </c>
      <c r="J430" s="10" t="s">
        <v>534</v>
      </c>
      <c r="K430" s="15">
        <v>2.2700000000000002E-4</v>
      </c>
      <c r="L430" s="17">
        <v>12986.635158999999</v>
      </c>
      <c r="M430" s="4" t="s">
        <v>1549</v>
      </c>
      <c r="N430" s="19">
        <v>2.577674</v>
      </c>
      <c r="O430" s="19">
        <v>11.926</v>
      </c>
      <c r="P430" s="19">
        <v>7.52</v>
      </c>
      <c r="Q430" s="19">
        <v>11.5067</v>
      </c>
      <c r="R430" s="19">
        <v>5.59</v>
      </c>
      <c r="S430" s="19">
        <v>9.1911199999999997</v>
      </c>
      <c r="T430" s="19">
        <v>5.59</v>
      </c>
      <c r="U430" s="19">
        <v>7.7448600000000001</v>
      </c>
      <c r="V430" s="19">
        <v>5.51</v>
      </c>
      <c r="W430" s="19">
        <v>7.5372700000000004</v>
      </c>
      <c r="X430" s="19">
        <v>5.51</v>
      </c>
      <c r="Y430" s="19">
        <v>7.5372700000000004</v>
      </c>
      <c r="Z430" s="4"/>
      <c r="AA430" s="4"/>
      <c r="AB430" s="4" t="e">
        <f ca="1">_xll.ciqfunctions.udf.CIQ("^SPX", "IQ_PRICEDATE", "9/4/2015")</f>
        <v>#NAME?</v>
      </c>
      <c r="AC430" s="16">
        <v>1921.2244033136001</v>
      </c>
    </row>
    <row r="431" spans="1:29" x14ac:dyDescent="0.35">
      <c r="A431" s="2" t="s">
        <v>441</v>
      </c>
      <c r="B431" s="4" t="s">
        <v>1550</v>
      </c>
      <c r="C431" s="4" t="s">
        <v>626</v>
      </c>
      <c r="D431" s="4" t="s">
        <v>845</v>
      </c>
      <c r="E431" s="4" t="s">
        <v>898</v>
      </c>
      <c r="F431" s="4" t="s">
        <v>898</v>
      </c>
      <c r="G431" s="14">
        <v>128.82</v>
      </c>
      <c r="H431" s="10">
        <v>17.230432</v>
      </c>
      <c r="I431" s="10">
        <v>43.667796000000003</v>
      </c>
      <c r="J431" s="10">
        <v>31.827508999999999</v>
      </c>
      <c r="K431" s="15">
        <v>1.1798999999999999E-2</v>
      </c>
      <c r="L431" s="17">
        <v>47204.676488999998</v>
      </c>
      <c r="M431" s="4" t="s">
        <v>1551</v>
      </c>
      <c r="N431" s="19">
        <v>2.95</v>
      </c>
      <c r="O431" s="19">
        <v>4.7648099999999998</v>
      </c>
      <c r="P431" s="19">
        <v>2.8703150000000002</v>
      </c>
      <c r="Q431" s="19">
        <v>4.2493999999999996</v>
      </c>
      <c r="R431" s="19">
        <v>2.8938329999999999</v>
      </c>
      <c r="S431" s="19">
        <v>3.4948000000000001</v>
      </c>
      <c r="T431" s="19">
        <v>2.8938329999999999</v>
      </c>
      <c r="U431" s="19">
        <v>3.2808000000000002</v>
      </c>
      <c r="V431" s="19">
        <v>2.9039860000000002</v>
      </c>
      <c r="W431" s="19">
        <v>3.0964</v>
      </c>
      <c r="X431" s="19">
        <v>2.9039860000000002</v>
      </c>
      <c r="Y431" s="19">
        <v>3.0964</v>
      </c>
      <c r="Z431" s="4"/>
      <c r="AA431" s="4"/>
      <c r="AB431" s="4" t="e">
        <f ca="1">_xll.ciqfunctions.udf.CIQ("^SPX", "IQ_PRICEDATE", "9/8/2015")</f>
        <v>#NAME?</v>
      </c>
      <c r="AC431" s="16">
        <v>1969.4145121332001</v>
      </c>
    </row>
    <row r="432" spans="1:29" x14ac:dyDescent="0.35">
      <c r="A432" s="2" t="s">
        <v>442</v>
      </c>
      <c r="B432" s="4" t="s">
        <v>1552</v>
      </c>
      <c r="C432" s="4" t="s">
        <v>559</v>
      </c>
      <c r="D432" s="4" t="s">
        <v>560</v>
      </c>
      <c r="E432" s="4" t="s">
        <v>561</v>
      </c>
      <c r="F432" s="4" t="s">
        <v>1051</v>
      </c>
      <c r="G432" s="14">
        <v>27.13</v>
      </c>
      <c r="H432" s="10">
        <v>5.1922379999999997</v>
      </c>
      <c r="I432" s="10">
        <v>11.899122</v>
      </c>
      <c r="J432" s="10">
        <v>3.1272600000000002</v>
      </c>
      <c r="K432" s="15">
        <v>3.5753E-2</v>
      </c>
      <c r="L432" s="17">
        <v>10437.135745</v>
      </c>
      <c r="M432" s="4" t="s">
        <v>1553</v>
      </c>
      <c r="N432" s="19">
        <v>2.2799999999999998</v>
      </c>
      <c r="O432" s="19">
        <v>2.6046999999999998</v>
      </c>
      <c r="P432" s="19">
        <v>2.1695669999999998</v>
      </c>
      <c r="Q432" s="19">
        <v>2.1579000000000002</v>
      </c>
      <c r="R432" s="19">
        <v>1.6796</v>
      </c>
      <c r="S432" s="19">
        <v>2.0004</v>
      </c>
      <c r="T432" s="19">
        <v>1.6796</v>
      </c>
      <c r="U432" s="19">
        <v>2.3855</v>
      </c>
      <c r="V432" s="19">
        <v>2.7887849999999998</v>
      </c>
      <c r="W432" s="19">
        <v>2.9359999999999999</v>
      </c>
      <c r="X432" s="19">
        <v>2.7887849999999998</v>
      </c>
      <c r="Y432" s="19">
        <v>2.9359999999999999</v>
      </c>
      <c r="Z432" s="4"/>
      <c r="AA432" s="4"/>
      <c r="AB432" s="4" t="e">
        <f ca="1">_xll.ciqfunctions.udf.CIQ("^SPX", "IQ_PRICEDATE", "9/9/2015")</f>
        <v>#NAME?</v>
      </c>
      <c r="AC432" s="16">
        <v>1942.0378135220001</v>
      </c>
    </row>
    <row r="433" spans="1:29" x14ac:dyDescent="0.35">
      <c r="A433" s="2" t="s">
        <v>443</v>
      </c>
      <c r="B433" s="4" t="s">
        <v>1554</v>
      </c>
      <c r="C433" s="4" t="s">
        <v>573</v>
      </c>
      <c r="D433" s="4" t="s">
        <v>574</v>
      </c>
      <c r="E433" s="4" t="s">
        <v>575</v>
      </c>
      <c r="F433" s="4" t="s">
        <v>963</v>
      </c>
      <c r="G433" s="14">
        <v>228.28</v>
      </c>
      <c r="H433" s="10">
        <v>0</v>
      </c>
      <c r="I433" s="10">
        <v>16.653438999999999</v>
      </c>
      <c r="J433" s="10">
        <v>1.16072</v>
      </c>
      <c r="K433" s="15">
        <v>1.4017E-2</v>
      </c>
      <c r="L433" s="17">
        <v>86188.535271000001</v>
      </c>
      <c r="M433" s="4" t="s">
        <v>1555</v>
      </c>
      <c r="N433" s="19">
        <v>13.707679000000001</v>
      </c>
      <c r="O433" s="19">
        <v>24.1952</v>
      </c>
      <c r="P433" s="19">
        <v>9.0075769999999995</v>
      </c>
      <c r="Q433" s="19">
        <v>19.676500000000001</v>
      </c>
      <c r="R433" s="19">
        <v>16.288208999999998</v>
      </c>
      <c r="S433" s="19">
        <v>17.8263</v>
      </c>
      <c r="T433" s="19">
        <v>16.288208999999998</v>
      </c>
      <c r="U433" s="19">
        <v>18.084700000000002</v>
      </c>
      <c r="V433" s="19">
        <v>17.068892000000002</v>
      </c>
      <c r="W433" s="19">
        <v>16.5594</v>
      </c>
      <c r="X433" s="19">
        <v>17.068892000000002</v>
      </c>
      <c r="Y433" s="19">
        <v>16.5594</v>
      </c>
      <c r="Z433" s="4"/>
      <c r="AA433" s="4"/>
      <c r="AB433" s="4" t="e">
        <f ca="1">_xll.ciqfunctions.udf.CIQ("^SPX", "IQ_PRICEDATE", "9/10/2015")</f>
        <v>#NAME?</v>
      </c>
      <c r="AC433" s="16">
        <v>1952.2868084032</v>
      </c>
    </row>
    <row r="434" spans="1:29" x14ac:dyDescent="0.35">
      <c r="A434" s="2" t="s">
        <v>444</v>
      </c>
      <c r="B434" s="4" t="s">
        <v>1556</v>
      </c>
      <c r="C434" s="4" t="s">
        <v>559</v>
      </c>
      <c r="D434" s="4" t="s">
        <v>694</v>
      </c>
      <c r="E434" s="4" t="s">
        <v>695</v>
      </c>
      <c r="F434" s="4" t="s">
        <v>1557</v>
      </c>
      <c r="G434" s="14">
        <v>21.45</v>
      </c>
      <c r="H434" s="10">
        <v>5.3609790000000004</v>
      </c>
      <c r="I434" s="10">
        <v>19.983733000000001</v>
      </c>
      <c r="J434" s="10">
        <v>1.2959430000000001</v>
      </c>
      <c r="K434" s="15">
        <v>2.9836000000000001E-2</v>
      </c>
      <c r="L434" s="17">
        <v>5083.9877299999998</v>
      </c>
      <c r="M434" s="4" t="s">
        <v>1558</v>
      </c>
      <c r="N434" s="19">
        <v>1.0733729999999999</v>
      </c>
      <c r="O434" s="19">
        <v>3.2141000000000002</v>
      </c>
      <c r="P434" s="19">
        <v>1.37</v>
      </c>
      <c r="Q434" s="19">
        <v>3.4752999999999998</v>
      </c>
      <c r="R434" s="19">
        <v>4.74</v>
      </c>
      <c r="S434" s="19">
        <v>4.1307</v>
      </c>
      <c r="T434" s="19">
        <v>4.74</v>
      </c>
      <c r="U434" s="19">
        <v>3.7967</v>
      </c>
      <c r="V434" s="19">
        <v>8.7885299999999997</v>
      </c>
      <c r="W434" s="19">
        <v>3.0832999999999999</v>
      </c>
      <c r="X434" s="19">
        <v>8.7885299999999997</v>
      </c>
      <c r="Y434" s="19">
        <v>3.0832999999999999</v>
      </c>
      <c r="Z434" s="4"/>
      <c r="AA434" s="4"/>
      <c r="AB434" s="4" t="e">
        <f ca="1">_xll.ciqfunctions.udf.CIQ("^SPX", "IQ_PRICEDATE", "9/11/2015")</f>
        <v>#NAME?</v>
      </c>
      <c r="AC434" s="16">
        <v>1961.0456719107001</v>
      </c>
    </row>
    <row r="435" spans="1:29" x14ac:dyDescent="0.35">
      <c r="A435" s="2" t="s">
        <v>445</v>
      </c>
      <c r="B435" s="4" t="s">
        <v>1559</v>
      </c>
      <c r="C435" s="4" t="s">
        <v>573</v>
      </c>
      <c r="D435" s="4" t="s">
        <v>579</v>
      </c>
      <c r="E435" s="4" t="s">
        <v>579</v>
      </c>
      <c r="F435" s="4" t="s">
        <v>644</v>
      </c>
      <c r="G435" s="14">
        <v>46.76</v>
      </c>
      <c r="H435" s="10">
        <v>8.8489000000000004</v>
      </c>
      <c r="I435" s="10">
        <v>37.314295999999999</v>
      </c>
      <c r="J435" s="10">
        <v>1.582778</v>
      </c>
      <c r="K435" s="15">
        <v>2.5661999999999997E-2</v>
      </c>
      <c r="L435" s="17">
        <v>16759.677958</v>
      </c>
      <c r="M435" s="4" t="s">
        <v>1560</v>
      </c>
      <c r="N435" s="19">
        <v>1.253139</v>
      </c>
      <c r="O435" s="19">
        <v>4.7042999999999999</v>
      </c>
      <c r="P435" s="19">
        <v>-0.72037300000000004</v>
      </c>
      <c r="Q435" s="19">
        <v>3.7298</v>
      </c>
      <c r="R435" s="19">
        <v>1.55</v>
      </c>
      <c r="S435" s="19">
        <v>3.8207</v>
      </c>
      <c r="T435" s="19">
        <v>1.55</v>
      </c>
      <c r="U435" s="19">
        <v>3.8062</v>
      </c>
      <c r="V435" s="19">
        <v>2.93</v>
      </c>
      <c r="W435" s="19">
        <v>3.6341999999999999</v>
      </c>
      <c r="X435" s="19">
        <v>2.93</v>
      </c>
      <c r="Y435" s="19">
        <v>3.6341999999999999</v>
      </c>
      <c r="Z435" s="4"/>
      <c r="AA435" s="4"/>
      <c r="AB435" s="4" t="e">
        <f ca="1">_xll.ciqfunctions.udf.CIQ("^SPX", "IQ_PRICEDATE", "9/14/2015")</f>
        <v>#NAME?</v>
      </c>
      <c r="AC435" s="16">
        <v>1953.0260841301999</v>
      </c>
    </row>
    <row r="436" spans="1:29" x14ac:dyDescent="0.35">
      <c r="A436" s="2" t="s">
        <v>446</v>
      </c>
      <c r="B436" s="4" t="s">
        <v>1561</v>
      </c>
      <c r="C436" s="4" t="s">
        <v>626</v>
      </c>
      <c r="D436" s="4" t="s">
        <v>627</v>
      </c>
      <c r="E436" s="4" t="s">
        <v>699</v>
      </c>
      <c r="F436" s="4" t="s">
        <v>789</v>
      </c>
      <c r="G436" s="14">
        <v>105.19</v>
      </c>
      <c r="H436" s="10">
        <v>13.619052</v>
      </c>
      <c r="I436" s="10">
        <v>21.644304000000002</v>
      </c>
      <c r="J436" s="10" t="s">
        <v>534</v>
      </c>
      <c r="K436" s="15">
        <v>2.7454999999999997E-2</v>
      </c>
      <c r="L436" s="17">
        <v>22017.604175</v>
      </c>
      <c r="M436" s="4" t="s">
        <v>1562</v>
      </c>
      <c r="N436" s="19">
        <v>4.8599389999999998</v>
      </c>
      <c r="O436" s="19">
        <v>5.5034000000000001</v>
      </c>
      <c r="P436" s="19">
        <v>3.66</v>
      </c>
      <c r="Q436" s="19">
        <v>5.0721999999999996</v>
      </c>
      <c r="R436" s="19">
        <v>3.34</v>
      </c>
      <c r="S436" s="19">
        <v>4.5460000000000003</v>
      </c>
      <c r="T436" s="19">
        <v>3.34</v>
      </c>
      <c r="U436" s="19">
        <v>4.2995999999999999</v>
      </c>
      <c r="V436" s="19">
        <v>3.77</v>
      </c>
      <c r="W436" s="19">
        <v>4.3806000000000003</v>
      </c>
      <c r="X436" s="19">
        <v>3.77</v>
      </c>
      <c r="Y436" s="19">
        <v>4.3806000000000003</v>
      </c>
      <c r="Z436" s="4"/>
      <c r="AA436" s="4"/>
      <c r="AB436" s="4" t="e">
        <f ca="1">_xll.ciqfunctions.udf.CIQ("^SPX", "IQ_PRICEDATE", "9/15/2015")</f>
        <v>#NAME?</v>
      </c>
      <c r="AC436" s="16">
        <v>1978.0866505581</v>
      </c>
    </row>
    <row r="437" spans="1:29" x14ac:dyDescent="0.35">
      <c r="A437" s="2" t="s">
        <v>447</v>
      </c>
      <c r="B437" s="4" t="s">
        <v>1563</v>
      </c>
      <c r="C437" s="4" t="s">
        <v>559</v>
      </c>
      <c r="D437" s="4" t="s">
        <v>560</v>
      </c>
      <c r="E437" s="4" t="s">
        <v>561</v>
      </c>
      <c r="F437" s="4" t="s">
        <v>1235</v>
      </c>
      <c r="G437" s="14">
        <v>185.17</v>
      </c>
      <c r="H437" s="10">
        <v>13.549714</v>
      </c>
      <c r="I437" s="10">
        <v>21.832609000000001</v>
      </c>
      <c r="J437" s="10" t="s">
        <v>534</v>
      </c>
      <c r="K437" s="15">
        <v>2.2248999999999998E-2</v>
      </c>
      <c r="L437" s="17">
        <v>211860.06771599999</v>
      </c>
      <c r="M437" s="4" t="s">
        <v>1564</v>
      </c>
      <c r="N437" s="19">
        <v>8.4813500000000008</v>
      </c>
      <c r="O437" s="19">
        <v>9.9509000000000007</v>
      </c>
      <c r="P437" s="19">
        <v>7.1997479999999996</v>
      </c>
      <c r="Q437" s="19">
        <v>8.0988000000000007</v>
      </c>
      <c r="R437" s="19">
        <v>6.1596469999999997</v>
      </c>
      <c r="S437" s="19">
        <v>6.9504999999999999</v>
      </c>
      <c r="T437" s="19">
        <v>6.1596469999999997</v>
      </c>
      <c r="U437" s="19">
        <v>5.9935999999999998</v>
      </c>
      <c r="V437" s="19">
        <v>4.3822999999999999</v>
      </c>
      <c r="W437" s="19">
        <v>5.0602999999999998</v>
      </c>
      <c r="X437" s="19">
        <v>4.3822999999999999</v>
      </c>
      <c r="Y437" s="19">
        <v>5.0602999999999998</v>
      </c>
      <c r="Z437" s="4"/>
      <c r="AA437" s="4"/>
      <c r="AB437" s="4" t="e">
        <f ca="1">_xll.ciqfunctions.udf.CIQ("^SPX", "IQ_PRICEDATE", "9/16/2015")</f>
        <v>#NAME?</v>
      </c>
      <c r="AC437" s="16">
        <v>1995.3107086494999</v>
      </c>
    </row>
    <row r="438" spans="1:29" x14ac:dyDescent="0.35">
      <c r="A438" s="2" t="s">
        <v>448</v>
      </c>
      <c r="B438" s="4" t="s">
        <v>1565</v>
      </c>
      <c r="C438" s="4" t="s">
        <v>549</v>
      </c>
      <c r="D438" s="4" t="s">
        <v>550</v>
      </c>
      <c r="E438" s="4" t="s">
        <v>814</v>
      </c>
      <c r="F438" s="4" t="s">
        <v>1367</v>
      </c>
      <c r="G438" s="14">
        <v>22.2</v>
      </c>
      <c r="H438" s="10">
        <v>8.8184699999999996</v>
      </c>
      <c r="I438" s="10">
        <v>14.991481</v>
      </c>
      <c r="J438" s="10" t="s">
        <v>534</v>
      </c>
      <c r="K438" s="15">
        <v>3.7837000000000003E-2</v>
      </c>
      <c r="L438" s="17">
        <v>8520.0363240000006</v>
      </c>
      <c r="M438" s="4" t="s">
        <v>1566</v>
      </c>
      <c r="N438" s="19">
        <v>1.4808410000000001</v>
      </c>
      <c r="O438" s="19">
        <v>1.7865</v>
      </c>
      <c r="P438" s="19">
        <v>1.46</v>
      </c>
      <c r="Q438" s="19">
        <v>1.5042</v>
      </c>
      <c r="R438" s="19">
        <v>1.49</v>
      </c>
      <c r="S438" s="19">
        <v>1.3581000000000001</v>
      </c>
      <c r="T438" s="19">
        <v>1.49</v>
      </c>
      <c r="U438" s="19">
        <v>1.2754000000000001</v>
      </c>
      <c r="V438" s="19">
        <v>1.1200000000000001</v>
      </c>
      <c r="W438" s="19">
        <v>1.111</v>
      </c>
      <c r="X438" s="19">
        <v>1.1200000000000001</v>
      </c>
      <c r="Y438" s="19">
        <v>1.111</v>
      </c>
      <c r="Z438" s="4"/>
      <c r="AA438" s="4"/>
      <c r="AB438" s="4" t="e">
        <f ca="1">_xll.ciqfunctions.udf.CIQ("^SPX", "IQ_PRICEDATE", "9/17/2015")</f>
        <v>#NAME?</v>
      </c>
      <c r="AC438" s="16">
        <v>1990.2042737638001</v>
      </c>
    </row>
    <row r="439" spans="1:29" x14ac:dyDescent="0.35">
      <c r="A439" s="2" t="s">
        <v>449</v>
      </c>
      <c r="B439" s="4" t="s">
        <v>1567</v>
      </c>
      <c r="C439" s="4" t="s">
        <v>626</v>
      </c>
      <c r="D439" s="4" t="s">
        <v>627</v>
      </c>
      <c r="E439" s="4" t="s">
        <v>699</v>
      </c>
      <c r="F439" s="4" t="s">
        <v>789</v>
      </c>
      <c r="G439" s="14">
        <v>103.8</v>
      </c>
      <c r="H439" s="10">
        <v>11.016263</v>
      </c>
      <c r="I439" s="10">
        <v>8.7798149999999993</v>
      </c>
      <c r="J439" s="10" t="s">
        <v>534</v>
      </c>
      <c r="K439" s="15">
        <v>3.2754999999999999E-2</v>
      </c>
      <c r="L439" s="17">
        <v>11805.958728</v>
      </c>
      <c r="M439" s="4" t="s">
        <v>1568</v>
      </c>
      <c r="N439" s="19">
        <v>11.822571999999999</v>
      </c>
      <c r="O439" s="19">
        <v>8.4360999999999997</v>
      </c>
      <c r="P439" s="19">
        <v>4.9415750000000003</v>
      </c>
      <c r="Q439" s="19">
        <v>8.1940000000000008</v>
      </c>
      <c r="R439" s="19">
        <v>6.1326689999999999</v>
      </c>
      <c r="S439" s="19">
        <v>7.8440000000000003</v>
      </c>
      <c r="T439" s="19">
        <v>6.1326689999999999</v>
      </c>
      <c r="U439" s="19">
        <v>6.1154999999999999</v>
      </c>
      <c r="V439" s="19">
        <v>5.4619790000000004</v>
      </c>
      <c r="W439" s="19">
        <v>5.7008000000000001</v>
      </c>
      <c r="X439" s="19">
        <v>5.4619790000000004</v>
      </c>
      <c r="Y439" s="19">
        <v>5.7008000000000001</v>
      </c>
      <c r="Z439" s="4"/>
      <c r="AA439" s="4"/>
      <c r="AB439" s="4" t="e">
        <f ca="1">_xll.ciqfunctions.udf.CIQ("^SPX", "IQ_PRICEDATE", "9/18/2015")</f>
        <v>#NAME?</v>
      </c>
      <c r="AC439" s="16">
        <v>1958.0328294343999</v>
      </c>
    </row>
    <row r="440" spans="1:29" x14ac:dyDescent="0.35">
      <c r="A440" s="2" t="s">
        <v>450</v>
      </c>
      <c r="B440" s="4" t="s">
        <v>1569</v>
      </c>
      <c r="C440" s="4" t="s">
        <v>626</v>
      </c>
      <c r="D440" s="4" t="s">
        <v>627</v>
      </c>
      <c r="E440" s="4" t="s">
        <v>699</v>
      </c>
      <c r="F440" s="4" t="s">
        <v>789</v>
      </c>
      <c r="G440" s="14">
        <v>56.4</v>
      </c>
      <c r="H440" s="10">
        <v>12.288691</v>
      </c>
      <c r="I440" s="10">
        <v>6.4719179999999996</v>
      </c>
      <c r="J440" s="10" t="s">
        <v>534</v>
      </c>
      <c r="K440" s="15">
        <v>4.4325999999999997E-2</v>
      </c>
      <c r="L440" s="17">
        <v>68765.600227999996</v>
      </c>
      <c r="M440" s="4" t="s">
        <v>1570</v>
      </c>
      <c r="N440" s="19">
        <v>8.7145720000000004</v>
      </c>
      <c r="O440" s="19">
        <v>3.7258</v>
      </c>
      <c r="P440" s="19">
        <v>8.9499999999999993</v>
      </c>
      <c r="Q440" s="19">
        <v>3.8</v>
      </c>
      <c r="R440" s="19">
        <v>2.81</v>
      </c>
      <c r="S440" s="19">
        <v>3.7938999999999998</v>
      </c>
      <c r="T440" s="19">
        <v>2.81</v>
      </c>
      <c r="U440" s="19">
        <v>2.6663000000000001</v>
      </c>
      <c r="V440" s="19">
        <v>-0.17</v>
      </c>
      <c r="W440" s="19">
        <v>0</v>
      </c>
      <c r="X440" s="19">
        <v>-0.17</v>
      </c>
      <c r="Y440" s="19">
        <v>0</v>
      </c>
      <c r="Z440" s="4"/>
      <c r="AA440" s="4"/>
      <c r="AB440" s="4" t="e">
        <f ca="1">_xll.ciqfunctions.udf.CIQ("^SPX", "IQ_PRICEDATE", "9/21/2015")</f>
        <v>#NAME?</v>
      </c>
      <c r="AC440" s="16">
        <v>1966.9702715327001</v>
      </c>
    </row>
    <row r="441" spans="1:29" x14ac:dyDescent="0.35">
      <c r="A441" s="2" t="s">
        <v>451</v>
      </c>
      <c r="B441" s="4" t="s">
        <v>1571</v>
      </c>
      <c r="C441" s="4" t="s">
        <v>626</v>
      </c>
      <c r="D441" s="4" t="s">
        <v>894</v>
      </c>
      <c r="E441" s="4" t="s">
        <v>894</v>
      </c>
      <c r="F441" s="4" t="s">
        <v>1572</v>
      </c>
      <c r="G441" s="14">
        <v>27.29</v>
      </c>
      <c r="H441" s="10">
        <v>7.1209189999999998</v>
      </c>
      <c r="I441" s="10">
        <v>6.2582389999999997</v>
      </c>
      <c r="J441" s="10">
        <v>7.0870410000000001</v>
      </c>
      <c r="K441" s="15">
        <v>2.052E-2</v>
      </c>
      <c r="L441" s="17">
        <v>21761.557087000001</v>
      </c>
      <c r="M441" s="4" t="s">
        <v>1573</v>
      </c>
      <c r="N441" s="19">
        <v>4.3606509999999998</v>
      </c>
      <c r="O441" s="19">
        <v>2.1631</v>
      </c>
      <c r="P441" s="19">
        <v>1.6846129999999999</v>
      </c>
      <c r="Q441" s="19">
        <v>2.0297000000000001</v>
      </c>
      <c r="R441" s="19">
        <v>2.0807440000000001</v>
      </c>
      <c r="S441" s="19">
        <v>2.1358000000000001</v>
      </c>
      <c r="T441" s="19">
        <v>2.0807440000000001</v>
      </c>
      <c r="U441" s="19">
        <v>2.1724999999999999</v>
      </c>
      <c r="V441" s="19">
        <v>1.605483</v>
      </c>
      <c r="W441" s="19">
        <v>1.7989999999999999</v>
      </c>
      <c r="X441" s="19">
        <v>1.605483</v>
      </c>
      <c r="Y441" s="19">
        <v>1.7989999999999999</v>
      </c>
      <c r="Z441" s="4"/>
      <c r="AA441" s="4"/>
      <c r="AB441" s="4" t="e">
        <f ca="1">_xll.ciqfunctions.udf.CIQ("^SPX", "IQ_PRICEDATE", "9/22/2015")</f>
        <v>#NAME?</v>
      </c>
      <c r="AC441" s="16">
        <v>1942.7441268069999</v>
      </c>
    </row>
    <row r="442" spans="1:29" x14ac:dyDescent="0.35">
      <c r="A442" s="2" t="s">
        <v>452</v>
      </c>
      <c r="B442" s="4" t="s">
        <v>1574</v>
      </c>
      <c r="C442" s="4" t="s">
        <v>586</v>
      </c>
      <c r="D442" s="4" t="s">
        <v>586</v>
      </c>
      <c r="E442" s="4" t="s">
        <v>587</v>
      </c>
      <c r="F442" s="4" t="s">
        <v>830</v>
      </c>
      <c r="G442" s="14">
        <v>33.049999999999997</v>
      </c>
      <c r="H442" s="10">
        <v>11.300969</v>
      </c>
      <c r="I442" s="10" t="s">
        <v>534</v>
      </c>
      <c r="J442" s="10">
        <v>1.506122</v>
      </c>
      <c r="K442" s="15">
        <v>3.0249999999999999E-3</v>
      </c>
      <c r="L442" s="17">
        <v>12739.383</v>
      </c>
      <c r="M442" s="4" t="s">
        <v>1575</v>
      </c>
      <c r="N442" s="19">
        <v>-0.25414900000000001</v>
      </c>
      <c r="O442" s="19">
        <v>2.2004999999999999</v>
      </c>
      <c r="P442" s="19">
        <v>-0.31</v>
      </c>
      <c r="Q442" s="19">
        <v>1.0253000000000001</v>
      </c>
      <c r="R442" s="19">
        <v>0.849885</v>
      </c>
      <c r="S442" s="19">
        <v>0.85129999999999995</v>
      </c>
      <c r="T442" s="19">
        <v>0.849885</v>
      </c>
      <c r="U442" s="19">
        <v>2.5206</v>
      </c>
      <c r="V442" s="19">
        <v>2.68</v>
      </c>
      <c r="W442" s="19">
        <v>2.9106000000000001</v>
      </c>
      <c r="X442" s="19">
        <v>2.68</v>
      </c>
      <c r="Y442" s="19">
        <v>2.9106000000000001</v>
      </c>
      <c r="Z442" s="4"/>
      <c r="AA442" s="4"/>
      <c r="AB442" s="4" t="e">
        <f ca="1">_xll.ciqfunctions.udf.CIQ("^SPX", "IQ_PRICEDATE", "9/23/2015")</f>
        <v>#NAME?</v>
      </c>
      <c r="AC442" s="16">
        <v>1938.7592864579999</v>
      </c>
    </row>
    <row r="443" spans="1:29" x14ac:dyDescent="0.35">
      <c r="A443" s="2" t="s">
        <v>453</v>
      </c>
      <c r="B443" s="4" t="s">
        <v>1576</v>
      </c>
      <c r="C443" s="4" t="s">
        <v>573</v>
      </c>
      <c r="D443" s="4" t="s">
        <v>737</v>
      </c>
      <c r="E443" s="4" t="s">
        <v>737</v>
      </c>
      <c r="F443" s="4" t="s">
        <v>743</v>
      </c>
      <c r="G443" s="14">
        <v>127.33</v>
      </c>
      <c r="H443" s="10">
        <v>0</v>
      </c>
      <c r="I443" s="10">
        <v>10.470926</v>
      </c>
      <c r="J443" s="10">
        <v>1.55461</v>
      </c>
      <c r="K443" s="15">
        <v>2.9843000000000001E-2</v>
      </c>
      <c r="L443" s="17">
        <v>58826.46</v>
      </c>
      <c r="M443" s="4" t="s">
        <v>1577</v>
      </c>
      <c r="N443" s="19">
        <v>12.160337</v>
      </c>
      <c r="O443" s="19">
        <v>11.237299999999999</v>
      </c>
      <c r="P443" s="19">
        <v>10.364197000000001</v>
      </c>
      <c r="Q443" s="19">
        <v>9.1697000000000006</v>
      </c>
      <c r="R443" s="19">
        <v>7.3</v>
      </c>
      <c r="S443" s="19">
        <v>7.4806999999999997</v>
      </c>
      <c r="T443" s="19">
        <v>7.3</v>
      </c>
      <c r="U443" s="19">
        <v>7.1966000000000001</v>
      </c>
      <c r="V443" s="19">
        <v>7.2960890000000003</v>
      </c>
      <c r="W443" s="19">
        <v>7.0872000000000002</v>
      </c>
      <c r="X443" s="19">
        <v>7.2960890000000003</v>
      </c>
      <c r="Y443" s="19">
        <v>7.0872000000000002</v>
      </c>
      <c r="Z443" s="4"/>
      <c r="AA443" s="4"/>
      <c r="AB443" s="4" t="e">
        <f ca="1">_xll.ciqfunctions.udf.CIQ("^SPX", "IQ_PRICEDATE", "9/24/2015")</f>
        <v>#NAME?</v>
      </c>
      <c r="AC443" s="16">
        <v>1932.2411739508</v>
      </c>
    </row>
    <row r="444" spans="1:29" x14ac:dyDescent="0.35">
      <c r="A444" s="2" t="s">
        <v>454</v>
      </c>
      <c r="B444" s="4" t="s">
        <v>1578</v>
      </c>
      <c r="C444" s="4" t="s">
        <v>626</v>
      </c>
      <c r="D444" s="4" t="s">
        <v>845</v>
      </c>
      <c r="E444" s="4" t="s">
        <v>846</v>
      </c>
      <c r="F444" s="4" t="s">
        <v>846</v>
      </c>
      <c r="G444" s="14">
        <v>81.142799999999994</v>
      </c>
      <c r="H444" s="10">
        <v>12.759328</v>
      </c>
      <c r="I444" s="10">
        <v>22.305382999999999</v>
      </c>
      <c r="J444" s="10" t="s">
        <v>534</v>
      </c>
      <c r="K444" s="15">
        <v>3.5045E-2</v>
      </c>
      <c r="L444" s="17">
        <v>203762.57595900001</v>
      </c>
      <c r="M444" s="4" t="s">
        <v>1579</v>
      </c>
      <c r="N444" s="19">
        <v>3.6699660000000001</v>
      </c>
      <c r="O444" s="19">
        <v>4.3838400000000002</v>
      </c>
      <c r="P444" s="19">
        <v>3.7485819999999999</v>
      </c>
      <c r="Q444" s="19">
        <v>4.2313000000000001</v>
      </c>
      <c r="R444" s="19">
        <v>3.454097</v>
      </c>
      <c r="S444" s="19">
        <v>3.9472999999999998</v>
      </c>
      <c r="T444" s="19">
        <v>3.454097</v>
      </c>
      <c r="U444" s="19">
        <v>3.8786</v>
      </c>
      <c r="V444" s="19">
        <v>3.5824760000000002</v>
      </c>
      <c r="W444" s="19">
        <v>4.4438000000000004</v>
      </c>
      <c r="X444" s="19">
        <v>3.5824760000000002</v>
      </c>
      <c r="Y444" s="19">
        <v>4.4438000000000004</v>
      </c>
      <c r="Z444" s="4"/>
      <c r="AA444" s="4"/>
      <c r="AB444" s="4" t="e">
        <f ca="1">_xll.ciqfunctions.udf.CIQ("^SPX", "IQ_PRICEDATE", "9/25/2015")</f>
        <v>#NAME?</v>
      </c>
      <c r="AC444" s="16">
        <v>1931.3399031875999</v>
      </c>
    </row>
    <row r="445" spans="1:29" x14ac:dyDescent="0.35">
      <c r="A445" s="2" t="s">
        <v>455</v>
      </c>
      <c r="B445" s="4" t="s">
        <v>1580</v>
      </c>
      <c r="C445" s="4" t="s">
        <v>573</v>
      </c>
      <c r="D445" s="4" t="s">
        <v>579</v>
      </c>
      <c r="E445" s="4" t="s">
        <v>579</v>
      </c>
      <c r="F445" s="4" t="s">
        <v>842</v>
      </c>
      <c r="G445" s="14">
        <v>70.63</v>
      </c>
      <c r="H445" s="10">
        <v>11.252679000000001</v>
      </c>
      <c r="I445" s="10">
        <v>14.210038000000001</v>
      </c>
      <c r="J445" s="10">
        <v>3.7124760000000001</v>
      </c>
      <c r="K445" s="15">
        <v>1.5923E-2</v>
      </c>
      <c r="L445" s="17">
        <v>41184.353000000003</v>
      </c>
      <c r="M445" s="4" t="s">
        <v>1581</v>
      </c>
      <c r="N445" s="19">
        <v>4.9704300000000003</v>
      </c>
      <c r="O445" s="19">
        <v>4.5716999999999999</v>
      </c>
      <c r="P445" s="19">
        <v>2.72</v>
      </c>
      <c r="Q445" s="19">
        <v>2.8906999999999998</v>
      </c>
      <c r="R445" s="19">
        <v>1.76</v>
      </c>
      <c r="S445" s="19">
        <v>1.9379</v>
      </c>
      <c r="T445" s="19">
        <v>1.76</v>
      </c>
      <c r="U445" s="19">
        <v>1.9179999999999999</v>
      </c>
      <c r="V445" s="19">
        <v>2.15</v>
      </c>
      <c r="W445" s="19">
        <v>1.7692000000000001</v>
      </c>
      <c r="X445" s="19">
        <v>2.15</v>
      </c>
      <c r="Y445" s="19">
        <v>1.7692000000000001</v>
      </c>
      <c r="Z445" s="4"/>
      <c r="AA445" s="4"/>
      <c r="AB445" s="4" t="e">
        <f ca="1">_xll.ciqfunctions.udf.CIQ("^SPX", "IQ_PRICEDATE", "9/28/2015")</f>
        <v>#NAME?</v>
      </c>
      <c r="AC445" s="16">
        <v>1881.7689706629001</v>
      </c>
    </row>
    <row r="446" spans="1:29" x14ac:dyDescent="0.35">
      <c r="A446" s="2" t="s">
        <v>456</v>
      </c>
      <c r="B446" s="4" t="s">
        <v>1582</v>
      </c>
      <c r="C446" s="4" t="s">
        <v>586</v>
      </c>
      <c r="D446" s="4" t="s">
        <v>586</v>
      </c>
      <c r="E446" s="4" t="s">
        <v>587</v>
      </c>
      <c r="F446" s="4" t="s">
        <v>598</v>
      </c>
      <c r="G446" s="14">
        <v>410.67</v>
      </c>
      <c r="H446" s="10">
        <v>17.408747999999999</v>
      </c>
      <c r="I446" s="10">
        <v>20.940460999999999</v>
      </c>
      <c r="J446" s="10" t="s">
        <v>534</v>
      </c>
      <c r="K446" s="15">
        <v>8.3759999999999998E-3</v>
      </c>
      <c r="L446" s="17">
        <v>38147.440196000003</v>
      </c>
      <c r="M446" s="4" t="s">
        <v>1583</v>
      </c>
      <c r="N446" s="19">
        <v>19.611315999999999</v>
      </c>
      <c r="O446" s="19">
        <v>20.756699999999999</v>
      </c>
      <c r="P446" s="19">
        <v>19.109998999999998</v>
      </c>
      <c r="Q446" s="19">
        <v>17.8202</v>
      </c>
      <c r="R446" s="19">
        <v>11.989998999999999</v>
      </c>
      <c r="S446" s="19">
        <v>13.2418</v>
      </c>
      <c r="T446" s="19">
        <v>11.989998999999999</v>
      </c>
      <c r="U446" s="19">
        <v>12.311400000000001</v>
      </c>
      <c r="V446" s="19">
        <v>8.7699990000000003</v>
      </c>
      <c r="W446" s="19">
        <v>10.5313</v>
      </c>
      <c r="X446" s="19">
        <v>8.7699990000000003</v>
      </c>
      <c r="Y446" s="19">
        <v>10.5313</v>
      </c>
      <c r="Z446" s="4"/>
      <c r="AA446" s="4"/>
      <c r="AB446" s="4" t="e">
        <f ca="1">_xll.ciqfunctions.udf.CIQ("^SPX", "IQ_PRICEDATE", "9/29/2015")</f>
        <v>#NAME?</v>
      </c>
      <c r="AC446" s="16">
        <v>1884.0851818742001</v>
      </c>
    </row>
    <row r="447" spans="1:29" x14ac:dyDescent="0.35">
      <c r="A447" s="2" t="s">
        <v>457</v>
      </c>
      <c r="B447" s="4" t="s">
        <v>1584</v>
      </c>
      <c r="C447" s="4" t="s">
        <v>619</v>
      </c>
      <c r="D447" s="4" t="s">
        <v>619</v>
      </c>
      <c r="E447" s="4" t="s">
        <v>620</v>
      </c>
      <c r="F447" s="4" t="s">
        <v>620</v>
      </c>
      <c r="G447" s="14">
        <v>44.31</v>
      </c>
      <c r="H447" s="10">
        <v>11.736205</v>
      </c>
      <c r="I447" s="10">
        <v>19.181211999999999</v>
      </c>
      <c r="J447" s="10">
        <v>2.550449</v>
      </c>
      <c r="K447" s="15">
        <v>5.4162999999999996E-2</v>
      </c>
      <c r="L447" s="17">
        <v>44936.369837999999</v>
      </c>
      <c r="M447" s="4" t="s">
        <v>1585</v>
      </c>
      <c r="N447" s="19">
        <v>2.310073</v>
      </c>
      <c r="O447" s="19">
        <v>2.8071999999999999</v>
      </c>
      <c r="P447" s="19">
        <v>0.84</v>
      </c>
      <c r="Q447" s="19">
        <v>3.0775999999999999</v>
      </c>
      <c r="R447" s="19">
        <v>2.5499999999999998</v>
      </c>
      <c r="S447" s="19">
        <v>3.0072000000000001</v>
      </c>
      <c r="T447" s="19">
        <v>2.5499999999999998</v>
      </c>
      <c r="U447" s="19">
        <v>2.9157999999999999</v>
      </c>
      <c r="V447" s="19">
        <v>2.1800000000000002</v>
      </c>
      <c r="W447" s="19">
        <v>2.7951000000000001</v>
      </c>
      <c r="X447" s="19">
        <v>2.1800000000000002</v>
      </c>
      <c r="Y447" s="19">
        <v>2.7951000000000001</v>
      </c>
      <c r="Z447" s="4"/>
      <c r="AA447" s="4"/>
      <c r="AB447" s="4" t="e">
        <f ca="1">_xll.ciqfunctions.udf.CIQ("^SPX", "IQ_PRICEDATE", "9/30/2015")</f>
        <v>#NAME?</v>
      </c>
      <c r="AC447" s="16">
        <v>1920.0265516397001</v>
      </c>
    </row>
    <row r="448" spans="1:29" x14ac:dyDescent="0.35">
      <c r="A448" s="2" t="s">
        <v>458</v>
      </c>
      <c r="B448" s="4" t="s">
        <v>1586</v>
      </c>
      <c r="C448" s="4" t="s">
        <v>559</v>
      </c>
      <c r="D448" s="4" t="s">
        <v>560</v>
      </c>
      <c r="E448" s="4" t="s">
        <v>561</v>
      </c>
      <c r="F448" s="4" t="s">
        <v>1051</v>
      </c>
      <c r="G448" s="14">
        <v>110.8</v>
      </c>
      <c r="H448" s="10">
        <v>13.657080000000001</v>
      </c>
      <c r="I448" s="10">
        <v>23.691801999999999</v>
      </c>
      <c r="J448" s="10">
        <v>13.410314</v>
      </c>
      <c r="K448" s="15">
        <v>1.4079E-2</v>
      </c>
      <c r="L448" s="17">
        <v>68559.096296000003</v>
      </c>
      <c r="M448" s="4" t="s">
        <v>1587</v>
      </c>
      <c r="N448" s="19">
        <v>4.676723</v>
      </c>
      <c r="O448" s="19">
        <v>5.1369999999999996</v>
      </c>
      <c r="P448" s="19">
        <v>3.7037079999999998</v>
      </c>
      <c r="Q448" s="19">
        <v>4.1898999999999997</v>
      </c>
      <c r="R448" s="19">
        <v>3.4140440000000001</v>
      </c>
      <c r="S448" s="19">
        <v>3.7023999999999999</v>
      </c>
      <c r="T448" s="19">
        <v>3.4140440000000001</v>
      </c>
      <c r="U448" s="19">
        <v>3.5104000000000002</v>
      </c>
      <c r="V448" s="19">
        <v>3.02162</v>
      </c>
      <c r="W448" s="19">
        <v>3.4154</v>
      </c>
      <c r="X448" s="19">
        <v>3.02162</v>
      </c>
      <c r="Y448" s="19">
        <v>3.4154</v>
      </c>
      <c r="Z448" s="4"/>
      <c r="AA448" s="4"/>
      <c r="AB448" s="4" t="e">
        <f ca="1">_xll.ciqfunctions.udf.CIQ("^SPX", "IQ_PRICEDATE", "10/1/2015")</f>
        <v>#NAME?</v>
      </c>
      <c r="AC448" s="16">
        <v>1923.8200536917</v>
      </c>
    </row>
    <row r="449" spans="1:29" x14ac:dyDescent="0.35">
      <c r="A449" s="2" t="s">
        <v>459</v>
      </c>
      <c r="B449" s="4" t="s">
        <v>1588</v>
      </c>
      <c r="C449" s="4" t="s">
        <v>573</v>
      </c>
      <c r="D449" s="4" t="s">
        <v>579</v>
      </c>
      <c r="E449" s="4" t="s">
        <v>579</v>
      </c>
      <c r="F449" s="4" t="s">
        <v>842</v>
      </c>
      <c r="G449" s="14">
        <v>126.44</v>
      </c>
      <c r="H449" s="10">
        <v>10.579386</v>
      </c>
      <c r="I449" s="10">
        <v>17.132691000000001</v>
      </c>
      <c r="J449" s="10">
        <v>1.845985</v>
      </c>
      <c r="K449" s="15">
        <v>2.4359000000000002E-2</v>
      </c>
      <c r="L449" s="17">
        <v>33845.867727999997</v>
      </c>
      <c r="M449" s="4" t="s">
        <v>1589</v>
      </c>
      <c r="N449" s="19">
        <v>7.3800429999999997</v>
      </c>
      <c r="O449" s="19">
        <v>10.9533</v>
      </c>
      <c r="P449" s="19">
        <v>7.33</v>
      </c>
      <c r="Q449" s="19">
        <v>8.6235999999999997</v>
      </c>
      <c r="R449" s="19">
        <v>10.28</v>
      </c>
      <c r="S449" s="19">
        <v>9.4224999999999994</v>
      </c>
      <c r="T449" s="19">
        <v>10.28</v>
      </c>
      <c r="U449" s="19">
        <v>9.6561000000000003</v>
      </c>
      <c r="V449" s="19">
        <v>10.7</v>
      </c>
      <c r="W449" s="19">
        <v>9.0736000000000008</v>
      </c>
      <c r="X449" s="19">
        <v>10.7</v>
      </c>
      <c r="Y449" s="19">
        <v>9.0736000000000008</v>
      </c>
      <c r="Z449" s="4"/>
      <c r="AA449" s="4"/>
      <c r="AB449" s="4" t="e">
        <f ca="1">_xll.ciqfunctions.udf.CIQ("^SPX", "IQ_PRICEDATE", "10/2/2015")</f>
        <v>#NAME?</v>
      </c>
      <c r="AC449" s="16">
        <v>1951.3598314296</v>
      </c>
    </row>
    <row r="450" spans="1:29" x14ac:dyDescent="0.35">
      <c r="A450" s="2" t="s">
        <v>460</v>
      </c>
      <c r="B450" s="4" t="s">
        <v>1590</v>
      </c>
      <c r="C450" s="4" t="s">
        <v>549</v>
      </c>
      <c r="D450" s="4" t="s">
        <v>550</v>
      </c>
      <c r="E450" s="4" t="s">
        <v>551</v>
      </c>
      <c r="F450" s="4" t="s">
        <v>1319</v>
      </c>
      <c r="G450" s="14">
        <v>117.13</v>
      </c>
      <c r="H450" s="10">
        <v>11.327843</v>
      </c>
      <c r="I450" s="10">
        <v>14.786587000000001</v>
      </c>
      <c r="J450" s="10">
        <v>22.268059999999998</v>
      </c>
      <c r="K450" s="15">
        <v>1.4343E-2</v>
      </c>
      <c r="L450" s="17">
        <v>174200.72526899999</v>
      </c>
      <c r="M450" s="4" t="s">
        <v>1591</v>
      </c>
      <c r="N450" s="19">
        <v>7.9213680000000002</v>
      </c>
      <c r="O450" s="19">
        <v>7.3235000000000001</v>
      </c>
      <c r="P450" s="19">
        <v>7.0114150000000004</v>
      </c>
      <c r="Q450" s="19">
        <v>6.2363600000000003</v>
      </c>
      <c r="R450" s="19">
        <v>5.5402740000000001</v>
      </c>
      <c r="S450" s="19">
        <v>5.9319699999999997</v>
      </c>
      <c r="T450" s="19">
        <v>5.5402740000000001</v>
      </c>
      <c r="U450" s="19">
        <v>5.6629300000000002</v>
      </c>
      <c r="V450" s="19">
        <v>4.4978670000000003</v>
      </c>
      <c r="W450" s="19">
        <v>4.6808100000000001</v>
      </c>
      <c r="X450" s="19">
        <v>4.4978670000000003</v>
      </c>
      <c r="Y450" s="19">
        <v>4.6808100000000001</v>
      </c>
      <c r="Z450" s="4"/>
      <c r="AA450" s="4"/>
      <c r="AB450" s="4" t="e">
        <f ca="1">_xll.ciqfunctions.udf.CIQ("^SPX", "IQ_PRICEDATE", "10/5/2015")</f>
        <v>#NAME?</v>
      </c>
      <c r="AC450" s="16">
        <v>1987.0541437813999</v>
      </c>
    </row>
    <row r="451" spans="1:29" x14ac:dyDescent="0.35">
      <c r="A451" s="2" t="s">
        <v>461</v>
      </c>
      <c r="B451" s="4" t="s">
        <v>1592</v>
      </c>
      <c r="C451" s="4" t="s">
        <v>543</v>
      </c>
      <c r="D451" s="4" t="s">
        <v>544</v>
      </c>
      <c r="E451" s="4" t="s">
        <v>545</v>
      </c>
      <c r="F451" s="4" t="s">
        <v>616</v>
      </c>
      <c r="G451" s="14">
        <v>18.420000000000002</v>
      </c>
      <c r="H451" s="10">
        <v>7.8900360000000003</v>
      </c>
      <c r="I451" s="10" t="s">
        <v>534</v>
      </c>
      <c r="J451" s="10" t="s">
        <v>534</v>
      </c>
      <c r="K451" s="15">
        <v>4.1258999999999997E-2</v>
      </c>
      <c r="L451" s="17">
        <v>8238.3570099999997</v>
      </c>
      <c r="M451" s="4" t="s">
        <v>1593</v>
      </c>
      <c r="N451" s="19">
        <v>-0.99375199999999997</v>
      </c>
      <c r="O451" s="19">
        <v>1.8697999999999999</v>
      </c>
      <c r="P451" s="19">
        <v>-1.190639</v>
      </c>
      <c r="Q451" s="19">
        <v>1.8042</v>
      </c>
      <c r="R451" s="19">
        <v>0.51</v>
      </c>
      <c r="S451" s="19">
        <v>1.7021999999999999</v>
      </c>
      <c r="T451" s="19">
        <v>0.51</v>
      </c>
      <c r="U451" s="19">
        <v>1.722</v>
      </c>
      <c r="V451" s="19">
        <v>1.59</v>
      </c>
      <c r="W451" s="19">
        <v>1.5556000000000001</v>
      </c>
      <c r="X451" s="19">
        <v>1.59</v>
      </c>
      <c r="Y451" s="19">
        <v>1.5556000000000001</v>
      </c>
      <c r="Z451" s="4"/>
      <c r="AA451" s="4"/>
      <c r="AB451" s="4" t="e">
        <f ca="1">_xll.ciqfunctions.udf.CIQ("^SPX", "IQ_PRICEDATE", "10/6/2015")</f>
        <v>#NAME?</v>
      </c>
      <c r="AC451" s="16">
        <v>1979.9150477426001</v>
      </c>
    </row>
    <row r="452" spans="1:29" x14ac:dyDescent="0.35">
      <c r="A452" s="2" t="s">
        <v>462</v>
      </c>
      <c r="B452" s="4" t="s">
        <v>1594</v>
      </c>
      <c r="C452" s="4" t="s">
        <v>669</v>
      </c>
      <c r="D452" s="4" t="s">
        <v>669</v>
      </c>
      <c r="E452" s="4" t="s">
        <v>670</v>
      </c>
      <c r="F452" s="4" t="s">
        <v>1206</v>
      </c>
      <c r="G452" s="14">
        <v>26.88</v>
      </c>
      <c r="H452" s="10">
        <v>15.143402999999999</v>
      </c>
      <c r="I452" s="10">
        <v>11.118823000000001</v>
      </c>
      <c r="J452" s="10">
        <v>23.673870999999998</v>
      </c>
      <c r="K452" s="15">
        <v>5.0595000000000001E-2</v>
      </c>
      <c r="L452" s="17">
        <v>32507.865600000001</v>
      </c>
      <c r="M452" s="4" t="s">
        <v>1595</v>
      </c>
      <c r="N452" s="19">
        <v>2.4175219999999999</v>
      </c>
      <c r="O452" s="19">
        <v>1.0054000000000001</v>
      </c>
      <c r="P452" s="19">
        <v>2.62</v>
      </c>
      <c r="Q452" s="19">
        <v>0.88419999999999999</v>
      </c>
      <c r="R452" s="19">
        <v>-0.56999999999999995</v>
      </c>
      <c r="S452" s="19">
        <v>0.78600000000000003</v>
      </c>
      <c r="T452" s="19">
        <v>-0.56999999999999995</v>
      </c>
      <c r="U452" s="19">
        <v>1.3778999999999999</v>
      </c>
      <c r="V452" s="19">
        <v>2.91</v>
      </c>
      <c r="W452" s="19">
        <v>1.2786999999999999</v>
      </c>
      <c r="X452" s="19">
        <v>2.91</v>
      </c>
      <c r="Y452" s="19">
        <v>1.2786999999999999</v>
      </c>
      <c r="Z452" s="4"/>
      <c r="AA452" s="4"/>
      <c r="AB452" s="4" t="e">
        <f ca="1">_xll.ciqfunctions.udf.CIQ("^SPX", "IQ_PRICEDATE", "10/7/2015")</f>
        <v>#NAME?</v>
      </c>
      <c r="AC452" s="16">
        <v>1995.8264815445</v>
      </c>
    </row>
    <row r="453" spans="1:29" x14ac:dyDescent="0.35">
      <c r="A453" s="2" t="s">
        <v>463</v>
      </c>
      <c r="B453" s="4" t="s">
        <v>1596</v>
      </c>
      <c r="C453" s="4" t="s">
        <v>530</v>
      </c>
      <c r="D453" s="4" t="s">
        <v>537</v>
      </c>
      <c r="E453" s="4" t="s">
        <v>583</v>
      </c>
      <c r="F453" s="4" t="s">
        <v>583</v>
      </c>
      <c r="G453" s="14">
        <v>234.65</v>
      </c>
      <c r="H453" s="10">
        <v>19.576395000000002</v>
      </c>
      <c r="I453" s="10">
        <v>39.594447000000002</v>
      </c>
      <c r="J453" s="10" t="s">
        <v>534</v>
      </c>
      <c r="K453" s="15">
        <v>2.8970000000000003E-3</v>
      </c>
      <c r="L453" s="17">
        <v>94516.140297000005</v>
      </c>
      <c r="M453" s="4" t="s">
        <v>1597</v>
      </c>
      <c r="N453" s="19">
        <v>5.926336</v>
      </c>
      <c r="O453" s="19">
        <v>11.6022</v>
      </c>
      <c r="P453" s="19">
        <v>5.6</v>
      </c>
      <c r="Q453" s="19">
        <v>10.3156</v>
      </c>
      <c r="R453" s="19">
        <v>5.0999999999999996</v>
      </c>
      <c r="S453" s="19">
        <v>8.9893999999999998</v>
      </c>
      <c r="T453" s="19">
        <v>5.0999999999999996</v>
      </c>
      <c r="U453" s="19">
        <v>7.9717000000000002</v>
      </c>
      <c r="V453" s="19">
        <v>4.71</v>
      </c>
      <c r="W453" s="19">
        <v>7.5541999999999998</v>
      </c>
      <c r="X453" s="19">
        <v>4.71</v>
      </c>
      <c r="Y453" s="19">
        <v>7.5541999999999998</v>
      </c>
      <c r="Z453" s="4"/>
      <c r="AA453" s="4"/>
      <c r="AB453" s="4" t="e">
        <f ca="1">_xll.ciqfunctions.udf.CIQ("^SPX", "IQ_PRICEDATE", "10/8/2015")</f>
        <v>#NAME?</v>
      </c>
      <c r="AC453" s="16">
        <v>2013.4308976294001</v>
      </c>
    </row>
    <row r="454" spans="1:29" x14ac:dyDescent="0.35">
      <c r="A454" s="2" t="s">
        <v>464</v>
      </c>
      <c r="B454" s="4" t="s">
        <v>1598</v>
      </c>
      <c r="C454" s="4" t="s">
        <v>559</v>
      </c>
      <c r="D454" s="4" t="s">
        <v>560</v>
      </c>
      <c r="E454" s="4" t="s">
        <v>561</v>
      </c>
      <c r="F454" s="4" t="s">
        <v>1599</v>
      </c>
      <c r="G454" s="14">
        <v>112</v>
      </c>
      <c r="H454" s="10">
        <v>12.95468</v>
      </c>
      <c r="I454" s="10">
        <v>31.044820999999999</v>
      </c>
      <c r="J454" s="10">
        <v>4.484947</v>
      </c>
      <c r="K454" s="15">
        <v>1.9642E-2</v>
      </c>
      <c r="L454" s="17">
        <v>13710.03592</v>
      </c>
      <c r="M454" s="4" t="s">
        <v>1600</v>
      </c>
      <c r="N454" s="19">
        <v>3.6076869999999999</v>
      </c>
      <c r="O454" s="19">
        <v>5.0213999999999999</v>
      </c>
      <c r="P454" s="19">
        <v>3.7218010000000001</v>
      </c>
      <c r="Q454" s="19">
        <v>4.1689999999999996</v>
      </c>
      <c r="R454" s="19">
        <v>3.571342</v>
      </c>
      <c r="S454" s="19">
        <v>3.8713000000000002</v>
      </c>
      <c r="T454" s="19">
        <v>3.571342</v>
      </c>
      <c r="U454" s="19">
        <v>4.1371000000000002</v>
      </c>
      <c r="V454" s="19">
        <v>1.4300409999999999</v>
      </c>
      <c r="W454" s="19">
        <v>4.6894999999999998</v>
      </c>
      <c r="X454" s="19">
        <v>1.4300409999999999</v>
      </c>
      <c r="Y454" s="19">
        <v>4.6894999999999998</v>
      </c>
      <c r="Z454" s="4"/>
      <c r="AA454" s="4"/>
      <c r="AB454" s="4" t="e">
        <f ca="1">_xll.ciqfunctions.udf.CIQ("^SPX", "IQ_PRICEDATE", "10/9/2015")</f>
        <v>#NAME?</v>
      </c>
      <c r="AC454" s="16">
        <v>2014.8926461318999</v>
      </c>
    </row>
    <row r="455" spans="1:29" x14ac:dyDescent="0.35">
      <c r="A455" s="2" t="s">
        <v>465</v>
      </c>
      <c r="B455" s="4" t="s">
        <v>1601</v>
      </c>
      <c r="C455" s="4" t="s">
        <v>573</v>
      </c>
      <c r="D455" s="4" t="s">
        <v>579</v>
      </c>
      <c r="E455" s="4" t="s">
        <v>579</v>
      </c>
      <c r="F455" s="4" t="s">
        <v>580</v>
      </c>
      <c r="G455" s="14">
        <v>85.83</v>
      </c>
      <c r="H455" s="10">
        <v>11.337294999999999</v>
      </c>
      <c r="I455" s="10">
        <v>6.5372880000000002</v>
      </c>
      <c r="J455" s="10">
        <v>1.8893150000000001</v>
      </c>
      <c r="K455" s="15">
        <v>7.4560000000000008E-3</v>
      </c>
      <c r="L455" s="17">
        <v>9638.416577</v>
      </c>
      <c r="M455" s="4" t="s">
        <v>1602</v>
      </c>
      <c r="N455" s="19">
        <v>13.129296</v>
      </c>
      <c r="O455" s="19">
        <v>6.2961999999999998</v>
      </c>
      <c r="P455" s="19">
        <v>12.259999000000001</v>
      </c>
      <c r="Q455" s="19">
        <v>5.0377000000000001</v>
      </c>
      <c r="R455" s="19">
        <v>4.41</v>
      </c>
      <c r="S455" s="19">
        <v>4.6266999999999996</v>
      </c>
      <c r="T455" s="19">
        <v>4.41</v>
      </c>
      <c r="U455" s="19">
        <v>4.3547000000000002</v>
      </c>
      <c r="V455" s="19">
        <v>3.9799989999999998</v>
      </c>
      <c r="W455" s="19">
        <v>4.2285000000000004</v>
      </c>
      <c r="X455" s="19">
        <v>3.9799989999999998</v>
      </c>
      <c r="Y455" s="19">
        <v>4.2285000000000004</v>
      </c>
      <c r="Z455" s="4"/>
      <c r="AA455" s="4"/>
      <c r="AB455" s="4" t="e">
        <f ca="1">_xll.ciqfunctions.udf.CIQ("^SPX", "IQ_PRICEDATE", "10/12/2015")</f>
        <v>#NAME?</v>
      </c>
      <c r="AC455" s="16">
        <v>2017.4562247174999</v>
      </c>
    </row>
    <row r="456" spans="1:29" x14ac:dyDescent="0.35">
      <c r="A456" s="2" t="s">
        <v>466</v>
      </c>
      <c r="B456" s="4" t="s">
        <v>1603</v>
      </c>
      <c r="C456" s="4" t="s">
        <v>543</v>
      </c>
      <c r="D456" s="4" t="s">
        <v>544</v>
      </c>
      <c r="E456" s="4" t="s">
        <v>545</v>
      </c>
      <c r="F456" s="4" t="s">
        <v>616</v>
      </c>
      <c r="G456" s="14">
        <v>95.35</v>
      </c>
      <c r="H456" s="10">
        <v>19.469083999999999</v>
      </c>
      <c r="I456" s="10">
        <v>27.096589000000002</v>
      </c>
      <c r="J456" s="10" t="s">
        <v>534</v>
      </c>
      <c r="K456" s="15">
        <v>5.4530000000000004E-3</v>
      </c>
      <c r="L456" s="17">
        <v>17393.559923000001</v>
      </c>
      <c r="M456" s="4" t="s">
        <v>1604</v>
      </c>
      <c r="N456" s="19">
        <v>3.5188929999999998</v>
      </c>
      <c r="O456" s="19">
        <v>4.5712000000000002</v>
      </c>
      <c r="P456" s="19">
        <v>3.161219</v>
      </c>
      <c r="Q456" s="19">
        <v>3.6002000000000001</v>
      </c>
      <c r="R456" s="19">
        <v>1.7329429999999999</v>
      </c>
      <c r="S456" s="19">
        <v>3.0804999999999998</v>
      </c>
      <c r="T456" s="19">
        <v>1.7329429999999999</v>
      </c>
      <c r="U456" s="19">
        <v>2.5766</v>
      </c>
      <c r="V456" s="19">
        <v>1.45852</v>
      </c>
      <c r="W456" s="19">
        <v>2.1427999999999998</v>
      </c>
      <c r="X456" s="19">
        <v>1.45852</v>
      </c>
      <c r="Y456" s="19">
        <v>2.1427999999999998</v>
      </c>
      <c r="Z456" s="4"/>
      <c r="AA456" s="4"/>
      <c r="AB456" s="4" t="e">
        <f ca="1">_xll.ciqfunctions.udf.CIQ("^SPX", "IQ_PRICEDATE", "10/13/2015")</f>
        <v>#NAME?</v>
      </c>
      <c r="AC456" s="16">
        <v>2003.6902857436</v>
      </c>
    </row>
    <row r="457" spans="1:29" x14ac:dyDescent="0.35">
      <c r="A457" s="2" t="s">
        <v>467</v>
      </c>
      <c r="B457" s="4" t="s">
        <v>1605</v>
      </c>
      <c r="C457" s="4" t="s">
        <v>559</v>
      </c>
      <c r="D457" s="4" t="s">
        <v>560</v>
      </c>
      <c r="E457" s="4" t="s">
        <v>561</v>
      </c>
      <c r="F457" s="4" t="s">
        <v>1599</v>
      </c>
      <c r="G457" s="14">
        <v>88.06</v>
      </c>
      <c r="H457" s="10">
        <v>12.881307</v>
      </c>
      <c r="I457" s="10">
        <v>22.919858000000001</v>
      </c>
      <c r="J457" s="10">
        <v>8.3700810000000008</v>
      </c>
      <c r="K457" s="15">
        <v>1.4081E-2</v>
      </c>
      <c r="L457" s="17">
        <v>10726.119857</v>
      </c>
      <c r="M457" s="4" t="s">
        <v>1606</v>
      </c>
      <c r="N457" s="19">
        <v>3.8420830000000001</v>
      </c>
      <c r="O457" s="19">
        <v>4.3891999999999998</v>
      </c>
      <c r="P457" s="19">
        <v>3.3</v>
      </c>
      <c r="Q457" s="19">
        <v>3.4685000000000001</v>
      </c>
      <c r="R457" s="19">
        <v>3.27</v>
      </c>
      <c r="S457" s="19">
        <v>3.4594999999999998</v>
      </c>
      <c r="T457" s="19">
        <v>3.27</v>
      </c>
      <c r="U457" s="19">
        <v>3.4003999999999999</v>
      </c>
      <c r="V457" s="19">
        <v>2.66</v>
      </c>
      <c r="W457" s="19">
        <v>2.9098999999999999</v>
      </c>
      <c r="X457" s="19">
        <v>2.66</v>
      </c>
      <c r="Y457" s="19">
        <v>2.9098999999999999</v>
      </c>
      <c r="Z457" s="4"/>
      <c r="AA457" s="4"/>
      <c r="AB457" s="4" t="e">
        <f ca="1">_xll.ciqfunctions.udf.CIQ("^SPX", "IQ_PRICEDATE", "10/14/2015")</f>
        <v>#NAME?</v>
      </c>
      <c r="AC457" s="16">
        <v>1994.2423705799999</v>
      </c>
    </row>
    <row r="458" spans="1:29" x14ac:dyDescent="0.35">
      <c r="A458" s="2" t="s">
        <v>468</v>
      </c>
      <c r="B458" s="4" t="s">
        <v>1607</v>
      </c>
      <c r="C458" s="4" t="s">
        <v>525</v>
      </c>
      <c r="D458" s="4" t="s">
        <v>526</v>
      </c>
      <c r="E458" s="4" t="s">
        <v>703</v>
      </c>
      <c r="F458" s="4" t="s">
        <v>703</v>
      </c>
      <c r="G458" s="14">
        <v>347.78</v>
      </c>
      <c r="H458" s="10">
        <v>16.753229999999999</v>
      </c>
      <c r="I458" s="10">
        <v>24.205611999999999</v>
      </c>
      <c r="J458" s="10" t="s">
        <v>534</v>
      </c>
      <c r="K458" s="15">
        <v>0</v>
      </c>
      <c r="L458" s="17">
        <v>18303.207199</v>
      </c>
      <c r="M458" s="4" t="s">
        <v>1608</v>
      </c>
      <c r="N458" s="19">
        <v>14.367742</v>
      </c>
      <c r="O458" s="19">
        <v>16.288699999999999</v>
      </c>
      <c r="P458" s="19">
        <v>12.69909</v>
      </c>
      <c r="Q458" s="19">
        <v>13.372640000000001</v>
      </c>
      <c r="R458" s="19">
        <v>8.5559060000000002</v>
      </c>
      <c r="S458" s="19">
        <v>12.1408</v>
      </c>
      <c r="T458" s="19">
        <v>8.5559060000000002</v>
      </c>
      <c r="U458" s="19">
        <v>10.626720000000001</v>
      </c>
      <c r="V458" s="19">
        <v>3.3478279999999998</v>
      </c>
      <c r="W458" s="19">
        <v>8.3816699999999997</v>
      </c>
      <c r="X458" s="19">
        <v>3.3478279999999998</v>
      </c>
      <c r="Y458" s="19">
        <v>8.3816699999999997</v>
      </c>
      <c r="Z458" s="4"/>
      <c r="AA458" s="4"/>
      <c r="AB458" s="4" t="e">
        <f ca="1">_xll.ciqfunctions.udf.CIQ("^SPX", "IQ_PRICEDATE", "10/15/2015")</f>
        <v>#NAME?</v>
      </c>
      <c r="AC458" s="16">
        <v>2023.8617836236999</v>
      </c>
    </row>
    <row r="459" spans="1:29" x14ac:dyDescent="0.35">
      <c r="A459" s="2" t="s">
        <v>469</v>
      </c>
      <c r="B459" s="4" t="s">
        <v>1609</v>
      </c>
      <c r="C459" s="4" t="s">
        <v>549</v>
      </c>
      <c r="D459" s="4" t="s">
        <v>550</v>
      </c>
      <c r="E459" s="4" t="s">
        <v>623</v>
      </c>
      <c r="F459" s="4" t="s">
        <v>623</v>
      </c>
      <c r="G459" s="14">
        <v>47.16</v>
      </c>
      <c r="H459" s="10">
        <v>34.371181999999997</v>
      </c>
      <c r="I459" s="10" t="s">
        <v>534</v>
      </c>
      <c r="J459" s="10">
        <v>14.541498000000001</v>
      </c>
      <c r="K459" s="15">
        <v>0</v>
      </c>
      <c r="L459" s="17">
        <v>6486.7297719999997</v>
      </c>
      <c r="M459" s="4" t="s">
        <v>1610</v>
      </c>
      <c r="N459" s="19">
        <v>-0.16770399999999999</v>
      </c>
      <c r="O459" s="19">
        <v>1.4690000000000001</v>
      </c>
      <c r="P459" s="19">
        <v>-0.14000000000000001</v>
      </c>
      <c r="Q459" s="19">
        <v>1.0461</v>
      </c>
      <c r="R459" s="19">
        <v>0.82</v>
      </c>
      <c r="S459" s="19">
        <v>1.5522</v>
      </c>
      <c r="T459" s="19">
        <v>0.82</v>
      </c>
      <c r="U459" s="19">
        <v>2.157</v>
      </c>
      <c r="V459" s="19">
        <v>1.55</v>
      </c>
      <c r="W459" s="19">
        <v>2.4192999999999998</v>
      </c>
      <c r="X459" s="19">
        <v>1.55</v>
      </c>
      <c r="Y459" s="19">
        <v>2.4192999999999998</v>
      </c>
      <c r="Z459" s="4"/>
      <c r="AA459" s="4"/>
      <c r="AB459" s="4" t="e">
        <f ca="1">_xll.ciqfunctions.udf.CIQ("^SPX", "IQ_PRICEDATE", "10/16/2015")</f>
        <v>#NAME?</v>
      </c>
      <c r="AC459" s="16">
        <v>2033.1103965692</v>
      </c>
    </row>
    <row r="460" spans="1:29" x14ac:dyDescent="0.35">
      <c r="A460" s="2" t="s">
        <v>470</v>
      </c>
      <c r="B460" s="4" t="s">
        <v>1611</v>
      </c>
      <c r="C460" s="4" t="s">
        <v>549</v>
      </c>
      <c r="D460" s="4" t="s">
        <v>550</v>
      </c>
      <c r="E460" s="4" t="s">
        <v>551</v>
      </c>
      <c r="F460" s="4" t="s">
        <v>1319</v>
      </c>
      <c r="G460" s="14">
        <v>45.46</v>
      </c>
      <c r="H460" s="10">
        <v>14.55697</v>
      </c>
      <c r="I460" s="10">
        <v>0</v>
      </c>
      <c r="J460" s="10">
        <v>0</v>
      </c>
      <c r="K460" s="15">
        <v>0</v>
      </c>
      <c r="L460" s="17">
        <v>84608.020678999994</v>
      </c>
      <c r="M460" s="4" t="s">
        <v>1331</v>
      </c>
      <c r="N460" s="19">
        <v>2.41</v>
      </c>
      <c r="O460" s="19">
        <v>2.0968399999999998</v>
      </c>
      <c r="P460" s="19">
        <v>2.1397729999999999</v>
      </c>
      <c r="Q460" s="19">
        <v>2.0568</v>
      </c>
      <c r="R460" s="19">
        <v>1.6462760000000001</v>
      </c>
      <c r="S460" s="19">
        <v>1.929</v>
      </c>
      <c r="T460" s="19">
        <v>1.6462760000000001</v>
      </c>
      <c r="U460" s="19">
        <v>1.9152</v>
      </c>
      <c r="V460" s="19">
        <v>4.213857</v>
      </c>
      <c r="W460" s="19">
        <v>1.78</v>
      </c>
      <c r="X460" s="19">
        <v>4.213857</v>
      </c>
      <c r="Y460" s="19">
        <v>1.78</v>
      </c>
      <c r="Z460" s="4"/>
      <c r="AA460" s="4"/>
      <c r="AB460" s="4" t="e">
        <f ca="1">_xll.ciqfunctions.udf.CIQ("^SPX", "IQ_PRICEDATE", "10/19/2015")</f>
        <v>#NAME?</v>
      </c>
      <c r="AC460" s="16">
        <v>2033.6644048101</v>
      </c>
    </row>
    <row r="461" spans="1:29" x14ac:dyDescent="0.35">
      <c r="A461" s="2" t="s">
        <v>471</v>
      </c>
      <c r="B461" s="4" t="s">
        <v>1611</v>
      </c>
      <c r="C461" s="4" t="s">
        <v>549</v>
      </c>
      <c r="D461" s="4" t="s">
        <v>550</v>
      </c>
      <c r="E461" s="4" t="s">
        <v>551</v>
      </c>
      <c r="F461" s="4" t="s">
        <v>1319</v>
      </c>
      <c r="G461" s="14">
        <v>45.83</v>
      </c>
      <c r="H461" s="10">
        <v>14.55697</v>
      </c>
      <c r="I461" s="10">
        <v>19.016597000000001</v>
      </c>
      <c r="J461" s="10" t="s">
        <v>534</v>
      </c>
      <c r="K461" s="15">
        <v>7.8549999999999991E-3</v>
      </c>
      <c r="L461" s="17">
        <v>84608.020678999994</v>
      </c>
      <c r="M461" s="4" t="s">
        <v>1331</v>
      </c>
      <c r="N461" s="19">
        <v>2.41</v>
      </c>
      <c r="O461" s="19">
        <v>2.0968399999999998</v>
      </c>
      <c r="P461" s="19">
        <v>2.1397729999999999</v>
      </c>
      <c r="Q461" s="19">
        <v>2.0568</v>
      </c>
      <c r="R461" s="19">
        <v>1.6462760000000001</v>
      </c>
      <c r="S461" s="19">
        <v>1.929</v>
      </c>
      <c r="T461" s="19">
        <v>1.6462760000000001</v>
      </c>
      <c r="U461" s="19">
        <v>1.9152</v>
      </c>
      <c r="V461" s="19">
        <v>4.213857</v>
      </c>
      <c r="W461" s="19">
        <v>1.7846</v>
      </c>
      <c r="X461" s="19">
        <v>4.213857</v>
      </c>
      <c r="Y461" s="19">
        <v>1.7846</v>
      </c>
      <c r="Z461" s="4"/>
      <c r="AA461" s="4"/>
      <c r="AB461" s="4" t="e">
        <f ca="1">_xll.ciqfunctions.udf.CIQ("^SPX", "IQ_PRICEDATE", "10/20/2015")</f>
        <v>#NAME?</v>
      </c>
      <c r="AC461" s="16">
        <v>2030.7671635219001</v>
      </c>
    </row>
    <row r="462" spans="1:29" x14ac:dyDescent="0.35">
      <c r="A462" s="2" t="s">
        <v>472</v>
      </c>
      <c r="B462" s="4" t="s">
        <v>1612</v>
      </c>
      <c r="C462" s="4" t="s">
        <v>549</v>
      </c>
      <c r="D462" s="4" t="s">
        <v>550</v>
      </c>
      <c r="E462" s="4" t="s">
        <v>623</v>
      </c>
      <c r="F462" s="4" t="s">
        <v>623</v>
      </c>
      <c r="G462" s="14">
        <v>29.55</v>
      </c>
      <c r="H462" s="10">
        <v>33.006252000000003</v>
      </c>
      <c r="I462" s="10">
        <v>95.597655000000003</v>
      </c>
      <c r="J462" s="10">
        <v>5.1907290000000001</v>
      </c>
      <c r="K462" s="15">
        <v>0</v>
      </c>
      <c r="L462" s="17">
        <v>22308.772499999999</v>
      </c>
      <c r="M462" s="4" t="s">
        <v>1613</v>
      </c>
      <c r="N462" s="19">
        <v>0.30910799999999999</v>
      </c>
      <c r="O462" s="19">
        <v>0.6915</v>
      </c>
      <c r="P462" s="19">
        <v>-0.15</v>
      </c>
      <c r="Q462" s="19">
        <v>0.42959999999999998</v>
      </c>
      <c r="R462" s="19">
        <v>-0.65069100000000002</v>
      </c>
      <c r="S462" s="19">
        <v>0.55520000000000003</v>
      </c>
      <c r="T462" s="19">
        <v>-0.65069100000000002</v>
      </c>
      <c r="U462" s="19">
        <v>0.43809999999999999</v>
      </c>
      <c r="V462" s="19">
        <v>-0.96</v>
      </c>
      <c r="W462" s="19">
        <v>0.24909999999999999</v>
      </c>
      <c r="X462" s="19">
        <v>-0.96</v>
      </c>
      <c r="Y462" s="19">
        <v>0.24909999999999999</v>
      </c>
      <c r="Z462" s="4"/>
      <c r="AA462" s="4"/>
      <c r="AB462" s="4" t="e">
        <f ca="1">_xll.ciqfunctions.udf.CIQ("^SPX", "IQ_PRICEDATE", "10/21/2015")</f>
        <v>#NAME?</v>
      </c>
      <c r="AC462" s="16">
        <v>2018.941033007</v>
      </c>
    </row>
    <row r="463" spans="1:29" x14ac:dyDescent="0.35">
      <c r="A463" s="2" t="s">
        <v>473</v>
      </c>
      <c r="B463" s="4" t="s">
        <v>1614</v>
      </c>
      <c r="C463" s="4" t="s">
        <v>626</v>
      </c>
      <c r="D463" s="4" t="s">
        <v>627</v>
      </c>
      <c r="E463" s="4" t="s">
        <v>699</v>
      </c>
      <c r="F463" s="4" t="s">
        <v>789</v>
      </c>
      <c r="G463" s="14">
        <v>61.97</v>
      </c>
      <c r="H463" s="10">
        <v>7.8864830000000001</v>
      </c>
      <c r="I463" s="10">
        <v>7.9492050000000001</v>
      </c>
      <c r="J463" s="10" t="s">
        <v>534</v>
      </c>
      <c r="K463" s="15">
        <v>1.9363999999999999E-2</v>
      </c>
      <c r="L463" s="17">
        <v>22676.699452000001</v>
      </c>
      <c r="M463" s="4" t="s">
        <v>1615</v>
      </c>
      <c r="N463" s="19">
        <v>7.7957479999999997</v>
      </c>
      <c r="O463" s="19">
        <v>5.7884000000000002</v>
      </c>
      <c r="P463" s="19">
        <v>7.6092820000000003</v>
      </c>
      <c r="Q463" s="19">
        <v>5.8586299999999998</v>
      </c>
      <c r="R463" s="19">
        <v>4.9569989999999997</v>
      </c>
      <c r="S463" s="19">
        <v>4.8356599999999998</v>
      </c>
      <c r="T463" s="19">
        <v>4.9569989999999997</v>
      </c>
      <c r="U463" s="19">
        <v>3.6011600000000001</v>
      </c>
      <c r="V463" s="19">
        <v>2.4127529999999999</v>
      </c>
      <c r="W463" s="19">
        <v>3.4053800000000001</v>
      </c>
      <c r="X463" s="19">
        <v>2.4127529999999999</v>
      </c>
      <c r="Y463" s="19">
        <v>3.4053800000000001</v>
      </c>
      <c r="Z463" s="4"/>
      <c r="AA463" s="4"/>
      <c r="AB463" s="4" t="e">
        <f ca="1">_xll.ciqfunctions.udf.CIQ("^SPX", "IQ_PRICEDATE", "10/22/2015")</f>
        <v>#NAME?</v>
      </c>
      <c r="AC463" s="16">
        <v>2052.5088261477999</v>
      </c>
    </row>
    <row r="464" spans="1:29" x14ac:dyDescent="0.35">
      <c r="A464" s="2" t="s">
        <v>474</v>
      </c>
      <c r="B464" s="4" t="s">
        <v>1616</v>
      </c>
      <c r="C464" s="4" t="s">
        <v>573</v>
      </c>
      <c r="D464" s="4" t="s">
        <v>737</v>
      </c>
      <c r="E464" s="4" t="s">
        <v>737</v>
      </c>
      <c r="F464" s="4" t="s">
        <v>738</v>
      </c>
      <c r="G464" s="14">
        <v>52.9</v>
      </c>
      <c r="H464" s="10">
        <v>0</v>
      </c>
      <c r="I464" s="10">
        <v>13.809882999999999</v>
      </c>
      <c r="J464" s="10">
        <v>2.529703</v>
      </c>
      <c r="K464" s="15">
        <v>2.7976999999999998E-2</v>
      </c>
      <c r="L464" s="17">
        <v>85856.7</v>
      </c>
      <c r="M464" s="4" t="s">
        <v>1617</v>
      </c>
      <c r="N464" s="19">
        <v>4.0007149999999996</v>
      </c>
      <c r="O464" s="19">
        <v>4.1962000000000002</v>
      </c>
      <c r="P464" s="19">
        <v>3.51</v>
      </c>
      <c r="Q464" s="19">
        <v>3.6615000000000002</v>
      </c>
      <c r="R464" s="19">
        <v>3.24</v>
      </c>
      <c r="S464" s="19">
        <v>3.3683000000000001</v>
      </c>
      <c r="T464" s="19">
        <v>3.24</v>
      </c>
      <c r="U464" s="19">
        <v>3.3271000000000002</v>
      </c>
      <c r="V464" s="19">
        <v>3.08</v>
      </c>
      <c r="W464" s="19">
        <v>3.2099000000000002</v>
      </c>
      <c r="X464" s="19">
        <v>3.08</v>
      </c>
      <c r="Y464" s="19">
        <v>3.2099000000000002</v>
      </c>
      <c r="Z464" s="4"/>
      <c r="AA464" s="4"/>
      <c r="AB464" s="4" t="e">
        <f ca="1">_xll.ciqfunctions.udf.CIQ("^SPX", "IQ_PRICEDATE", "10/23/2015")</f>
        <v>#NAME?</v>
      </c>
      <c r="AC464" s="16">
        <v>2075.1512780694002</v>
      </c>
    </row>
    <row r="465" spans="1:29" x14ac:dyDescent="0.35">
      <c r="A465" s="2" t="s">
        <v>475</v>
      </c>
      <c r="B465" s="4" t="s">
        <v>1618</v>
      </c>
      <c r="C465" s="4" t="s">
        <v>601</v>
      </c>
      <c r="D465" s="4" t="s">
        <v>601</v>
      </c>
      <c r="E465" s="4" t="s">
        <v>602</v>
      </c>
      <c r="F465" s="4" t="s">
        <v>685</v>
      </c>
      <c r="G465" s="14">
        <v>39.049999999999997</v>
      </c>
      <c r="H465" s="10">
        <v>23.943628</v>
      </c>
      <c r="I465" s="10">
        <v>57.430692999999998</v>
      </c>
      <c r="J465" s="10">
        <v>3.8551389999999999</v>
      </c>
      <c r="K465" s="15">
        <v>3.3034000000000001E-2</v>
      </c>
      <c r="L465" s="17">
        <v>10452.861161999999</v>
      </c>
      <c r="M465" s="4" t="s">
        <v>1619</v>
      </c>
      <c r="N465" s="19">
        <v>0.67995000000000005</v>
      </c>
      <c r="O465" s="19">
        <v>0.30149999999999999</v>
      </c>
      <c r="P465" s="19">
        <v>0.44</v>
      </c>
      <c r="Q465" s="19">
        <v>0.30809999999999998</v>
      </c>
      <c r="R465" s="19">
        <v>1.08</v>
      </c>
      <c r="S465" s="19">
        <v>0.23449999999999999</v>
      </c>
      <c r="T465" s="19">
        <v>1.08</v>
      </c>
      <c r="U465" s="19">
        <v>0.32969999999999999</v>
      </c>
      <c r="V465" s="19">
        <v>0.59</v>
      </c>
      <c r="W465" s="19">
        <v>0.14799999999999999</v>
      </c>
      <c r="X465" s="19">
        <v>0.59</v>
      </c>
      <c r="Y465" s="19">
        <v>0.14799999999999999</v>
      </c>
      <c r="Z465" s="4"/>
      <c r="AA465" s="4"/>
      <c r="AB465" s="4" t="e">
        <f ca="1">_xll.ciqfunctions.udf.CIQ("^SPX", "IQ_PRICEDATE", "10/26/2015")</f>
        <v>#NAME?</v>
      </c>
      <c r="AC465" s="16">
        <v>2071.1815203360002</v>
      </c>
    </row>
    <row r="466" spans="1:29" x14ac:dyDescent="0.35">
      <c r="A466" s="2" t="s">
        <v>476</v>
      </c>
      <c r="B466" s="4" t="s">
        <v>1620</v>
      </c>
      <c r="C466" s="4" t="s">
        <v>559</v>
      </c>
      <c r="D466" s="4" t="s">
        <v>560</v>
      </c>
      <c r="E466" s="4" t="s">
        <v>561</v>
      </c>
      <c r="F466" s="4" t="s">
        <v>1599</v>
      </c>
      <c r="G466" s="14">
        <v>281.92</v>
      </c>
      <c r="H466" s="10">
        <v>15.164898000000001</v>
      </c>
      <c r="I466" s="10">
        <v>27.505901000000001</v>
      </c>
      <c r="J466" s="10">
        <v>9.3127270000000006</v>
      </c>
      <c r="K466" s="15">
        <v>0</v>
      </c>
      <c r="L466" s="17">
        <v>16850.470885999999</v>
      </c>
      <c r="M466" s="4" t="s">
        <v>1621</v>
      </c>
      <c r="N466" s="19">
        <v>10.249437</v>
      </c>
      <c r="O466" s="19">
        <v>11.7638</v>
      </c>
      <c r="P466" s="19">
        <v>7.8250469999999996</v>
      </c>
      <c r="Q466" s="19">
        <v>9.4501000000000008</v>
      </c>
      <c r="R466" s="19">
        <v>5.9660380000000002</v>
      </c>
      <c r="S466" s="19">
        <v>7.4290000000000003</v>
      </c>
      <c r="T466" s="19">
        <v>5.9660380000000002</v>
      </c>
      <c r="U466" s="19">
        <v>5.4147999999999996</v>
      </c>
      <c r="V466" s="19">
        <v>3.729069</v>
      </c>
      <c r="W466" s="19">
        <v>4.3217999999999996</v>
      </c>
      <c r="X466" s="19">
        <v>3.729069</v>
      </c>
      <c r="Y466" s="19">
        <v>4.3217999999999996</v>
      </c>
      <c r="Z466" s="4"/>
      <c r="AA466" s="4"/>
      <c r="AB466" s="4" t="e">
        <f ca="1">_xll.ciqfunctions.udf.CIQ("^SPX", "IQ_PRICEDATE", "10/27/2015")</f>
        <v>#NAME?</v>
      </c>
      <c r="AC466" s="16">
        <v>2065.8922884034</v>
      </c>
    </row>
    <row r="467" spans="1:29" x14ac:dyDescent="0.35">
      <c r="A467" s="2" t="s">
        <v>477</v>
      </c>
      <c r="B467" s="4" t="s">
        <v>1622</v>
      </c>
      <c r="C467" s="4" t="s">
        <v>559</v>
      </c>
      <c r="D467" s="4" t="s">
        <v>912</v>
      </c>
      <c r="E467" s="4" t="s">
        <v>1097</v>
      </c>
      <c r="F467" s="4" t="s">
        <v>1098</v>
      </c>
      <c r="G467" s="14">
        <v>17.559999999999999</v>
      </c>
      <c r="H467" s="10">
        <v>26.577881000000001</v>
      </c>
      <c r="I467" s="10">
        <v>0</v>
      </c>
      <c r="J467" s="10">
        <v>0</v>
      </c>
      <c r="K467" s="15">
        <v>0</v>
      </c>
      <c r="L467" s="17">
        <v>8157.1402959999996</v>
      </c>
      <c r="M467" s="4" t="s">
        <v>1623</v>
      </c>
      <c r="N467" s="19">
        <v>-0.36042000000000002</v>
      </c>
      <c r="O467" s="19">
        <v>0.27500000000000002</v>
      </c>
      <c r="P467" s="19">
        <v>-0.11</v>
      </c>
      <c r="Q467" s="19">
        <v>0.15</v>
      </c>
      <c r="R467" s="19">
        <v>0.45</v>
      </c>
      <c r="S467" s="19">
        <v>0.65780000000000005</v>
      </c>
      <c r="T467" s="19">
        <v>0.45</v>
      </c>
      <c r="U467" s="19">
        <v>0</v>
      </c>
      <c r="V467" s="19">
        <v>0.47</v>
      </c>
      <c r="W467" s="19">
        <v>0</v>
      </c>
      <c r="X467" s="19">
        <v>0.47</v>
      </c>
      <c r="Y467" s="19">
        <v>0</v>
      </c>
      <c r="Z467" s="4"/>
      <c r="AA467" s="4"/>
      <c r="AB467" s="4" t="e">
        <f ca="1">_xll.ciqfunctions.udf.CIQ("^SPX", "IQ_PRICEDATE", "10/28/2015")</f>
        <v>#NAME?</v>
      </c>
      <c r="AC467" s="16">
        <v>2090.3538814400999</v>
      </c>
    </row>
    <row r="468" spans="1:29" x14ac:dyDescent="0.35">
      <c r="A468" s="2" t="s">
        <v>478</v>
      </c>
      <c r="B468" s="4" t="s">
        <v>1622</v>
      </c>
      <c r="C468" s="4" t="s">
        <v>559</v>
      </c>
      <c r="D468" s="4" t="s">
        <v>912</v>
      </c>
      <c r="E468" s="4" t="s">
        <v>1097</v>
      </c>
      <c r="F468" s="4" t="s">
        <v>1098</v>
      </c>
      <c r="G468" s="14">
        <v>19.12</v>
      </c>
      <c r="H468" s="10">
        <v>26.577881000000001</v>
      </c>
      <c r="I468" s="10" t="s">
        <v>534</v>
      </c>
      <c r="J468" s="10">
        <v>6.4106880000000004</v>
      </c>
      <c r="K468" s="15">
        <v>0</v>
      </c>
      <c r="L468" s="17">
        <v>8157.1402959999996</v>
      </c>
      <c r="M468" s="4" t="s">
        <v>1623</v>
      </c>
      <c r="N468" s="19">
        <v>-0.36042000000000002</v>
      </c>
      <c r="O468" s="19">
        <v>0.2432</v>
      </c>
      <c r="P468" s="19">
        <v>-0.11</v>
      </c>
      <c r="Q468" s="19">
        <v>0.14019999999999999</v>
      </c>
      <c r="R468" s="19">
        <v>0.45</v>
      </c>
      <c r="S468" s="19">
        <v>0.63149999999999995</v>
      </c>
      <c r="T468" s="19">
        <v>0.45</v>
      </c>
      <c r="U468" s="19">
        <v>0.60629999999999995</v>
      </c>
      <c r="V468" s="19">
        <v>0.47</v>
      </c>
      <c r="W468" s="19">
        <v>0.55289999999999995</v>
      </c>
      <c r="X468" s="19">
        <v>0.47</v>
      </c>
      <c r="Y468" s="19">
        <v>0.55289999999999995</v>
      </c>
      <c r="Z468" s="4"/>
      <c r="AA468" s="4"/>
      <c r="AB468" s="4" t="e">
        <f ca="1">_xll.ciqfunctions.udf.CIQ("^SPX", "IQ_PRICEDATE", "10/29/2015")</f>
        <v>#NAME?</v>
      </c>
      <c r="AC468" s="16">
        <v>2089.4074019073</v>
      </c>
    </row>
    <row r="469" spans="1:29" x14ac:dyDescent="0.35">
      <c r="A469" s="2" t="s">
        <v>479</v>
      </c>
      <c r="B469" s="4" t="s">
        <v>1624</v>
      </c>
      <c r="C469" s="4" t="s">
        <v>525</v>
      </c>
      <c r="D469" s="4" t="s">
        <v>594</v>
      </c>
      <c r="E469" s="4" t="s">
        <v>903</v>
      </c>
      <c r="F469" s="4" t="s">
        <v>904</v>
      </c>
      <c r="G469" s="14">
        <v>149.88999999999999</v>
      </c>
      <c r="H469" s="10">
        <v>12.510600999999999</v>
      </c>
      <c r="I469" s="10">
        <v>10.383309000000001</v>
      </c>
      <c r="J469" s="10">
        <v>5.7536160000000001</v>
      </c>
      <c r="K469" s="15">
        <v>2.1347999999999999E-2</v>
      </c>
      <c r="L469" s="17">
        <v>110842.822961</v>
      </c>
      <c r="M469" s="4" t="s">
        <v>1625</v>
      </c>
      <c r="N469" s="19">
        <v>14.435667</v>
      </c>
      <c r="O469" s="19">
        <v>8.2949999999999999</v>
      </c>
      <c r="P469" s="19">
        <v>13.36</v>
      </c>
      <c r="Q469" s="19">
        <v>6.2483000000000004</v>
      </c>
      <c r="R469" s="19">
        <v>5.07</v>
      </c>
      <c r="S469" s="19">
        <v>5.4150999999999998</v>
      </c>
      <c r="T469" s="19">
        <v>5.07</v>
      </c>
      <c r="U469" s="19">
        <v>5.8707000000000003</v>
      </c>
      <c r="V469" s="19">
        <v>5.75</v>
      </c>
      <c r="W469" s="19">
        <v>6.2869999999999999</v>
      </c>
      <c r="X469" s="19">
        <v>5.75</v>
      </c>
      <c r="Y469" s="19">
        <v>6.2869999999999999</v>
      </c>
      <c r="Z469" s="4"/>
      <c r="AA469" s="4"/>
      <c r="AB469" s="4" t="e">
        <f ca="1">_xll.ciqfunctions.udf.CIQ("^SPX", "IQ_PRICEDATE", "10/30/2015")</f>
        <v>#NAME?</v>
      </c>
      <c r="AC469" s="16">
        <v>2079.3598374672001</v>
      </c>
    </row>
    <row r="470" spans="1:29" x14ac:dyDescent="0.35">
      <c r="A470" s="2" t="s">
        <v>480</v>
      </c>
      <c r="B470" s="4" t="s">
        <v>1626</v>
      </c>
      <c r="C470" s="4" t="s">
        <v>525</v>
      </c>
      <c r="D470" s="4" t="s">
        <v>594</v>
      </c>
      <c r="E470" s="4" t="s">
        <v>595</v>
      </c>
      <c r="F470" s="4" t="s">
        <v>595</v>
      </c>
      <c r="G470" s="14">
        <v>88.49</v>
      </c>
      <c r="H470" s="10">
        <v>6.0404059999999999</v>
      </c>
      <c r="I470" s="10">
        <v>11.162362</v>
      </c>
      <c r="J470" s="10">
        <v>33.695047000000002</v>
      </c>
      <c r="K470" s="15">
        <v>0</v>
      </c>
      <c r="L470" s="17">
        <v>24110.375818</v>
      </c>
      <c r="M470" s="4" t="s">
        <v>1627</v>
      </c>
      <c r="N470" s="19">
        <v>7.9275330000000004</v>
      </c>
      <c r="O470" s="19">
        <v>8.7324000000000002</v>
      </c>
      <c r="P470" s="19">
        <v>7.02</v>
      </c>
      <c r="Q470" s="19">
        <v>6.2331000000000003</v>
      </c>
      <c r="R470" s="19">
        <v>6.85</v>
      </c>
      <c r="S470" s="19">
        <v>6.5766</v>
      </c>
      <c r="T470" s="19">
        <v>6.85</v>
      </c>
      <c r="U470" s="19">
        <v>9.4006000000000007</v>
      </c>
      <c r="V470" s="19">
        <v>2.9330250000000002</v>
      </c>
      <c r="W470" s="19">
        <v>7.9301000000000004</v>
      </c>
      <c r="X470" s="19">
        <v>2.9330250000000002</v>
      </c>
      <c r="Y470" s="19">
        <v>7.9301000000000004</v>
      </c>
      <c r="Z470" s="4"/>
      <c r="AA470" s="4"/>
      <c r="AB470" s="4" t="e">
        <f ca="1">_xll.ciqfunctions.udf.CIQ("^SPX", "IQ_PRICEDATE", "11/2/2015")</f>
        <v>#NAME?</v>
      </c>
      <c r="AC470" s="16">
        <v>2104.0490473793998</v>
      </c>
    </row>
    <row r="471" spans="1:29" x14ac:dyDescent="0.35">
      <c r="A471" s="2" t="s">
        <v>481</v>
      </c>
      <c r="B471" s="4" t="s">
        <v>1628</v>
      </c>
      <c r="C471" s="4" t="s">
        <v>525</v>
      </c>
      <c r="D471" s="4" t="s">
        <v>594</v>
      </c>
      <c r="E471" s="4" t="s">
        <v>779</v>
      </c>
      <c r="F471" s="4" t="s">
        <v>779</v>
      </c>
      <c r="G471" s="14">
        <v>118.01</v>
      </c>
      <c r="H471" s="10">
        <v>12.263819</v>
      </c>
      <c r="I471" s="10">
        <v>19.838377000000001</v>
      </c>
      <c r="J471" s="10" t="s">
        <v>534</v>
      </c>
      <c r="K471" s="15">
        <v>3.0844E-2</v>
      </c>
      <c r="L471" s="17">
        <v>101529.280289</v>
      </c>
      <c r="M471" s="4" t="s">
        <v>1629</v>
      </c>
      <c r="N471" s="19">
        <v>5.9485710000000003</v>
      </c>
      <c r="O471" s="19">
        <v>7.4805000000000001</v>
      </c>
      <c r="P471" s="19">
        <v>5.61</v>
      </c>
      <c r="Q471" s="19">
        <v>6.3202999999999996</v>
      </c>
      <c r="R471" s="19">
        <v>3.87</v>
      </c>
      <c r="S471" s="19">
        <v>6.0423999999999998</v>
      </c>
      <c r="T471" s="19">
        <v>3.87</v>
      </c>
      <c r="U471" s="19">
        <v>5.5875000000000004</v>
      </c>
      <c r="V471" s="19">
        <v>3.28</v>
      </c>
      <c r="W471" s="19">
        <v>5.4767000000000001</v>
      </c>
      <c r="X471" s="19">
        <v>3.28</v>
      </c>
      <c r="Y471" s="19">
        <v>5.4767000000000001</v>
      </c>
      <c r="Z471" s="4"/>
      <c r="AA471" s="4"/>
      <c r="AB471" s="4" t="e">
        <f ca="1">_xll.ciqfunctions.udf.CIQ("^SPX", "IQ_PRICEDATE", "11/3/2015")</f>
        <v>#NAME?</v>
      </c>
      <c r="AC471" s="16">
        <v>2109.7875229148999</v>
      </c>
    </row>
    <row r="472" spans="1:29" x14ac:dyDescent="0.35">
      <c r="A472" s="2" t="s">
        <v>482</v>
      </c>
      <c r="B472" s="4" t="s">
        <v>1630</v>
      </c>
      <c r="C472" s="4" t="s">
        <v>525</v>
      </c>
      <c r="D472" s="4" t="s">
        <v>526</v>
      </c>
      <c r="E472" s="4" t="s">
        <v>1023</v>
      </c>
      <c r="F472" s="4" t="s">
        <v>1023</v>
      </c>
      <c r="G472" s="14">
        <v>139.04</v>
      </c>
      <c r="H472" s="10">
        <v>8.6262190000000007</v>
      </c>
      <c r="I472" s="10">
        <v>6.98733</v>
      </c>
      <c r="J472" s="10" t="s">
        <v>534</v>
      </c>
      <c r="K472" s="15">
        <v>0</v>
      </c>
      <c r="L472" s="17">
        <v>11276.508562999999</v>
      </c>
      <c r="M472" s="4" t="s">
        <v>1631</v>
      </c>
      <c r="N472" s="19">
        <v>19.898873999999999</v>
      </c>
      <c r="O472" s="19">
        <v>16.346900000000002</v>
      </c>
      <c r="P472" s="19">
        <v>15.73</v>
      </c>
      <c r="Q472" s="19">
        <v>12.0929</v>
      </c>
      <c r="R472" s="19">
        <v>6.45</v>
      </c>
      <c r="S472" s="19">
        <v>8.5184999999999995</v>
      </c>
      <c r="T472" s="19">
        <v>6.45</v>
      </c>
      <c r="U472" s="19">
        <v>8.6806000000000001</v>
      </c>
      <c r="V472" s="19">
        <v>5.15</v>
      </c>
      <c r="W472" s="19">
        <v>7.9267000000000003</v>
      </c>
      <c r="X472" s="19">
        <v>5.15</v>
      </c>
      <c r="Y472" s="19">
        <v>7.9267000000000003</v>
      </c>
      <c r="Z472" s="4"/>
      <c r="AA472" s="4"/>
      <c r="AB472" s="4" t="e">
        <f ca="1">_xll.ciqfunctions.udf.CIQ("^SPX", "IQ_PRICEDATE", "11/4/2015")</f>
        <v>#NAME?</v>
      </c>
      <c r="AC472" s="16">
        <v>2102.3136815055</v>
      </c>
    </row>
    <row r="473" spans="1:29" x14ac:dyDescent="0.35">
      <c r="A473" s="2" t="s">
        <v>483</v>
      </c>
      <c r="B473" s="4" t="s">
        <v>1632</v>
      </c>
      <c r="C473" s="4" t="s">
        <v>525</v>
      </c>
      <c r="D473" s="4" t="s">
        <v>526</v>
      </c>
      <c r="E473" s="4" t="s">
        <v>703</v>
      </c>
      <c r="F473" s="4" t="s">
        <v>703</v>
      </c>
      <c r="G473" s="14">
        <v>130.07</v>
      </c>
      <c r="H473" s="10">
        <v>11.715342</v>
      </c>
      <c r="I473" s="10">
        <v>20.481677000000001</v>
      </c>
      <c r="J473" s="10" t="s">
        <v>534</v>
      </c>
      <c r="K473" s="15">
        <v>2.1526E-2</v>
      </c>
      <c r="L473" s="17">
        <v>104068.13357999999</v>
      </c>
      <c r="M473" s="4" t="s">
        <v>1633</v>
      </c>
      <c r="N473" s="19">
        <v>6.3505539999999998</v>
      </c>
      <c r="O473" s="19">
        <v>7.3339999999999996</v>
      </c>
      <c r="P473" s="19">
        <v>5.7</v>
      </c>
      <c r="Q473" s="19">
        <v>6.6734</v>
      </c>
      <c r="R473" s="19">
        <v>6.13</v>
      </c>
      <c r="S473" s="19">
        <v>6.4573</v>
      </c>
      <c r="T473" s="19">
        <v>6.13</v>
      </c>
      <c r="U473" s="19">
        <v>6.3377999999999997</v>
      </c>
      <c r="V473" s="19">
        <v>6.65</v>
      </c>
      <c r="W473" s="19">
        <v>6.8353000000000002</v>
      </c>
      <c r="X473" s="19">
        <v>6.65</v>
      </c>
      <c r="Y473" s="19">
        <v>6.8353000000000002</v>
      </c>
      <c r="Z473" s="4"/>
      <c r="AA473" s="4"/>
      <c r="AB473" s="4" t="e">
        <f ca="1">_xll.ciqfunctions.udf.CIQ("^SPX", "IQ_PRICEDATE", "11/5/2015")</f>
        <v>#NAME?</v>
      </c>
      <c r="AC473" s="16">
        <v>2099.9291454118002</v>
      </c>
    </row>
    <row r="474" spans="1:29" x14ac:dyDescent="0.35">
      <c r="A474" s="2" t="s">
        <v>484</v>
      </c>
      <c r="B474" s="4" t="s">
        <v>1634</v>
      </c>
      <c r="C474" s="4" t="s">
        <v>530</v>
      </c>
      <c r="D474" s="4" t="s">
        <v>531</v>
      </c>
      <c r="E474" s="4" t="s">
        <v>569</v>
      </c>
      <c r="F474" s="4" t="s">
        <v>570</v>
      </c>
      <c r="G474" s="14">
        <v>267.3</v>
      </c>
      <c r="H474" s="10">
        <v>15.143921000000001</v>
      </c>
      <c r="I474" s="10">
        <v>20.972270000000002</v>
      </c>
      <c r="J474" s="10">
        <v>4.9957390000000004</v>
      </c>
      <c r="K474" s="15">
        <v>1.3468000000000001E-2</v>
      </c>
      <c r="L474" s="17">
        <v>257269.12993</v>
      </c>
      <c r="M474" s="4" t="s">
        <v>1635</v>
      </c>
      <c r="N474" s="19">
        <v>12.745400999999999</v>
      </c>
      <c r="O474" s="19">
        <v>13.480700000000001</v>
      </c>
      <c r="P474" s="19">
        <v>10.72</v>
      </c>
      <c r="Q474" s="19">
        <v>10.5776</v>
      </c>
      <c r="R474" s="19">
        <v>7.25</v>
      </c>
      <c r="S474" s="19">
        <v>9.1264000000000003</v>
      </c>
      <c r="T474" s="19">
        <v>7.25</v>
      </c>
      <c r="U474" s="19">
        <v>7.1228999999999996</v>
      </c>
      <c r="V474" s="19">
        <v>5.7</v>
      </c>
      <c r="W474" s="19">
        <v>6.0094000000000003</v>
      </c>
      <c r="X474" s="19">
        <v>5.7</v>
      </c>
      <c r="Y474" s="19">
        <v>6.0094000000000003</v>
      </c>
      <c r="Z474" s="4"/>
      <c r="AA474" s="4"/>
      <c r="AB474" s="4" t="e">
        <f ca="1">_xll.ciqfunctions.udf.CIQ("^SPX", "IQ_PRICEDATE", "11/6/2015")</f>
        <v>#NAME?</v>
      </c>
      <c r="AC474" s="16">
        <v>2099.2034899273999</v>
      </c>
    </row>
    <row r="475" spans="1:29" x14ac:dyDescent="0.35">
      <c r="A475" s="2" t="s">
        <v>485</v>
      </c>
      <c r="B475" s="4" t="s">
        <v>1636</v>
      </c>
      <c r="C475" s="4" t="s">
        <v>530</v>
      </c>
      <c r="D475" s="4" t="s">
        <v>531</v>
      </c>
      <c r="E475" s="4" t="s">
        <v>569</v>
      </c>
      <c r="F475" s="4" t="s">
        <v>1109</v>
      </c>
      <c r="G475" s="14">
        <v>125.64</v>
      </c>
      <c r="H475" s="10">
        <v>9.2370059999999992</v>
      </c>
      <c r="I475" s="10">
        <v>14.724497</v>
      </c>
      <c r="J475" s="10">
        <v>7.8062399999999998</v>
      </c>
      <c r="K475" s="15">
        <v>3.1830000000000001E-3</v>
      </c>
      <c r="L475" s="17">
        <v>11727.777281999999</v>
      </c>
      <c r="M475" s="4" t="s">
        <v>1637</v>
      </c>
      <c r="N475" s="19">
        <v>8.5327190000000002</v>
      </c>
      <c r="O475" s="19">
        <v>9.8560999999999996</v>
      </c>
      <c r="P475" s="19">
        <v>7.81</v>
      </c>
      <c r="Q475" s="19">
        <v>7.7785000000000002</v>
      </c>
      <c r="R475" s="19">
        <v>7.14</v>
      </c>
      <c r="S475" s="19">
        <v>7.8731999999999998</v>
      </c>
      <c r="T475" s="19">
        <v>7.14</v>
      </c>
      <c r="U475" s="19">
        <v>7.2564000000000002</v>
      </c>
      <c r="V475" s="19">
        <v>5.42</v>
      </c>
      <c r="W475" s="19">
        <v>6.2946999999999997</v>
      </c>
      <c r="X475" s="19">
        <v>5.42</v>
      </c>
      <c r="Y475" s="19">
        <v>6.2946999999999997</v>
      </c>
      <c r="Z475" s="4"/>
      <c r="AA475" s="4"/>
      <c r="AB475" s="4" t="e">
        <f ca="1">_xll.ciqfunctions.udf.CIQ("^SPX", "IQ_PRICEDATE", "11/9/2015")</f>
        <v>#NAME?</v>
      </c>
      <c r="AC475" s="16">
        <v>2078.5799955810999</v>
      </c>
    </row>
    <row r="476" spans="1:29" x14ac:dyDescent="0.35">
      <c r="A476" s="2" t="s">
        <v>486</v>
      </c>
      <c r="B476" s="4" t="s">
        <v>1638</v>
      </c>
      <c r="C476" s="4" t="s">
        <v>573</v>
      </c>
      <c r="D476" s="4" t="s">
        <v>579</v>
      </c>
      <c r="E476" s="4" t="s">
        <v>579</v>
      </c>
      <c r="F476" s="4" t="s">
        <v>580</v>
      </c>
      <c r="G476" s="14">
        <v>37.99</v>
      </c>
      <c r="H476" s="10">
        <v>6.8335710000000001</v>
      </c>
      <c r="I476" s="10">
        <v>7.8813599999999999</v>
      </c>
      <c r="J476" s="10">
        <v>0.91294699999999995</v>
      </c>
      <c r="K476" s="15">
        <v>2.7374999999999997E-2</v>
      </c>
      <c r="L476" s="17">
        <v>8308.6141950000001</v>
      </c>
      <c r="M476" s="4" t="s">
        <v>1639</v>
      </c>
      <c r="N476" s="19">
        <v>4.8202340000000001</v>
      </c>
      <c r="O476" s="19">
        <v>5.2515000000000001</v>
      </c>
      <c r="P476" s="19">
        <v>4.37</v>
      </c>
      <c r="Q476" s="19">
        <v>4.3682999999999996</v>
      </c>
      <c r="R476" s="19">
        <v>3.95</v>
      </c>
      <c r="S476" s="19">
        <v>4.0128000000000004</v>
      </c>
      <c r="T476" s="19">
        <v>3.95</v>
      </c>
      <c r="U476" s="19">
        <v>3.7507999999999999</v>
      </c>
      <c r="V476" s="19">
        <v>1.57</v>
      </c>
      <c r="W476" s="19">
        <v>3.5983999999999998</v>
      </c>
      <c r="X476" s="19">
        <v>1.57</v>
      </c>
      <c r="Y476" s="19">
        <v>3.5983999999999998</v>
      </c>
      <c r="Z476" s="4"/>
      <c r="AA476" s="4"/>
      <c r="AB476" s="4" t="e">
        <f ca="1">_xll.ciqfunctions.udf.CIQ("^SPX", "IQ_PRICEDATE", "11/10/2015")</f>
        <v>#NAME?</v>
      </c>
      <c r="AC476" s="16">
        <v>2081.7171869949998</v>
      </c>
    </row>
    <row r="477" spans="1:29" x14ac:dyDescent="0.35">
      <c r="A477" s="2" t="s">
        <v>487</v>
      </c>
      <c r="B477" s="4" t="s">
        <v>1640</v>
      </c>
      <c r="C477" s="4" t="s">
        <v>559</v>
      </c>
      <c r="D477" s="4" t="s">
        <v>912</v>
      </c>
      <c r="E477" s="4" t="s">
        <v>1097</v>
      </c>
      <c r="F477" s="4" t="s">
        <v>1098</v>
      </c>
      <c r="G477" s="14">
        <v>89.28</v>
      </c>
      <c r="H477" s="10">
        <v>22.716733000000001</v>
      </c>
      <c r="I477" s="10">
        <v>32.698134000000003</v>
      </c>
      <c r="J477" s="10" t="s">
        <v>534</v>
      </c>
      <c r="K477" s="15">
        <v>2.0609000000000002E-2</v>
      </c>
      <c r="L477" s="17">
        <v>35396.040044000001</v>
      </c>
      <c r="M477" s="4" t="s">
        <v>1641</v>
      </c>
      <c r="N477" s="19">
        <v>2.7304309999999998</v>
      </c>
      <c r="O477" s="19">
        <v>3.7210999999999999</v>
      </c>
      <c r="P477" s="19">
        <v>1.79</v>
      </c>
      <c r="Q477" s="19">
        <v>0</v>
      </c>
      <c r="R477" s="19">
        <v>2.56</v>
      </c>
      <c r="S477" s="19">
        <v>3.3176000000000001</v>
      </c>
      <c r="T477" s="19">
        <v>2.56</v>
      </c>
      <c r="U477" s="19">
        <v>3.3953000000000002</v>
      </c>
      <c r="V477" s="19">
        <v>2.9210950000000002</v>
      </c>
      <c r="W477" s="19">
        <v>3.3620999999999999</v>
      </c>
      <c r="X477" s="19">
        <v>2.9210950000000002</v>
      </c>
      <c r="Y477" s="19">
        <v>3.3620999999999999</v>
      </c>
      <c r="Z477" s="4"/>
      <c r="AA477" s="4"/>
      <c r="AB477" s="4" t="e">
        <f ca="1">_xll.ciqfunctions.udf.CIQ("^SPX", "IQ_PRICEDATE", "11/11/2015")</f>
        <v>#NAME?</v>
      </c>
      <c r="AC477" s="16">
        <v>2075.0031674296001</v>
      </c>
    </row>
    <row r="478" spans="1:29" x14ac:dyDescent="0.35">
      <c r="A478" s="2" t="s">
        <v>488</v>
      </c>
      <c r="B478" s="4" t="s">
        <v>1642</v>
      </c>
      <c r="C478" s="4" t="s">
        <v>669</v>
      </c>
      <c r="D478" s="4" t="s">
        <v>669</v>
      </c>
      <c r="E478" s="4" t="s">
        <v>670</v>
      </c>
      <c r="F478" s="4" t="s">
        <v>1126</v>
      </c>
      <c r="G478" s="14">
        <v>103.74</v>
      </c>
      <c r="H478" s="10">
        <v>7.8735460000000002</v>
      </c>
      <c r="I478" s="10">
        <v>9.9935130000000001</v>
      </c>
      <c r="J478" s="10">
        <v>2.0416460000000001</v>
      </c>
      <c r="K478" s="15">
        <v>3.0845999999999998E-2</v>
      </c>
      <c r="L478" s="17">
        <v>44338.271321</v>
      </c>
      <c r="M478" s="4" t="s">
        <v>1643</v>
      </c>
      <c r="N478" s="19">
        <v>10.380732999999999</v>
      </c>
      <c r="O478" s="19">
        <v>7.9870000000000001</v>
      </c>
      <c r="P478" s="19">
        <v>9.155405</v>
      </c>
      <c r="Q478" s="19">
        <v>6.4138000000000002</v>
      </c>
      <c r="R478" s="19">
        <v>4.9331889999999996</v>
      </c>
      <c r="S478" s="19">
        <v>5.3204000000000002</v>
      </c>
      <c r="T478" s="19">
        <v>4.9331889999999996</v>
      </c>
      <c r="U478" s="19">
        <v>7.7972999999999999</v>
      </c>
      <c r="V478" s="19">
        <v>6.969811</v>
      </c>
      <c r="W478" s="19">
        <v>5.5865</v>
      </c>
      <c r="X478" s="19">
        <v>6.969811</v>
      </c>
      <c r="Y478" s="19">
        <v>5.5865</v>
      </c>
      <c r="Z478" s="4"/>
      <c r="AA478" s="4"/>
      <c r="AB478" s="4" t="e">
        <f ca="1">_xll.ciqfunctions.udf.CIQ("^SPX", "IQ_PRICEDATE", "11/12/2015")</f>
        <v>#NAME?</v>
      </c>
      <c r="AC478" s="16">
        <v>2045.9655657082999</v>
      </c>
    </row>
    <row r="479" spans="1:29" x14ac:dyDescent="0.35">
      <c r="A479" s="2" t="s">
        <v>489</v>
      </c>
      <c r="B479" s="4" t="s">
        <v>1644</v>
      </c>
      <c r="C479" s="4" t="s">
        <v>530</v>
      </c>
      <c r="D479" s="4" t="s">
        <v>531</v>
      </c>
      <c r="E479" s="4" t="s">
        <v>532</v>
      </c>
      <c r="F479" s="4" t="s">
        <v>533</v>
      </c>
      <c r="G479" s="14">
        <v>108.65</v>
      </c>
      <c r="H479" s="10">
        <v>15.774485</v>
      </c>
      <c r="I479" s="10">
        <v>70.377876999999998</v>
      </c>
      <c r="J479" s="10">
        <v>8.4399990000000003</v>
      </c>
      <c r="K479" s="15">
        <v>0</v>
      </c>
      <c r="L479" s="17">
        <v>9946.6328329999997</v>
      </c>
      <c r="M479" s="4" t="s">
        <v>1645</v>
      </c>
      <c r="N479" s="19">
        <v>1.543809</v>
      </c>
      <c r="O479" s="19">
        <v>4.6231</v>
      </c>
      <c r="P479" s="19">
        <v>1.4744889999999999</v>
      </c>
      <c r="Q479" s="19">
        <v>4.3349200000000003</v>
      </c>
      <c r="R479" s="19">
        <v>2.7396310000000001</v>
      </c>
      <c r="S479" s="19">
        <v>4.9473099999999999</v>
      </c>
      <c r="T479" s="19">
        <v>2.7396310000000001</v>
      </c>
      <c r="U479" s="19">
        <v>4.4569799999999997</v>
      </c>
      <c r="V479" s="19">
        <v>3.83</v>
      </c>
      <c r="W479" s="19">
        <v>4.28667</v>
      </c>
      <c r="X479" s="19">
        <v>3.83</v>
      </c>
      <c r="Y479" s="19">
        <v>4.28667</v>
      </c>
      <c r="Z479" s="4"/>
      <c r="AA479" s="4"/>
      <c r="AB479" s="4" t="e">
        <f ca="1">_xll.ciqfunctions.udf.CIQ("^SPX", "IQ_PRICEDATE", "11/13/2015")</f>
        <v>#NAME?</v>
      </c>
      <c r="AC479" s="16">
        <v>2023.0394329712001</v>
      </c>
    </row>
    <row r="480" spans="1:29" x14ac:dyDescent="0.35">
      <c r="A480" s="2" t="s">
        <v>490</v>
      </c>
      <c r="B480" s="4" t="s">
        <v>1646</v>
      </c>
      <c r="C480" s="4" t="s">
        <v>601</v>
      </c>
      <c r="D480" s="4" t="s">
        <v>601</v>
      </c>
      <c r="E480" s="4" t="s">
        <v>602</v>
      </c>
      <c r="F480" s="4" t="s">
        <v>1112</v>
      </c>
      <c r="G480" s="14">
        <v>55.34</v>
      </c>
      <c r="H480" s="10">
        <v>16.212135</v>
      </c>
      <c r="I480" s="10">
        <v>15.912929999999999</v>
      </c>
      <c r="J480" s="10">
        <v>2.210531</v>
      </c>
      <c r="K480" s="15">
        <v>5.7100999999999999E-2</v>
      </c>
      <c r="L480" s="17">
        <v>19725.335310999999</v>
      </c>
      <c r="M480" s="4" t="s">
        <v>1647</v>
      </c>
      <c r="N480" s="19">
        <v>3.4776750000000001</v>
      </c>
      <c r="O480" s="19">
        <v>1.458</v>
      </c>
      <c r="P480" s="19">
        <v>3.7803059999999999</v>
      </c>
      <c r="Q480" s="19">
        <v>2.1423999999999999</v>
      </c>
      <c r="R480" s="19">
        <v>1.862646</v>
      </c>
      <c r="S480" s="19">
        <v>1.7329000000000001</v>
      </c>
      <c r="T480" s="19">
        <v>1.862646</v>
      </c>
      <c r="U480" s="19">
        <v>2.2925</v>
      </c>
      <c r="V480" s="19">
        <v>1.26</v>
      </c>
      <c r="W480" s="19">
        <v>1.7635000000000001</v>
      </c>
      <c r="X480" s="19">
        <v>1.26</v>
      </c>
      <c r="Y480" s="19">
        <v>1.7635000000000001</v>
      </c>
      <c r="Z480" s="4"/>
      <c r="AA480" s="4"/>
      <c r="AB480" s="4" t="e">
        <f ca="1">_xll.ciqfunctions.udf.CIQ("^SPX", "IQ_PRICEDATE", "11/16/2015")</f>
        <v>#NAME?</v>
      </c>
      <c r="AC480" s="16">
        <v>2053.1850023665002</v>
      </c>
    </row>
    <row r="481" spans="1:29" x14ac:dyDescent="0.35">
      <c r="A481" s="2" t="s">
        <v>491</v>
      </c>
      <c r="B481" s="4" t="s">
        <v>1648</v>
      </c>
      <c r="C481" s="4" t="s">
        <v>543</v>
      </c>
      <c r="D481" s="4" t="s">
        <v>544</v>
      </c>
      <c r="E481" s="4" t="s">
        <v>545</v>
      </c>
      <c r="F481" s="4" t="s">
        <v>591</v>
      </c>
      <c r="G481" s="14">
        <v>145.88999999999999</v>
      </c>
      <c r="H481" s="10">
        <v>23.443836000000001</v>
      </c>
      <c r="I481" s="10">
        <v>37.612108999999997</v>
      </c>
      <c r="J481" s="10" t="s">
        <v>534</v>
      </c>
      <c r="K481" s="15">
        <v>0</v>
      </c>
      <c r="L481" s="17">
        <v>17786.702219999999</v>
      </c>
      <c r="M481" s="4" t="s">
        <v>1649</v>
      </c>
      <c r="N481" s="19">
        <v>3.8788040000000001</v>
      </c>
      <c r="O481" s="19">
        <v>4.9401999999999999</v>
      </c>
      <c r="P481" s="19">
        <v>3.68</v>
      </c>
      <c r="Q481" s="19">
        <v>4.1257000000000001</v>
      </c>
      <c r="R481" s="19">
        <v>3.42</v>
      </c>
      <c r="S481" s="19">
        <v>3.7134999999999998</v>
      </c>
      <c r="T481" s="19">
        <v>3.42</v>
      </c>
      <c r="U481" s="19">
        <v>3.3492999999999999</v>
      </c>
      <c r="V481" s="19">
        <v>2.52</v>
      </c>
      <c r="W481" s="19">
        <v>2.9845999999999999</v>
      </c>
      <c r="X481" s="19">
        <v>2.52</v>
      </c>
      <c r="Y481" s="19">
        <v>2.9845999999999999</v>
      </c>
      <c r="Z481" s="4"/>
      <c r="AA481" s="4"/>
      <c r="AB481" s="4" t="e">
        <f ca="1">_xll.ciqfunctions.udf.CIQ("^SPX", "IQ_PRICEDATE", "11/17/2015")</f>
        <v>#NAME?</v>
      </c>
      <c r="AC481" s="16">
        <v>2050.4358729730002</v>
      </c>
    </row>
    <row r="482" spans="1:29" x14ac:dyDescent="0.35">
      <c r="A482" s="2" t="s">
        <v>492</v>
      </c>
      <c r="B482" s="4" t="s">
        <v>1650</v>
      </c>
      <c r="C482" s="4" t="s">
        <v>525</v>
      </c>
      <c r="D482" s="4" t="s">
        <v>855</v>
      </c>
      <c r="E482" s="4" t="s">
        <v>990</v>
      </c>
      <c r="F482" s="4" t="s">
        <v>991</v>
      </c>
      <c r="G482" s="14">
        <v>117.08</v>
      </c>
      <c r="H482" s="10">
        <v>20.977004000000001</v>
      </c>
      <c r="I482" s="10">
        <v>32.241213000000002</v>
      </c>
      <c r="J482" s="10" t="s">
        <v>534</v>
      </c>
      <c r="K482" s="15">
        <v>0</v>
      </c>
      <c r="L482" s="17">
        <v>19284.06076</v>
      </c>
      <c r="M482" s="4" t="s">
        <v>1651</v>
      </c>
      <c r="N482" s="19">
        <v>3.6313770000000001</v>
      </c>
      <c r="O482" s="19">
        <v>4.3449</v>
      </c>
      <c r="P482" s="19">
        <v>3.29</v>
      </c>
      <c r="Q482" s="19">
        <v>3.4033000000000002</v>
      </c>
      <c r="R482" s="19">
        <v>2.639999</v>
      </c>
      <c r="S482" s="19">
        <v>3.2696999999999998</v>
      </c>
      <c r="T482" s="19">
        <v>2.639999</v>
      </c>
      <c r="U482" s="19">
        <v>3.1248</v>
      </c>
      <c r="V482" s="19">
        <v>2.0999989999999999</v>
      </c>
      <c r="W482" s="19">
        <v>2.6181999999999999</v>
      </c>
      <c r="X482" s="19">
        <v>2.0999989999999999</v>
      </c>
      <c r="Y482" s="19">
        <v>2.6181999999999999</v>
      </c>
      <c r="Z482" s="4"/>
      <c r="AA482" s="4"/>
      <c r="AB482" s="4" t="e">
        <f ca="1">_xll.ciqfunctions.udf.CIQ("^SPX", "IQ_PRICEDATE", "11/18/2015")</f>
        <v>#NAME?</v>
      </c>
      <c r="AC482" s="16">
        <v>2083.5810116775001</v>
      </c>
    </row>
    <row r="483" spans="1:29" x14ac:dyDescent="0.35">
      <c r="A483" s="2" t="s">
        <v>493</v>
      </c>
      <c r="B483" s="4" t="s">
        <v>1652</v>
      </c>
      <c r="C483" s="4" t="s">
        <v>549</v>
      </c>
      <c r="D483" s="4" t="s">
        <v>713</v>
      </c>
      <c r="E483" s="4" t="s">
        <v>714</v>
      </c>
      <c r="F483" s="4" t="s">
        <v>715</v>
      </c>
      <c r="G483" s="14">
        <v>53.96</v>
      </c>
      <c r="H483" s="10">
        <v>7.2628959999999996</v>
      </c>
      <c r="I483" s="10">
        <v>7.1606040000000002</v>
      </c>
      <c r="J483" s="10" t="s">
        <v>534</v>
      </c>
      <c r="K483" s="15">
        <v>4.4662E-2</v>
      </c>
      <c r="L483" s="17">
        <v>222959.24530000001</v>
      </c>
      <c r="M483" s="4" t="s">
        <v>1653</v>
      </c>
      <c r="N483" s="19">
        <v>7.5356769999999997</v>
      </c>
      <c r="O483" s="19">
        <v>4.6574999999999998</v>
      </c>
      <c r="P483" s="19">
        <v>7.36</v>
      </c>
      <c r="Q483" s="19">
        <v>3.8620000000000001</v>
      </c>
      <c r="R483" s="19">
        <v>3.21</v>
      </c>
      <c r="S483" s="19">
        <v>3.9784000000000002</v>
      </c>
      <c r="T483" s="19">
        <v>3.21</v>
      </c>
      <c r="U483" s="19">
        <v>3.9689999999999999</v>
      </c>
      <c r="V483" s="19">
        <v>2.42</v>
      </c>
      <c r="W483" s="19">
        <v>3.6232000000000002</v>
      </c>
      <c r="X483" s="19">
        <v>2.42</v>
      </c>
      <c r="Y483" s="19">
        <v>3.6232000000000002</v>
      </c>
      <c r="Z483" s="4"/>
      <c r="AA483" s="4"/>
      <c r="AB483" s="4" t="e">
        <f ca="1">_xll.ciqfunctions.udf.CIQ("^SPX", "IQ_PRICEDATE", "11/19/2015")</f>
        <v>#NAME?</v>
      </c>
      <c r="AC483" s="16">
        <v>2081.2376959506</v>
      </c>
    </row>
    <row r="484" spans="1:29" x14ac:dyDescent="0.35">
      <c r="A484" s="2" t="s">
        <v>494</v>
      </c>
      <c r="B484" s="4" t="s">
        <v>1654</v>
      </c>
      <c r="C484" s="4" t="s">
        <v>530</v>
      </c>
      <c r="D484" s="4" t="s">
        <v>537</v>
      </c>
      <c r="E484" s="4" t="s">
        <v>538</v>
      </c>
      <c r="F484" s="4" t="s">
        <v>538</v>
      </c>
      <c r="G484" s="14">
        <v>185.48</v>
      </c>
      <c r="H484" s="10">
        <v>77.546757999999997</v>
      </c>
      <c r="I484" s="10">
        <v>114.964044</v>
      </c>
      <c r="J484" s="10">
        <v>18.135213</v>
      </c>
      <c r="K484" s="15">
        <v>0</v>
      </c>
      <c r="L484" s="17">
        <v>47401.257486000002</v>
      </c>
      <c r="M484" s="4" t="s">
        <v>1655</v>
      </c>
      <c r="N484" s="19">
        <v>1.6133740000000001</v>
      </c>
      <c r="O484" s="19">
        <v>4.2511000000000001</v>
      </c>
      <c r="P484" s="19">
        <v>1.0393760000000001</v>
      </c>
      <c r="Q484" s="19">
        <v>2.4992999999999999</v>
      </c>
      <c r="R484" s="19">
        <v>-0.46</v>
      </c>
      <c r="S484" s="19">
        <v>1.4767999999999999</v>
      </c>
      <c r="T484" s="19">
        <v>-0.46</v>
      </c>
      <c r="U484" s="19">
        <v>2.0221</v>
      </c>
      <c r="V484" s="19">
        <v>-3.14</v>
      </c>
      <c r="W484" s="19">
        <v>-1.1392</v>
      </c>
      <c r="X484" s="19">
        <v>-3.14</v>
      </c>
      <c r="Y484" s="19">
        <v>-1.1392</v>
      </c>
      <c r="Z484" s="4"/>
      <c r="AA484" s="4"/>
      <c r="AB484" s="4" t="e">
        <f ca="1">_xll.ciqfunctions.udf.CIQ("^SPX", "IQ_PRICEDATE", "11/20/2015")</f>
        <v>#NAME?</v>
      </c>
      <c r="AC484" s="16">
        <v>2089.1662231912001</v>
      </c>
    </row>
    <row r="485" spans="1:29" x14ac:dyDescent="0.35">
      <c r="A485" s="2" t="s">
        <v>495</v>
      </c>
      <c r="B485" s="4" t="s">
        <v>1656</v>
      </c>
      <c r="C485" s="4" t="s">
        <v>549</v>
      </c>
      <c r="D485" s="4" t="s">
        <v>550</v>
      </c>
      <c r="E485" s="4" t="s">
        <v>551</v>
      </c>
      <c r="F485" s="4" t="s">
        <v>1319</v>
      </c>
      <c r="G485" s="14">
        <v>33.409999999999997</v>
      </c>
      <c r="H485" s="10">
        <v>7.8846720000000001</v>
      </c>
      <c r="I485" s="10">
        <v>6.8094950000000001</v>
      </c>
      <c r="J485" s="10" t="s">
        <v>534</v>
      </c>
      <c r="K485" s="15">
        <v>2.3944E-2</v>
      </c>
      <c r="L485" s="17">
        <v>13601.552202000001</v>
      </c>
      <c r="M485" s="4" t="s">
        <v>1657</v>
      </c>
      <c r="N485" s="19">
        <v>4.9063840000000001</v>
      </c>
      <c r="O485" s="19">
        <v>4.2169999999999996</v>
      </c>
      <c r="P485" s="19">
        <v>4.9987180000000002</v>
      </c>
      <c r="Q485" s="19">
        <v>3.71123</v>
      </c>
      <c r="R485" s="19">
        <v>3.479705</v>
      </c>
      <c r="S485" s="19">
        <v>3.8408199999999999</v>
      </c>
      <c r="T485" s="19">
        <v>3.479705</v>
      </c>
      <c r="U485" s="19">
        <v>5.8085000000000004</v>
      </c>
      <c r="V485" s="19">
        <v>5.4438579999999996</v>
      </c>
      <c r="W485" s="19">
        <v>5.9686500000000002</v>
      </c>
      <c r="X485" s="19">
        <v>5.4438579999999996</v>
      </c>
      <c r="Y485" s="19">
        <v>5.9686500000000002</v>
      </c>
      <c r="Z485" s="4"/>
      <c r="AA485" s="4"/>
      <c r="AB485" s="4" t="e">
        <f ca="1">_xll.ciqfunctions.udf.CIQ("^SPX", "IQ_PRICEDATE", "11/23/2015")</f>
        <v>#NAME?</v>
      </c>
      <c r="AC485" s="16">
        <v>2086.5899735126</v>
      </c>
    </row>
    <row r="486" spans="1:29" x14ac:dyDescent="0.35">
      <c r="A486" s="2" t="s">
        <v>496</v>
      </c>
      <c r="B486" s="4" t="s">
        <v>1658</v>
      </c>
      <c r="C486" s="4" t="s">
        <v>543</v>
      </c>
      <c r="D486" s="4" t="s">
        <v>544</v>
      </c>
      <c r="E486" s="4" t="s">
        <v>545</v>
      </c>
      <c r="F486" s="4" t="s">
        <v>616</v>
      </c>
      <c r="G486" s="14">
        <v>142.44999999999999</v>
      </c>
      <c r="H486" s="10">
        <v>23.925962999999999</v>
      </c>
      <c r="I486" s="10">
        <v>34.781806000000003</v>
      </c>
      <c r="J486" s="10" t="s">
        <v>534</v>
      </c>
      <c r="K486" s="15">
        <v>5.8960000000000002E-3</v>
      </c>
      <c r="L486" s="17">
        <v>316967.62491200003</v>
      </c>
      <c r="M486" s="4" t="s">
        <v>1659</v>
      </c>
      <c r="N486" s="19">
        <v>4.0955320000000004</v>
      </c>
      <c r="O486" s="19">
        <v>5.0887000000000002</v>
      </c>
      <c r="P486" s="19">
        <v>3.0100920000000002</v>
      </c>
      <c r="Q486" s="19">
        <v>4.0919999999999996</v>
      </c>
      <c r="R486" s="19">
        <v>2.534287</v>
      </c>
      <c r="S486" s="19">
        <v>3.2856100000000001</v>
      </c>
      <c r="T486" s="19">
        <v>2.534287</v>
      </c>
      <c r="U486" s="19">
        <v>2.86551</v>
      </c>
      <c r="V486" s="19">
        <v>2.2663869999999999</v>
      </c>
      <c r="W486" s="19">
        <v>2.6007699999999998</v>
      </c>
      <c r="X486" s="19">
        <v>2.2663869999999999</v>
      </c>
      <c r="Y486" s="19">
        <v>2.6007699999999998</v>
      </c>
      <c r="Z486" s="4"/>
      <c r="AA486" s="4"/>
      <c r="AB486" s="4" t="e">
        <f ca="1">_xll.ciqfunctions.udf.CIQ("^SPX", "IQ_PRICEDATE", "11/24/2015")</f>
        <v>#NAME?</v>
      </c>
      <c r="AC486" s="16">
        <v>2089.1399159965999</v>
      </c>
    </row>
    <row r="487" spans="1:29" x14ac:dyDescent="0.35">
      <c r="A487" s="2" t="s">
        <v>497</v>
      </c>
      <c r="B487" s="4" t="s">
        <v>1660</v>
      </c>
      <c r="C487" s="4" t="s">
        <v>601</v>
      </c>
      <c r="D487" s="4" t="s">
        <v>601</v>
      </c>
      <c r="E487" s="4" t="s">
        <v>602</v>
      </c>
      <c r="F487" s="4" t="s">
        <v>603</v>
      </c>
      <c r="G487" s="14">
        <v>68.349999999999994</v>
      </c>
      <c r="H487" s="10">
        <v>24.936315</v>
      </c>
      <c r="I487" s="10">
        <v>94.639275999999995</v>
      </c>
      <c r="J487" s="10">
        <v>4.0080280000000004</v>
      </c>
      <c r="K487" s="15">
        <v>3.6868999999999999E-2</v>
      </c>
      <c r="L487" s="17">
        <v>13002.764361</v>
      </c>
      <c r="M487" s="4" t="s">
        <v>1661</v>
      </c>
      <c r="N487" s="19">
        <v>0.72221599999999997</v>
      </c>
      <c r="O487" s="19">
        <v>1.8225</v>
      </c>
      <c r="P487" s="19">
        <v>0.91723699999999997</v>
      </c>
      <c r="Q487" s="19">
        <v>0.87250000000000005</v>
      </c>
      <c r="R487" s="19">
        <v>2.2058330000000002</v>
      </c>
      <c r="S487" s="19">
        <v>1.9</v>
      </c>
      <c r="T487" s="19">
        <v>2.2058330000000002</v>
      </c>
      <c r="U487" s="19">
        <v>1.8129</v>
      </c>
      <c r="V487" s="19">
        <v>1.0476650000000001</v>
      </c>
      <c r="W487" s="19">
        <v>2.3056000000000001</v>
      </c>
      <c r="X487" s="19">
        <v>1.0476650000000001</v>
      </c>
      <c r="Y487" s="19">
        <v>2.3056000000000001</v>
      </c>
      <c r="Z487" s="4"/>
      <c r="AA487" s="4"/>
      <c r="AB487" s="4" t="e">
        <f ca="1">_xll.ciqfunctions.udf.CIQ("^SPX", "IQ_PRICEDATE", "11/25/2015")</f>
        <v>#NAME?</v>
      </c>
      <c r="AC487" s="16">
        <v>2088.8725782168999</v>
      </c>
    </row>
    <row r="488" spans="1:29" x14ac:dyDescent="0.35">
      <c r="A488" s="2" t="s">
        <v>498</v>
      </c>
      <c r="B488" s="4" t="s">
        <v>1662</v>
      </c>
      <c r="C488" s="4" t="s">
        <v>586</v>
      </c>
      <c r="D488" s="4" t="s">
        <v>586</v>
      </c>
      <c r="E488" s="4" t="s">
        <v>1255</v>
      </c>
      <c r="F488" s="4" t="s">
        <v>1255</v>
      </c>
      <c r="G488" s="14">
        <v>96.23</v>
      </c>
      <c r="H488" s="10">
        <v>15.757125</v>
      </c>
      <c r="I488" s="10">
        <v>19.865272000000001</v>
      </c>
      <c r="J488" s="10">
        <v>18.188842000000001</v>
      </c>
      <c r="K488" s="15">
        <v>1.1637999999999999E-2</v>
      </c>
      <c r="L488" s="17">
        <v>12728.167826999999</v>
      </c>
      <c r="M488" s="4" t="s">
        <v>1663</v>
      </c>
      <c r="N488" s="19">
        <v>4.8441320000000001</v>
      </c>
      <c r="O488" s="19">
        <v>4.5279999999999996</v>
      </c>
      <c r="P488" s="19">
        <v>4.4000000000000004</v>
      </c>
      <c r="Q488" s="19">
        <v>3.6493000000000002</v>
      </c>
      <c r="R488" s="19">
        <v>3.11</v>
      </c>
      <c r="S488" s="19">
        <v>3.8281000000000001</v>
      </c>
      <c r="T488" s="19">
        <v>3.11</v>
      </c>
      <c r="U488" s="19">
        <v>3.0171999999999999</v>
      </c>
      <c r="V488" s="19">
        <v>1.56</v>
      </c>
      <c r="W488" s="19">
        <v>1.6067</v>
      </c>
      <c r="X488" s="19">
        <v>1.56</v>
      </c>
      <c r="Y488" s="19">
        <v>1.6067</v>
      </c>
      <c r="Z488" s="4"/>
      <c r="AA488" s="4"/>
      <c r="AB488" s="4" t="e">
        <f ca="1">_xll.ciqfunctions.udf.CIQ("^SPX", "IQ_PRICEDATE", "11/27/2015")</f>
        <v>#NAME?</v>
      </c>
      <c r="AC488" s="16">
        <v>2090.1067763177998</v>
      </c>
    </row>
    <row r="489" spans="1:29" x14ac:dyDescent="0.35">
      <c r="A489" s="2" t="s">
        <v>499</v>
      </c>
      <c r="B489" s="4" t="s">
        <v>1664</v>
      </c>
      <c r="C489" s="4" t="s">
        <v>525</v>
      </c>
      <c r="D489" s="4" t="s">
        <v>526</v>
      </c>
      <c r="E489" s="4" t="s">
        <v>1023</v>
      </c>
      <c r="F489" s="4" t="s">
        <v>1023</v>
      </c>
      <c r="G489" s="14">
        <v>279.33999999999997</v>
      </c>
      <c r="H489" s="10">
        <v>11.163596</v>
      </c>
      <c r="I489" s="10">
        <v>22.046399999999998</v>
      </c>
      <c r="J489" s="10">
        <v>13.212698</v>
      </c>
      <c r="K489" s="15">
        <v>1.9474000000000002E-2</v>
      </c>
      <c r="L489" s="17">
        <v>15732.558134000001</v>
      </c>
      <c r="M489" s="4" t="s">
        <v>1665</v>
      </c>
      <c r="N489" s="19">
        <v>12.670548999999999</v>
      </c>
      <c r="O489" s="19">
        <v>16.826599999999999</v>
      </c>
      <c r="P489" s="19">
        <v>10.021217999999999</v>
      </c>
      <c r="Q489" s="19">
        <v>10.725300000000001</v>
      </c>
      <c r="R489" s="19">
        <v>9.8705239999999996</v>
      </c>
      <c r="S489" s="19">
        <v>11.629099999999999</v>
      </c>
      <c r="T489" s="19">
        <v>9.8705239999999996</v>
      </c>
      <c r="U489" s="19">
        <v>11.494400000000001</v>
      </c>
      <c r="V489" s="19">
        <v>11.448254</v>
      </c>
      <c r="W489" s="19">
        <v>13.0946</v>
      </c>
      <c r="X489" s="19">
        <v>11.448254</v>
      </c>
      <c r="Y489" s="19">
        <v>13.0946</v>
      </c>
      <c r="Z489" s="4"/>
      <c r="AA489" s="4"/>
      <c r="AB489" s="4" t="e">
        <f ca="1">_xll.ciqfunctions.udf.CIQ("^SPX", "IQ_PRICEDATE", "11/30/2015")</f>
        <v>#NAME?</v>
      </c>
      <c r="AC489" s="16">
        <v>2080.4068286182001</v>
      </c>
    </row>
    <row r="490" spans="1:29" x14ac:dyDescent="0.35">
      <c r="A490" s="2" t="s">
        <v>500</v>
      </c>
      <c r="B490" s="4" t="s">
        <v>1666</v>
      </c>
      <c r="C490" s="4" t="s">
        <v>626</v>
      </c>
      <c r="D490" s="4" t="s">
        <v>894</v>
      </c>
      <c r="E490" s="4" t="s">
        <v>894</v>
      </c>
      <c r="F490" s="4" t="s">
        <v>1667</v>
      </c>
      <c r="G490" s="14">
        <v>76.98</v>
      </c>
      <c r="H490" s="10">
        <v>10.75353</v>
      </c>
      <c r="I490" s="10">
        <v>15.243563999999999</v>
      </c>
      <c r="J490" s="10" t="s">
        <v>534</v>
      </c>
      <c r="K490" s="15">
        <v>2.2863000000000001E-2</v>
      </c>
      <c r="L490" s="17">
        <v>73066.684288000004</v>
      </c>
      <c r="M490" s="4" t="s">
        <v>1668</v>
      </c>
      <c r="N490" s="19">
        <v>5.05</v>
      </c>
      <c r="O490" s="19">
        <v>6.4755200000000004</v>
      </c>
      <c r="P490" s="19">
        <v>3.6254430000000002</v>
      </c>
      <c r="Q490" s="19">
        <v>5.5603199999999999</v>
      </c>
      <c r="R490" s="19">
        <v>3.779487</v>
      </c>
      <c r="S490" s="19">
        <v>5.0083799999999998</v>
      </c>
      <c r="T490" s="19">
        <v>3.779487</v>
      </c>
      <c r="U490" s="19">
        <v>4.43675</v>
      </c>
      <c r="V490" s="19">
        <v>2.1374249999999999</v>
      </c>
      <c r="W490" s="19">
        <v>3.7660999999999998</v>
      </c>
      <c r="X490" s="19">
        <v>2.1374249999999999</v>
      </c>
      <c r="Y490" s="19">
        <v>3.7660999999999998</v>
      </c>
      <c r="Z490" s="4"/>
      <c r="AA490" s="4"/>
      <c r="AB490" s="4" t="e">
        <f ca="1">_xll.ciqfunctions.udf.CIQ("^SPX", "IQ_PRICEDATE", "12/1/2015")</f>
        <v>#NAME?</v>
      </c>
      <c r="AC490" s="16">
        <v>2102.6326700487998</v>
      </c>
    </row>
    <row r="491" spans="1:29" x14ac:dyDescent="0.35">
      <c r="A491" s="2" t="s">
        <v>501</v>
      </c>
      <c r="B491" s="4" t="s">
        <v>1669</v>
      </c>
      <c r="C491" s="4" t="s">
        <v>626</v>
      </c>
      <c r="D491" s="4" t="s">
        <v>894</v>
      </c>
      <c r="E491" s="4" t="s">
        <v>894</v>
      </c>
      <c r="F491" s="4" t="s">
        <v>895</v>
      </c>
      <c r="G491" s="14">
        <v>96.56</v>
      </c>
      <c r="H491" s="10">
        <v>9.9191029999999998</v>
      </c>
      <c r="I491" s="10">
        <v>55.231521999999998</v>
      </c>
      <c r="J491" s="10">
        <v>5.3126550000000003</v>
      </c>
      <c r="K491" s="15">
        <v>2.1541000000000001E-2</v>
      </c>
      <c r="L491" s="17">
        <v>282798.610659</v>
      </c>
      <c r="M491" s="4" t="s">
        <v>1670</v>
      </c>
      <c r="N491" s="19">
        <v>1.7482770000000001</v>
      </c>
      <c r="O491" s="19">
        <v>4.6669999999999998</v>
      </c>
      <c r="P491" s="19">
        <v>3.7670509999999999</v>
      </c>
      <c r="Q491" s="19">
        <v>4.6426999999999996</v>
      </c>
      <c r="R491" s="19">
        <v>4.6100260000000004</v>
      </c>
      <c r="S491" s="19">
        <v>4.2832999999999997</v>
      </c>
      <c r="T491" s="19">
        <v>4.6100260000000004</v>
      </c>
      <c r="U491" s="19">
        <v>4.2538999999999998</v>
      </c>
      <c r="V491" s="19">
        <v>4.750127</v>
      </c>
      <c r="W491" s="19">
        <v>5.1368999999999998</v>
      </c>
      <c r="X491" s="19">
        <v>4.750127</v>
      </c>
      <c r="Y491" s="19">
        <v>5.1368999999999998</v>
      </c>
      <c r="Z491" s="4"/>
      <c r="AA491" s="4"/>
      <c r="AB491" s="4" t="e">
        <f ca="1">_xll.ciqfunctions.udf.CIQ("^SPX", "IQ_PRICEDATE", "12/2/2015")</f>
        <v>#NAME?</v>
      </c>
      <c r="AC491" s="16">
        <v>2079.5062206969001</v>
      </c>
    </row>
    <row r="492" spans="1:29" x14ac:dyDescent="0.35">
      <c r="A492" s="2" t="s">
        <v>502</v>
      </c>
      <c r="B492" s="4" t="s">
        <v>1671</v>
      </c>
      <c r="C492" s="4" t="s">
        <v>525</v>
      </c>
      <c r="D492" s="4" t="s">
        <v>855</v>
      </c>
      <c r="E492" s="4" t="s">
        <v>856</v>
      </c>
      <c r="F492" s="4" t="s">
        <v>1450</v>
      </c>
      <c r="G492" s="14">
        <v>90.14</v>
      </c>
      <c r="H492" s="10">
        <v>11.949517</v>
      </c>
      <c r="I492" s="10">
        <v>18.051817</v>
      </c>
      <c r="J492" s="10" t="s">
        <v>534</v>
      </c>
      <c r="K492" s="15">
        <v>2.0634E-2</v>
      </c>
      <c r="L492" s="17">
        <v>38644.546774000002</v>
      </c>
      <c r="M492" s="4" t="s">
        <v>1672</v>
      </c>
      <c r="N492" s="19">
        <v>4.9934029999999998</v>
      </c>
      <c r="O492" s="19">
        <v>4.2054999999999998</v>
      </c>
      <c r="P492" s="19">
        <v>4.41</v>
      </c>
      <c r="Q492" s="19">
        <v>3.4104999999999999</v>
      </c>
      <c r="R492" s="19">
        <v>2.65</v>
      </c>
      <c r="S492" s="19">
        <v>3.0979000000000001</v>
      </c>
      <c r="T492" s="19">
        <v>2.65</v>
      </c>
      <c r="U492" s="19">
        <v>2.7223999999999999</v>
      </c>
      <c r="V492" s="19">
        <v>2.79</v>
      </c>
      <c r="W492" s="19">
        <v>2.4539</v>
      </c>
      <c r="X492" s="19">
        <v>2.79</v>
      </c>
      <c r="Y492" s="19">
        <v>2.4539</v>
      </c>
      <c r="Z492" s="4"/>
      <c r="AA492" s="4"/>
      <c r="AB492" s="4" t="e">
        <f ca="1">_xll.ciqfunctions.udf.CIQ("^SPX", "IQ_PRICEDATE", "12/3/2015")</f>
        <v>#NAME?</v>
      </c>
      <c r="AC492" s="16">
        <v>2049.6156274238001</v>
      </c>
    </row>
    <row r="493" spans="1:29" x14ac:dyDescent="0.35">
      <c r="A493" s="2" t="s">
        <v>503</v>
      </c>
      <c r="B493" s="4" t="s">
        <v>1673</v>
      </c>
      <c r="C493" s="4" t="s">
        <v>530</v>
      </c>
      <c r="D493" s="4" t="s">
        <v>537</v>
      </c>
      <c r="E493" s="4" t="s">
        <v>583</v>
      </c>
      <c r="F493" s="4" t="s">
        <v>583</v>
      </c>
      <c r="G493" s="14">
        <v>188.98</v>
      </c>
      <c r="H493" s="10">
        <v>16.346229999999998</v>
      </c>
      <c r="I493" s="10">
        <v>297.58146099999999</v>
      </c>
      <c r="J493" s="10">
        <v>10.402588</v>
      </c>
      <c r="K493" s="15">
        <v>0</v>
      </c>
      <c r="L493" s="17">
        <v>14564.122227</v>
      </c>
      <c r="M493" s="4" t="s">
        <v>1674</v>
      </c>
      <c r="N493" s="19">
        <v>0.63505299999999998</v>
      </c>
      <c r="O493" s="19">
        <v>8.4959000000000007</v>
      </c>
      <c r="P493" s="19">
        <v>0.25</v>
      </c>
      <c r="Q493" s="19">
        <v>7.8643000000000001</v>
      </c>
      <c r="R493" s="19">
        <v>6.41</v>
      </c>
      <c r="S493" s="19">
        <v>6.9462000000000002</v>
      </c>
      <c r="T493" s="19">
        <v>6.41</v>
      </c>
      <c r="U493" s="19">
        <v>6.2279999999999998</v>
      </c>
      <c r="V493" s="19">
        <v>5.07</v>
      </c>
      <c r="W493" s="19">
        <v>5.7339000000000002</v>
      </c>
      <c r="X493" s="19">
        <v>5.07</v>
      </c>
      <c r="Y493" s="19">
        <v>5.7339000000000002</v>
      </c>
      <c r="Z493" s="4"/>
      <c r="AA493" s="4"/>
      <c r="AB493" s="4" t="e">
        <f ca="1">_xll.ciqfunctions.udf.CIQ("^SPX", "IQ_PRICEDATE", "12/4/2015")</f>
        <v>#NAME?</v>
      </c>
      <c r="AC493" s="16">
        <v>2091.6874238329001</v>
      </c>
    </row>
    <row r="494" spans="1:29" x14ac:dyDescent="0.35">
      <c r="A494" s="2" t="s">
        <v>504</v>
      </c>
      <c r="B494" s="4" t="s">
        <v>1675</v>
      </c>
      <c r="C494" s="4" t="s">
        <v>619</v>
      </c>
      <c r="D494" s="4" t="s">
        <v>619</v>
      </c>
      <c r="E494" s="4" t="s">
        <v>634</v>
      </c>
      <c r="F494" s="4" t="s">
        <v>634</v>
      </c>
      <c r="G494" s="14">
        <v>69.260000000000005</v>
      </c>
      <c r="H494" s="10">
        <v>12.406553000000001</v>
      </c>
      <c r="I494" s="10">
        <v>17.314155</v>
      </c>
      <c r="J494" s="10">
        <v>3.2749649999999999</v>
      </c>
      <c r="K494" s="15">
        <v>3.1907999999999999E-2</v>
      </c>
      <c r="L494" s="17">
        <v>21853.846608</v>
      </c>
      <c r="M494" s="4" t="s">
        <v>1676</v>
      </c>
      <c r="N494" s="19">
        <v>4.0001949999999997</v>
      </c>
      <c r="O494" s="19">
        <v>3.1867000000000001</v>
      </c>
      <c r="P494" s="19">
        <v>3.79</v>
      </c>
      <c r="Q494" s="19">
        <v>2.8016999999999999</v>
      </c>
      <c r="R494" s="19">
        <v>2.96</v>
      </c>
      <c r="S494" s="19">
        <v>3.0007999999999999</v>
      </c>
      <c r="T494" s="19">
        <v>2.96</v>
      </c>
      <c r="U494" s="19">
        <v>2.9009999999999998</v>
      </c>
      <c r="V494" s="19">
        <v>2.59</v>
      </c>
      <c r="W494" s="19">
        <v>2.6379999999999999</v>
      </c>
      <c r="X494" s="19">
        <v>2.59</v>
      </c>
      <c r="Y494" s="19">
        <v>2.6379999999999999</v>
      </c>
      <c r="Z494" s="4"/>
      <c r="AA494" s="4"/>
      <c r="AB494" s="4" t="e">
        <f ca="1">_xll.ciqfunctions.udf.CIQ("^SPX", "IQ_PRICEDATE", "12/7/2015")</f>
        <v>#NAME?</v>
      </c>
      <c r="AC494" s="16">
        <v>2077.0715971645</v>
      </c>
    </row>
    <row r="495" spans="1:29" x14ac:dyDescent="0.35">
      <c r="A495" s="2" t="s">
        <v>505</v>
      </c>
      <c r="B495" s="4" t="s">
        <v>1677</v>
      </c>
      <c r="C495" s="4" t="s">
        <v>530</v>
      </c>
      <c r="D495" s="4" t="s">
        <v>531</v>
      </c>
      <c r="E495" s="4" t="s">
        <v>569</v>
      </c>
      <c r="F495" s="4" t="s">
        <v>570</v>
      </c>
      <c r="G495" s="14">
        <v>316.22000000000003</v>
      </c>
      <c r="H495" s="10">
        <v>14.804938999999999</v>
      </c>
      <c r="I495" s="10">
        <v>29.396553999999998</v>
      </c>
      <c r="J495" s="10">
        <v>8.5905140000000006</v>
      </c>
      <c r="K495" s="15">
        <v>0</v>
      </c>
      <c r="L495" s="17">
        <v>15803.066355999999</v>
      </c>
      <c r="M495" s="4" t="s">
        <v>1678</v>
      </c>
      <c r="N495" s="19">
        <v>10.757042999999999</v>
      </c>
      <c r="O495" s="19">
        <v>11.8165</v>
      </c>
      <c r="P495" s="19">
        <v>8.31</v>
      </c>
      <c r="Q495" s="19">
        <v>7.1138000000000003</v>
      </c>
      <c r="R495" s="19">
        <v>5.4299989999999996</v>
      </c>
      <c r="S495" s="19">
        <v>5.7760999999999996</v>
      </c>
      <c r="T495" s="19">
        <v>5.4299989999999996</v>
      </c>
      <c r="U495" s="19">
        <v>4.1718000000000002</v>
      </c>
      <c r="V495" s="19">
        <v>1.439999</v>
      </c>
      <c r="W495" s="19">
        <v>3.2279</v>
      </c>
      <c r="X495" s="19">
        <v>1.439999</v>
      </c>
      <c r="Y495" s="19">
        <v>3.2279</v>
      </c>
      <c r="Z495" s="4"/>
      <c r="AA495" s="4"/>
      <c r="AB495" s="4" t="e">
        <f ca="1">_xll.ciqfunctions.udf.CIQ("^SPX", "IQ_PRICEDATE", "12/8/2015")</f>
        <v>#NAME?</v>
      </c>
      <c r="AC495" s="16">
        <v>2063.5936443579999</v>
      </c>
    </row>
    <row r="496" spans="1:29" x14ac:dyDescent="0.35">
      <c r="A496" s="2" t="s">
        <v>506</v>
      </c>
      <c r="B496" s="4" t="s">
        <v>1679</v>
      </c>
      <c r="C496" s="4" t="s">
        <v>573</v>
      </c>
      <c r="D496" s="4" t="s">
        <v>737</v>
      </c>
      <c r="E496" s="4" t="s">
        <v>737</v>
      </c>
      <c r="F496" s="4" t="s">
        <v>738</v>
      </c>
      <c r="G496" s="14">
        <v>54.46</v>
      </c>
      <c r="H496" s="10">
        <v>0</v>
      </c>
      <c r="I496" s="10">
        <v>12.863689000000001</v>
      </c>
      <c r="J496" s="10">
        <v>1.7036370000000001</v>
      </c>
      <c r="K496" s="15">
        <v>3.1581999999999999E-2</v>
      </c>
      <c r="L496" s="17">
        <v>256591.614565</v>
      </c>
      <c r="M496" s="4" t="s">
        <v>1680</v>
      </c>
      <c r="N496" s="19">
        <v>4.2336220000000004</v>
      </c>
      <c r="O496" s="19">
        <v>4.9833999999999996</v>
      </c>
      <c r="P496" s="19">
        <v>4.0999999999999996</v>
      </c>
      <c r="Q496" s="19">
        <v>4.21</v>
      </c>
      <c r="R496" s="19">
        <v>3.99</v>
      </c>
      <c r="S496" s="19">
        <v>4.0696000000000003</v>
      </c>
      <c r="T496" s="19">
        <v>3.99</v>
      </c>
      <c r="U496" s="19">
        <v>4.3079999999999998</v>
      </c>
      <c r="V496" s="19">
        <v>4.0999999999999996</v>
      </c>
      <c r="W496" s="19">
        <v>4.1635999999999997</v>
      </c>
      <c r="X496" s="19">
        <v>4.0999999999999996</v>
      </c>
      <c r="Y496" s="19">
        <v>4.1635999999999997</v>
      </c>
      <c r="Z496" s="4"/>
      <c r="AA496" s="4"/>
      <c r="AB496" s="4" t="e">
        <f ca="1">_xll.ciqfunctions.udf.CIQ("^SPX", "IQ_PRICEDATE", "12/9/2015")</f>
        <v>#NAME?</v>
      </c>
      <c r="AC496" s="16">
        <v>2047.6231907509</v>
      </c>
    </row>
    <row r="497" spans="1:29" x14ac:dyDescent="0.35">
      <c r="A497" s="2" t="s">
        <v>507</v>
      </c>
      <c r="B497" s="4" t="s">
        <v>1681</v>
      </c>
      <c r="C497" s="4" t="s">
        <v>601</v>
      </c>
      <c r="D497" s="4" t="s">
        <v>601</v>
      </c>
      <c r="E497" s="4" t="s">
        <v>602</v>
      </c>
      <c r="F497" s="4" t="s">
        <v>1112</v>
      </c>
      <c r="G497" s="14">
        <v>63.39</v>
      </c>
      <c r="H497" s="10">
        <v>18.80396</v>
      </c>
      <c r="I497" s="10">
        <v>42.432161000000001</v>
      </c>
      <c r="J497" s="10">
        <v>1.790556</v>
      </c>
      <c r="K497" s="15">
        <v>5.4897999999999995E-2</v>
      </c>
      <c r="L497" s="17">
        <v>23582.841228000001</v>
      </c>
      <c r="M497" s="4" t="s">
        <v>1682</v>
      </c>
      <c r="N497" s="19">
        <v>1.493914</v>
      </c>
      <c r="O497" s="19">
        <v>1.7748999999999999</v>
      </c>
      <c r="P497" s="19">
        <v>1.26</v>
      </c>
      <c r="Q497" s="19">
        <v>1.9384999999999999</v>
      </c>
      <c r="R497" s="19">
        <v>2.81</v>
      </c>
      <c r="S497" s="19">
        <v>2.0253999999999999</v>
      </c>
      <c r="T497" s="19">
        <v>2.81</v>
      </c>
      <c r="U497" s="19">
        <v>2.0743999999999998</v>
      </c>
      <c r="V497" s="19">
        <v>1.43</v>
      </c>
      <c r="W497" s="19">
        <v>1.7971999999999999</v>
      </c>
      <c r="X497" s="19">
        <v>1.43</v>
      </c>
      <c r="Y497" s="19">
        <v>1.7971999999999999</v>
      </c>
      <c r="Z497" s="4"/>
      <c r="AA497" s="4"/>
      <c r="AB497" s="4" t="e">
        <f ca="1">_xll.ciqfunctions.udf.CIQ("^SPX", "IQ_PRICEDATE", "12/10/2015")</f>
        <v>#NAME?</v>
      </c>
      <c r="AC497" s="16">
        <v>2052.2323464843998</v>
      </c>
    </row>
    <row r="498" spans="1:29" x14ac:dyDescent="0.35">
      <c r="A498" s="2" t="s">
        <v>508</v>
      </c>
      <c r="B498" s="4" t="s">
        <v>1683</v>
      </c>
      <c r="C498" s="4" t="s">
        <v>543</v>
      </c>
      <c r="D498" s="4" t="s">
        <v>664</v>
      </c>
      <c r="E498" s="4" t="s">
        <v>688</v>
      </c>
      <c r="F498" s="4" t="s">
        <v>688</v>
      </c>
      <c r="G498" s="14">
        <v>55.76</v>
      </c>
      <c r="H498" s="10">
        <v>3.789034</v>
      </c>
      <c r="I498" s="10">
        <v>25.345454</v>
      </c>
      <c r="J498" s="10" t="s">
        <v>534</v>
      </c>
      <c r="K498" s="15">
        <v>3.5868000000000004E-2</v>
      </c>
      <c r="L498" s="17">
        <v>16181.834591999999</v>
      </c>
      <c r="M498" s="4" t="s">
        <v>1684</v>
      </c>
      <c r="N498" s="19">
        <v>2.2000000000000002</v>
      </c>
      <c r="O498" s="19">
        <v>11.08517</v>
      </c>
      <c r="P498" s="19">
        <v>1.2828569999999999</v>
      </c>
      <c r="Q498" s="19">
        <v>13.1929</v>
      </c>
      <c r="R498" s="19">
        <v>-1.590225</v>
      </c>
      <c r="S498" s="19">
        <v>7.5510000000000002</v>
      </c>
      <c r="T498" s="19">
        <v>-1.590225</v>
      </c>
      <c r="U498" s="19">
        <v>6.4825999999999997</v>
      </c>
      <c r="V498" s="19">
        <v>6.3886539999999998</v>
      </c>
      <c r="W498" s="19">
        <v>8.3619000000000003</v>
      </c>
      <c r="X498" s="19">
        <v>6.3886539999999998</v>
      </c>
      <c r="Y498" s="19">
        <v>8.3619000000000003</v>
      </c>
      <c r="Z498" s="4"/>
      <c r="AA498" s="4"/>
      <c r="AB498" s="4" t="e">
        <f ca="1">_xll.ciqfunctions.udf.CIQ("^SPX", "IQ_PRICEDATE", "12/11/2015")</f>
        <v>#NAME?</v>
      </c>
      <c r="AC498" s="16">
        <v>2012.3736975981999</v>
      </c>
    </row>
    <row r="499" spans="1:29" x14ac:dyDescent="0.35">
      <c r="A499" s="2" t="s">
        <v>509</v>
      </c>
      <c r="B499" s="4" t="s">
        <v>1685</v>
      </c>
      <c r="C499" s="4" t="s">
        <v>586</v>
      </c>
      <c r="D499" s="4" t="s">
        <v>586</v>
      </c>
      <c r="E499" s="4" t="s">
        <v>726</v>
      </c>
      <c r="F499" s="4" t="s">
        <v>727</v>
      </c>
      <c r="G499" s="14">
        <v>43.15</v>
      </c>
      <c r="H499" s="10">
        <v>6.2156349999999998</v>
      </c>
      <c r="I499" s="10">
        <v>6.1487489999999996</v>
      </c>
      <c r="J499" s="10">
        <v>4.1790700000000003</v>
      </c>
      <c r="K499" s="15">
        <v>3.986E-2</v>
      </c>
      <c r="L499" s="17">
        <v>10880.396556</v>
      </c>
      <c r="M499" s="4" t="s">
        <v>1686</v>
      </c>
      <c r="N499" s="19">
        <v>7.0176869999999996</v>
      </c>
      <c r="O499" s="19">
        <v>4.5194000000000001</v>
      </c>
      <c r="P499" s="19">
        <v>6.8642789999999998</v>
      </c>
      <c r="Q499" s="19">
        <v>3.69842</v>
      </c>
      <c r="R499" s="19">
        <v>0.78283700000000001</v>
      </c>
      <c r="S499" s="19">
        <v>2.8839299999999999</v>
      </c>
      <c r="T499" s="19">
        <v>0.78283700000000001</v>
      </c>
      <c r="U499" s="19">
        <v>3.4999799999999999</v>
      </c>
      <c r="V499" s="19">
        <v>3.4198819999999999</v>
      </c>
      <c r="W499" s="19">
        <v>0</v>
      </c>
      <c r="X499" s="19">
        <v>3.4198819999999999</v>
      </c>
      <c r="Y499" s="19">
        <v>0</v>
      </c>
      <c r="Z499" s="4"/>
      <c r="AA499" s="4"/>
      <c r="AB499" s="4" t="e">
        <f ca="1">_xll.ciqfunctions.udf.CIQ("^SPX", "IQ_PRICEDATE", "12/14/2015")</f>
        <v>#NAME?</v>
      </c>
      <c r="AC499" s="16">
        <v>2021.9395528923001</v>
      </c>
    </row>
    <row r="500" spans="1:29" x14ac:dyDescent="0.35">
      <c r="A500" s="2" t="s">
        <v>510</v>
      </c>
      <c r="B500" s="4" t="s">
        <v>1687</v>
      </c>
      <c r="C500" s="4" t="s">
        <v>601</v>
      </c>
      <c r="D500" s="4" t="s">
        <v>601</v>
      </c>
      <c r="E500" s="4" t="s">
        <v>602</v>
      </c>
      <c r="F500" s="4" t="s">
        <v>647</v>
      </c>
      <c r="G500" s="14">
        <v>28.31</v>
      </c>
      <c r="H500" s="10">
        <v>12.434979999999999</v>
      </c>
      <c r="I500" s="10">
        <v>21.777542</v>
      </c>
      <c r="J500" s="10">
        <v>2.3210649999999999</v>
      </c>
      <c r="K500" s="15">
        <v>4.8038999999999998E-2</v>
      </c>
      <c r="L500" s="17">
        <v>21449.908372000002</v>
      </c>
      <c r="M500" s="4" t="s">
        <v>1688</v>
      </c>
      <c r="N500" s="19">
        <v>1.299963</v>
      </c>
      <c r="O500" s="19">
        <v>1.4287000000000001</v>
      </c>
      <c r="P500" s="19">
        <v>0.77</v>
      </c>
      <c r="Q500" s="19">
        <v>1.3319000000000001</v>
      </c>
      <c r="R500" s="19">
        <v>0.54692700000000005</v>
      </c>
      <c r="S500" s="19">
        <v>0.95009999999999994</v>
      </c>
      <c r="T500" s="19">
        <v>0.54692700000000005</v>
      </c>
      <c r="U500" s="19">
        <v>1.3554999999999999</v>
      </c>
      <c r="V500" s="19">
        <v>1.02</v>
      </c>
      <c r="W500" s="19">
        <v>1.5382</v>
      </c>
      <c r="X500" s="19">
        <v>1.02</v>
      </c>
      <c r="Y500" s="19">
        <v>1.5382</v>
      </c>
      <c r="Z500" s="4"/>
      <c r="AA500" s="4"/>
      <c r="AB500" s="4" t="e">
        <f ca="1">_xll.ciqfunctions.udf.CIQ("^SPX", "IQ_PRICEDATE", "12/15/2015")</f>
        <v>#NAME?</v>
      </c>
      <c r="AC500" s="16">
        <v>2043.4090355479</v>
      </c>
    </row>
    <row r="501" spans="1:29" x14ac:dyDescent="0.35">
      <c r="A501" s="2" t="s">
        <v>511</v>
      </c>
      <c r="B501" s="4" t="s">
        <v>1689</v>
      </c>
      <c r="C501" s="4" t="s">
        <v>559</v>
      </c>
      <c r="D501" s="4" t="s">
        <v>912</v>
      </c>
      <c r="E501" s="4" t="s">
        <v>913</v>
      </c>
      <c r="F501" s="4" t="s">
        <v>1690</v>
      </c>
      <c r="G501" s="14">
        <v>108.34</v>
      </c>
      <c r="H501" s="10">
        <v>6.8716980000000003</v>
      </c>
      <c r="I501" s="10" t="s">
        <v>534</v>
      </c>
      <c r="J501" s="10" t="s">
        <v>534</v>
      </c>
      <c r="K501" s="15">
        <v>4.2458000000000003E-2</v>
      </c>
      <c r="L501" s="17">
        <v>6994.7823969999999</v>
      </c>
      <c r="M501" s="4" t="s">
        <v>1691</v>
      </c>
      <c r="N501" s="19">
        <v>-7.8101330000000004</v>
      </c>
      <c r="O501" s="19">
        <v>15.3749</v>
      </c>
      <c r="P501" s="19">
        <v>4.7</v>
      </c>
      <c r="Q501" s="19">
        <v>15.2408</v>
      </c>
      <c r="R501" s="19">
        <v>11.5</v>
      </c>
      <c r="S501" s="19">
        <v>15.3256</v>
      </c>
      <c r="T501" s="19">
        <v>11.5</v>
      </c>
      <c r="U501" s="19">
        <v>13.565</v>
      </c>
      <c r="V501" s="19">
        <v>8.17</v>
      </c>
      <c r="W501" s="19">
        <v>13.270799999999999</v>
      </c>
      <c r="X501" s="19">
        <v>8.17</v>
      </c>
      <c r="Y501" s="19">
        <v>13.270799999999999</v>
      </c>
      <c r="Z501" s="4"/>
      <c r="AA501" s="4"/>
      <c r="AB501" s="4" t="e">
        <f ca="1">_xll.ciqfunctions.udf.CIQ("^SPX", "IQ_PRICEDATE", "12/16/2015")</f>
        <v>#NAME?</v>
      </c>
      <c r="AC501" s="16">
        <v>2073.0661474443</v>
      </c>
    </row>
    <row r="502" spans="1:29" x14ac:dyDescent="0.35">
      <c r="A502" s="2" t="s">
        <v>512</v>
      </c>
      <c r="B502" s="4" t="s">
        <v>1692</v>
      </c>
      <c r="C502" s="4" t="s">
        <v>573</v>
      </c>
      <c r="D502" s="4" t="s">
        <v>579</v>
      </c>
      <c r="E502" s="4" t="s">
        <v>579</v>
      </c>
      <c r="F502" s="4" t="s">
        <v>680</v>
      </c>
      <c r="G502" s="14">
        <v>139.83000000000001</v>
      </c>
      <c r="H502" s="10">
        <v>15.80805</v>
      </c>
      <c r="I502" s="10">
        <v>40.348899000000003</v>
      </c>
      <c r="J502" s="10" t="s">
        <v>534</v>
      </c>
      <c r="K502" s="15">
        <v>1.7162999999999998E-2</v>
      </c>
      <c r="L502" s="17">
        <v>18285.502261000001</v>
      </c>
      <c r="M502" s="4" t="s">
        <v>1693</v>
      </c>
      <c r="N502" s="19">
        <v>3.465522</v>
      </c>
      <c r="O502" s="19">
        <v>9.9396000000000004</v>
      </c>
      <c r="P502" s="19">
        <v>4.18</v>
      </c>
      <c r="Q502" s="19">
        <v>9.4406999999999996</v>
      </c>
      <c r="R502" s="19">
        <v>3.26</v>
      </c>
      <c r="S502" s="19">
        <v>8.0762</v>
      </c>
      <c r="T502" s="19">
        <v>3.26</v>
      </c>
      <c r="U502" s="19">
        <v>0</v>
      </c>
      <c r="V502" s="19">
        <v>5.32</v>
      </c>
      <c r="W502" s="19">
        <v>0</v>
      </c>
      <c r="X502" s="19">
        <v>5.32</v>
      </c>
      <c r="Y502" s="19">
        <v>0</v>
      </c>
      <c r="Z502" s="4"/>
      <c r="AA502" s="4"/>
      <c r="AB502" s="4" t="e">
        <f ca="1">_xll.ciqfunctions.udf.CIQ("^SPX", "IQ_PRICEDATE", "12/17/2015")</f>
        <v>#NAME?</v>
      </c>
      <c r="AC502" s="16">
        <v>2041.887884854</v>
      </c>
    </row>
    <row r="503" spans="1:29" x14ac:dyDescent="0.35">
      <c r="A503" s="2" t="s">
        <v>513</v>
      </c>
      <c r="B503" s="4" t="s">
        <v>1694</v>
      </c>
      <c r="C503" s="4" t="s">
        <v>559</v>
      </c>
      <c r="D503" s="4" t="s">
        <v>798</v>
      </c>
      <c r="E503" s="4" t="s">
        <v>799</v>
      </c>
      <c r="F503" s="4" t="s">
        <v>1278</v>
      </c>
      <c r="G503" s="14">
        <v>118.29</v>
      </c>
      <c r="H503" s="10">
        <v>11.048524</v>
      </c>
      <c r="I503" s="10">
        <v>23.552980999999999</v>
      </c>
      <c r="J503" s="10">
        <v>8.5634069999999998</v>
      </c>
      <c r="K503" s="15">
        <v>2.5360999999999998E-2</v>
      </c>
      <c r="L503" s="17">
        <v>12851.025600000001</v>
      </c>
      <c r="M503" s="4" t="s">
        <v>1695</v>
      </c>
      <c r="N503" s="19">
        <v>5.0222939999999996</v>
      </c>
      <c r="O503" s="19">
        <v>7.5259999999999998</v>
      </c>
      <c r="P503" s="19">
        <v>7.28</v>
      </c>
      <c r="Q503" s="19">
        <v>6.2252000000000001</v>
      </c>
      <c r="R503" s="19">
        <v>2.38</v>
      </c>
      <c r="S503" s="19">
        <v>3.8769999999999998</v>
      </c>
      <c r="T503" s="19">
        <v>2.38</v>
      </c>
      <c r="U503" s="19">
        <v>3.3106</v>
      </c>
      <c r="V503" s="19">
        <v>7.18</v>
      </c>
      <c r="W503" s="19">
        <v>7.8071000000000002</v>
      </c>
      <c r="X503" s="19">
        <v>7.18</v>
      </c>
      <c r="Y503" s="19">
        <v>7.8071000000000002</v>
      </c>
      <c r="Z503" s="4"/>
      <c r="AA503" s="4"/>
      <c r="AB503" s="4" t="e">
        <f ca="1">_xll.ciqfunctions.udf.CIQ("^SPX", "IQ_PRICEDATE", "12/18/2015")</f>
        <v>#NAME?</v>
      </c>
      <c r="AC503" s="16">
        <v>2005.5497169122</v>
      </c>
    </row>
    <row r="504" spans="1:29" x14ac:dyDescent="0.35">
      <c r="A504" s="2" t="s">
        <v>514</v>
      </c>
      <c r="B504" s="4" t="s">
        <v>1696</v>
      </c>
      <c r="C504" s="4" t="s">
        <v>619</v>
      </c>
      <c r="D504" s="4" t="s">
        <v>619</v>
      </c>
      <c r="E504" s="4" t="s">
        <v>620</v>
      </c>
      <c r="F504" s="4" t="s">
        <v>620</v>
      </c>
      <c r="G504" s="14">
        <v>48.24</v>
      </c>
      <c r="H504" s="10">
        <v>10.704734</v>
      </c>
      <c r="I504" s="10">
        <v>19.935523</v>
      </c>
      <c r="J504" s="10">
        <v>2.1072320000000002</v>
      </c>
      <c r="K504" s="15">
        <v>3.1509000000000002E-2</v>
      </c>
      <c r="L504" s="17">
        <v>24558.362042000001</v>
      </c>
      <c r="M504" s="4" t="s">
        <v>1697</v>
      </c>
      <c r="N504" s="19">
        <v>2.4198010000000001</v>
      </c>
      <c r="O504" s="19">
        <v>2.4657</v>
      </c>
      <c r="P504" s="19">
        <v>2.25</v>
      </c>
      <c r="Q504" s="19">
        <v>2.3925000000000001</v>
      </c>
      <c r="R504" s="19">
        <v>2.2071540000000001</v>
      </c>
      <c r="S504" s="19">
        <v>2.3207</v>
      </c>
      <c r="T504" s="19">
        <v>2.2071540000000001</v>
      </c>
      <c r="U504" s="19">
        <v>2.1543999999999999</v>
      </c>
      <c r="V504" s="19">
        <v>2.0270160000000002</v>
      </c>
      <c r="W504" s="19">
        <v>2.1198000000000001</v>
      </c>
      <c r="X504" s="19">
        <v>2.0270160000000002</v>
      </c>
      <c r="Y504" s="19">
        <v>2.1198000000000001</v>
      </c>
      <c r="Z504" s="4"/>
      <c r="AA504" s="4"/>
      <c r="AB504" s="4" t="e">
        <f ca="1">_xll.ciqfunctions.udf.CIQ("^SPX", "IQ_PRICEDATE", "12/21/2015")</f>
        <v>#NAME?</v>
      </c>
      <c r="AC504" s="16">
        <v>2021.149974271</v>
      </c>
    </row>
    <row r="505" spans="1:29" x14ac:dyDescent="0.35">
      <c r="A505" s="2" t="s">
        <v>515</v>
      </c>
      <c r="B505" s="4" t="s">
        <v>1698</v>
      </c>
      <c r="C505" s="4" t="s">
        <v>543</v>
      </c>
      <c r="D505" s="4" t="s">
        <v>664</v>
      </c>
      <c r="E505" s="4" t="s">
        <v>688</v>
      </c>
      <c r="F505" s="4" t="s">
        <v>688</v>
      </c>
      <c r="G505" s="14">
        <v>26.74</v>
      </c>
      <c r="H505" s="10">
        <v>7.9548810000000003</v>
      </c>
      <c r="I505" s="10">
        <v>67.428026000000003</v>
      </c>
      <c r="J505" s="10">
        <v>5.5189490000000001</v>
      </c>
      <c r="K505" s="15">
        <v>3.7397E-2</v>
      </c>
      <c r="L505" s="17">
        <v>6821.4203399999997</v>
      </c>
      <c r="M505" s="4" t="s">
        <v>1699</v>
      </c>
      <c r="N505" s="19">
        <v>0.39657100000000001</v>
      </c>
      <c r="O505" s="19">
        <v>3.3176999999999999</v>
      </c>
      <c r="P505" s="19">
        <v>0.699847</v>
      </c>
      <c r="Q505" s="19">
        <v>3.4445999999999999</v>
      </c>
      <c r="R505" s="19">
        <v>2.33</v>
      </c>
      <c r="S505" s="19">
        <v>4.4778000000000002</v>
      </c>
      <c r="T505" s="19">
        <v>2.33</v>
      </c>
      <c r="U505" s="19">
        <v>3.9329999999999998</v>
      </c>
      <c r="V505" s="19">
        <v>3.44</v>
      </c>
      <c r="W505" s="19">
        <v>4.3785999999999996</v>
      </c>
      <c r="X505" s="19">
        <v>3.44</v>
      </c>
      <c r="Y505" s="19">
        <v>4.3785999999999996</v>
      </c>
      <c r="Z505" s="4"/>
      <c r="AA505" s="4"/>
      <c r="AB505" s="4" t="e">
        <f ca="1">_xll.ciqfunctions.udf.CIQ("^SPX", "IQ_PRICEDATE", "12/22/2015")</f>
        <v>#NAME?</v>
      </c>
      <c r="AC505" s="16">
        <v>2038.9675363017</v>
      </c>
    </row>
    <row r="506" spans="1:29" x14ac:dyDescent="0.35">
      <c r="A506" s="2" t="s">
        <v>516</v>
      </c>
      <c r="B506" s="4" t="s">
        <v>1700</v>
      </c>
      <c r="C506" s="4" t="s">
        <v>543</v>
      </c>
      <c r="D506" s="4" t="s">
        <v>565</v>
      </c>
      <c r="E506" s="4" t="s">
        <v>565</v>
      </c>
      <c r="F506" s="4" t="s">
        <v>566</v>
      </c>
      <c r="G506" s="14">
        <v>77.72</v>
      </c>
      <c r="H506" s="10">
        <v>19.407254999999999</v>
      </c>
      <c r="I506" s="10">
        <v>36.374051000000001</v>
      </c>
      <c r="J506" s="10">
        <v>8.9510799999999993</v>
      </c>
      <c r="K506" s="15">
        <v>1.8527999999999999E-2</v>
      </c>
      <c r="L506" s="17">
        <v>19656.441650000001</v>
      </c>
      <c r="M506" s="4" t="s">
        <v>1701</v>
      </c>
      <c r="N506" s="19">
        <v>2.1366879999999999</v>
      </c>
      <c r="O506" s="19">
        <v>3.0413999999999999</v>
      </c>
      <c r="P506" s="19">
        <v>1.87778</v>
      </c>
      <c r="Q506" s="19">
        <v>2.7130999999999998</v>
      </c>
      <c r="R506" s="19">
        <v>2.2800929999999999</v>
      </c>
      <c r="S506" s="19">
        <v>2.2185000000000001</v>
      </c>
      <c r="T506" s="19">
        <v>2.2800929999999999</v>
      </c>
      <c r="U506" s="19">
        <v>2.0966999999999998</v>
      </c>
      <c r="V506" s="19">
        <v>2.3768690000000001</v>
      </c>
      <c r="W506" s="19">
        <v>2.5421</v>
      </c>
      <c r="X506" s="19">
        <v>2.3768690000000001</v>
      </c>
      <c r="Y506" s="19">
        <v>2.5421</v>
      </c>
      <c r="Z506" s="4"/>
      <c r="AA506" s="4"/>
      <c r="AB506" s="4" t="e">
        <f ca="1">_xll.ciqfunctions.udf.CIQ("^SPX", "IQ_PRICEDATE", "12/23/2015")</f>
        <v>#NAME?</v>
      </c>
      <c r="AC506" s="16">
        <v>2064.2920493832999</v>
      </c>
    </row>
    <row r="507" spans="1:29" x14ac:dyDescent="0.35">
      <c r="A507" s="2" t="s">
        <v>517</v>
      </c>
      <c r="B507" s="4" t="s">
        <v>1702</v>
      </c>
      <c r="C507" s="4" t="s">
        <v>525</v>
      </c>
      <c r="D507" s="4" t="s">
        <v>526</v>
      </c>
      <c r="E507" s="4" t="s">
        <v>803</v>
      </c>
      <c r="F507" s="4" t="s">
        <v>948</v>
      </c>
      <c r="G507" s="14">
        <v>71.34</v>
      </c>
      <c r="H507" s="10">
        <v>17.062275</v>
      </c>
      <c r="I507" s="10">
        <v>34.972456000000001</v>
      </c>
      <c r="J507" s="10" t="s">
        <v>534</v>
      </c>
      <c r="K507" s="15">
        <v>1.1774E-2</v>
      </c>
      <c r="L507" s="17">
        <v>12813.926788999999</v>
      </c>
      <c r="M507" s="4" t="s">
        <v>1703</v>
      </c>
      <c r="N507" s="19">
        <v>2.0398909999999999</v>
      </c>
      <c r="O507" s="19">
        <v>3.1448</v>
      </c>
      <c r="P507" s="19">
        <v>1.83</v>
      </c>
      <c r="Q507" s="19">
        <v>2.7027000000000001</v>
      </c>
      <c r="R507" s="19">
        <v>1.45</v>
      </c>
      <c r="S507" s="19">
        <v>2.2791999999999999</v>
      </c>
      <c r="T507" s="19">
        <v>1.45</v>
      </c>
      <c r="U507" s="19">
        <v>1.9641999999999999</v>
      </c>
      <c r="V507" s="19">
        <v>1.83</v>
      </c>
      <c r="W507" s="19">
        <v>2.0855999999999999</v>
      </c>
      <c r="X507" s="19">
        <v>1.83</v>
      </c>
      <c r="Y507" s="19">
        <v>2.0855999999999999</v>
      </c>
      <c r="Z507" s="4"/>
      <c r="AA507" s="4"/>
      <c r="AB507" s="4" t="e">
        <f ca="1">_xll.ciqfunctions.udf.CIQ("^SPX", "IQ_PRICEDATE", "12/24/2015")</f>
        <v>#NAME?</v>
      </c>
      <c r="AC507" s="16">
        <v>2060.9882998510998</v>
      </c>
    </row>
    <row r="508" spans="1:29" x14ac:dyDescent="0.35">
      <c r="A508" s="2" t="s">
        <v>518</v>
      </c>
      <c r="B508" s="4" t="s">
        <v>1704</v>
      </c>
      <c r="C508" s="4" t="s">
        <v>559</v>
      </c>
      <c r="D508" s="4" t="s">
        <v>798</v>
      </c>
      <c r="E508" s="4" t="s">
        <v>799</v>
      </c>
      <c r="F508" s="4" t="s">
        <v>839</v>
      </c>
      <c r="G508" s="14">
        <v>91.36</v>
      </c>
      <c r="H508" s="10">
        <v>19.761140999999999</v>
      </c>
      <c r="I508" s="10">
        <v>19.427921999999999</v>
      </c>
      <c r="J508" s="10" t="s">
        <v>534</v>
      </c>
      <c r="K508" s="15">
        <v>1.5761000000000001E-2</v>
      </c>
      <c r="L508" s="17">
        <v>28993.615290000002</v>
      </c>
      <c r="M508" s="4" t="s">
        <v>1705</v>
      </c>
      <c r="N508" s="19">
        <v>4.7025100000000002</v>
      </c>
      <c r="O508" s="19">
        <v>3.4847999999999999</v>
      </c>
      <c r="P508" s="19">
        <v>3.77</v>
      </c>
      <c r="Q508" s="19">
        <v>3.0038999999999998</v>
      </c>
      <c r="R508" s="19">
        <v>2.54</v>
      </c>
      <c r="S508" s="19">
        <v>2.6415000000000002</v>
      </c>
      <c r="T508" s="19">
        <v>2.54</v>
      </c>
      <c r="U508" s="19">
        <v>3.3469000000000002</v>
      </c>
      <c r="V508" s="19">
        <v>2.2200000000000002</v>
      </c>
      <c r="W508" s="19">
        <v>3.2593000000000001</v>
      </c>
      <c r="X508" s="19">
        <v>2.2200000000000002</v>
      </c>
      <c r="Y508" s="19">
        <v>3.2593000000000001</v>
      </c>
      <c r="Z508" s="4"/>
      <c r="AA508" s="4"/>
      <c r="AB508" s="4" t="e">
        <f ca="1">_xll.ciqfunctions.udf.CIQ("^SPX", "IQ_PRICEDATE", "12/28/2015")</f>
        <v>#NAME?</v>
      </c>
      <c r="AC508" s="16">
        <v>2056.5007436105002</v>
      </c>
    </row>
    <row r="509" spans="1:29" x14ac:dyDescent="0.35">
      <c r="A509" s="2" t="s">
        <v>519</v>
      </c>
      <c r="B509" s="4" t="s">
        <v>1706</v>
      </c>
      <c r="C509" s="4" t="s">
        <v>530</v>
      </c>
      <c r="D509" s="4" t="s">
        <v>531</v>
      </c>
      <c r="E509" s="4" t="s">
        <v>532</v>
      </c>
      <c r="F509" s="4" t="s">
        <v>533</v>
      </c>
      <c r="G509" s="14">
        <v>128.32</v>
      </c>
      <c r="H509" s="10">
        <v>12.999884</v>
      </c>
      <c r="I509" s="10">
        <v>15.522086</v>
      </c>
      <c r="J509" s="10" t="s">
        <v>534</v>
      </c>
      <c r="K509" s="15">
        <v>7.4809999999999998E-3</v>
      </c>
      <c r="L509" s="17">
        <v>26111.287462</v>
      </c>
      <c r="M509" s="4" t="s">
        <v>1707</v>
      </c>
      <c r="N509" s="19">
        <v>8.2669300000000003</v>
      </c>
      <c r="O509" s="19">
        <v>7.7969999999999997</v>
      </c>
      <c r="P509" s="19">
        <v>8.9</v>
      </c>
      <c r="Q509" s="19">
        <v>8.0152000000000001</v>
      </c>
      <c r="R509" s="19">
        <v>1.51</v>
      </c>
      <c r="S509" s="19">
        <v>8.4641000000000002</v>
      </c>
      <c r="T509" s="19">
        <v>1.51</v>
      </c>
      <c r="U509" s="19">
        <v>7.7148000000000003</v>
      </c>
      <c r="V509" s="19">
        <v>4.2</v>
      </c>
      <c r="W509" s="19">
        <v>6.2442000000000002</v>
      </c>
      <c r="X509" s="19">
        <v>4.2</v>
      </c>
      <c r="Y509" s="19">
        <v>6.2442000000000002</v>
      </c>
      <c r="Z509" s="4"/>
      <c r="AA509" s="4"/>
      <c r="AB509" s="4" t="e">
        <f ca="1">_xll.ciqfunctions.udf.CIQ("^SPX", "IQ_PRICEDATE", "12/29/2015")</f>
        <v>#NAME?</v>
      </c>
      <c r="AC509" s="16">
        <v>2078.3618660811999</v>
      </c>
    </row>
    <row r="510" spans="1:29" x14ac:dyDescent="0.35">
      <c r="A510" s="2" t="s">
        <v>520</v>
      </c>
      <c r="B510" s="4" t="s">
        <v>1708</v>
      </c>
      <c r="C510" s="4" t="s">
        <v>573</v>
      </c>
      <c r="D510" s="4" t="s">
        <v>737</v>
      </c>
      <c r="E510" s="4" t="s">
        <v>737</v>
      </c>
      <c r="F510" s="4" t="s">
        <v>743</v>
      </c>
      <c r="G510" s="14">
        <v>48.44</v>
      </c>
      <c r="H510" s="10">
        <v>0</v>
      </c>
      <c r="I510" s="10">
        <v>14.997112</v>
      </c>
      <c r="J510" s="10">
        <v>1.5670170000000001</v>
      </c>
      <c r="K510" s="15">
        <v>2.4771999999999999E-2</v>
      </c>
      <c r="L510" s="17">
        <v>9416.8721650000007</v>
      </c>
      <c r="M510" s="4" t="s">
        <v>1709</v>
      </c>
      <c r="N510" s="19">
        <v>3.2299549999999999</v>
      </c>
      <c r="O510" s="19">
        <v>3.9287000000000001</v>
      </c>
      <c r="P510" s="19">
        <v>2.6</v>
      </c>
      <c r="Q510" s="19">
        <v>3.0489000000000002</v>
      </c>
      <c r="R510" s="19">
        <v>1.99</v>
      </c>
      <c r="S510" s="19">
        <v>2.2408000000000001</v>
      </c>
      <c r="T510" s="19">
        <v>1.99</v>
      </c>
      <c r="U510" s="19">
        <v>1.8608</v>
      </c>
      <c r="V510" s="19">
        <v>1.68</v>
      </c>
      <c r="W510" s="19">
        <v>1.6911</v>
      </c>
      <c r="X510" s="19">
        <v>1.68</v>
      </c>
      <c r="Y510" s="19">
        <v>1.6911</v>
      </c>
      <c r="Z510" s="4"/>
      <c r="AA510" s="4"/>
      <c r="AB510" s="4" t="e">
        <f ca="1">_xll.ciqfunctions.udf.CIQ("^SPX", "IQ_PRICEDATE", "12/30/2015")</f>
        <v>#NAME?</v>
      </c>
      <c r="AC510" s="16">
        <v>2063.3552153075002</v>
      </c>
    </row>
    <row r="511" spans="1:29" x14ac:dyDescent="0.35">
      <c r="A511" s="2" t="s">
        <v>521</v>
      </c>
      <c r="B511" s="4" t="s">
        <v>1710</v>
      </c>
      <c r="C511" s="4" t="s">
        <v>530</v>
      </c>
      <c r="D511" s="4" t="s">
        <v>537</v>
      </c>
      <c r="E511" s="4" t="s">
        <v>613</v>
      </c>
      <c r="F511" s="4" t="s">
        <v>613</v>
      </c>
      <c r="G511" s="14">
        <v>92.79</v>
      </c>
      <c r="H511" s="10">
        <v>22.173931</v>
      </c>
      <c r="I511" s="10">
        <v>40.750521999999997</v>
      </c>
      <c r="J511" s="10" t="s">
        <v>534</v>
      </c>
      <c r="K511" s="15">
        <v>5.4310000000000001E-3</v>
      </c>
      <c r="L511" s="17">
        <v>44708.430679999998</v>
      </c>
      <c r="M511" s="4" t="s">
        <v>1711</v>
      </c>
      <c r="N511" s="19">
        <v>2.2770260000000002</v>
      </c>
      <c r="O511" s="19">
        <v>3.2164999999999999</v>
      </c>
      <c r="P511" s="19">
        <v>1.75</v>
      </c>
      <c r="Q511" s="19">
        <v>2.6215999999999999</v>
      </c>
      <c r="R511" s="19">
        <v>1.65</v>
      </c>
      <c r="S511" s="19">
        <v>2.1951999999999998</v>
      </c>
      <c r="T511" s="19">
        <v>1.65</v>
      </c>
      <c r="U511" s="19">
        <v>1.8044</v>
      </c>
      <c r="V511" s="19">
        <v>1.1599999999999999</v>
      </c>
      <c r="W511" s="19">
        <v>1.5689</v>
      </c>
      <c r="X511" s="19">
        <v>1.1599999999999999</v>
      </c>
      <c r="Y511" s="19">
        <v>1.5689</v>
      </c>
      <c r="Z511" s="4"/>
      <c r="AA511" s="4"/>
      <c r="AB511" s="4" t="e">
        <f ca="1">_xll.ciqfunctions.udf.CIQ("^SPX", "IQ_PRICEDATE", "12/31/2015")</f>
        <v>#NAME?</v>
      </c>
      <c r="AC511" s="16">
        <v>2043.9368626606999</v>
      </c>
    </row>
    <row r="512" spans="1:29" x14ac:dyDescent="0.35">
      <c r="Z512" s="4"/>
      <c r="AA512" s="4"/>
      <c r="AB512" s="4" t="e">
        <f ca="1">_xll.ciqfunctions.udf.CIQ("^SPX", "IQ_PRICEDATE", "1/4/2016")</f>
        <v>#NAME?</v>
      </c>
      <c r="AC512" s="16">
        <v>2012.6593712480001</v>
      </c>
    </row>
    <row r="513" spans="26:29" x14ac:dyDescent="0.35">
      <c r="Z513" s="4"/>
      <c r="AA513" s="4"/>
      <c r="AB513" s="4" t="e">
        <f ca="1">_xll.ciqfunctions.udf.CIQ("^SPX", "IQ_PRICEDATE", "1/5/2016")</f>
        <v>#NAME?</v>
      </c>
      <c r="AC513" s="16">
        <v>2016.7144265541999</v>
      </c>
    </row>
    <row r="514" spans="26:29" x14ac:dyDescent="0.35">
      <c r="Z514" s="4"/>
      <c r="AA514" s="4"/>
      <c r="AB514" s="4" t="e">
        <f ca="1">_xll.ciqfunctions.udf.CIQ("^SPX", "IQ_PRICEDATE", "1/6/2016")</f>
        <v>#NAME?</v>
      </c>
      <c r="AC514" s="16">
        <v>1990.2622927555001</v>
      </c>
    </row>
    <row r="515" spans="26:29" x14ac:dyDescent="0.35">
      <c r="Z515" s="4"/>
      <c r="AA515" s="4"/>
      <c r="AB515" s="4" t="e">
        <f ca="1">_xll.ciqfunctions.udf.CIQ("^SPX", "IQ_PRICEDATE", "1/7/2016")</f>
        <v>#NAME?</v>
      </c>
      <c r="AC515" s="16">
        <v>1943.0937024861</v>
      </c>
    </row>
    <row r="516" spans="26:29" x14ac:dyDescent="0.35">
      <c r="Z516" s="4"/>
      <c r="AA516" s="4"/>
      <c r="AB516" s="4" t="e">
        <f ca="1">_xll.ciqfunctions.udf.CIQ("^SPX", "IQ_PRICEDATE", "1/8/2016")</f>
        <v>#NAME?</v>
      </c>
      <c r="AC516" s="16">
        <v>1922.0347926740001</v>
      </c>
    </row>
    <row r="517" spans="26:29" x14ac:dyDescent="0.35">
      <c r="Z517" s="4"/>
      <c r="AA517" s="4"/>
      <c r="AB517" s="4" t="e">
        <f ca="1">_xll.ciqfunctions.udf.CIQ("^SPX", "IQ_PRICEDATE", "1/11/2016")</f>
        <v>#NAME?</v>
      </c>
      <c r="AC517" s="16">
        <v>1923.6748213450001</v>
      </c>
    </row>
    <row r="518" spans="26:29" x14ac:dyDescent="0.35">
      <c r="Z518" s="4"/>
      <c r="AA518" s="4"/>
      <c r="AB518" s="4" t="e">
        <f ca="1">_xll.ciqfunctions.udf.CIQ("^SPX", "IQ_PRICEDATE", "1/12/2016")</f>
        <v>#NAME?</v>
      </c>
      <c r="AC518" s="16">
        <v>1938.6789320655</v>
      </c>
    </row>
    <row r="519" spans="26:29" x14ac:dyDescent="0.35">
      <c r="Z519" s="4"/>
      <c r="AA519" s="4"/>
      <c r="AB519" s="4" t="e">
        <f ca="1">_xll.ciqfunctions.udf.CIQ("^SPX", "IQ_PRICEDATE", "1/13/2016")</f>
        <v>#NAME?</v>
      </c>
      <c r="AC519" s="16">
        <v>1890.2789148177999</v>
      </c>
    </row>
    <row r="520" spans="26:29" x14ac:dyDescent="0.35">
      <c r="Z520" s="4"/>
      <c r="AA520" s="4"/>
      <c r="AB520" s="4" t="e">
        <f ca="1">_xll.ciqfunctions.udf.CIQ("^SPX", "IQ_PRICEDATE", "1/14/2016")</f>
        <v>#NAME?</v>
      </c>
      <c r="AC520" s="16">
        <v>1921.8357608706001</v>
      </c>
    </row>
    <row r="521" spans="26:29" x14ac:dyDescent="0.35">
      <c r="Z521" s="4"/>
      <c r="AA521" s="4"/>
      <c r="AB521" s="4" t="e">
        <f ca="1">_xll.ciqfunctions.udf.CIQ("^SPX", "IQ_PRICEDATE", "1/15/2016")</f>
        <v>#NAME?</v>
      </c>
      <c r="AC521" s="16">
        <v>1880.3277963866999</v>
      </c>
    </row>
    <row r="522" spans="26:29" x14ac:dyDescent="0.35">
      <c r="Z522" s="4"/>
      <c r="AA522" s="4"/>
      <c r="AB522" s="4" t="e">
        <f ca="1">_xll.ciqfunctions.udf.CIQ("^SPX", "IQ_PRICEDATE", "1/19/2016")</f>
        <v>#NAME?</v>
      </c>
      <c r="AC522" s="16">
        <v>1881.3332441622999</v>
      </c>
    </row>
    <row r="523" spans="26:29" x14ac:dyDescent="0.35">
      <c r="Z523" s="4"/>
      <c r="AA523" s="4"/>
      <c r="AB523" s="4" t="e">
        <f ca="1">_xll.ciqfunctions.udf.CIQ("^SPX", "IQ_PRICEDATE", "1/20/2016")</f>
        <v>#NAME?</v>
      </c>
      <c r="AC523" s="16">
        <v>1859.3284619461999</v>
      </c>
    </row>
    <row r="524" spans="26:29" x14ac:dyDescent="0.35">
      <c r="Z524" s="4"/>
      <c r="AA524" s="4"/>
      <c r="AB524" s="4" t="e">
        <f ca="1">_xll.ciqfunctions.udf.CIQ("^SPX", "IQ_PRICEDATE", "1/21/2016")</f>
        <v>#NAME?</v>
      </c>
      <c r="AC524" s="16">
        <v>1868.9863167763001</v>
      </c>
    </row>
    <row r="525" spans="26:29" x14ac:dyDescent="0.35">
      <c r="Z525" s="4"/>
      <c r="AA525" s="4"/>
      <c r="AB525" s="4" t="e">
        <f ca="1">_xll.ciqfunctions.udf.CIQ("^SPX", "IQ_PRICEDATE", "1/22/2016")</f>
        <v>#NAME?</v>
      </c>
      <c r="AC525" s="16">
        <v>1906.9040755857</v>
      </c>
    </row>
    <row r="526" spans="26:29" x14ac:dyDescent="0.35">
      <c r="Z526" s="4"/>
      <c r="AA526" s="4"/>
      <c r="AB526" s="4" t="e">
        <f ca="1">_xll.ciqfunctions.udf.CIQ("^SPX", "IQ_PRICEDATE", "1/25/2016")</f>
        <v>#NAME?</v>
      </c>
      <c r="AC526" s="16">
        <v>1877.0775714959</v>
      </c>
    </row>
    <row r="527" spans="26:29" x14ac:dyDescent="0.35">
      <c r="Z527" s="4"/>
      <c r="AA527" s="4"/>
      <c r="AB527" s="4" t="e">
        <f ca="1">_xll.ciqfunctions.udf.CIQ("^SPX", "IQ_PRICEDATE", "1/26/2016")</f>
        <v>#NAME?</v>
      </c>
      <c r="AC527" s="16">
        <v>1903.6306483067999</v>
      </c>
    </row>
    <row r="528" spans="26:29" x14ac:dyDescent="0.35">
      <c r="Z528" s="4"/>
      <c r="AA528" s="4"/>
      <c r="AB528" s="4" t="e">
        <f ca="1">_xll.ciqfunctions.udf.CIQ("^SPX", "IQ_PRICEDATE", "1/27/2016")</f>
        <v>#NAME?</v>
      </c>
      <c r="AC528" s="16">
        <v>1882.9462651834001</v>
      </c>
    </row>
    <row r="529" spans="26:29" x14ac:dyDescent="0.35">
      <c r="Z529" s="4"/>
      <c r="AA529" s="4"/>
      <c r="AB529" s="4" t="e">
        <f ca="1">_xll.ciqfunctions.udf.CIQ("^SPX", "IQ_PRICEDATE", "1/28/2016")</f>
        <v>#NAME?</v>
      </c>
      <c r="AC529" s="16">
        <v>1893.3567082853999</v>
      </c>
    </row>
    <row r="530" spans="26:29" x14ac:dyDescent="0.35">
      <c r="Z530" s="4"/>
      <c r="AA530" s="4"/>
      <c r="AB530" s="4" t="e">
        <f ca="1">_xll.ciqfunctions.udf.CIQ("^SPX", "IQ_PRICEDATE", "1/29/2016")</f>
        <v>#NAME?</v>
      </c>
      <c r="AC530" s="16">
        <v>1940.2396778185</v>
      </c>
    </row>
    <row r="531" spans="26:29" x14ac:dyDescent="0.35">
      <c r="Z531" s="4"/>
      <c r="AA531" s="4"/>
      <c r="AB531" s="4" t="e">
        <f ca="1">_xll.ciqfunctions.udf.CIQ("^SPX", "IQ_PRICEDATE", "2/1/2016")</f>
        <v>#NAME?</v>
      </c>
      <c r="AC531" s="16">
        <v>1939.3793162679001</v>
      </c>
    </row>
    <row r="532" spans="26:29" x14ac:dyDescent="0.35">
      <c r="Z532" s="4"/>
      <c r="AA532" s="4"/>
      <c r="AB532" s="4" t="e">
        <f ca="1">_xll.ciqfunctions.udf.CIQ("^SPX", "IQ_PRICEDATE", "2/2/2016")</f>
        <v>#NAME?</v>
      </c>
      <c r="AC532" s="16">
        <v>1903.0315127425999</v>
      </c>
    </row>
    <row r="533" spans="26:29" x14ac:dyDescent="0.35">
      <c r="Z533" s="4"/>
      <c r="AA533" s="4"/>
      <c r="AB533" s="4" t="e">
        <f ca="1">_xll.ciqfunctions.udf.CIQ("^SPX", "IQ_PRICEDATE", "2/3/2016")</f>
        <v>#NAME?</v>
      </c>
      <c r="AC533" s="16">
        <v>1912.5336076968999</v>
      </c>
    </row>
    <row r="534" spans="26:29" x14ac:dyDescent="0.35">
      <c r="Z534" s="4"/>
      <c r="AA534" s="4"/>
      <c r="AB534" s="4" t="e">
        <f ca="1">_xll.ciqfunctions.udf.CIQ("^SPX", "IQ_PRICEDATE", "2/4/2016")</f>
        <v>#NAME?</v>
      </c>
      <c r="AC534" s="16">
        <v>1915.4467916985</v>
      </c>
    </row>
    <row r="535" spans="26:29" x14ac:dyDescent="0.35">
      <c r="Z535" s="4"/>
      <c r="AA535" s="4"/>
      <c r="AB535" s="4" t="e">
        <f ca="1">_xll.ciqfunctions.udf.CIQ("^SPX", "IQ_PRICEDATE", "2/5/2016")</f>
        <v>#NAME?</v>
      </c>
      <c r="AC535" s="16">
        <v>1880.0539328839</v>
      </c>
    </row>
    <row r="536" spans="26:29" x14ac:dyDescent="0.35">
      <c r="Z536" s="4"/>
      <c r="AA536" s="4"/>
      <c r="AB536" s="4" t="e">
        <f ca="1">_xll.ciqfunctions.udf.CIQ("^SPX", "IQ_PRICEDATE", "2/8/2016")</f>
        <v>#NAME?</v>
      </c>
      <c r="AC536" s="16">
        <v>1853.4350189577001</v>
      </c>
    </row>
    <row r="537" spans="26:29" x14ac:dyDescent="0.35">
      <c r="Z537" s="4"/>
      <c r="AA537" s="4"/>
      <c r="AB537" s="4" t="e">
        <f ca="1">_xll.ciqfunctions.udf.CIQ("^SPX", "IQ_PRICEDATE", "2/9/2016")</f>
        <v>#NAME?</v>
      </c>
      <c r="AC537" s="16">
        <v>1852.209817315</v>
      </c>
    </row>
    <row r="538" spans="26:29" x14ac:dyDescent="0.35">
      <c r="Z538" s="4"/>
      <c r="AA538" s="4"/>
      <c r="AB538" s="4" t="e">
        <f ca="1">_xll.ciqfunctions.udf.CIQ("^SPX", "IQ_PRICEDATE", "2/10/2016")</f>
        <v>#NAME?</v>
      </c>
      <c r="AC538" s="16">
        <v>1851.8630459234</v>
      </c>
    </row>
    <row r="539" spans="26:29" x14ac:dyDescent="0.35">
      <c r="Z539" s="4"/>
      <c r="AA539" s="4"/>
      <c r="AB539" s="4" t="e">
        <f ca="1">_xll.ciqfunctions.udf.CIQ("^SPX", "IQ_PRICEDATE", "2/11/2016")</f>
        <v>#NAME?</v>
      </c>
      <c r="AC539" s="16">
        <v>1829.078345807</v>
      </c>
    </row>
    <row r="540" spans="26:29" x14ac:dyDescent="0.35">
      <c r="Z540" s="4"/>
      <c r="AA540" s="4"/>
      <c r="AB540" s="4" t="e">
        <f ca="1">_xll.ciqfunctions.udf.CIQ("^SPX", "IQ_PRICEDATE", "2/12/2016")</f>
        <v>#NAME?</v>
      </c>
      <c r="AC540" s="16">
        <v>1864.7753300898</v>
      </c>
    </row>
    <row r="541" spans="26:29" x14ac:dyDescent="0.35">
      <c r="Z541" s="4"/>
      <c r="AA541" s="4"/>
      <c r="AB541" s="4" t="e">
        <f ca="1">_xll.ciqfunctions.udf.CIQ("^SPX", "IQ_PRICEDATE", "2/16/2016")</f>
        <v>#NAME?</v>
      </c>
      <c r="AC541" s="16">
        <v>1895.5773700755999</v>
      </c>
    </row>
    <row r="542" spans="26:29" x14ac:dyDescent="0.35">
      <c r="Z542" s="4"/>
      <c r="AA542" s="4"/>
      <c r="AB542" s="4" t="e">
        <f ca="1">_xll.ciqfunctions.udf.CIQ("^SPX", "IQ_PRICEDATE", "2/17/2016")</f>
        <v>#NAME?</v>
      </c>
      <c r="AC542" s="16">
        <v>1926.8249996812001</v>
      </c>
    </row>
    <row r="543" spans="26:29" x14ac:dyDescent="0.35">
      <c r="Z543" s="4"/>
      <c r="AA543" s="4"/>
      <c r="AB543" s="4" t="e">
        <f ca="1">_xll.ciqfunctions.udf.CIQ("^SPX", "IQ_PRICEDATE", "2/18/2016")</f>
        <v>#NAME?</v>
      </c>
      <c r="AC543" s="16">
        <v>1917.8338001633999</v>
      </c>
    </row>
    <row r="544" spans="26:29" x14ac:dyDescent="0.35">
      <c r="Z544" s="4"/>
      <c r="AA544" s="4"/>
      <c r="AB544" s="4" t="e">
        <f ca="1">_xll.ciqfunctions.udf.CIQ("^SPX", "IQ_PRICEDATE", "2/19/2016")</f>
        <v>#NAME?</v>
      </c>
      <c r="AC544" s="16">
        <v>1917.7836117449999</v>
      </c>
    </row>
    <row r="545" spans="26:29" x14ac:dyDescent="0.35">
      <c r="Z545" s="4"/>
      <c r="AA545" s="4"/>
      <c r="AB545" s="4" t="e">
        <f ca="1">_xll.ciqfunctions.udf.CIQ("^SPX", "IQ_PRICEDATE", "2/22/2016")</f>
        <v>#NAME?</v>
      </c>
      <c r="AC545" s="16">
        <v>1945.5000398876</v>
      </c>
    </row>
    <row r="546" spans="26:29" x14ac:dyDescent="0.35">
      <c r="Z546" s="4"/>
      <c r="AA546" s="4"/>
      <c r="AB546" s="4" t="e">
        <f ca="1">_xll.ciqfunctions.udf.CIQ("^SPX", "IQ_PRICEDATE", "2/23/2016")</f>
        <v>#NAME?</v>
      </c>
      <c r="AC546" s="16">
        <v>1921.2684413203999</v>
      </c>
    </row>
    <row r="547" spans="26:29" x14ac:dyDescent="0.35">
      <c r="Z547" s="4"/>
      <c r="AA547" s="4"/>
      <c r="AB547" s="4" t="e">
        <f ca="1">_xll.ciqfunctions.udf.CIQ("^SPX", "IQ_PRICEDATE", "2/24/2016")</f>
        <v>#NAME?</v>
      </c>
      <c r="AC547" s="16">
        <v>1929.7976752719001</v>
      </c>
    </row>
    <row r="548" spans="26:29" x14ac:dyDescent="0.35">
      <c r="Z548" s="4"/>
      <c r="AA548" s="4"/>
      <c r="AB548" s="4" t="e">
        <f ca="1">_xll.ciqfunctions.udf.CIQ("^SPX", "IQ_PRICEDATE", "2/25/2016")</f>
        <v>#NAME?</v>
      </c>
      <c r="AC548" s="16">
        <v>1951.7006648710001</v>
      </c>
    </row>
    <row r="549" spans="26:29" x14ac:dyDescent="0.35">
      <c r="Z549" s="4"/>
      <c r="AA549" s="4"/>
      <c r="AB549" s="4" t="e">
        <f ca="1">_xll.ciqfunctions.udf.CIQ("^SPX", "IQ_PRICEDATE", "2/26/2016")</f>
        <v>#NAME?</v>
      </c>
      <c r="AC549" s="16">
        <v>1948.0538513040001</v>
      </c>
    </row>
    <row r="550" spans="26:29" x14ac:dyDescent="0.35">
      <c r="Z550" s="4"/>
      <c r="AA550" s="4"/>
      <c r="AB550" s="4" t="e">
        <f ca="1">_xll.ciqfunctions.udf.CIQ("^SPX", "IQ_PRICEDATE", "2/29/2016")</f>
        <v>#NAME?</v>
      </c>
      <c r="AC550" s="16">
        <v>1932.2263947971001</v>
      </c>
    </row>
    <row r="551" spans="26:29" x14ac:dyDescent="0.35">
      <c r="Z551" s="4"/>
      <c r="AA551" s="4"/>
      <c r="AB551" s="4" t="e">
        <f ca="1">_xll.ciqfunctions.udf.CIQ("^SPX", "IQ_PRICEDATE", "3/1/2016")</f>
        <v>#NAME?</v>
      </c>
      <c r="AC551" s="16">
        <v>1978.3481163757999</v>
      </c>
    </row>
    <row r="552" spans="26:29" x14ac:dyDescent="0.35">
      <c r="Z552" s="4"/>
      <c r="AA552" s="4"/>
      <c r="AB552" s="4" t="e">
        <f ca="1">_xll.ciqfunctions.udf.CIQ("^SPX", "IQ_PRICEDATE", "3/2/2016")</f>
        <v>#NAME?</v>
      </c>
      <c r="AC552" s="16">
        <v>1986.4547864171</v>
      </c>
    </row>
    <row r="553" spans="26:29" x14ac:dyDescent="0.35">
      <c r="Z553" s="4"/>
      <c r="AA553" s="4"/>
      <c r="AB553" s="4" t="e">
        <f ca="1">_xll.ciqfunctions.udf.CIQ("^SPX", "IQ_PRICEDATE", "3/3/2016")</f>
        <v>#NAME?</v>
      </c>
      <c r="AC553" s="16">
        <v>1993.4021399067999</v>
      </c>
    </row>
    <row r="554" spans="26:29" x14ac:dyDescent="0.35">
      <c r="Z554" s="4"/>
      <c r="AA554" s="4"/>
      <c r="AB554" s="4" t="e">
        <f ca="1">_xll.ciqfunctions.udf.CIQ("^SPX", "IQ_PRICEDATE", "3/4/2016")</f>
        <v>#NAME?</v>
      </c>
      <c r="AC554" s="16">
        <v>1999.9872258588</v>
      </c>
    </row>
    <row r="555" spans="26:29" x14ac:dyDescent="0.35">
      <c r="Z555" s="4"/>
      <c r="AA555" s="4"/>
      <c r="AB555" s="4" t="e">
        <f ca="1">_xll.ciqfunctions.udf.CIQ("^SPX", "IQ_PRICEDATE", "3/7/2016")</f>
        <v>#NAME?</v>
      </c>
      <c r="AC555" s="16">
        <v>2001.7588480310999</v>
      </c>
    </row>
    <row r="556" spans="26:29" x14ac:dyDescent="0.35">
      <c r="Z556" s="4"/>
      <c r="AA556" s="4"/>
      <c r="AB556" s="4" t="e">
        <f ca="1">_xll.ciqfunctions.udf.CIQ("^SPX", "IQ_PRICEDATE", "3/8/2016")</f>
        <v>#NAME?</v>
      </c>
      <c r="AC556" s="16">
        <v>1979.2607182705001</v>
      </c>
    </row>
    <row r="557" spans="26:29" x14ac:dyDescent="0.35">
      <c r="Z557" s="4"/>
      <c r="AA557" s="4"/>
      <c r="AB557" s="4" t="e">
        <f ca="1">_xll.ciqfunctions.udf.CIQ("^SPX", "IQ_PRICEDATE", "3/9/2016")</f>
        <v>#NAME?</v>
      </c>
      <c r="AC557" s="16">
        <v>1989.2649945042999</v>
      </c>
    </row>
    <row r="558" spans="26:29" x14ac:dyDescent="0.35">
      <c r="Z558" s="4"/>
      <c r="AA558" s="4"/>
      <c r="AB558" s="4" t="e">
        <f ca="1">_xll.ciqfunctions.udf.CIQ("^SPX", "IQ_PRICEDATE", "3/10/2016")</f>
        <v>#NAME?</v>
      </c>
      <c r="AC558" s="16">
        <v>1989.5682879162</v>
      </c>
    </row>
    <row r="559" spans="26:29" x14ac:dyDescent="0.35">
      <c r="Z559" s="4"/>
      <c r="AA559" s="4"/>
      <c r="AB559" s="4" t="e">
        <f ca="1">_xll.ciqfunctions.udf.CIQ("^SPX", "IQ_PRICEDATE", "3/11/2016")</f>
        <v>#NAME?</v>
      </c>
      <c r="AC559" s="16">
        <v>2022.1895722387001</v>
      </c>
    </row>
    <row r="560" spans="26:29" x14ac:dyDescent="0.35">
      <c r="Z560" s="4"/>
      <c r="AA560" s="4"/>
      <c r="AB560" s="4" t="e">
        <f ca="1">_xll.ciqfunctions.udf.CIQ("^SPX", "IQ_PRICEDATE", "3/14/2016")</f>
        <v>#NAME?</v>
      </c>
      <c r="AC560" s="16">
        <v>2019.6401297292</v>
      </c>
    </row>
    <row r="561" spans="26:29" x14ac:dyDescent="0.35">
      <c r="Z561" s="4"/>
      <c r="AA561" s="4"/>
      <c r="AB561" s="4" t="e">
        <f ca="1">_xll.ciqfunctions.udf.CIQ("^SPX", "IQ_PRICEDATE", "3/15/2016")</f>
        <v>#NAME?</v>
      </c>
      <c r="AC561" s="16">
        <v>2015.9279249064</v>
      </c>
    </row>
    <row r="562" spans="26:29" x14ac:dyDescent="0.35">
      <c r="Z562" s="4"/>
      <c r="AA562" s="4"/>
      <c r="AB562" s="4" t="e">
        <f ca="1">_xll.ciqfunctions.udf.CIQ("^SPX", "IQ_PRICEDATE", "3/16/2016")</f>
        <v>#NAME?</v>
      </c>
      <c r="AC562" s="16">
        <v>2027.2173933161</v>
      </c>
    </row>
    <row r="563" spans="26:29" x14ac:dyDescent="0.35">
      <c r="Z563" s="4"/>
      <c r="AA563" s="4"/>
      <c r="AB563" s="4" t="e">
        <f ca="1">_xll.ciqfunctions.udf.CIQ("^SPX", "IQ_PRICEDATE", "3/17/2016")</f>
        <v>#NAME?</v>
      </c>
      <c r="AC563" s="16">
        <v>2040.5911529636001</v>
      </c>
    </row>
    <row r="564" spans="26:29" x14ac:dyDescent="0.35">
      <c r="Z564" s="4"/>
      <c r="AA564" s="4"/>
      <c r="AB564" s="4" t="e">
        <f ca="1">_xll.ciqfunctions.udf.CIQ("^SPX", "IQ_PRICEDATE", "3/18/2016")</f>
        <v>#NAME?</v>
      </c>
      <c r="AC564" s="16">
        <v>2049.5767766017998</v>
      </c>
    </row>
    <row r="565" spans="26:29" x14ac:dyDescent="0.35">
      <c r="Z565" s="4"/>
      <c r="AA565" s="4"/>
      <c r="AB565" s="4" t="e">
        <f ca="1">_xll.ciqfunctions.udf.CIQ("^SPX", "IQ_PRICEDATE", "3/21/2016")</f>
        <v>#NAME?</v>
      </c>
      <c r="AC565" s="16">
        <v>2051.6002316302001</v>
      </c>
    </row>
    <row r="566" spans="26:29" x14ac:dyDescent="0.35">
      <c r="Z566" s="4"/>
      <c r="AA566" s="4"/>
      <c r="AB566" s="4" t="e">
        <f ca="1">_xll.ciqfunctions.udf.CIQ("^SPX", "IQ_PRICEDATE", "3/22/2016")</f>
        <v>#NAME?</v>
      </c>
      <c r="AC566" s="16">
        <v>2049.8035026558</v>
      </c>
    </row>
    <row r="567" spans="26:29" x14ac:dyDescent="0.35">
      <c r="Z567" s="4"/>
      <c r="AA567" s="4"/>
      <c r="AB567" s="4" t="e">
        <f ca="1">_xll.ciqfunctions.udf.CIQ("^SPX", "IQ_PRICEDATE", "3/23/2016")</f>
        <v>#NAME?</v>
      </c>
      <c r="AC567" s="16">
        <v>2036.7127614671999</v>
      </c>
    </row>
    <row r="568" spans="26:29" x14ac:dyDescent="0.35">
      <c r="Z568" s="4"/>
      <c r="AA568" s="4"/>
      <c r="AB568" s="4" t="e">
        <f ca="1">_xll.ciqfunctions.udf.CIQ("^SPX", "IQ_PRICEDATE", "3/24/2016")</f>
        <v>#NAME?</v>
      </c>
      <c r="AC568" s="16">
        <v>2035.9359056955</v>
      </c>
    </row>
    <row r="569" spans="26:29" x14ac:dyDescent="0.35">
      <c r="Z569" s="4"/>
      <c r="AA569" s="4"/>
      <c r="AB569" s="4" t="e">
        <f ca="1">_xll.ciqfunctions.udf.CIQ("^SPX", "IQ_PRICEDATE", "3/28/2016")</f>
        <v>#NAME?</v>
      </c>
      <c r="AC569" s="16">
        <v>2037.0494688776</v>
      </c>
    </row>
    <row r="570" spans="26:29" x14ac:dyDescent="0.35">
      <c r="Z570" s="4"/>
      <c r="AA570" s="4"/>
      <c r="AB570" s="4" t="e">
        <f ca="1">_xll.ciqfunctions.udf.CIQ("^SPX", "IQ_PRICEDATE", "3/29/2016")</f>
        <v>#NAME?</v>
      </c>
      <c r="AC570" s="16">
        <v>2055.0136334985</v>
      </c>
    </row>
    <row r="571" spans="26:29" x14ac:dyDescent="0.35">
      <c r="Z571" s="4"/>
      <c r="AA571" s="4"/>
      <c r="AB571" s="4" t="e">
        <f ca="1">_xll.ciqfunctions.udf.CIQ("^SPX", "IQ_PRICEDATE", "3/30/2016")</f>
        <v>#NAME?</v>
      </c>
      <c r="AC571" s="16">
        <v>2063.9455731809999</v>
      </c>
    </row>
    <row r="572" spans="26:29" x14ac:dyDescent="0.35">
      <c r="Z572" s="4"/>
      <c r="AA572" s="4"/>
      <c r="AB572" s="4" t="e">
        <f ca="1">_xll.ciqfunctions.udf.CIQ("^SPX", "IQ_PRICEDATE", "3/31/2016")</f>
        <v>#NAME?</v>
      </c>
      <c r="AC572" s="16">
        <v>2059.7411766012001</v>
      </c>
    </row>
    <row r="573" spans="26:29" x14ac:dyDescent="0.35">
      <c r="Z573" s="4"/>
      <c r="AA573" s="4"/>
      <c r="AB573" s="4" t="e">
        <f ca="1">_xll.ciqfunctions.udf.CIQ("^SPX", "IQ_PRICEDATE", "4/1/2016")</f>
        <v>#NAME?</v>
      </c>
      <c r="AC573" s="16">
        <v>2072.7790722503</v>
      </c>
    </row>
    <row r="574" spans="26:29" x14ac:dyDescent="0.35">
      <c r="Z574" s="4"/>
      <c r="AA574" s="4"/>
      <c r="AB574" s="4" t="e">
        <f ca="1">_xll.ciqfunctions.udf.CIQ("^SPX", "IQ_PRICEDATE", "4/4/2016")</f>
        <v>#NAME?</v>
      </c>
      <c r="AC574" s="16">
        <v>2066.1294033761001</v>
      </c>
    </row>
    <row r="575" spans="26:29" x14ac:dyDescent="0.35">
      <c r="Z575" s="4"/>
      <c r="AA575" s="4"/>
      <c r="AB575" s="4" t="e">
        <f ca="1">_xll.ciqfunctions.udf.CIQ("^SPX", "IQ_PRICEDATE", "4/5/2016")</f>
        <v>#NAME?</v>
      </c>
      <c r="AC575" s="16">
        <v>2045.1667952564001</v>
      </c>
    </row>
    <row r="576" spans="26:29" x14ac:dyDescent="0.35">
      <c r="Z576" s="4"/>
      <c r="AA576" s="4"/>
      <c r="AB576" s="4" t="e">
        <f ca="1">_xll.ciqfunctions.udf.CIQ("^SPX", "IQ_PRICEDATE", "4/6/2016")</f>
        <v>#NAME?</v>
      </c>
      <c r="AC576" s="16">
        <v>2066.6648189460998</v>
      </c>
    </row>
    <row r="577" spans="26:29" x14ac:dyDescent="0.35">
      <c r="Z577" s="4"/>
      <c r="AA577" s="4"/>
      <c r="AB577" s="4" t="e">
        <f ca="1">_xll.ciqfunctions.udf.CIQ("^SPX", "IQ_PRICEDATE", "4/7/2016")</f>
        <v>#NAME?</v>
      </c>
      <c r="AC577" s="16">
        <v>2041.9119416724</v>
      </c>
    </row>
    <row r="578" spans="26:29" x14ac:dyDescent="0.35">
      <c r="Z578" s="4"/>
      <c r="AA578" s="4"/>
      <c r="AB578" s="4" t="e">
        <f ca="1">_xll.ciqfunctions.udf.CIQ("^SPX", "IQ_PRICEDATE", "4/8/2016")</f>
        <v>#NAME?</v>
      </c>
      <c r="AC578" s="16">
        <v>2047.5971324052</v>
      </c>
    </row>
    <row r="579" spans="26:29" x14ac:dyDescent="0.35">
      <c r="Z579" s="4"/>
      <c r="AA579" s="4"/>
      <c r="AB579" s="4" t="e">
        <f ca="1">_xll.ciqfunctions.udf.CIQ("^SPX", "IQ_PRICEDATE", "4/11/2016")</f>
        <v>#NAME?</v>
      </c>
      <c r="AC579" s="16">
        <v>2041.9860446721</v>
      </c>
    </row>
    <row r="580" spans="26:29" x14ac:dyDescent="0.35">
      <c r="Z580" s="4"/>
      <c r="AA580" s="4"/>
      <c r="AB580" s="4" t="e">
        <f ca="1">_xll.ciqfunctions.udf.CIQ("^SPX", "IQ_PRICEDATE", "4/12/2016")</f>
        <v>#NAME?</v>
      </c>
      <c r="AC580" s="16">
        <v>2061.7184466693002</v>
      </c>
    </row>
    <row r="581" spans="26:29" x14ac:dyDescent="0.35">
      <c r="Z581" s="4"/>
      <c r="AA581" s="4"/>
      <c r="AB581" s="4" t="e">
        <f ca="1">_xll.ciqfunctions.udf.CIQ("^SPX", "IQ_PRICEDATE", "4/13/2016")</f>
        <v>#NAME?</v>
      </c>
      <c r="AC581" s="16">
        <v>2082.4206422921998</v>
      </c>
    </row>
    <row r="582" spans="26:29" x14ac:dyDescent="0.35">
      <c r="Z582" s="4"/>
      <c r="AA582" s="4"/>
      <c r="AB582" s="4" t="e">
        <f ca="1">_xll.ciqfunctions.udf.CIQ("^SPX", "IQ_PRICEDATE", "4/14/2016")</f>
        <v>#NAME?</v>
      </c>
      <c r="AC582" s="16">
        <v>2082.7830910424</v>
      </c>
    </row>
    <row r="583" spans="26:29" x14ac:dyDescent="0.35">
      <c r="Z583" s="4"/>
      <c r="AA583" s="4"/>
      <c r="AB583" s="4" t="e">
        <f ca="1">_xll.ciqfunctions.udf.CIQ("^SPX", "IQ_PRICEDATE", "4/15/2016")</f>
        <v>#NAME?</v>
      </c>
      <c r="AC583" s="16">
        <v>2080.7329648233999</v>
      </c>
    </row>
    <row r="584" spans="26:29" x14ac:dyDescent="0.35">
      <c r="Z584" s="4"/>
      <c r="AA584" s="4"/>
      <c r="AB584" s="4" t="e">
        <f ca="1">_xll.ciqfunctions.udf.CIQ("^SPX", "IQ_PRICEDATE", "4/18/2016")</f>
        <v>#NAME?</v>
      </c>
      <c r="AC584" s="16">
        <v>2094.3403310812</v>
      </c>
    </row>
    <row r="585" spans="26:29" x14ac:dyDescent="0.35">
      <c r="Z585" s="4"/>
      <c r="AA585" s="4"/>
      <c r="AB585" s="4" t="e">
        <f ca="1">_xll.ciqfunctions.udf.CIQ("^SPX", "IQ_PRICEDATE", "4/19/2016")</f>
        <v>#NAME?</v>
      </c>
      <c r="AC585" s="16">
        <v>2100.7987332940002</v>
      </c>
    </row>
    <row r="586" spans="26:29" x14ac:dyDescent="0.35">
      <c r="Z586" s="4"/>
      <c r="AA586" s="4"/>
      <c r="AB586" s="4" t="e">
        <f ca="1">_xll.ciqfunctions.udf.CIQ("^SPX", "IQ_PRICEDATE", "4/20/2016")</f>
        <v>#NAME?</v>
      </c>
      <c r="AC586" s="16">
        <v>2102.3966553845999</v>
      </c>
    </row>
    <row r="587" spans="26:29" x14ac:dyDescent="0.35">
      <c r="Z587" s="4"/>
      <c r="AA587" s="4"/>
      <c r="AB587" s="4" t="e">
        <f ca="1">_xll.ciqfunctions.udf.CIQ("^SPX", "IQ_PRICEDATE", "4/21/2016")</f>
        <v>#NAME?</v>
      </c>
      <c r="AC587" s="16">
        <v>2091.4836606396002</v>
      </c>
    </row>
    <row r="588" spans="26:29" x14ac:dyDescent="0.35">
      <c r="Z588" s="4"/>
      <c r="AA588" s="4"/>
      <c r="AB588" s="4" t="e">
        <f ca="1">_xll.ciqfunctions.udf.CIQ("^SPX", "IQ_PRICEDATE", "4/22/2016")</f>
        <v>#NAME?</v>
      </c>
      <c r="AC588" s="16">
        <v>2091.5801018706002</v>
      </c>
    </row>
    <row r="589" spans="26:29" x14ac:dyDescent="0.35">
      <c r="Z589" s="4"/>
      <c r="AA589" s="4"/>
      <c r="AB589" s="4" t="e">
        <f ca="1">_xll.ciqfunctions.udf.CIQ("^SPX", "IQ_PRICEDATE", "4/25/2016")</f>
        <v>#NAME?</v>
      </c>
      <c r="AC589" s="16">
        <v>2087.7944702435002</v>
      </c>
    </row>
    <row r="590" spans="26:29" x14ac:dyDescent="0.35">
      <c r="Z590" s="4"/>
      <c r="AA590" s="4"/>
      <c r="AB590" s="4" t="e">
        <f ca="1">_xll.ciqfunctions.udf.CIQ("^SPX", "IQ_PRICEDATE", "4/26/2016")</f>
        <v>#NAME?</v>
      </c>
      <c r="AC590" s="16">
        <v>2091.6985448183</v>
      </c>
    </row>
    <row r="591" spans="26:29" x14ac:dyDescent="0.35">
      <c r="Z591" s="4"/>
      <c r="AA591" s="4"/>
      <c r="AB591" s="4" t="e">
        <f ca="1">_xll.ciqfunctions.udf.CIQ("^SPX", "IQ_PRICEDATE", "4/27/2016")</f>
        <v>#NAME?</v>
      </c>
      <c r="AC591" s="16">
        <v>2095.1543936148</v>
      </c>
    </row>
    <row r="592" spans="26:29" x14ac:dyDescent="0.35">
      <c r="Z592" s="4"/>
      <c r="AA592" s="4"/>
      <c r="AB592" s="4" t="e">
        <f ca="1">_xll.ciqfunctions.udf.CIQ("^SPX", "IQ_PRICEDATE", "4/28/2016")</f>
        <v>#NAME?</v>
      </c>
      <c r="AC592" s="16">
        <v>2075.8106634737001</v>
      </c>
    </row>
    <row r="593" spans="26:29" x14ac:dyDescent="0.35">
      <c r="Z593" s="4"/>
      <c r="AA593" s="4"/>
      <c r="AB593" s="4" t="e">
        <f ca="1">_xll.ciqfunctions.udf.CIQ("^SPX", "IQ_PRICEDATE", "4/29/2016")</f>
        <v>#NAME?</v>
      </c>
      <c r="AC593" s="16">
        <v>2065.2963010051999</v>
      </c>
    </row>
    <row r="594" spans="26:29" x14ac:dyDescent="0.35">
      <c r="Z594" s="4"/>
      <c r="AA594" s="4"/>
      <c r="AB594" s="4" t="e">
        <f ca="1">_xll.ciqfunctions.udf.CIQ("^SPX", "IQ_PRICEDATE", "5/2/2016")</f>
        <v>#NAME?</v>
      </c>
      <c r="AC594" s="16">
        <v>2081.4302172006001</v>
      </c>
    </row>
    <row r="595" spans="26:29" x14ac:dyDescent="0.35">
      <c r="Z595" s="4"/>
      <c r="AA595" s="4"/>
      <c r="AB595" s="4" t="e">
        <f ca="1">_xll.ciqfunctions.udf.CIQ("^SPX", "IQ_PRICEDATE", "5/3/2016")</f>
        <v>#NAME?</v>
      </c>
      <c r="AC595" s="16">
        <v>2063.3668538899001</v>
      </c>
    </row>
    <row r="596" spans="26:29" x14ac:dyDescent="0.35">
      <c r="Z596" s="4"/>
      <c r="AA596" s="4"/>
      <c r="AB596" s="4" t="e">
        <f ca="1">_xll.ciqfunctions.udf.CIQ("^SPX", "IQ_PRICEDATE", "5/4/2016")</f>
        <v>#NAME?</v>
      </c>
      <c r="AC596" s="16">
        <v>2051.1212619793</v>
      </c>
    </row>
    <row r="597" spans="26:29" x14ac:dyDescent="0.35">
      <c r="Z597" s="4"/>
      <c r="AA597" s="4"/>
      <c r="AB597" s="4" t="e">
        <f ca="1">_xll.ciqfunctions.udf.CIQ("^SPX", "IQ_PRICEDATE", "5/5/2016")</f>
        <v>#NAME?</v>
      </c>
      <c r="AC597" s="16">
        <v>2050.6287420499002</v>
      </c>
    </row>
    <row r="598" spans="26:29" x14ac:dyDescent="0.35">
      <c r="Z598" s="4"/>
      <c r="AA598" s="4"/>
      <c r="AB598" s="4" t="e">
        <f ca="1">_xll.ciqfunctions.udf.CIQ("^SPX", "IQ_PRICEDATE", "5/6/2016")</f>
        <v>#NAME?</v>
      </c>
      <c r="AC598" s="16">
        <v>2057.1424213606001</v>
      </c>
    </row>
    <row r="599" spans="26:29" x14ac:dyDescent="0.35">
      <c r="Z599" s="4"/>
      <c r="AA599" s="4"/>
      <c r="AB599" s="4" t="e">
        <f ca="1">_xll.ciqfunctions.udf.CIQ("^SPX", "IQ_PRICEDATE", "5/9/2016")</f>
        <v>#NAME?</v>
      </c>
      <c r="AC599" s="16">
        <v>2058.6910661584002</v>
      </c>
    </row>
    <row r="600" spans="26:29" x14ac:dyDescent="0.35">
      <c r="Z600" s="4"/>
      <c r="AA600" s="4"/>
      <c r="AB600" s="4" t="e">
        <f ca="1">_xll.ciqfunctions.udf.CIQ("^SPX", "IQ_PRICEDATE", "5/10/2016")</f>
        <v>#NAME?</v>
      </c>
      <c r="AC600" s="16">
        <v>2084.3861226132999</v>
      </c>
    </row>
    <row r="601" spans="26:29" x14ac:dyDescent="0.35">
      <c r="Z601" s="4"/>
      <c r="AA601" s="4"/>
      <c r="AB601" s="4" t="e">
        <f ca="1">_xll.ciqfunctions.udf.CIQ("^SPX", "IQ_PRICEDATE", "5/11/2016")</f>
        <v>#NAME?</v>
      </c>
      <c r="AC601" s="16">
        <v>2064.4619029935998</v>
      </c>
    </row>
    <row r="602" spans="26:29" x14ac:dyDescent="0.35">
      <c r="Z602" s="4"/>
      <c r="AA602" s="4"/>
      <c r="AB602" s="4" t="e">
        <f ca="1">_xll.ciqfunctions.udf.CIQ("^SPX", "IQ_PRICEDATE", "5/12/2016")</f>
        <v>#NAME?</v>
      </c>
      <c r="AC602" s="16">
        <v>2064.1074656146002</v>
      </c>
    </row>
    <row r="603" spans="26:29" x14ac:dyDescent="0.35">
      <c r="Z603" s="4"/>
      <c r="AA603" s="4"/>
      <c r="AB603" s="4" t="e">
        <f ca="1">_xll.ciqfunctions.udf.CIQ("^SPX", "IQ_PRICEDATE", "5/13/2016")</f>
        <v>#NAME?</v>
      </c>
      <c r="AC603" s="16">
        <v>2046.6129226142</v>
      </c>
    </row>
    <row r="604" spans="26:29" x14ac:dyDescent="0.35">
      <c r="Z604" s="4"/>
      <c r="AA604" s="4"/>
      <c r="AB604" s="4" t="e">
        <f ca="1">_xll.ciqfunctions.udf.CIQ("^SPX", "IQ_PRICEDATE", "5/16/2016")</f>
        <v>#NAME?</v>
      </c>
      <c r="AC604" s="16">
        <v>2066.6571610419001</v>
      </c>
    </row>
    <row r="605" spans="26:29" x14ac:dyDescent="0.35">
      <c r="Z605" s="4"/>
      <c r="AA605" s="4"/>
      <c r="AB605" s="4" t="e">
        <f ca="1">_xll.ciqfunctions.udf.CIQ("^SPX", "IQ_PRICEDATE", "5/17/2016")</f>
        <v>#NAME?</v>
      </c>
      <c r="AC605" s="16">
        <v>2047.2058127273999</v>
      </c>
    </row>
    <row r="606" spans="26:29" x14ac:dyDescent="0.35">
      <c r="Z606" s="4"/>
      <c r="AA606" s="4"/>
      <c r="AB606" s="4" t="e">
        <f ca="1">_xll.ciqfunctions.udf.CIQ("^SPX", "IQ_PRICEDATE", "5/18/2016")</f>
        <v>#NAME?</v>
      </c>
      <c r="AC606" s="16">
        <v>2047.6272305970001</v>
      </c>
    </row>
    <row r="607" spans="26:29" x14ac:dyDescent="0.35">
      <c r="Z607" s="4"/>
      <c r="AA607" s="4"/>
      <c r="AB607" s="4" t="e">
        <f ca="1">_xll.ciqfunctions.udf.CIQ("^SPX", "IQ_PRICEDATE", "5/19/2016")</f>
        <v>#NAME?</v>
      </c>
      <c r="AC607" s="16">
        <v>2040.0398896362001</v>
      </c>
    </row>
    <row r="608" spans="26:29" x14ac:dyDescent="0.35">
      <c r="Z608" s="4"/>
      <c r="AA608" s="4"/>
      <c r="AB608" s="4" t="e">
        <f ca="1">_xll.ciqfunctions.udf.CIQ("^SPX", "IQ_PRICEDATE", "5/20/2016")</f>
        <v>#NAME?</v>
      </c>
      <c r="AC608" s="16">
        <v>2052.3180528978</v>
      </c>
    </row>
    <row r="609" spans="26:29" x14ac:dyDescent="0.35">
      <c r="Z609" s="4"/>
      <c r="AA609" s="4"/>
      <c r="AB609" s="4" t="e">
        <f ca="1">_xll.ciqfunctions.udf.CIQ("^SPX", "IQ_PRICEDATE", "5/23/2016")</f>
        <v>#NAME?</v>
      </c>
      <c r="AC609" s="16">
        <v>2048.0432790190998</v>
      </c>
    </row>
    <row r="610" spans="26:29" x14ac:dyDescent="0.35">
      <c r="Z610" s="4"/>
      <c r="AA610" s="4"/>
      <c r="AB610" s="4" t="e">
        <f ca="1">_xll.ciqfunctions.udf.CIQ("^SPX", "IQ_PRICEDATE", "5/24/2016")</f>
        <v>#NAME?</v>
      </c>
      <c r="AC610" s="16">
        <v>2076.0578170170002</v>
      </c>
    </row>
    <row r="611" spans="26:29" x14ac:dyDescent="0.35">
      <c r="Z611" s="4"/>
      <c r="AA611" s="4"/>
      <c r="AB611" s="4" t="e">
        <f ca="1">_xll.ciqfunctions.udf.CIQ("^SPX", "IQ_PRICEDATE", "5/25/2016")</f>
        <v>#NAME?</v>
      </c>
      <c r="AC611" s="16">
        <v>2090.5430039206999</v>
      </c>
    </row>
    <row r="612" spans="26:29" x14ac:dyDescent="0.35">
      <c r="Z612" s="4"/>
      <c r="AA612" s="4"/>
      <c r="AB612" s="4" t="e">
        <f ca="1">_xll.ciqfunctions.udf.CIQ("^SPX", "IQ_PRICEDATE", "5/26/2016")</f>
        <v>#NAME?</v>
      </c>
      <c r="AC612" s="16">
        <v>2090.1009750070002</v>
      </c>
    </row>
    <row r="613" spans="26:29" x14ac:dyDescent="0.35">
      <c r="Z613" s="4"/>
      <c r="AA613" s="4"/>
      <c r="AB613" s="4" t="e">
        <f ca="1">_xll.ciqfunctions.udf.CIQ("^SPX", "IQ_PRICEDATE", "5/27/2016")</f>
        <v>#NAME?</v>
      </c>
      <c r="AC613" s="16">
        <v>2099.0604609477</v>
      </c>
    </row>
    <row r="614" spans="26:29" x14ac:dyDescent="0.35">
      <c r="Z614" s="4"/>
      <c r="AA614" s="4"/>
      <c r="AB614" s="4" t="e">
        <f ca="1">_xll.ciqfunctions.udf.CIQ("^SPX", "IQ_PRICEDATE", "5/31/2016")</f>
        <v>#NAME?</v>
      </c>
      <c r="AC614" s="16">
        <v>2096.9641950705</v>
      </c>
    </row>
    <row r="615" spans="26:29" x14ac:dyDescent="0.35">
      <c r="Z615" s="4"/>
      <c r="AA615" s="4"/>
      <c r="AB615" s="4" t="e">
        <f ca="1">_xll.ciqfunctions.udf.CIQ("^SPX", "IQ_PRICEDATE", "6/1/2016")</f>
        <v>#NAME?</v>
      </c>
      <c r="AC615" s="16">
        <v>2099.3299950290998</v>
      </c>
    </row>
    <row r="616" spans="26:29" x14ac:dyDescent="0.35">
      <c r="Z616" s="4"/>
      <c r="AA616" s="4"/>
      <c r="AB616" s="4" t="e">
        <f ca="1">_xll.ciqfunctions.udf.CIQ("^SPX", "IQ_PRICEDATE", "6/2/2016")</f>
        <v>#NAME?</v>
      </c>
      <c r="AC616" s="16">
        <v>2105.2643409194998</v>
      </c>
    </row>
    <row r="617" spans="26:29" x14ac:dyDescent="0.35">
      <c r="Z617" s="4"/>
      <c r="AA617" s="4"/>
      <c r="AB617" s="4" t="e">
        <f ca="1">_xll.ciqfunctions.udf.CIQ("^SPX", "IQ_PRICEDATE", "6/3/2016")</f>
        <v>#NAME?</v>
      </c>
      <c r="AC617" s="16">
        <v>2099.1285740266999</v>
      </c>
    </row>
    <row r="618" spans="26:29" x14ac:dyDescent="0.35">
      <c r="Z618" s="4"/>
      <c r="AA618" s="4"/>
      <c r="AB618" s="4" t="e">
        <f ca="1">_xll.ciqfunctions.udf.CIQ("^SPX", "IQ_PRICEDATE", "6/6/2016")</f>
        <v>#NAME?</v>
      </c>
      <c r="AC618" s="16">
        <v>2109.4068447715999</v>
      </c>
    </row>
    <row r="619" spans="26:29" x14ac:dyDescent="0.35">
      <c r="Z619" s="4"/>
      <c r="AA619" s="4"/>
      <c r="AB619" s="4" t="e">
        <f ca="1">_xll.ciqfunctions.udf.CIQ("^SPX", "IQ_PRICEDATE", "6/7/2016")</f>
        <v>#NAME?</v>
      </c>
      <c r="AC619" s="16">
        <v>2112.1270716708</v>
      </c>
    </row>
    <row r="620" spans="26:29" x14ac:dyDescent="0.35">
      <c r="Z620" s="4"/>
      <c r="AA620" s="4"/>
      <c r="AB620" s="4" t="e">
        <f ca="1">_xll.ciqfunctions.udf.CIQ("^SPX", "IQ_PRICEDATE", "6/8/2016")</f>
        <v>#NAME?</v>
      </c>
      <c r="AC620" s="16">
        <v>2119.1182685772001</v>
      </c>
    </row>
    <row r="621" spans="26:29" x14ac:dyDescent="0.35">
      <c r="Z621" s="4"/>
      <c r="AA621" s="4"/>
      <c r="AB621" s="4" t="e">
        <f ca="1">_xll.ciqfunctions.udf.CIQ("^SPX", "IQ_PRICEDATE", "6/9/2016")</f>
        <v>#NAME?</v>
      </c>
      <c r="AC621" s="16">
        <v>2115.4777557885</v>
      </c>
    </row>
    <row r="622" spans="26:29" x14ac:dyDescent="0.35">
      <c r="Z622" s="4"/>
      <c r="AA622" s="4"/>
      <c r="AB622" s="4" t="e">
        <f ca="1">_xll.ciqfunctions.udf.CIQ("^SPX", "IQ_PRICEDATE", "6/10/2016")</f>
        <v>#NAME?</v>
      </c>
      <c r="AC622" s="16">
        <v>2096.0710133092002</v>
      </c>
    </row>
    <row r="623" spans="26:29" x14ac:dyDescent="0.35">
      <c r="Z623" s="4"/>
      <c r="AA623" s="4"/>
      <c r="AB623" s="4" t="e">
        <f ca="1">_xll.ciqfunctions.udf.CIQ("^SPX", "IQ_PRICEDATE", "6/13/2016")</f>
        <v>#NAME?</v>
      </c>
      <c r="AC623" s="16">
        <v>2079.0589804432002</v>
      </c>
    </row>
    <row r="624" spans="26:29" x14ac:dyDescent="0.35">
      <c r="Z624" s="4"/>
      <c r="AA624" s="4"/>
      <c r="AB624" s="4" t="e">
        <f ca="1">_xll.ciqfunctions.udf.CIQ("^SPX", "IQ_PRICEDATE", "6/14/2016")</f>
        <v>#NAME?</v>
      </c>
      <c r="AC624" s="16">
        <v>2075.3159582056001</v>
      </c>
    </row>
    <row r="625" spans="26:29" x14ac:dyDescent="0.35">
      <c r="Z625" s="4"/>
      <c r="AA625" s="4"/>
      <c r="AB625" s="4" t="e">
        <f ca="1">_xll.ciqfunctions.udf.CIQ("^SPX", "IQ_PRICEDATE", "6/15/2016")</f>
        <v>#NAME?</v>
      </c>
      <c r="AC625" s="16">
        <v>2071.5022827118</v>
      </c>
    </row>
    <row r="626" spans="26:29" x14ac:dyDescent="0.35">
      <c r="Z626" s="4"/>
      <c r="AA626" s="4"/>
      <c r="AB626" s="4" t="e">
        <f ca="1">_xll.ciqfunctions.udf.CIQ("^SPX", "IQ_PRICEDATE", "6/16/2016")</f>
        <v>#NAME?</v>
      </c>
      <c r="AC626" s="16">
        <v>2077.9938893249</v>
      </c>
    </row>
    <row r="627" spans="26:29" x14ac:dyDescent="0.35">
      <c r="Z627" s="4"/>
      <c r="AA627" s="4"/>
      <c r="AB627" s="4" t="e">
        <f ca="1">_xll.ciqfunctions.udf.CIQ("^SPX", "IQ_PRICEDATE", "6/17/2016")</f>
        <v>#NAME?</v>
      </c>
      <c r="AC627" s="16">
        <v>2071.2196945688002</v>
      </c>
    </row>
    <row r="628" spans="26:29" x14ac:dyDescent="0.35">
      <c r="Z628" s="4"/>
      <c r="AA628" s="4"/>
      <c r="AB628" s="4" t="e">
        <f ca="1">_xll.ciqfunctions.udf.CIQ("^SPX", "IQ_PRICEDATE", "6/20/2016")</f>
        <v>#NAME?</v>
      </c>
      <c r="AC628" s="16">
        <v>2083.2490307027001</v>
      </c>
    </row>
    <row r="629" spans="26:29" x14ac:dyDescent="0.35">
      <c r="Z629" s="4"/>
      <c r="AA629" s="4"/>
      <c r="AB629" s="4" t="e">
        <f ca="1">_xll.ciqfunctions.udf.CIQ("^SPX", "IQ_PRICEDATE", "6/21/2016")</f>
        <v>#NAME?</v>
      </c>
      <c r="AC629" s="16">
        <v>2088.8995479027999</v>
      </c>
    </row>
    <row r="630" spans="26:29" x14ac:dyDescent="0.35">
      <c r="Z630" s="4"/>
      <c r="AA630" s="4"/>
      <c r="AB630" s="4" t="e">
        <f ca="1">_xll.ciqfunctions.udf.CIQ("^SPX", "IQ_PRICEDATE", "6/22/2016")</f>
        <v>#NAME?</v>
      </c>
      <c r="AC630" s="16">
        <v>2085.4497233948</v>
      </c>
    </row>
    <row r="631" spans="26:29" x14ac:dyDescent="0.35">
      <c r="Z631" s="4"/>
      <c r="AA631" s="4"/>
      <c r="AB631" s="4" t="e">
        <f ca="1">_xll.ciqfunctions.udf.CIQ("^SPX", "IQ_PRICEDATE", "6/23/2016")</f>
        <v>#NAME?</v>
      </c>
      <c r="AC631" s="16">
        <v>2113.3206788011998</v>
      </c>
    </row>
    <row r="632" spans="26:29" x14ac:dyDescent="0.35">
      <c r="Z632" s="4"/>
      <c r="AA632" s="4"/>
      <c r="AB632" s="4" t="e">
        <f ca="1">_xll.ciqfunctions.udf.CIQ("^SPX", "IQ_PRICEDATE", "6/24/2016")</f>
        <v>#NAME?</v>
      </c>
      <c r="AC632" s="16">
        <v>2037.4051843633999</v>
      </c>
    </row>
    <row r="633" spans="26:29" x14ac:dyDescent="0.35">
      <c r="Z633" s="4"/>
      <c r="AA633" s="4"/>
      <c r="AB633" s="4" t="e">
        <f ca="1">_xll.ciqfunctions.udf.CIQ("^SPX", "IQ_PRICEDATE", "6/27/2016")</f>
        <v>#NAME?</v>
      </c>
      <c r="AC633" s="16">
        <v>2000.5352536809</v>
      </c>
    </row>
    <row r="634" spans="26:29" x14ac:dyDescent="0.35">
      <c r="Z634" s="4"/>
      <c r="AA634" s="4"/>
      <c r="AB634" s="4" t="e">
        <f ca="1">_xll.ciqfunctions.udf.CIQ("^SPX", "IQ_PRICEDATE", "6/28/2016")</f>
        <v>#NAME?</v>
      </c>
      <c r="AC634" s="16">
        <v>2036.0912294648001</v>
      </c>
    </row>
    <row r="635" spans="26:29" x14ac:dyDescent="0.35">
      <c r="Z635" s="4"/>
      <c r="AA635" s="4"/>
      <c r="AB635" s="4" t="e">
        <f ca="1">_xll.ciqfunctions.udf.CIQ("^SPX", "IQ_PRICEDATE", "6/29/2016")</f>
        <v>#NAME?</v>
      </c>
      <c r="AC635" s="16">
        <v>2070.7713064509999</v>
      </c>
    </row>
    <row r="636" spans="26:29" x14ac:dyDescent="0.35">
      <c r="Z636" s="4"/>
      <c r="AA636" s="4"/>
      <c r="AB636" s="4" t="e">
        <f ca="1">_xll.ciqfunctions.udf.CIQ("^SPX", "IQ_PRICEDATE", "6/30/2016")</f>
        <v>#NAME?</v>
      </c>
      <c r="AC636" s="16">
        <v>2098.8552265056001</v>
      </c>
    </row>
    <row r="637" spans="26:29" x14ac:dyDescent="0.35">
      <c r="Z637" s="4"/>
      <c r="AA637" s="4"/>
      <c r="AB637" s="4" t="e">
        <f ca="1">_xll.ciqfunctions.udf.CIQ("^SPX", "IQ_PRICEDATE", "7/1/2016")</f>
        <v>#NAME?</v>
      </c>
      <c r="AC637" s="16">
        <v>2102.9534922367002</v>
      </c>
    </row>
    <row r="638" spans="26:29" x14ac:dyDescent="0.35">
      <c r="Z638" s="4"/>
      <c r="AA638" s="4"/>
      <c r="AB638" s="4" t="e">
        <f ca="1">_xll.ciqfunctions.udf.CIQ("^SPX", "IQ_PRICEDATE", "7/5/2016")</f>
        <v>#NAME?</v>
      </c>
      <c r="AC638" s="16">
        <v>2088.5460361504001</v>
      </c>
    </row>
    <row r="639" spans="26:29" x14ac:dyDescent="0.35">
      <c r="Z639" s="4"/>
      <c r="AA639" s="4"/>
      <c r="AB639" s="4" t="e">
        <f ca="1">_xll.ciqfunctions.udf.CIQ("^SPX", "IQ_PRICEDATE", "7/6/2016")</f>
        <v>#NAME?</v>
      </c>
      <c r="AC639" s="16">
        <v>2099.7342908189999</v>
      </c>
    </row>
    <row r="640" spans="26:29" x14ac:dyDescent="0.35">
      <c r="Z640" s="4"/>
      <c r="AA640" s="4"/>
      <c r="AB640" s="4" t="e">
        <f ca="1">_xll.ciqfunctions.udf.CIQ("^SPX", "IQ_PRICEDATE", "7/7/2016")</f>
        <v>#NAME?</v>
      </c>
      <c r="AC640" s="16">
        <v>2097.8997750080998</v>
      </c>
    </row>
    <row r="641" spans="26:29" x14ac:dyDescent="0.35">
      <c r="Z641" s="4"/>
      <c r="AA641" s="4"/>
      <c r="AB641" s="4" t="e">
        <f ca="1">_xll.ciqfunctions.udf.CIQ("^SPX", "IQ_PRICEDATE", "7/8/2016")</f>
        <v>#NAME?</v>
      </c>
      <c r="AC641" s="16">
        <v>2129.8979817799</v>
      </c>
    </row>
    <row r="642" spans="26:29" x14ac:dyDescent="0.35">
      <c r="Z642" s="4"/>
      <c r="AA642" s="4"/>
      <c r="AB642" s="4" t="e">
        <f ca="1">_xll.ciqfunctions.udf.CIQ("^SPX", "IQ_PRICEDATE", "7/11/2016")</f>
        <v>#NAME?</v>
      </c>
      <c r="AC642" s="16">
        <v>2137.1597218421002</v>
      </c>
    </row>
    <row r="643" spans="26:29" x14ac:dyDescent="0.35">
      <c r="Z643" s="4"/>
      <c r="AA643" s="4"/>
      <c r="AB643" s="4" t="e">
        <f ca="1">_xll.ciqfunctions.udf.CIQ("^SPX", "IQ_PRICEDATE", "7/12/2016")</f>
        <v>#NAME?</v>
      </c>
      <c r="AC643" s="16">
        <v>2152.1413985821</v>
      </c>
    </row>
    <row r="644" spans="26:29" x14ac:dyDescent="0.35">
      <c r="Z644" s="4"/>
      <c r="AA644" s="4"/>
      <c r="AB644" s="4" t="e">
        <f ca="1">_xll.ciqfunctions.udf.CIQ("^SPX", "IQ_PRICEDATE", "7/13/2016")</f>
        <v>#NAME?</v>
      </c>
      <c r="AC644" s="16">
        <v>2152.4256572170998</v>
      </c>
    </row>
    <row r="645" spans="26:29" x14ac:dyDescent="0.35">
      <c r="Z645" s="4"/>
      <c r="AA645" s="4"/>
      <c r="AB645" s="4" t="e">
        <f ca="1">_xll.ciqfunctions.udf.CIQ("^SPX", "IQ_PRICEDATE", "7/14/2016")</f>
        <v>#NAME?</v>
      </c>
      <c r="AC645" s="16">
        <v>2163.7475359771001</v>
      </c>
    </row>
    <row r="646" spans="26:29" x14ac:dyDescent="0.35">
      <c r="Z646" s="4"/>
      <c r="AA646" s="4"/>
      <c r="AB646" s="4" t="e">
        <f ca="1">_xll.ciqfunctions.udf.CIQ("^SPX", "IQ_PRICEDATE", "7/15/2016")</f>
        <v>#NAME?</v>
      </c>
      <c r="AC646" s="16">
        <v>2161.7413340346002</v>
      </c>
    </row>
    <row r="647" spans="26:29" x14ac:dyDescent="0.35">
      <c r="Z647" s="4"/>
      <c r="AA647" s="4"/>
      <c r="AB647" s="4" t="e">
        <f ca="1">_xll.ciqfunctions.udf.CIQ("^SPX", "IQ_PRICEDATE", "7/18/2016")</f>
        <v>#NAME?</v>
      </c>
      <c r="AC647" s="16">
        <v>2166.8905245819001</v>
      </c>
    </row>
    <row r="648" spans="26:29" x14ac:dyDescent="0.35">
      <c r="Z648" s="4"/>
      <c r="AA648" s="4"/>
      <c r="AB648" s="4" t="e">
        <f ca="1">_xll.ciqfunctions.udf.CIQ("^SPX", "IQ_PRICEDATE", "7/19/2016")</f>
        <v>#NAME?</v>
      </c>
      <c r="AC648" s="16">
        <v>2163.7810993285998</v>
      </c>
    </row>
    <row r="649" spans="26:29" x14ac:dyDescent="0.35">
      <c r="Z649" s="4"/>
      <c r="AA649" s="4"/>
      <c r="AB649" s="4" t="e">
        <f ca="1">_xll.ciqfunctions.udf.CIQ("^SPX", "IQ_PRICEDATE", "7/20/2016")</f>
        <v>#NAME?</v>
      </c>
      <c r="AC649" s="16">
        <v>2173.0172120746001</v>
      </c>
    </row>
    <row r="650" spans="26:29" x14ac:dyDescent="0.35">
      <c r="Z650" s="4"/>
      <c r="AA650" s="4"/>
      <c r="AB650" s="4" t="e">
        <f ca="1">_xll.ciqfunctions.udf.CIQ("^SPX", "IQ_PRICEDATE", "7/21/2016")</f>
        <v>#NAME?</v>
      </c>
      <c r="AC650" s="16">
        <v>2165.1682977928999</v>
      </c>
    </row>
    <row r="651" spans="26:29" x14ac:dyDescent="0.35">
      <c r="Z651" s="4"/>
      <c r="AA651" s="4"/>
      <c r="AB651" s="4" t="e">
        <f ca="1">_xll.ciqfunctions.udf.CIQ("^SPX", "IQ_PRICEDATE", "7/22/2016")</f>
        <v>#NAME?</v>
      </c>
      <c r="AC651" s="16">
        <v>2175.0290623578999</v>
      </c>
    </row>
    <row r="652" spans="26:29" x14ac:dyDescent="0.35">
      <c r="Z652" s="4"/>
      <c r="AA652" s="4"/>
      <c r="AB652" s="4" t="e">
        <f ca="1">_xll.ciqfunctions.udf.CIQ("^SPX", "IQ_PRICEDATE", "7/25/2016")</f>
        <v>#NAME?</v>
      </c>
      <c r="AC652" s="16">
        <v>2168.4790742916002</v>
      </c>
    </row>
    <row r="653" spans="26:29" x14ac:dyDescent="0.35">
      <c r="Z653" s="4"/>
      <c r="AA653" s="4"/>
      <c r="AB653" s="4" t="e">
        <f ca="1">_xll.ciqfunctions.udf.CIQ("^SPX", "IQ_PRICEDATE", "7/26/2016")</f>
        <v>#NAME?</v>
      </c>
      <c r="AC653" s="16">
        <v>2169.1751918772002</v>
      </c>
    </row>
    <row r="654" spans="26:29" x14ac:dyDescent="0.35">
      <c r="Z654" s="4"/>
      <c r="AA654" s="4"/>
      <c r="AB654" s="4" t="e">
        <f ca="1">_xll.ciqfunctions.udf.CIQ("^SPX", "IQ_PRICEDATE", "7/27/2016")</f>
        <v>#NAME?</v>
      </c>
      <c r="AC654" s="16">
        <v>2166.5804205416998</v>
      </c>
    </row>
    <row r="655" spans="26:29" x14ac:dyDescent="0.35">
      <c r="Z655" s="4"/>
      <c r="AA655" s="4"/>
      <c r="AB655" s="4" t="e">
        <f ca="1">_xll.ciqfunctions.udf.CIQ("^SPX", "IQ_PRICEDATE", "7/28/2016")</f>
        <v>#NAME?</v>
      </c>
      <c r="AC655" s="16">
        <v>2170.0562602812001</v>
      </c>
    </row>
    <row r="656" spans="26:29" x14ac:dyDescent="0.35">
      <c r="Z656" s="4"/>
      <c r="AA656" s="4"/>
      <c r="AB656" s="4" t="e">
        <f ca="1">_xll.ciqfunctions.udf.CIQ("^SPX", "IQ_PRICEDATE", "7/29/2016")</f>
        <v>#NAME?</v>
      </c>
      <c r="AC656" s="16">
        <v>2173.6038598884002</v>
      </c>
    </row>
    <row r="657" spans="26:29" x14ac:dyDescent="0.35">
      <c r="Z657" s="4"/>
      <c r="AA657" s="4"/>
      <c r="AB657" s="4" t="e">
        <f ca="1">_xll.ciqfunctions.udf.CIQ("^SPX", "IQ_PRICEDATE", "8/1/2016")</f>
        <v>#NAME?</v>
      </c>
      <c r="AC657" s="16">
        <v>2170.8363912995001</v>
      </c>
    </row>
    <row r="658" spans="26:29" x14ac:dyDescent="0.35">
      <c r="Z658" s="4"/>
      <c r="AA658" s="4"/>
      <c r="AB658" s="4" t="e">
        <f ca="1">_xll.ciqfunctions.udf.CIQ("^SPX", "IQ_PRICEDATE", "8/2/2016")</f>
        <v>#NAME?</v>
      </c>
      <c r="AC658" s="16">
        <v>2157.0286485708002</v>
      </c>
    </row>
    <row r="659" spans="26:29" x14ac:dyDescent="0.35">
      <c r="Z659" s="4"/>
      <c r="AA659" s="4"/>
      <c r="AB659" s="4" t="e">
        <f ca="1">_xll.ciqfunctions.udf.CIQ("^SPX", "IQ_PRICEDATE", "8/3/2016")</f>
        <v>#NAME?</v>
      </c>
      <c r="AC659" s="16">
        <v>2163.7936743816999</v>
      </c>
    </row>
    <row r="660" spans="26:29" x14ac:dyDescent="0.35">
      <c r="Z660" s="4"/>
      <c r="AA660" s="4"/>
      <c r="AB660" s="4" t="e">
        <f ca="1">_xll.ciqfunctions.udf.CIQ("^SPX", "IQ_PRICEDATE", "8/4/2016")</f>
        <v>#NAME?</v>
      </c>
      <c r="AC660" s="16">
        <v>2164.2521154255001</v>
      </c>
    </row>
    <row r="661" spans="26:29" x14ac:dyDescent="0.35">
      <c r="Z661" s="4"/>
      <c r="AA661" s="4"/>
      <c r="AB661" s="4" t="e">
        <f ca="1">_xll.ciqfunctions.udf.CIQ("^SPX", "IQ_PRICEDATE", "8/5/2016")</f>
        <v>#NAME?</v>
      </c>
      <c r="AC661" s="16">
        <v>2182.8683748860999</v>
      </c>
    </row>
    <row r="662" spans="26:29" x14ac:dyDescent="0.35">
      <c r="Z662" s="4"/>
      <c r="AA662" s="4"/>
      <c r="AB662" s="4" t="e">
        <f ca="1">_xll.ciqfunctions.udf.CIQ("^SPX", "IQ_PRICEDATE", "8/8/2016")</f>
        <v>#NAME?</v>
      </c>
      <c r="AC662" s="16">
        <v>2180.8851510447998</v>
      </c>
    </row>
    <row r="663" spans="26:29" x14ac:dyDescent="0.35">
      <c r="Z663" s="4"/>
      <c r="AA663" s="4"/>
      <c r="AB663" s="4" t="e">
        <f ca="1">_xll.ciqfunctions.udf.CIQ("^SPX", "IQ_PRICEDATE", "8/9/2016")</f>
        <v>#NAME?</v>
      </c>
      <c r="AC663" s="16">
        <v>2181.7356761885999</v>
      </c>
    </row>
    <row r="664" spans="26:29" x14ac:dyDescent="0.35">
      <c r="Z664" s="4"/>
      <c r="AA664" s="4"/>
      <c r="AB664" s="4" t="e">
        <f ca="1">_xll.ciqfunctions.udf.CIQ("^SPX", "IQ_PRICEDATE", "8/10/2016")</f>
        <v>#NAME?</v>
      </c>
      <c r="AC664" s="16">
        <v>2175.4865235992002</v>
      </c>
    </row>
    <row r="665" spans="26:29" x14ac:dyDescent="0.35">
      <c r="Z665" s="4"/>
      <c r="AA665" s="4"/>
      <c r="AB665" s="4" t="e">
        <f ca="1">_xll.ciqfunctions.udf.CIQ("^SPX", "IQ_PRICEDATE", "8/11/2016")</f>
        <v>#NAME?</v>
      </c>
      <c r="AC665" s="16">
        <v>2185.7930995977999</v>
      </c>
    </row>
    <row r="666" spans="26:29" x14ac:dyDescent="0.35">
      <c r="Z666" s="4"/>
      <c r="AA666" s="4"/>
      <c r="AB666" s="4" t="e">
        <f ca="1">_xll.ciqfunctions.udf.CIQ("^SPX", "IQ_PRICEDATE", "8/12/2016")</f>
        <v>#NAME?</v>
      </c>
      <c r="AC666" s="16">
        <v>2184.0509398489999</v>
      </c>
    </row>
    <row r="667" spans="26:29" x14ac:dyDescent="0.35">
      <c r="Z667" s="4"/>
      <c r="AA667" s="4"/>
      <c r="AB667" s="4" t="e">
        <f ca="1">_xll.ciqfunctions.udf.CIQ("^SPX", "IQ_PRICEDATE", "8/15/2016")</f>
        <v>#NAME?</v>
      </c>
      <c r="AC667" s="16">
        <v>2190.1494156013</v>
      </c>
    </row>
    <row r="668" spans="26:29" x14ac:dyDescent="0.35">
      <c r="Z668" s="4"/>
      <c r="AA668" s="4"/>
      <c r="AB668" s="4" t="e">
        <f ca="1">_xll.ciqfunctions.udf.CIQ("^SPX", "IQ_PRICEDATE", "8/16/2016")</f>
        <v>#NAME?</v>
      </c>
      <c r="AC668" s="16">
        <v>2178.1494548590999</v>
      </c>
    </row>
    <row r="669" spans="26:29" x14ac:dyDescent="0.35">
      <c r="Z669" s="4"/>
      <c r="AA669" s="4"/>
      <c r="AB669" s="4" t="e">
        <f ca="1">_xll.ciqfunctions.udf.CIQ("^SPX", "IQ_PRICEDATE", "8/17/2016")</f>
        <v>#NAME?</v>
      </c>
      <c r="AC669" s="16">
        <v>2182.2188888493001</v>
      </c>
    </row>
    <row r="670" spans="26:29" x14ac:dyDescent="0.35">
      <c r="Z670" s="4"/>
      <c r="AA670" s="4"/>
      <c r="AB670" s="4" t="e">
        <f ca="1">_xll.ciqfunctions.udf.CIQ("^SPX", "IQ_PRICEDATE", "8/18/2016")</f>
        <v>#NAME?</v>
      </c>
      <c r="AC670" s="16">
        <v>2187.0248849494001</v>
      </c>
    </row>
    <row r="671" spans="26:29" x14ac:dyDescent="0.35">
      <c r="Z671" s="4"/>
      <c r="AA671" s="4"/>
      <c r="AB671" s="4" t="e">
        <f ca="1">_xll.ciqfunctions.udf.CIQ("^SPX", "IQ_PRICEDATE", "8/19/2016")</f>
        <v>#NAME?</v>
      </c>
      <c r="AC671" s="16">
        <v>2183.8681547889</v>
      </c>
    </row>
    <row r="672" spans="26:29" x14ac:dyDescent="0.35">
      <c r="Z672" s="4"/>
      <c r="AA672" s="4"/>
      <c r="AB672" s="4" t="e">
        <f ca="1">_xll.ciqfunctions.udf.CIQ("^SPX", "IQ_PRICEDATE", "8/22/2016")</f>
        <v>#NAME?</v>
      </c>
      <c r="AC672" s="16">
        <v>2182.6395481375998</v>
      </c>
    </row>
    <row r="673" spans="26:29" x14ac:dyDescent="0.35">
      <c r="Z673" s="4"/>
      <c r="AA673" s="4"/>
      <c r="AB673" s="4" t="e">
        <f ca="1">_xll.ciqfunctions.udf.CIQ("^SPX", "IQ_PRICEDATE", "8/23/2016")</f>
        <v>#NAME?</v>
      </c>
      <c r="AC673" s="16">
        <v>2186.9017991116002</v>
      </c>
    </row>
    <row r="674" spans="26:29" x14ac:dyDescent="0.35">
      <c r="Z674" s="4"/>
      <c r="AA674" s="4"/>
      <c r="AB674" s="4" t="e">
        <f ca="1">_xll.ciqfunctions.udf.CIQ("^SPX", "IQ_PRICEDATE", "8/24/2016")</f>
        <v>#NAME?</v>
      </c>
      <c r="AC674" s="16">
        <v>2175.4370105135999</v>
      </c>
    </row>
    <row r="675" spans="26:29" x14ac:dyDescent="0.35">
      <c r="Z675" s="4"/>
      <c r="AA675" s="4"/>
      <c r="AB675" s="4" t="e">
        <f ca="1">_xll.ciqfunctions.udf.CIQ("^SPX", "IQ_PRICEDATE", "8/25/2016")</f>
        <v>#NAME?</v>
      </c>
      <c r="AC675" s="16">
        <v>2172.4656323201002</v>
      </c>
    </row>
    <row r="676" spans="26:29" x14ac:dyDescent="0.35">
      <c r="Z676" s="4"/>
      <c r="AA676" s="4"/>
      <c r="AB676" s="4" t="e">
        <f ca="1">_xll.ciqfunctions.udf.CIQ("^SPX", "IQ_PRICEDATE", "8/26/2016")</f>
        <v>#NAME?</v>
      </c>
      <c r="AC676" s="16">
        <v>2169.0402322675</v>
      </c>
    </row>
    <row r="677" spans="26:29" x14ac:dyDescent="0.35">
      <c r="Z677" s="4"/>
      <c r="AA677" s="4"/>
      <c r="AB677" s="4" t="e">
        <f ca="1">_xll.ciqfunctions.udf.CIQ("^SPX", "IQ_PRICEDATE", "8/29/2016")</f>
        <v>#NAME?</v>
      </c>
      <c r="AC677" s="16">
        <v>2180.3774091741002</v>
      </c>
    </row>
    <row r="678" spans="26:29" x14ac:dyDescent="0.35">
      <c r="Z678" s="4"/>
      <c r="AA678" s="4"/>
      <c r="AB678" s="4" t="e">
        <f ca="1">_xll.ciqfunctions.udf.CIQ("^SPX", "IQ_PRICEDATE", "8/30/2016")</f>
        <v>#NAME?</v>
      </c>
      <c r="AC678" s="16">
        <v>2176.1226464445999</v>
      </c>
    </row>
    <row r="679" spans="26:29" x14ac:dyDescent="0.35">
      <c r="Z679" s="4"/>
      <c r="AA679" s="4"/>
      <c r="AB679" s="4" t="e">
        <f ca="1">_xll.ciqfunctions.udf.CIQ("^SPX", "IQ_PRICEDATE", "8/31/2016")</f>
        <v>#NAME?</v>
      </c>
      <c r="AC679" s="16">
        <v>2170.9469576924998</v>
      </c>
    </row>
    <row r="680" spans="26:29" x14ac:dyDescent="0.35">
      <c r="Z680" s="4"/>
      <c r="AA680" s="4"/>
      <c r="AB680" s="4" t="e">
        <f ca="1">_xll.ciqfunctions.udf.CIQ("^SPX", "IQ_PRICEDATE", "9/1/2016")</f>
        <v>#NAME?</v>
      </c>
      <c r="AC680" s="16">
        <v>2170.8632592590002</v>
      </c>
    </row>
    <row r="681" spans="26:29" x14ac:dyDescent="0.35">
      <c r="Z681" s="4"/>
      <c r="AA681" s="4"/>
      <c r="AB681" s="4" t="e">
        <f ca="1">_xll.ciqfunctions.udf.CIQ("^SPX", "IQ_PRICEDATE", "9/2/2016")</f>
        <v>#NAME?</v>
      </c>
      <c r="AC681" s="16">
        <v>2179.9842025792</v>
      </c>
    </row>
    <row r="682" spans="26:29" x14ac:dyDescent="0.35">
      <c r="Z682" s="4"/>
      <c r="AA682" s="4"/>
      <c r="AB682" s="4" t="e">
        <f ca="1">_xll.ciqfunctions.udf.CIQ("^SPX", "IQ_PRICEDATE", "9/6/2016")</f>
        <v>#NAME?</v>
      </c>
      <c r="AC682" s="16">
        <v>2186.4767390838001</v>
      </c>
    </row>
    <row r="683" spans="26:29" x14ac:dyDescent="0.35">
      <c r="Z683" s="4"/>
      <c r="AA683" s="4"/>
      <c r="AB683" s="4" t="e">
        <f ca="1">_xll.ciqfunctions.udf.CIQ("^SPX", "IQ_PRICEDATE", "9/7/2016")</f>
        <v>#NAME?</v>
      </c>
      <c r="AC683" s="16">
        <v>2186.1587276337</v>
      </c>
    </row>
    <row r="684" spans="26:29" x14ac:dyDescent="0.35">
      <c r="Z684" s="4"/>
      <c r="AA684" s="4"/>
      <c r="AB684" s="4" t="e">
        <f ca="1">_xll.ciqfunctions.udf.CIQ("^SPX", "IQ_PRICEDATE", "9/8/2016")</f>
        <v>#NAME?</v>
      </c>
      <c r="AC684" s="16">
        <v>2181.2995503214001</v>
      </c>
    </row>
    <row r="685" spans="26:29" x14ac:dyDescent="0.35">
      <c r="Z685" s="4"/>
      <c r="AA685" s="4"/>
      <c r="AB685" s="4" t="e">
        <f ca="1">_xll.ciqfunctions.udf.CIQ("^SPX", "IQ_PRICEDATE", "9/9/2016")</f>
        <v>#NAME?</v>
      </c>
      <c r="AC685" s="16">
        <v>2127.8055738488001</v>
      </c>
    </row>
    <row r="686" spans="26:29" x14ac:dyDescent="0.35">
      <c r="Z686" s="4"/>
      <c r="AA686" s="4"/>
      <c r="AB686" s="4" t="e">
        <f ca="1">_xll.ciqfunctions.udf.CIQ("^SPX", "IQ_PRICEDATE", "9/12/2016")</f>
        <v>#NAME?</v>
      </c>
      <c r="AC686" s="16">
        <v>2159.0397160826001</v>
      </c>
    </row>
    <row r="687" spans="26:29" x14ac:dyDescent="0.35">
      <c r="Z687" s="4"/>
      <c r="AA687" s="4"/>
      <c r="AB687" s="4" t="e">
        <f ca="1">_xll.ciqfunctions.udf.CIQ("^SPX", "IQ_PRICEDATE", "9/13/2016")</f>
        <v>#NAME?</v>
      </c>
      <c r="AC687" s="16">
        <v>2127.0203746730999</v>
      </c>
    </row>
    <row r="688" spans="26:29" x14ac:dyDescent="0.35">
      <c r="Z688" s="4"/>
      <c r="AA688" s="4"/>
      <c r="AB688" s="4" t="e">
        <f ca="1">_xll.ciqfunctions.udf.CIQ("^SPX", "IQ_PRICEDATE", "9/14/2016")</f>
        <v>#NAME?</v>
      </c>
      <c r="AC688" s="16">
        <v>2125.7695405924001</v>
      </c>
    </row>
    <row r="689" spans="26:29" x14ac:dyDescent="0.35">
      <c r="Z689" s="4"/>
      <c r="AA689" s="4"/>
      <c r="AB689" s="4" t="e">
        <f ca="1">_xll.ciqfunctions.udf.CIQ("^SPX", "IQ_PRICEDATE", "9/15/2016")</f>
        <v>#NAME?</v>
      </c>
      <c r="AC689" s="16">
        <v>2147.2620362114999</v>
      </c>
    </row>
    <row r="690" spans="26:29" x14ac:dyDescent="0.35">
      <c r="Z690" s="4"/>
      <c r="AA690" s="4"/>
      <c r="AB690" s="4" t="e">
        <f ca="1">_xll.ciqfunctions.udf.CIQ("^SPX", "IQ_PRICEDATE", "9/16/2016")</f>
        <v>#NAME?</v>
      </c>
      <c r="AC690" s="16">
        <v>2139.1646030154002</v>
      </c>
    </row>
    <row r="691" spans="26:29" x14ac:dyDescent="0.35">
      <c r="Z691" s="4"/>
      <c r="AA691" s="4"/>
      <c r="AB691" s="4" t="e">
        <f ca="1">_xll.ciqfunctions.udf.CIQ("^SPX", "IQ_PRICEDATE", "9/19/2016")</f>
        <v>#NAME?</v>
      </c>
      <c r="AC691" s="16">
        <v>2139.1153606972998</v>
      </c>
    </row>
    <row r="692" spans="26:29" x14ac:dyDescent="0.35">
      <c r="Z692" s="4"/>
      <c r="AA692" s="4"/>
      <c r="AB692" s="4" t="e">
        <f ca="1">_xll.ciqfunctions.udf.CIQ("^SPX", "IQ_PRICEDATE", "9/20/2016")</f>
        <v>#NAME?</v>
      </c>
      <c r="AC692" s="16">
        <v>2139.7568144288998</v>
      </c>
    </row>
    <row r="693" spans="26:29" x14ac:dyDescent="0.35">
      <c r="Z693" s="4"/>
      <c r="AA693" s="4"/>
      <c r="AB693" s="4" t="e">
        <f ca="1">_xll.ciqfunctions.udf.CIQ("^SPX", "IQ_PRICEDATE", "9/21/2016")</f>
        <v>#NAME?</v>
      </c>
      <c r="AC693" s="16">
        <v>2163.1175907881998</v>
      </c>
    </row>
    <row r="694" spans="26:29" x14ac:dyDescent="0.35">
      <c r="Z694" s="4"/>
      <c r="AA694" s="4"/>
      <c r="AB694" s="4" t="e">
        <f ca="1">_xll.ciqfunctions.udf.CIQ("^SPX", "IQ_PRICEDATE", "9/22/2016")</f>
        <v>#NAME?</v>
      </c>
      <c r="AC694" s="16">
        <v>2177.1822491823</v>
      </c>
    </row>
    <row r="695" spans="26:29" x14ac:dyDescent="0.35">
      <c r="Z695" s="4"/>
      <c r="AA695" s="4"/>
      <c r="AB695" s="4" t="e">
        <f ca="1">_xll.ciqfunctions.udf.CIQ("^SPX", "IQ_PRICEDATE", "9/23/2016")</f>
        <v>#NAME?</v>
      </c>
      <c r="AC695" s="16">
        <v>2164.6948076179001</v>
      </c>
    </row>
    <row r="696" spans="26:29" x14ac:dyDescent="0.35">
      <c r="Z696" s="4"/>
      <c r="AA696" s="4"/>
      <c r="AB696" s="4" t="e">
        <f ca="1">_xll.ciqfunctions.udf.CIQ("^SPX", "IQ_PRICEDATE", "9/26/2016")</f>
        <v>#NAME?</v>
      </c>
      <c r="AC696" s="16">
        <v>2146.0973667349999</v>
      </c>
    </row>
    <row r="697" spans="26:29" x14ac:dyDescent="0.35">
      <c r="Z697" s="4"/>
      <c r="AA697" s="4"/>
      <c r="AB697" s="4" t="e">
        <f ca="1">_xll.ciqfunctions.udf.CIQ("^SPX", "IQ_PRICEDATE", "9/27/2016")</f>
        <v>#NAME?</v>
      </c>
      <c r="AC697" s="16">
        <v>2159.9280234305002</v>
      </c>
    </row>
    <row r="698" spans="26:29" x14ac:dyDescent="0.35">
      <c r="Z698" s="4"/>
      <c r="AA698" s="4"/>
      <c r="AB698" s="4" t="e">
        <f ca="1">_xll.ciqfunctions.udf.CIQ("^SPX", "IQ_PRICEDATE", "9/28/2016")</f>
        <v>#NAME?</v>
      </c>
      <c r="AC698" s="16">
        <v>2171.3693316110998</v>
      </c>
    </row>
    <row r="699" spans="26:29" x14ac:dyDescent="0.35">
      <c r="Z699" s="4"/>
      <c r="AA699" s="4"/>
      <c r="AB699" s="4" t="e">
        <f ca="1">_xll.ciqfunctions.udf.CIQ("^SPX", "IQ_PRICEDATE", "9/29/2016")</f>
        <v>#NAME?</v>
      </c>
      <c r="AC699" s="16">
        <v>2151.1314851124998</v>
      </c>
    </row>
    <row r="700" spans="26:29" x14ac:dyDescent="0.35">
      <c r="Z700" s="4"/>
      <c r="AA700" s="4"/>
      <c r="AB700" s="4" t="e">
        <f ca="1">_xll.ciqfunctions.udf.CIQ("^SPX", "IQ_PRICEDATE", "9/30/2016")</f>
        <v>#NAME?</v>
      </c>
      <c r="AC700" s="16">
        <v>2168.2720896372998</v>
      </c>
    </row>
    <row r="701" spans="26:29" x14ac:dyDescent="0.35">
      <c r="Z701" s="4"/>
      <c r="AA701" s="4"/>
      <c r="AB701" s="4" t="e">
        <f ca="1">_xll.ciqfunctions.udf.CIQ("^SPX", "IQ_PRICEDATE", "10/3/2016")</f>
        <v>#NAME?</v>
      </c>
      <c r="AC701" s="16">
        <v>2161.1966867189999</v>
      </c>
    </row>
    <row r="702" spans="26:29" x14ac:dyDescent="0.35">
      <c r="Z702" s="4"/>
      <c r="AA702" s="4"/>
      <c r="AB702" s="4" t="e">
        <f ca="1">_xll.ciqfunctions.udf.CIQ("^SPX", "IQ_PRICEDATE", "10/4/2016")</f>
        <v>#NAME?</v>
      </c>
      <c r="AC702" s="16">
        <v>2150.4896004998</v>
      </c>
    </row>
    <row r="703" spans="26:29" x14ac:dyDescent="0.35">
      <c r="Z703" s="4"/>
      <c r="AA703" s="4"/>
      <c r="AB703" s="4" t="e">
        <f ca="1">_xll.ciqfunctions.udf.CIQ("^SPX", "IQ_PRICEDATE", "10/5/2016")</f>
        <v>#NAME?</v>
      </c>
      <c r="AC703" s="16">
        <v>2159.7279982</v>
      </c>
    </row>
    <row r="704" spans="26:29" x14ac:dyDescent="0.35">
      <c r="Z704" s="4"/>
      <c r="AA704" s="4"/>
      <c r="AB704" s="4" t="e">
        <f ca="1">_xll.ciqfunctions.udf.CIQ("^SPX", "IQ_PRICEDATE", "10/6/2016")</f>
        <v>#NAME?</v>
      </c>
      <c r="AC704" s="16">
        <v>2160.7718256122998</v>
      </c>
    </row>
    <row r="705" spans="26:29" x14ac:dyDescent="0.35">
      <c r="Z705" s="4"/>
      <c r="AA705" s="4"/>
      <c r="AB705" s="4" t="e">
        <f ca="1">_xll.ciqfunctions.udf.CIQ("^SPX", "IQ_PRICEDATE", "10/7/2016")</f>
        <v>#NAME?</v>
      </c>
      <c r="AC705" s="16">
        <v>2153.7393634283999</v>
      </c>
    </row>
    <row r="706" spans="26:29" x14ac:dyDescent="0.35">
      <c r="Z706" s="4"/>
      <c r="AA706" s="4"/>
      <c r="AB706" s="4" t="e">
        <f ca="1">_xll.ciqfunctions.udf.CIQ("^SPX", "IQ_PRICEDATE", "10/10/2016")</f>
        <v>#NAME?</v>
      </c>
      <c r="AC706" s="16">
        <v>2163.6606952522998</v>
      </c>
    </row>
    <row r="707" spans="26:29" x14ac:dyDescent="0.35">
      <c r="Z707" s="4"/>
      <c r="AA707" s="4"/>
      <c r="AB707" s="4" t="e">
        <f ca="1">_xll.ciqfunctions.udf.CIQ("^SPX", "IQ_PRICEDATE", "10/11/2016")</f>
        <v>#NAME?</v>
      </c>
      <c r="AC707" s="16">
        <v>2136.7261901291999</v>
      </c>
    </row>
    <row r="708" spans="26:29" x14ac:dyDescent="0.35">
      <c r="Z708" s="4"/>
      <c r="AA708" s="4"/>
      <c r="AB708" s="4" t="e">
        <f ca="1">_xll.ciqfunctions.udf.CIQ("^SPX", "IQ_PRICEDATE", "10/12/2016")</f>
        <v>#NAME?</v>
      </c>
      <c r="AC708" s="16">
        <v>2139.1764014525002</v>
      </c>
    </row>
    <row r="709" spans="26:29" x14ac:dyDescent="0.35">
      <c r="Z709" s="4"/>
      <c r="AA709" s="4"/>
      <c r="AB709" s="4" t="e">
        <f ca="1">_xll.ciqfunctions.udf.CIQ("^SPX", "IQ_PRICEDATE", "10/13/2016")</f>
        <v>#NAME?</v>
      </c>
      <c r="AC709" s="16">
        <v>2132.5464922646001</v>
      </c>
    </row>
    <row r="710" spans="26:29" x14ac:dyDescent="0.35">
      <c r="Z710" s="4"/>
      <c r="AA710" s="4"/>
      <c r="AB710" s="4" t="e">
        <f ca="1">_xll.ciqfunctions.udf.CIQ("^SPX", "IQ_PRICEDATE", "10/14/2016")</f>
        <v>#NAME?</v>
      </c>
      <c r="AC710" s="16">
        <v>2132.9784650791999</v>
      </c>
    </row>
    <row r="711" spans="26:29" x14ac:dyDescent="0.35">
      <c r="Z711" s="4"/>
      <c r="AA711" s="4"/>
      <c r="AB711" s="4" t="e">
        <f ca="1">_xll.ciqfunctions.udf.CIQ("^SPX", "IQ_PRICEDATE", "10/17/2016")</f>
        <v>#NAME?</v>
      </c>
      <c r="AC711" s="16">
        <v>2126.5033388248999</v>
      </c>
    </row>
    <row r="712" spans="26:29" x14ac:dyDescent="0.35">
      <c r="Z712" s="4"/>
      <c r="AA712" s="4"/>
      <c r="AB712" s="4" t="e">
        <f ca="1">_xll.ciqfunctions.udf.CIQ("^SPX", "IQ_PRICEDATE", "10/18/2016")</f>
        <v>#NAME?</v>
      </c>
      <c r="AC712" s="16">
        <v>2139.6040838805998</v>
      </c>
    </row>
    <row r="713" spans="26:29" x14ac:dyDescent="0.35">
      <c r="Z713" s="4"/>
      <c r="AA713" s="4"/>
      <c r="AB713" s="4" t="e">
        <f ca="1">_xll.ciqfunctions.udf.CIQ("^SPX", "IQ_PRICEDATE", "10/19/2016")</f>
        <v>#NAME?</v>
      </c>
      <c r="AC713" s="16">
        <v>2144.29028913</v>
      </c>
    </row>
    <row r="714" spans="26:29" x14ac:dyDescent="0.35">
      <c r="Z714" s="4"/>
      <c r="AA714" s="4"/>
      <c r="AB714" s="4" t="e">
        <f ca="1">_xll.ciqfunctions.udf.CIQ("^SPX", "IQ_PRICEDATE", "10/20/2016")</f>
        <v>#NAME?</v>
      </c>
      <c r="AC714" s="16">
        <v>2141.3439113742002</v>
      </c>
    </row>
    <row r="715" spans="26:29" x14ac:dyDescent="0.35">
      <c r="Z715" s="4"/>
      <c r="AA715" s="4"/>
      <c r="AB715" s="4" t="e">
        <f ca="1">_xll.ciqfunctions.udf.CIQ("^SPX", "IQ_PRICEDATE", "10/21/2016")</f>
        <v>#NAME?</v>
      </c>
      <c r="AC715" s="16">
        <v>2141.1619114369</v>
      </c>
    </row>
    <row r="716" spans="26:29" x14ac:dyDescent="0.35">
      <c r="Z716" s="4"/>
      <c r="AA716" s="4"/>
      <c r="AB716" s="4" t="e">
        <f ca="1">_xll.ciqfunctions.udf.CIQ("^SPX", "IQ_PRICEDATE", "10/24/2016")</f>
        <v>#NAME?</v>
      </c>
      <c r="AC716" s="16">
        <v>2151.3326381175002</v>
      </c>
    </row>
    <row r="717" spans="26:29" x14ac:dyDescent="0.35">
      <c r="Z717" s="4"/>
      <c r="AA717" s="4"/>
      <c r="AB717" s="4" t="e">
        <f ca="1">_xll.ciqfunctions.udf.CIQ("^SPX", "IQ_PRICEDATE", "10/25/2016")</f>
        <v>#NAME?</v>
      </c>
      <c r="AC717" s="16">
        <v>2143.1597105159999</v>
      </c>
    </row>
    <row r="718" spans="26:29" x14ac:dyDescent="0.35">
      <c r="Z718" s="4"/>
      <c r="AA718" s="4"/>
      <c r="AB718" s="4" t="e">
        <f ca="1">_xll.ciqfunctions.udf.CIQ("^SPX", "IQ_PRICEDATE", "10/26/2016")</f>
        <v>#NAME?</v>
      </c>
      <c r="AC718" s="16">
        <v>2139.4269739450001</v>
      </c>
    </row>
    <row r="719" spans="26:29" x14ac:dyDescent="0.35">
      <c r="Z719" s="4"/>
      <c r="AA719" s="4"/>
      <c r="AB719" s="4" t="e">
        <f ca="1">_xll.ciqfunctions.udf.CIQ("^SPX", "IQ_PRICEDATE", "10/27/2016")</f>
        <v>#NAME?</v>
      </c>
      <c r="AC719" s="16">
        <v>2133.0354951606</v>
      </c>
    </row>
    <row r="720" spans="26:29" x14ac:dyDescent="0.35">
      <c r="Z720" s="4"/>
      <c r="AA720" s="4"/>
      <c r="AB720" s="4" t="e">
        <f ca="1">_xll.ciqfunctions.udf.CIQ("^SPX", "IQ_PRICEDATE", "10/28/2016")</f>
        <v>#NAME?</v>
      </c>
      <c r="AC720" s="16">
        <v>2126.4075651100002</v>
      </c>
    </row>
    <row r="721" spans="26:29" x14ac:dyDescent="0.35">
      <c r="Z721" s="4"/>
      <c r="AA721" s="4"/>
      <c r="AB721" s="4" t="e">
        <f ca="1">_xll.ciqfunctions.udf.CIQ("^SPX", "IQ_PRICEDATE", "10/31/2016")</f>
        <v>#NAME?</v>
      </c>
      <c r="AC721" s="16">
        <v>2126.1532970297999</v>
      </c>
    </row>
    <row r="722" spans="26:29" x14ac:dyDescent="0.35">
      <c r="Z722" s="4"/>
      <c r="AA722" s="4"/>
      <c r="AB722" s="4" t="e">
        <f ca="1">_xll.ciqfunctions.udf.CIQ("^SPX", "IQ_PRICEDATE", "11/1/2016")</f>
        <v>#NAME?</v>
      </c>
      <c r="AC722" s="16">
        <v>2111.7225883933002</v>
      </c>
    </row>
    <row r="723" spans="26:29" x14ac:dyDescent="0.35">
      <c r="Z723" s="4"/>
      <c r="AA723" s="4"/>
      <c r="AB723" s="4" t="e">
        <f ca="1">_xll.ciqfunctions.udf.CIQ("^SPX", "IQ_PRICEDATE", "11/2/2016")</f>
        <v>#NAME?</v>
      </c>
      <c r="AC723" s="16">
        <v>2097.9437710837001</v>
      </c>
    </row>
    <row r="724" spans="26:29" x14ac:dyDescent="0.35">
      <c r="Z724" s="4"/>
      <c r="AA724" s="4"/>
      <c r="AB724" s="4" t="e">
        <f ca="1">_xll.ciqfunctions.udf.CIQ("^SPX", "IQ_PRICEDATE", "11/3/2016")</f>
        <v>#NAME?</v>
      </c>
      <c r="AC724" s="16">
        <v>2088.6635939239</v>
      </c>
    </row>
    <row r="725" spans="26:29" x14ac:dyDescent="0.35">
      <c r="Z725" s="4"/>
      <c r="AA725" s="4"/>
      <c r="AB725" s="4" t="e">
        <f ca="1">_xll.ciqfunctions.udf.CIQ("^SPX", "IQ_PRICEDATE", "11/4/2016")</f>
        <v>#NAME?</v>
      </c>
      <c r="AC725" s="16">
        <v>2085.1763769763002</v>
      </c>
    </row>
    <row r="726" spans="26:29" x14ac:dyDescent="0.35">
      <c r="Z726" s="4"/>
      <c r="AA726" s="4"/>
      <c r="AB726" s="4" t="e">
        <f ca="1">_xll.ciqfunctions.udf.CIQ("^SPX", "IQ_PRICEDATE", "11/7/2016")</f>
        <v>#NAME?</v>
      </c>
      <c r="AC726" s="16">
        <v>2131.5235684473</v>
      </c>
    </row>
    <row r="727" spans="26:29" x14ac:dyDescent="0.35">
      <c r="Z727" s="4"/>
      <c r="AA727" s="4"/>
      <c r="AB727" s="4" t="e">
        <f ca="1">_xll.ciqfunctions.udf.CIQ("^SPX", "IQ_PRICEDATE", "11/8/2016")</f>
        <v>#NAME?</v>
      </c>
      <c r="AC727" s="16">
        <v>2139.5630090412001</v>
      </c>
    </row>
    <row r="728" spans="26:29" x14ac:dyDescent="0.35">
      <c r="Z728" s="4"/>
      <c r="AA728" s="4"/>
      <c r="AB728" s="4" t="e">
        <f ca="1">_xll.ciqfunctions.udf.CIQ("^SPX", "IQ_PRICEDATE", "11/9/2016")</f>
        <v>#NAME?</v>
      </c>
      <c r="AC728" s="16">
        <v>2163.2579034201999</v>
      </c>
    </row>
    <row r="729" spans="26:29" x14ac:dyDescent="0.35">
      <c r="Z729" s="4"/>
      <c r="AA729" s="4"/>
      <c r="AB729" s="4" t="e">
        <f ca="1">_xll.ciqfunctions.udf.CIQ("^SPX", "IQ_PRICEDATE", "11/10/2016")</f>
        <v>#NAME?</v>
      </c>
      <c r="AC729" s="16">
        <v>2167.4781297492</v>
      </c>
    </row>
    <row r="730" spans="26:29" x14ac:dyDescent="0.35">
      <c r="Z730" s="4"/>
      <c r="AA730" s="4"/>
      <c r="AB730" s="4" t="e">
        <f ca="1">_xll.ciqfunctions.udf.CIQ("^SPX", "IQ_PRICEDATE", "11/11/2016")</f>
        <v>#NAME?</v>
      </c>
      <c r="AC730" s="16">
        <v>2164.4507501910002</v>
      </c>
    </row>
    <row r="731" spans="26:29" x14ac:dyDescent="0.35">
      <c r="Z731" s="4"/>
      <c r="AA731" s="4"/>
      <c r="AB731" s="4" t="e">
        <f ca="1">_xll.ciqfunctions.udf.CIQ("^SPX", "IQ_PRICEDATE", "11/14/2016")</f>
        <v>#NAME?</v>
      </c>
      <c r="AC731" s="16">
        <v>2164.2033007483001</v>
      </c>
    </row>
    <row r="732" spans="26:29" x14ac:dyDescent="0.35">
      <c r="Z732" s="4"/>
      <c r="AA732" s="4"/>
      <c r="AB732" s="4" t="e">
        <f ca="1">_xll.ciqfunctions.udf.CIQ("^SPX", "IQ_PRICEDATE", "11/15/2016")</f>
        <v>#NAME?</v>
      </c>
      <c r="AC732" s="16">
        <v>2180.3888273936</v>
      </c>
    </row>
    <row r="733" spans="26:29" x14ac:dyDescent="0.35">
      <c r="Z733" s="4"/>
      <c r="AA733" s="4"/>
      <c r="AB733" s="4" t="e">
        <f ca="1">_xll.ciqfunctions.udf.CIQ("^SPX", "IQ_PRICEDATE", "11/16/2016")</f>
        <v>#NAME?</v>
      </c>
      <c r="AC733" s="16">
        <v>2176.9409032715998</v>
      </c>
    </row>
    <row r="734" spans="26:29" x14ac:dyDescent="0.35">
      <c r="Z734" s="4"/>
      <c r="AA734" s="4"/>
      <c r="AB734" s="4" t="e">
        <f ca="1">_xll.ciqfunctions.udf.CIQ("^SPX", "IQ_PRICEDATE", "11/17/2016")</f>
        <v>#NAME?</v>
      </c>
      <c r="AC734" s="16">
        <v>2187.1210897609999</v>
      </c>
    </row>
    <row r="735" spans="26:29" x14ac:dyDescent="0.35">
      <c r="Z735" s="4"/>
      <c r="AA735" s="4"/>
      <c r="AB735" s="4" t="e">
        <f ca="1">_xll.ciqfunctions.udf.CIQ("^SPX", "IQ_PRICEDATE", "11/18/2016")</f>
        <v>#NAME?</v>
      </c>
      <c r="AC735" s="16">
        <v>2181.9017869641998</v>
      </c>
    </row>
    <row r="736" spans="26:29" x14ac:dyDescent="0.35">
      <c r="Z736" s="4"/>
      <c r="AA736" s="4"/>
      <c r="AB736" s="4" t="e">
        <f ca="1">_xll.ciqfunctions.udf.CIQ("^SPX", "IQ_PRICEDATE", "11/21/2016")</f>
        <v>#NAME?</v>
      </c>
      <c r="AC736" s="16">
        <v>2198.1827069851001</v>
      </c>
    </row>
    <row r="737" spans="26:29" x14ac:dyDescent="0.35">
      <c r="Z737" s="4"/>
      <c r="AA737" s="4"/>
      <c r="AB737" s="4" t="e">
        <f ca="1">_xll.ciqfunctions.udf.CIQ("^SPX", "IQ_PRICEDATE", "11/22/2016")</f>
        <v>#NAME?</v>
      </c>
      <c r="AC737" s="16">
        <v>2202.9368195779002</v>
      </c>
    </row>
    <row r="738" spans="26:29" x14ac:dyDescent="0.35">
      <c r="Z738" s="4"/>
      <c r="AA738" s="4"/>
      <c r="AB738" s="4" t="e">
        <f ca="1">_xll.ciqfunctions.udf.CIQ("^SPX", "IQ_PRICEDATE", "11/23/2016")</f>
        <v>#NAME?</v>
      </c>
      <c r="AC738" s="16">
        <v>2204.7229400811002</v>
      </c>
    </row>
    <row r="739" spans="26:29" x14ac:dyDescent="0.35">
      <c r="Z739" s="4"/>
      <c r="AA739" s="4"/>
      <c r="AB739" s="4" t="e">
        <f ca="1">_xll.ciqfunctions.udf.CIQ("^SPX", "IQ_PRICEDATE", "11/25/2016")</f>
        <v>#NAME?</v>
      </c>
      <c r="AC739" s="16">
        <v>2213.3485684312</v>
      </c>
    </row>
    <row r="740" spans="26:29" x14ac:dyDescent="0.35">
      <c r="Z740" s="4"/>
      <c r="AA740" s="4"/>
      <c r="AB740" s="4" t="e">
        <f ca="1">_xll.ciqfunctions.udf.CIQ("^SPX", "IQ_PRICEDATE", "11/28/2016")</f>
        <v>#NAME?</v>
      </c>
      <c r="AC740" s="16">
        <v>2201.7204991551998</v>
      </c>
    </row>
    <row r="741" spans="26:29" x14ac:dyDescent="0.35">
      <c r="Z741" s="4"/>
      <c r="AA741" s="4"/>
      <c r="AB741" s="4" t="e">
        <f ca="1">_xll.ciqfunctions.udf.CIQ("^SPX", "IQ_PRICEDATE", "11/29/2016")</f>
        <v>#NAME?</v>
      </c>
      <c r="AC741" s="16">
        <v>2204.6616627014</v>
      </c>
    </row>
    <row r="742" spans="26:29" x14ac:dyDescent="0.35">
      <c r="Z742" s="4"/>
      <c r="AA742" s="4"/>
      <c r="AB742" s="4" t="e">
        <f ca="1">_xll.ciqfunctions.udf.CIQ("^SPX", "IQ_PRICEDATE", "11/30/2016")</f>
        <v>#NAME?</v>
      </c>
      <c r="AC742" s="16">
        <v>2198.810449088</v>
      </c>
    </row>
    <row r="743" spans="26:29" x14ac:dyDescent="0.35">
      <c r="Z743" s="4"/>
      <c r="AA743" s="4"/>
      <c r="AB743" s="4" t="e">
        <f ca="1">_xll.ciqfunctions.udf.CIQ("^SPX", "IQ_PRICEDATE", "12/1/2016")</f>
        <v>#NAME?</v>
      </c>
      <c r="AC743" s="16">
        <v>2191.0829567188998</v>
      </c>
    </row>
    <row r="744" spans="26:29" x14ac:dyDescent="0.35">
      <c r="Z744" s="4"/>
      <c r="AA744" s="4"/>
      <c r="AB744" s="4" t="e">
        <f ca="1">_xll.ciqfunctions.udf.CIQ("^SPX", "IQ_PRICEDATE", "12/2/2016")</f>
        <v>#NAME?</v>
      </c>
      <c r="AC744" s="16">
        <v>2191.9536671015999</v>
      </c>
    </row>
    <row r="745" spans="26:29" x14ac:dyDescent="0.35">
      <c r="Z745" s="4"/>
      <c r="AA745" s="4"/>
      <c r="AB745" s="4" t="e">
        <f ca="1">_xll.ciqfunctions.udf.CIQ("^SPX", "IQ_PRICEDATE", "12/5/2016")</f>
        <v>#NAME?</v>
      </c>
      <c r="AC745" s="16">
        <v>2204.7053873538998</v>
      </c>
    </row>
    <row r="746" spans="26:29" x14ac:dyDescent="0.35">
      <c r="Z746" s="4"/>
      <c r="AA746" s="4"/>
      <c r="AB746" s="4" t="e">
        <f ca="1">_xll.ciqfunctions.udf.CIQ("^SPX", "IQ_PRICEDATE", "12/6/2016")</f>
        <v>#NAME?</v>
      </c>
      <c r="AC746" s="16">
        <v>2212.2307766723002</v>
      </c>
    </row>
    <row r="747" spans="26:29" x14ac:dyDescent="0.35">
      <c r="Z747" s="4"/>
      <c r="AA747" s="4"/>
      <c r="AB747" s="4" t="e">
        <f ca="1">_xll.ciqfunctions.udf.CIQ("^SPX", "IQ_PRICEDATE", "12/7/2016")</f>
        <v>#NAME?</v>
      </c>
      <c r="AC747" s="16">
        <v>2241.3546435787998</v>
      </c>
    </row>
    <row r="748" spans="26:29" x14ac:dyDescent="0.35">
      <c r="Z748" s="4"/>
      <c r="AA748" s="4"/>
      <c r="AB748" s="4" t="e">
        <f ca="1">_xll.ciqfunctions.udf.CIQ("^SPX", "IQ_PRICEDATE", "12/8/2016")</f>
        <v>#NAME?</v>
      </c>
      <c r="AC748" s="16">
        <v>2246.1878043501001</v>
      </c>
    </row>
    <row r="749" spans="26:29" x14ac:dyDescent="0.35">
      <c r="Z749" s="4"/>
      <c r="AA749" s="4"/>
      <c r="AB749" s="4" t="e">
        <f ca="1">_xll.ciqfunctions.udf.CIQ("^SPX", "IQ_PRICEDATE", "12/9/2016")</f>
        <v>#NAME?</v>
      </c>
      <c r="AC749" s="16">
        <v>2259.5286768649999</v>
      </c>
    </row>
    <row r="750" spans="26:29" x14ac:dyDescent="0.35">
      <c r="Z750" s="4"/>
      <c r="AA750" s="4"/>
      <c r="AB750" s="4" t="e">
        <f ca="1">_xll.ciqfunctions.udf.CIQ("^SPX", "IQ_PRICEDATE", "12/12/2016")</f>
        <v>#NAME?</v>
      </c>
      <c r="AC750" s="16">
        <v>2256.9632050081</v>
      </c>
    </row>
    <row r="751" spans="26:29" x14ac:dyDescent="0.35">
      <c r="Z751" s="4"/>
      <c r="AA751" s="4"/>
      <c r="AB751" s="4" t="e">
        <f ca="1">_xll.ciqfunctions.udf.CIQ("^SPX", "IQ_PRICEDATE", "12/13/2016")</f>
        <v>#NAME?</v>
      </c>
      <c r="AC751" s="16">
        <v>2271.7208298142</v>
      </c>
    </row>
    <row r="752" spans="26:29" x14ac:dyDescent="0.35">
      <c r="Z752" s="4"/>
      <c r="AA752" s="4"/>
      <c r="AB752" s="4" t="e">
        <f ca="1">_xll.ciqfunctions.udf.CIQ("^SPX", "IQ_PRICEDATE", "12/14/2016")</f>
        <v>#NAME?</v>
      </c>
      <c r="AC752" s="16">
        <v>2253.2786260766002</v>
      </c>
    </row>
    <row r="753" spans="26:29" x14ac:dyDescent="0.35">
      <c r="Z753" s="4"/>
      <c r="AA753" s="4"/>
      <c r="AB753" s="4" t="e">
        <f ca="1">_xll.ciqfunctions.udf.CIQ("^SPX", "IQ_PRICEDATE", "12/15/2016")</f>
        <v>#NAME?</v>
      </c>
      <c r="AC753" s="16">
        <v>2262.0311726028999</v>
      </c>
    </row>
    <row r="754" spans="26:29" x14ac:dyDescent="0.35">
      <c r="Z754" s="4"/>
      <c r="AA754" s="4"/>
      <c r="AB754" s="4" t="e">
        <f ca="1">_xll.ciqfunctions.udf.CIQ("^SPX", "IQ_PRICEDATE", "12/16/2016")</f>
        <v>#NAME?</v>
      </c>
      <c r="AC754" s="16">
        <v>2258.0724023327998</v>
      </c>
    </row>
    <row r="755" spans="26:29" x14ac:dyDescent="0.35">
      <c r="Z755" s="4"/>
      <c r="AA755" s="4"/>
      <c r="AB755" s="4" t="e">
        <f ca="1">_xll.ciqfunctions.udf.CIQ("^SPX", "IQ_PRICEDATE", "12/19/2016")</f>
        <v>#NAME?</v>
      </c>
      <c r="AC755" s="16">
        <v>2262.5322334957</v>
      </c>
    </row>
    <row r="756" spans="26:29" x14ac:dyDescent="0.35">
      <c r="Z756" s="4"/>
      <c r="AA756" s="4"/>
      <c r="AB756" s="4" t="e">
        <f ca="1">_xll.ciqfunctions.udf.CIQ("^SPX", "IQ_PRICEDATE", "12/20/2016")</f>
        <v>#NAME?</v>
      </c>
      <c r="AC756" s="16">
        <v>2270.7616665307</v>
      </c>
    </row>
    <row r="757" spans="26:29" x14ac:dyDescent="0.35">
      <c r="Z757" s="4"/>
      <c r="AA757" s="4"/>
      <c r="AB757" s="4" t="e">
        <f ca="1">_xll.ciqfunctions.udf.CIQ("^SPX", "IQ_PRICEDATE", "12/21/2016")</f>
        <v>#NAME?</v>
      </c>
      <c r="AC757" s="16">
        <v>2265.1799185451</v>
      </c>
    </row>
    <row r="758" spans="26:29" x14ac:dyDescent="0.35">
      <c r="Z758" s="4"/>
      <c r="AA758" s="4"/>
      <c r="AB758" s="4" t="e">
        <f ca="1">_xll.ciqfunctions.udf.CIQ("^SPX", "IQ_PRICEDATE", "12/22/2016")</f>
        <v>#NAME?</v>
      </c>
      <c r="AC758" s="16">
        <v>2260.9571890423999</v>
      </c>
    </row>
    <row r="759" spans="26:29" x14ac:dyDescent="0.35">
      <c r="Z759" s="4"/>
      <c r="AA759" s="4"/>
      <c r="AB759" s="4" t="e">
        <f ca="1">_xll.ciqfunctions.udf.CIQ("^SPX", "IQ_PRICEDATE", "12/23/2016")</f>
        <v>#NAME?</v>
      </c>
      <c r="AC759" s="16">
        <v>2263.7886585509</v>
      </c>
    </row>
    <row r="760" spans="26:29" x14ac:dyDescent="0.35">
      <c r="Z760" s="4"/>
      <c r="AA760" s="4"/>
      <c r="AB760" s="4" t="e">
        <f ca="1">_xll.ciqfunctions.udf.CIQ("^SPX", "IQ_PRICEDATE", "12/27/2016")</f>
        <v>#NAME?</v>
      </c>
      <c r="AC760" s="16">
        <v>2268.8754977453</v>
      </c>
    </row>
    <row r="761" spans="26:29" x14ac:dyDescent="0.35">
      <c r="Z761" s="4"/>
      <c r="AA761" s="4"/>
      <c r="AB761" s="4" t="e">
        <f ca="1">_xll.ciqfunctions.udf.CIQ("^SPX", "IQ_PRICEDATE", "12/28/2016")</f>
        <v>#NAME?</v>
      </c>
      <c r="AC761" s="16">
        <v>2249.9226157214998</v>
      </c>
    </row>
    <row r="762" spans="26:29" x14ac:dyDescent="0.35">
      <c r="Z762" s="4"/>
      <c r="AA762" s="4"/>
      <c r="AB762" s="4" t="e">
        <f ca="1">_xll.ciqfunctions.udf.CIQ("^SPX", "IQ_PRICEDATE", "12/29/2016")</f>
        <v>#NAME?</v>
      </c>
      <c r="AC762" s="16">
        <v>2249.2567692778998</v>
      </c>
    </row>
    <row r="763" spans="26:29" x14ac:dyDescent="0.35">
      <c r="Z763" s="4"/>
      <c r="AA763" s="4"/>
      <c r="AB763" s="4" t="e">
        <f ca="1">_xll.ciqfunctions.udf.CIQ("^SPX", "IQ_PRICEDATE", "12/30/2016")</f>
        <v>#NAME?</v>
      </c>
      <c r="AC763" s="16">
        <v>2238.8266817076001</v>
      </c>
    </row>
    <row r="764" spans="26:29" x14ac:dyDescent="0.35">
      <c r="Z764" s="4"/>
      <c r="AA764" s="4"/>
      <c r="AB764" s="4" t="e">
        <f ca="1">_xll.ciqfunctions.udf.CIQ("^SPX", "IQ_PRICEDATE", "1/3/2017")</f>
        <v>#NAME?</v>
      </c>
      <c r="AC764" s="16">
        <v>2257.8280264107998</v>
      </c>
    </row>
    <row r="765" spans="26:29" x14ac:dyDescent="0.35">
      <c r="Z765" s="4"/>
      <c r="AA765" s="4"/>
      <c r="AB765" s="4" t="e">
        <f ca="1">_xll.ciqfunctions.udf.CIQ("^SPX", "IQ_PRICEDATE", "1/4/2017")</f>
        <v>#NAME?</v>
      </c>
      <c r="AC765" s="16">
        <v>2270.7525300621</v>
      </c>
    </row>
    <row r="766" spans="26:29" x14ac:dyDescent="0.35">
      <c r="Z766" s="4"/>
      <c r="AA766" s="4"/>
      <c r="AB766" s="4" t="e">
        <f ca="1">_xll.ciqfunctions.udf.CIQ("^SPX", "IQ_PRICEDATE", "1/5/2017")</f>
        <v>#NAME?</v>
      </c>
      <c r="AC766" s="16">
        <v>2268.9985049367001</v>
      </c>
    </row>
    <row r="767" spans="26:29" x14ac:dyDescent="0.35">
      <c r="Z767" s="4"/>
      <c r="AA767" s="4"/>
      <c r="AB767" s="4" t="e">
        <f ca="1">_xll.ciqfunctions.udf.CIQ("^SPX", "IQ_PRICEDATE", "1/6/2017")</f>
        <v>#NAME?</v>
      </c>
      <c r="AC767" s="16">
        <v>2276.9814445621</v>
      </c>
    </row>
    <row r="768" spans="26:29" x14ac:dyDescent="0.35">
      <c r="Z768" s="4"/>
      <c r="AA768" s="4"/>
      <c r="AB768" s="4" t="e">
        <f ca="1">_xll.ciqfunctions.udf.CIQ("^SPX", "IQ_PRICEDATE", "1/9/2017")</f>
        <v>#NAME?</v>
      </c>
      <c r="AC768" s="16">
        <v>2268.9042127008001</v>
      </c>
    </row>
    <row r="769" spans="26:29" x14ac:dyDescent="0.35">
      <c r="Z769" s="4"/>
      <c r="AA769" s="4"/>
      <c r="AB769" s="4" t="e">
        <f ca="1">_xll.ciqfunctions.udf.CIQ("^SPX", "IQ_PRICEDATE", "1/10/2017")</f>
        <v>#NAME?</v>
      </c>
      <c r="AC769" s="16">
        <v>2268.8994521366999</v>
      </c>
    </row>
    <row r="770" spans="26:29" x14ac:dyDescent="0.35">
      <c r="Z770" s="4"/>
      <c r="AA770" s="4"/>
      <c r="AB770" s="4" t="e">
        <f ca="1">_xll.ciqfunctions.udf.CIQ("^SPX", "IQ_PRICEDATE", "1/11/2017")</f>
        <v>#NAME?</v>
      </c>
      <c r="AC770" s="16">
        <v>2275.3158782679998</v>
      </c>
    </row>
    <row r="771" spans="26:29" x14ac:dyDescent="0.35">
      <c r="Z771" s="4"/>
      <c r="AA771" s="4"/>
      <c r="AB771" s="4" t="e">
        <f ca="1">_xll.ciqfunctions.udf.CIQ("^SPX", "IQ_PRICEDATE", "1/12/2017")</f>
        <v>#NAME?</v>
      </c>
      <c r="AC771" s="16">
        <v>2270.4428671565001</v>
      </c>
    </row>
    <row r="772" spans="26:29" x14ac:dyDescent="0.35">
      <c r="Z772" s="4"/>
      <c r="AA772" s="4"/>
      <c r="AB772" s="4" t="e">
        <f ca="1">_xll.ciqfunctions.udf.CIQ("^SPX", "IQ_PRICEDATE", "1/13/2017")</f>
        <v>#NAME?</v>
      </c>
      <c r="AC772" s="16">
        <v>2274.6377428952001</v>
      </c>
    </row>
    <row r="773" spans="26:29" x14ac:dyDescent="0.35">
      <c r="Z773" s="4"/>
      <c r="AA773" s="4"/>
      <c r="AB773" s="4" t="e">
        <f ca="1">_xll.ciqfunctions.udf.CIQ("^SPX", "IQ_PRICEDATE", "1/17/2017")</f>
        <v>#NAME?</v>
      </c>
      <c r="AC773" s="16">
        <v>2267.8886336767</v>
      </c>
    </row>
    <row r="774" spans="26:29" x14ac:dyDescent="0.35">
      <c r="Z774" s="4"/>
      <c r="AA774" s="4"/>
      <c r="AB774" s="4" t="e">
        <f ca="1">_xll.ciqfunctions.udf.CIQ("^SPX", "IQ_PRICEDATE", "1/18/2017")</f>
        <v>#NAME?</v>
      </c>
      <c r="AC774" s="16">
        <v>2271.889368823</v>
      </c>
    </row>
    <row r="775" spans="26:29" x14ac:dyDescent="0.35">
      <c r="Z775" s="4"/>
      <c r="AA775" s="4"/>
      <c r="AB775" s="4" t="e">
        <f ca="1">_xll.ciqfunctions.udf.CIQ("^SPX", "IQ_PRICEDATE", "1/19/2017")</f>
        <v>#NAME?</v>
      </c>
      <c r="AC775" s="16">
        <v>2263.6867803261998</v>
      </c>
    </row>
    <row r="776" spans="26:29" x14ac:dyDescent="0.35">
      <c r="Z776" s="4"/>
      <c r="AA776" s="4"/>
      <c r="AB776" s="4" t="e">
        <f ca="1">_xll.ciqfunctions.udf.CIQ("^SPX", "IQ_PRICEDATE", "1/20/2017")</f>
        <v>#NAME?</v>
      </c>
      <c r="AC776" s="16">
        <v>2271.3147292376998</v>
      </c>
    </row>
    <row r="777" spans="26:29" x14ac:dyDescent="0.35">
      <c r="Z777" s="4"/>
      <c r="AA777" s="4"/>
      <c r="AB777" s="4" t="e">
        <f ca="1">_xll.ciqfunctions.udf.CIQ("^SPX", "IQ_PRICEDATE", "1/23/2017")</f>
        <v>#NAME?</v>
      </c>
      <c r="AC777" s="16">
        <v>2265.2002060514001</v>
      </c>
    </row>
    <row r="778" spans="26:29" x14ac:dyDescent="0.35">
      <c r="Z778" s="4"/>
      <c r="AA778" s="4"/>
      <c r="AB778" s="4" t="e">
        <f ca="1">_xll.ciqfunctions.udf.CIQ("^SPX", "IQ_PRICEDATE", "1/24/2017")</f>
        <v>#NAME?</v>
      </c>
      <c r="AC778" s="16">
        <v>2280.0741724414002</v>
      </c>
    </row>
    <row r="779" spans="26:29" x14ac:dyDescent="0.35">
      <c r="Z779" s="4"/>
      <c r="AA779" s="4"/>
      <c r="AB779" s="4" t="e">
        <f ca="1">_xll.ciqfunctions.udf.CIQ("^SPX", "IQ_PRICEDATE", "1/25/2017")</f>
        <v>#NAME?</v>
      </c>
      <c r="AC779" s="16">
        <v>2298.3674030979</v>
      </c>
    </row>
    <row r="780" spans="26:29" x14ac:dyDescent="0.35">
      <c r="Z780" s="4"/>
      <c r="AA780" s="4"/>
      <c r="AB780" s="4" t="e">
        <f ca="1">_xll.ciqfunctions.udf.CIQ("^SPX", "IQ_PRICEDATE", "1/26/2017")</f>
        <v>#NAME?</v>
      </c>
      <c r="AC780" s="16">
        <v>2296.680835659</v>
      </c>
    </row>
    <row r="781" spans="26:29" x14ac:dyDescent="0.35">
      <c r="Z781" s="4"/>
      <c r="AA781" s="4"/>
      <c r="AB781" s="4" t="e">
        <f ca="1">_xll.ciqfunctions.udf.CIQ("^SPX", "IQ_PRICEDATE", "1/27/2017")</f>
        <v>#NAME?</v>
      </c>
      <c r="AC781" s="16">
        <v>2294.6897289069002</v>
      </c>
    </row>
    <row r="782" spans="26:29" x14ac:dyDescent="0.35">
      <c r="Z782" s="4"/>
      <c r="AA782" s="4"/>
      <c r="AB782" s="4" t="e">
        <f ca="1">_xll.ciqfunctions.udf.CIQ("^SPX", "IQ_PRICEDATE", "1/30/2017")</f>
        <v>#NAME?</v>
      </c>
      <c r="AC782" s="16">
        <v>2280.896292119</v>
      </c>
    </row>
    <row r="783" spans="26:29" x14ac:dyDescent="0.35">
      <c r="Z783" s="4"/>
      <c r="AA783" s="4"/>
      <c r="AB783" s="4" t="e">
        <f ca="1">_xll.ciqfunctions.udf.CIQ("^SPX", "IQ_PRICEDATE", "1/31/2017")</f>
        <v>#NAME?</v>
      </c>
      <c r="AC783" s="16">
        <v>2278.8668906139001</v>
      </c>
    </row>
    <row r="784" spans="26:29" x14ac:dyDescent="0.35">
      <c r="Z784" s="4"/>
      <c r="AA784" s="4"/>
      <c r="AB784" s="4" t="e">
        <f ca="1">_xll.ciqfunctions.udf.CIQ("^SPX", "IQ_PRICEDATE", "2/1/2017")</f>
        <v>#NAME?</v>
      </c>
      <c r="AC784" s="16">
        <v>2279.5542905152001</v>
      </c>
    </row>
    <row r="785" spans="26:29" x14ac:dyDescent="0.35">
      <c r="Z785" s="4"/>
      <c r="AA785" s="4"/>
      <c r="AB785" s="4" t="e">
        <f ca="1">_xll.ciqfunctions.udf.CIQ("^SPX", "IQ_PRICEDATE", "2/2/2017")</f>
        <v>#NAME?</v>
      </c>
      <c r="AC785" s="16">
        <v>2280.8503539918001</v>
      </c>
    </row>
    <row r="786" spans="26:29" x14ac:dyDescent="0.35">
      <c r="Z786" s="4"/>
      <c r="AA786" s="4"/>
      <c r="AB786" s="4" t="e">
        <f ca="1">_xll.ciqfunctions.udf.CIQ("^SPX", "IQ_PRICEDATE", "2/3/2017")</f>
        <v>#NAME?</v>
      </c>
      <c r="AC786" s="16">
        <v>2297.4158570560999</v>
      </c>
    </row>
    <row r="787" spans="26:29" x14ac:dyDescent="0.35">
      <c r="Z787" s="4"/>
      <c r="AA787" s="4"/>
      <c r="AB787" s="4" t="e">
        <f ca="1">_xll.ciqfunctions.udf.CIQ("^SPX", "IQ_PRICEDATE", "2/6/2017")</f>
        <v>#NAME?</v>
      </c>
      <c r="AC787" s="16">
        <v>2292.5583856443</v>
      </c>
    </row>
    <row r="788" spans="26:29" x14ac:dyDescent="0.35">
      <c r="Z788" s="4"/>
      <c r="AA788" s="4"/>
      <c r="AB788" s="4" t="e">
        <f ca="1">_xll.ciqfunctions.udf.CIQ("^SPX", "IQ_PRICEDATE", "2/7/2017")</f>
        <v>#NAME?</v>
      </c>
      <c r="AC788" s="16">
        <v>2293.0810794510999</v>
      </c>
    </row>
    <row r="789" spans="26:29" x14ac:dyDescent="0.35">
      <c r="Z789" s="4"/>
      <c r="AA789" s="4"/>
      <c r="AB789" s="4" t="e">
        <f ca="1">_xll.ciqfunctions.udf.CIQ("^SPX", "IQ_PRICEDATE", "2/8/2017")</f>
        <v>#NAME?</v>
      </c>
      <c r="AC789" s="16">
        <v>2294.6686139671001</v>
      </c>
    </row>
    <row r="790" spans="26:29" x14ac:dyDescent="0.35">
      <c r="Z790" s="4"/>
      <c r="AA790" s="4"/>
      <c r="AB790" s="4" t="e">
        <f ca="1">_xll.ciqfunctions.udf.CIQ("^SPX", "IQ_PRICEDATE", "2/9/2017")</f>
        <v>#NAME?</v>
      </c>
      <c r="AC790" s="16">
        <v>2307.8746485800002</v>
      </c>
    </row>
    <row r="791" spans="26:29" x14ac:dyDescent="0.35">
      <c r="Z791" s="4"/>
      <c r="AA791" s="4"/>
      <c r="AB791" s="4" t="e">
        <f ca="1">_xll.ciqfunctions.udf.CIQ("^SPX", "IQ_PRICEDATE", "2/10/2017")</f>
        <v>#NAME?</v>
      </c>
      <c r="AC791" s="16">
        <v>2316.0970695871001</v>
      </c>
    </row>
    <row r="792" spans="26:29" x14ac:dyDescent="0.35">
      <c r="Z792" s="4"/>
      <c r="AA792" s="4"/>
      <c r="AB792" s="4" t="e">
        <f ca="1">_xll.ciqfunctions.udf.CIQ("^SPX", "IQ_PRICEDATE", "2/13/2017")</f>
        <v>#NAME?</v>
      </c>
      <c r="AC792" s="16">
        <v>2328.2532652969999</v>
      </c>
    </row>
    <row r="793" spans="26:29" x14ac:dyDescent="0.35">
      <c r="Z793" s="4"/>
      <c r="AA793" s="4"/>
      <c r="AB793" s="4" t="e">
        <f ca="1">_xll.ciqfunctions.udf.CIQ("^SPX", "IQ_PRICEDATE", "2/14/2017")</f>
        <v>#NAME?</v>
      </c>
      <c r="AC793" s="16">
        <v>2337.5845739169999</v>
      </c>
    </row>
    <row r="794" spans="26:29" x14ac:dyDescent="0.35">
      <c r="Z794" s="4"/>
      <c r="AA794" s="4"/>
      <c r="AB794" s="4" t="e">
        <f ca="1">_xll.ciqfunctions.udf.CIQ("^SPX", "IQ_PRICEDATE", "2/15/2017")</f>
        <v>#NAME?</v>
      </c>
      <c r="AC794" s="16">
        <v>2349.2474085381</v>
      </c>
    </row>
    <row r="795" spans="26:29" x14ac:dyDescent="0.35">
      <c r="Z795" s="4"/>
      <c r="AA795" s="4"/>
      <c r="AB795" s="4" t="e">
        <f ca="1">_xll.ciqfunctions.udf.CIQ("^SPX", "IQ_PRICEDATE", "2/16/2017")</f>
        <v>#NAME?</v>
      </c>
      <c r="AC795" s="16">
        <v>2347.2235385903</v>
      </c>
    </row>
    <row r="796" spans="26:29" x14ac:dyDescent="0.35">
      <c r="Z796" s="4"/>
      <c r="AA796" s="4"/>
      <c r="AB796" s="4" t="e">
        <f ca="1">_xll.ciqfunctions.udf.CIQ("^SPX", "IQ_PRICEDATE", "2/17/2017")</f>
        <v>#NAME?</v>
      </c>
      <c r="AC796" s="16">
        <v>2351.1616992230001</v>
      </c>
    </row>
    <row r="797" spans="26:29" x14ac:dyDescent="0.35">
      <c r="Z797" s="4"/>
      <c r="AA797" s="4"/>
      <c r="AB797" s="4" t="e">
        <f ca="1">_xll.ciqfunctions.udf.CIQ("^SPX", "IQ_PRICEDATE", "2/21/2017")</f>
        <v>#NAME?</v>
      </c>
      <c r="AC797" s="16">
        <v>2365.3827239303</v>
      </c>
    </row>
    <row r="798" spans="26:29" x14ac:dyDescent="0.35">
      <c r="Z798" s="4"/>
      <c r="AA798" s="4"/>
      <c r="AB798" s="4" t="e">
        <f ca="1">_xll.ciqfunctions.udf.CIQ("^SPX", "IQ_PRICEDATE", "2/22/2017")</f>
        <v>#NAME?</v>
      </c>
      <c r="AC798" s="16">
        <v>2362.8215256018998</v>
      </c>
    </row>
    <row r="799" spans="26:29" x14ac:dyDescent="0.35">
      <c r="Z799" s="4"/>
      <c r="AA799" s="4"/>
      <c r="AB799" s="4" t="e">
        <f ca="1">_xll.ciqfunctions.udf.CIQ("^SPX", "IQ_PRICEDATE", "2/23/2017")</f>
        <v>#NAME?</v>
      </c>
      <c r="AC799" s="16">
        <v>2363.8066507957001</v>
      </c>
    </row>
    <row r="800" spans="26:29" x14ac:dyDescent="0.35">
      <c r="Z800" s="4"/>
      <c r="AA800" s="4"/>
      <c r="AB800" s="4" t="e">
        <f ca="1">_xll.ciqfunctions.udf.CIQ("^SPX", "IQ_PRICEDATE", "2/24/2017")</f>
        <v>#NAME?</v>
      </c>
      <c r="AC800" s="16">
        <v>2367.3442469725001</v>
      </c>
    </row>
    <row r="801" spans="26:29" x14ac:dyDescent="0.35">
      <c r="Z801" s="4"/>
      <c r="AA801" s="4"/>
      <c r="AB801" s="4" t="e">
        <f ca="1">_xll.ciqfunctions.udf.CIQ("^SPX", "IQ_PRICEDATE", "2/27/2017")</f>
        <v>#NAME?</v>
      </c>
      <c r="AC801" s="16">
        <v>2369.7502934271001</v>
      </c>
    </row>
    <row r="802" spans="26:29" x14ac:dyDescent="0.35">
      <c r="Z802" s="4"/>
      <c r="AA802" s="4"/>
      <c r="AB802" s="4" t="e">
        <f ca="1">_xll.ciqfunctions.udf.CIQ("^SPX", "IQ_PRICEDATE", "2/28/2017")</f>
        <v>#NAME?</v>
      </c>
      <c r="AC802" s="16">
        <v>2363.6381971289002</v>
      </c>
    </row>
    <row r="803" spans="26:29" x14ac:dyDescent="0.35">
      <c r="Z803" s="4"/>
      <c r="AA803" s="4"/>
      <c r="AB803" s="4" t="e">
        <f ca="1">_xll.ciqfunctions.udf.CIQ("^SPX", "IQ_PRICEDATE", "3/1/2017")</f>
        <v>#NAME?</v>
      </c>
      <c r="AC803" s="16">
        <v>2395.9571420635998</v>
      </c>
    </row>
    <row r="804" spans="26:29" x14ac:dyDescent="0.35">
      <c r="Z804" s="4"/>
      <c r="AA804" s="4"/>
      <c r="AB804" s="4" t="e">
        <f ca="1">_xll.ciqfunctions.udf.CIQ("^SPX", "IQ_PRICEDATE", "3/2/2017")</f>
        <v>#NAME?</v>
      </c>
      <c r="AC804" s="16">
        <v>2381.9182073411998</v>
      </c>
    </row>
    <row r="805" spans="26:29" x14ac:dyDescent="0.35">
      <c r="Z805" s="4"/>
      <c r="AA805" s="4"/>
      <c r="AB805" s="4" t="e">
        <f ca="1">_xll.ciqfunctions.udf.CIQ("^SPX", "IQ_PRICEDATE", "3/3/2017")</f>
        <v>#NAME?</v>
      </c>
      <c r="AC805" s="16">
        <v>2383.1170365799999</v>
      </c>
    </row>
    <row r="806" spans="26:29" x14ac:dyDescent="0.35">
      <c r="Z806" s="4"/>
      <c r="AA806" s="4"/>
      <c r="AB806" s="4" t="e">
        <f ca="1">_xll.ciqfunctions.udf.CIQ("^SPX", "IQ_PRICEDATE", "3/6/2017")</f>
        <v>#NAME?</v>
      </c>
      <c r="AC806" s="16">
        <v>2375.3111240962999</v>
      </c>
    </row>
    <row r="807" spans="26:29" x14ac:dyDescent="0.35">
      <c r="Z807" s="4"/>
      <c r="AA807" s="4"/>
      <c r="AB807" s="4" t="e">
        <f ca="1">_xll.ciqfunctions.udf.CIQ("^SPX", "IQ_PRICEDATE", "3/7/2017")</f>
        <v>#NAME?</v>
      </c>
      <c r="AC807" s="16">
        <v>2368.3942101840998</v>
      </c>
    </row>
    <row r="808" spans="26:29" x14ac:dyDescent="0.35">
      <c r="Z808" s="4"/>
      <c r="AA808" s="4"/>
      <c r="AB808" s="4" t="e">
        <f ca="1">_xll.ciqfunctions.udf.CIQ("^SPX", "IQ_PRICEDATE", "3/8/2017")</f>
        <v>#NAME?</v>
      </c>
      <c r="AC808" s="16">
        <v>2362.9769963468998</v>
      </c>
    </row>
    <row r="809" spans="26:29" x14ac:dyDescent="0.35">
      <c r="Z809" s="4"/>
      <c r="AA809" s="4"/>
      <c r="AB809" s="4" t="e">
        <f ca="1">_xll.ciqfunctions.udf.CIQ("^SPX", "IQ_PRICEDATE", "3/9/2017")</f>
        <v>#NAME?</v>
      </c>
      <c r="AC809" s="16">
        <v>2364.8697868442</v>
      </c>
    </row>
    <row r="810" spans="26:29" x14ac:dyDescent="0.35">
      <c r="Z810" s="4"/>
      <c r="AA810" s="4"/>
      <c r="AB810" s="4" t="e">
        <f ca="1">_xll.ciqfunctions.udf.CIQ("^SPX", "IQ_PRICEDATE", "3/10/2017")</f>
        <v>#NAME?</v>
      </c>
      <c r="AC810" s="16">
        <v>2372.5977517652</v>
      </c>
    </row>
    <row r="811" spans="26:29" x14ac:dyDescent="0.35">
      <c r="Z811" s="4"/>
      <c r="AA811" s="4"/>
      <c r="AB811" s="4" t="e">
        <f ca="1">_xll.ciqfunctions.udf.CIQ("^SPX", "IQ_PRICEDATE", "3/13/2017")</f>
        <v>#NAME?</v>
      </c>
      <c r="AC811" s="16">
        <v>2373.4729821412002</v>
      </c>
    </row>
    <row r="812" spans="26:29" x14ac:dyDescent="0.35">
      <c r="Z812" s="4"/>
      <c r="AA812" s="4"/>
      <c r="AB812" s="4" t="e">
        <f ca="1">_xll.ciqfunctions.udf.CIQ("^SPX", "IQ_PRICEDATE", "3/14/2017")</f>
        <v>#NAME?</v>
      </c>
      <c r="AC812" s="16">
        <v>2365.4548960461002</v>
      </c>
    </row>
    <row r="813" spans="26:29" x14ac:dyDescent="0.35">
      <c r="Z813" s="4"/>
      <c r="AA813" s="4"/>
      <c r="AB813" s="4" t="e">
        <f ca="1">_xll.ciqfunctions.udf.CIQ("^SPX", "IQ_PRICEDATE", "3/15/2017")</f>
        <v>#NAME?</v>
      </c>
      <c r="AC813" s="16">
        <v>2385.2644650697998</v>
      </c>
    </row>
    <row r="814" spans="26:29" x14ac:dyDescent="0.35">
      <c r="Z814" s="4"/>
      <c r="AA814" s="4"/>
      <c r="AB814" s="4" t="e">
        <f ca="1">_xll.ciqfunctions.udf.CIQ("^SPX", "IQ_PRICEDATE", "3/16/2017")</f>
        <v>#NAME?</v>
      </c>
      <c r="AC814" s="16">
        <v>2381.3822478676002</v>
      </c>
    </row>
    <row r="815" spans="26:29" x14ac:dyDescent="0.35">
      <c r="Z815" s="4"/>
      <c r="AA815" s="4"/>
      <c r="AB815" s="4" t="e">
        <f ca="1">_xll.ciqfunctions.udf.CIQ("^SPX", "IQ_PRICEDATE", "3/17/2017")</f>
        <v>#NAME?</v>
      </c>
      <c r="AC815" s="16">
        <v>2378.2530512992998</v>
      </c>
    </row>
    <row r="816" spans="26:29" x14ac:dyDescent="0.35">
      <c r="Z816" s="4"/>
      <c r="AA816" s="4"/>
      <c r="AB816" s="4" t="e">
        <f ca="1">_xll.ciqfunctions.udf.CIQ("^SPX", "IQ_PRICEDATE", "3/20/2017")</f>
        <v>#NAME?</v>
      </c>
      <c r="AC816" s="16">
        <v>2373.4716089251001</v>
      </c>
    </row>
    <row r="817" spans="26:29" x14ac:dyDescent="0.35">
      <c r="Z817" s="4"/>
      <c r="AA817" s="4"/>
      <c r="AB817" s="4" t="e">
        <f ca="1">_xll.ciqfunctions.udf.CIQ("^SPX", "IQ_PRICEDATE", "3/21/2017")</f>
        <v>#NAME?</v>
      </c>
      <c r="AC817" s="16">
        <v>2344.0171188897998</v>
      </c>
    </row>
    <row r="818" spans="26:29" x14ac:dyDescent="0.35">
      <c r="Z818" s="4"/>
      <c r="AA818" s="4"/>
      <c r="AB818" s="4" t="e">
        <f ca="1">_xll.ciqfunctions.udf.CIQ("^SPX", "IQ_PRICEDATE", "3/22/2017")</f>
        <v>#NAME?</v>
      </c>
      <c r="AC818" s="16">
        <v>2348.4488358253998</v>
      </c>
    </row>
    <row r="819" spans="26:29" x14ac:dyDescent="0.35">
      <c r="Z819" s="4"/>
      <c r="AA819" s="4"/>
      <c r="AB819" s="4" t="e">
        <f ca="1">_xll.ciqfunctions.udf.CIQ("^SPX", "IQ_PRICEDATE", "3/23/2017")</f>
        <v>#NAME?</v>
      </c>
      <c r="AC819" s="16">
        <v>2345.9621629387998</v>
      </c>
    </row>
    <row r="820" spans="26:29" x14ac:dyDescent="0.35">
      <c r="Z820" s="4"/>
      <c r="AA820" s="4"/>
      <c r="AB820" s="4" t="e">
        <f ca="1">_xll.ciqfunctions.udf.CIQ("^SPX", "IQ_PRICEDATE", "3/24/2017")</f>
        <v>#NAME?</v>
      </c>
      <c r="AC820" s="16">
        <v>2343.9781399113999</v>
      </c>
    </row>
    <row r="821" spans="26:29" x14ac:dyDescent="0.35">
      <c r="Z821" s="4"/>
      <c r="AA821" s="4"/>
      <c r="AB821" s="4" t="e">
        <f ca="1">_xll.ciqfunctions.udf.CIQ("^SPX", "IQ_PRICEDATE", "3/27/2017")</f>
        <v>#NAME?</v>
      </c>
      <c r="AC821" s="16">
        <v>2341.5905947084002</v>
      </c>
    </row>
    <row r="822" spans="26:29" x14ac:dyDescent="0.35">
      <c r="Z822" s="4"/>
      <c r="AA822" s="4"/>
      <c r="AB822" s="4" t="e">
        <f ca="1">_xll.ciqfunctions.udf.CIQ("^SPX", "IQ_PRICEDATE", "3/28/2017")</f>
        <v>#NAME?</v>
      </c>
      <c r="AC822" s="16">
        <v>2358.5664621082001</v>
      </c>
    </row>
    <row r="823" spans="26:29" x14ac:dyDescent="0.35">
      <c r="Z823" s="4"/>
      <c r="AA823" s="4"/>
      <c r="AB823" s="4" t="e">
        <f ca="1">_xll.ciqfunctions.udf.CIQ("^SPX", "IQ_PRICEDATE", "3/29/2017")</f>
        <v>#NAME?</v>
      </c>
      <c r="AC823" s="16">
        <v>2361.1329611063002</v>
      </c>
    </row>
    <row r="824" spans="26:29" x14ac:dyDescent="0.35">
      <c r="Z824" s="4"/>
      <c r="AA824" s="4"/>
      <c r="AB824" s="4" t="e">
        <f ca="1">_xll.ciqfunctions.udf.CIQ("^SPX", "IQ_PRICEDATE", "3/30/2017")</f>
        <v>#NAME?</v>
      </c>
      <c r="AC824" s="16">
        <v>2368.0605682130999</v>
      </c>
    </row>
    <row r="825" spans="26:29" x14ac:dyDescent="0.35">
      <c r="Z825" s="4"/>
      <c r="AA825" s="4"/>
      <c r="AB825" s="4" t="e">
        <f ca="1">_xll.ciqfunctions.udf.CIQ("^SPX", "IQ_PRICEDATE", "3/31/2017")</f>
        <v>#NAME?</v>
      </c>
      <c r="AC825" s="16">
        <v>2362.7182203972998</v>
      </c>
    </row>
    <row r="826" spans="26:29" x14ac:dyDescent="0.35">
      <c r="Z826" s="4"/>
      <c r="AA826" s="4"/>
      <c r="AB826" s="4" t="e">
        <f ca="1">_xll.ciqfunctions.udf.CIQ("^SPX", "IQ_PRICEDATE", "4/3/2017")</f>
        <v>#NAME?</v>
      </c>
      <c r="AC826" s="16">
        <v>2358.8350901079998</v>
      </c>
    </row>
    <row r="827" spans="26:29" x14ac:dyDescent="0.35">
      <c r="Z827" s="4"/>
      <c r="AA827" s="4"/>
      <c r="AB827" s="4" t="e">
        <f ca="1">_xll.ciqfunctions.udf.CIQ("^SPX", "IQ_PRICEDATE", "4/4/2017")</f>
        <v>#NAME?</v>
      </c>
      <c r="AC827" s="16">
        <v>2360.1556906116998</v>
      </c>
    </row>
    <row r="828" spans="26:29" x14ac:dyDescent="0.35">
      <c r="Z828" s="4"/>
      <c r="AA828" s="4"/>
      <c r="AB828" s="4" t="e">
        <f ca="1">_xll.ciqfunctions.udf.CIQ("^SPX", "IQ_PRICEDATE", "4/5/2017")</f>
        <v>#NAME?</v>
      </c>
      <c r="AC828" s="16">
        <v>2352.9481905326002</v>
      </c>
    </row>
    <row r="829" spans="26:29" x14ac:dyDescent="0.35">
      <c r="Z829" s="4"/>
      <c r="AA829" s="4"/>
      <c r="AB829" s="4" t="e">
        <f ca="1">_xll.ciqfunctions.udf.CIQ("^SPX", "IQ_PRICEDATE", "4/6/2017")</f>
        <v>#NAME?</v>
      </c>
      <c r="AC829" s="16">
        <v>2357.4890699420998</v>
      </c>
    </row>
    <row r="830" spans="26:29" x14ac:dyDescent="0.35">
      <c r="Z830" s="4"/>
      <c r="AA830" s="4"/>
      <c r="AB830" s="4" t="e">
        <f ca="1">_xll.ciqfunctions.udf.CIQ("^SPX", "IQ_PRICEDATE", "4/7/2017")</f>
        <v>#NAME?</v>
      </c>
      <c r="AC830" s="16">
        <v>2355.5449917134001</v>
      </c>
    </row>
    <row r="831" spans="26:29" x14ac:dyDescent="0.35">
      <c r="Z831" s="4"/>
      <c r="AA831" s="4"/>
      <c r="AB831" s="4" t="e">
        <f ca="1">_xll.ciqfunctions.udf.CIQ("^SPX", "IQ_PRICEDATE", "4/10/2017")</f>
        <v>#NAME?</v>
      </c>
      <c r="AC831" s="16">
        <v>2357.1633808413999</v>
      </c>
    </row>
    <row r="832" spans="26:29" x14ac:dyDescent="0.35">
      <c r="Z832" s="4"/>
      <c r="AA832" s="4"/>
      <c r="AB832" s="4" t="e">
        <f ca="1">_xll.ciqfunctions.udf.CIQ("^SPX", "IQ_PRICEDATE", "4/11/2017")</f>
        <v>#NAME?</v>
      </c>
      <c r="AC832" s="16">
        <v>2353.7769915017998</v>
      </c>
    </row>
    <row r="833" spans="26:29" x14ac:dyDescent="0.35">
      <c r="Z833" s="4"/>
      <c r="AA833" s="4"/>
      <c r="AB833" s="4" t="e">
        <f ca="1">_xll.ciqfunctions.udf.CIQ("^SPX", "IQ_PRICEDATE", "4/12/2017")</f>
        <v>#NAME?</v>
      </c>
      <c r="AC833" s="16">
        <v>2344.926332342</v>
      </c>
    </row>
    <row r="834" spans="26:29" x14ac:dyDescent="0.35">
      <c r="Z834" s="4"/>
      <c r="AA834" s="4"/>
      <c r="AB834" s="4" t="e">
        <f ca="1">_xll.ciqfunctions.udf.CIQ("^SPX", "IQ_PRICEDATE", "4/13/2017")</f>
        <v>#NAME?</v>
      </c>
      <c r="AC834" s="16">
        <v>2328.9533474916002</v>
      </c>
    </row>
    <row r="835" spans="26:29" x14ac:dyDescent="0.35">
      <c r="Z835" s="4"/>
      <c r="AA835" s="4"/>
      <c r="AB835" s="4" t="e">
        <f ca="1">_xll.ciqfunctions.udf.CIQ("^SPX", "IQ_PRICEDATE", "4/17/2017")</f>
        <v>#NAME?</v>
      </c>
      <c r="AC835" s="16">
        <v>2349.0102206680999</v>
      </c>
    </row>
    <row r="836" spans="26:29" x14ac:dyDescent="0.35">
      <c r="Z836" s="4"/>
      <c r="AA836" s="4"/>
      <c r="AB836" s="4" t="e">
        <f ca="1">_xll.ciqfunctions.udf.CIQ("^SPX", "IQ_PRICEDATE", "4/18/2017")</f>
        <v>#NAME?</v>
      </c>
      <c r="AC836" s="16">
        <v>2342.1878312869999</v>
      </c>
    </row>
    <row r="837" spans="26:29" x14ac:dyDescent="0.35">
      <c r="Z837" s="4"/>
      <c r="AA837" s="4"/>
      <c r="AB837" s="4" t="e">
        <f ca="1">_xll.ciqfunctions.udf.CIQ("^SPX", "IQ_PRICEDATE", "4/19/2017")</f>
        <v>#NAME?</v>
      </c>
      <c r="AC837" s="16">
        <v>2338.16598759</v>
      </c>
    </row>
    <row r="838" spans="26:29" x14ac:dyDescent="0.35">
      <c r="Z838" s="4"/>
      <c r="AA838" s="4"/>
      <c r="AB838" s="4" t="e">
        <f ca="1">_xll.ciqfunctions.udf.CIQ("^SPX", "IQ_PRICEDATE", "4/20/2017")</f>
        <v>#NAME?</v>
      </c>
      <c r="AC838" s="16">
        <v>2355.8440804402999</v>
      </c>
    </row>
    <row r="839" spans="26:29" x14ac:dyDescent="0.35">
      <c r="Z839" s="4"/>
      <c r="AA839" s="4"/>
      <c r="AB839" s="4" t="e">
        <f ca="1">_xll.ciqfunctions.udf.CIQ("^SPX", "IQ_PRICEDATE", "4/21/2017")</f>
        <v>#NAME?</v>
      </c>
      <c r="AC839" s="16">
        <v>2348.6949580619998</v>
      </c>
    </row>
    <row r="840" spans="26:29" x14ac:dyDescent="0.35">
      <c r="Z840" s="4"/>
      <c r="AA840" s="4"/>
      <c r="AB840" s="4" t="e">
        <f ca="1">_xll.ciqfunctions.udf.CIQ("^SPX", "IQ_PRICEDATE", "4/24/2017")</f>
        <v>#NAME?</v>
      </c>
      <c r="AC840" s="16">
        <v>2374.1506911319002</v>
      </c>
    </row>
    <row r="841" spans="26:29" x14ac:dyDescent="0.35">
      <c r="Z841" s="4"/>
      <c r="AA841" s="4"/>
      <c r="AB841" s="4" t="e">
        <f ca="1">_xll.ciqfunctions.udf.CIQ("^SPX", "IQ_PRICEDATE", "4/25/2017")</f>
        <v>#NAME?</v>
      </c>
      <c r="AC841" s="16">
        <v>2388.6149249553</v>
      </c>
    </row>
    <row r="842" spans="26:29" x14ac:dyDescent="0.35">
      <c r="Z842" s="4"/>
      <c r="AA842" s="4"/>
      <c r="AB842" s="4" t="e">
        <f ca="1">_xll.ciqfunctions.udf.CIQ("^SPX", "IQ_PRICEDATE", "4/26/2017")</f>
        <v>#NAME?</v>
      </c>
      <c r="AC842" s="16">
        <v>2387.4479308863001</v>
      </c>
    </row>
    <row r="843" spans="26:29" x14ac:dyDescent="0.35">
      <c r="Z843" s="4"/>
      <c r="AA843" s="4"/>
      <c r="AB843" s="4" t="e">
        <f ca="1">_xll.ciqfunctions.udf.CIQ("^SPX", "IQ_PRICEDATE", "4/27/2017")</f>
        <v>#NAME?</v>
      </c>
      <c r="AC843" s="16">
        <v>2388.7688361317</v>
      </c>
    </row>
    <row r="844" spans="26:29" x14ac:dyDescent="0.35">
      <c r="Z844" s="4"/>
      <c r="AA844" s="4"/>
      <c r="AB844" s="4" t="e">
        <f ca="1">_xll.ciqfunctions.udf.CIQ("^SPX", "IQ_PRICEDATE", "4/28/2017")</f>
        <v>#NAME?</v>
      </c>
      <c r="AC844" s="16">
        <v>2384.1955178138001</v>
      </c>
    </row>
    <row r="845" spans="26:29" x14ac:dyDescent="0.35">
      <c r="Z845" s="4"/>
      <c r="AA845" s="4"/>
      <c r="AB845" s="4" t="e">
        <f ca="1">_xll.ciqfunctions.udf.CIQ("^SPX", "IQ_PRICEDATE", "5/1/2017")</f>
        <v>#NAME?</v>
      </c>
      <c r="AC845" s="16">
        <v>2388.3271850824999</v>
      </c>
    </row>
    <row r="846" spans="26:29" x14ac:dyDescent="0.35">
      <c r="Z846" s="4"/>
      <c r="AA846" s="4"/>
      <c r="AB846" s="4" t="e">
        <f ca="1">_xll.ciqfunctions.udf.CIQ("^SPX", "IQ_PRICEDATE", "5/2/2017")</f>
        <v>#NAME?</v>
      </c>
      <c r="AC846" s="16">
        <v>2391.1659415048998</v>
      </c>
    </row>
    <row r="847" spans="26:29" x14ac:dyDescent="0.35">
      <c r="Z847" s="4"/>
      <c r="AA847" s="4"/>
      <c r="AB847" s="4" t="e">
        <f ca="1">_xll.ciqfunctions.udf.CIQ("^SPX", "IQ_PRICEDATE", "5/3/2017")</f>
        <v>#NAME?</v>
      </c>
      <c r="AC847" s="16">
        <v>2388.1348932934002</v>
      </c>
    </row>
    <row r="848" spans="26:29" x14ac:dyDescent="0.35">
      <c r="Z848" s="4"/>
      <c r="AA848" s="4"/>
      <c r="AB848" s="4" t="e">
        <f ca="1">_xll.ciqfunctions.udf.CIQ("^SPX", "IQ_PRICEDATE", "5/4/2017")</f>
        <v>#NAME?</v>
      </c>
      <c r="AC848" s="16">
        <v>2389.5216607773</v>
      </c>
    </row>
    <row r="849" spans="26:29" x14ac:dyDescent="0.35">
      <c r="Z849" s="4"/>
      <c r="AA849" s="4"/>
      <c r="AB849" s="4" t="e">
        <f ca="1">_xll.ciqfunctions.udf.CIQ("^SPX", "IQ_PRICEDATE", "5/5/2017")</f>
        <v>#NAME?</v>
      </c>
      <c r="AC849" s="16">
        <v>2399.2857104250002</v>
      </c>
    </row>
    <row r="850" spans="26:29" x14ac:dyDescent="0.35">
      <c r="Z850" s="4"/>
      <c r="AA850" s="4"/>
      <c r="AB850" s="4" t="e">
        <f ca="1">_xll.ciqfunctions.udf.CIQ("^SPX", "IQ_PRICEDATE", "5/8/2017")</f>
        <v>#NAME?</v>
      </c>
      <c r="AC850" s="16">
        <v>2399.3773292577998</v>
      </c>
    </row>
    <row r="851" spans="26:29" x14ac:dyDescent="0.35">
      <c r="Z851" s="4"/>
      <c r="AA851" s="4"/>
      <c r="AB851" s="4" t="e">
        <f ca="1">_xll.ciqfunctions.udf.CIQ("^SPX", "IQ_PRICEDATE", "5/9/2017")</f>
        <v>#NAME?</v>
      </c>
      <c r="AC851" s="16">
        <v>2396.9194242874</v>
      </c>
    </row>
    <row r="852" spans="26:29" x14ac:dyDescent="0.35">
      <c r="Z852" s="4"/>
      <c r="AA852" s="4"/>
      <c r="AB852" s="4" t="e">
        <f ca="1">_xll.ciqfunctions.udf.CIQ("^SPX", "IQ_PRICEDATE", "5/10/2017")</f>
        <v>#NAME?</v>
      </c>
      <c r="AC852" s="16">
        <v>2399.6299593671001</v>
      </c>
    </row>
    <row r="853" spans="26:29" x14ac:dyDescent="0.35">
      <c r="Z853" s="4"/>
      <c r="AA853" s="4"/>
      <c r="AB853" s="4" t="e">
        <f ca="1">_xll.ciqfunctions.udf.CIQ("^SPX", "IQ_PRICEDATE", "5/11/2017")</f>
        <v>#NAME?</v>
      </c>
      <c r="AC853" s="16">
        <v>2394.4397979863002</v>
      </c>
    </row>
    <row r="854" spans="26:29" x14ac:dyDescent="0.35">
      <c r="Z854" s="4"/>
      <c r="AA854" s="4"/>
      <c r="AB854" s="4" t="e">
        <f ca="1">_xll.ciqfunctions.udf.CIQ("^SPX", "IQ_PRICEDATE", "5/12/2017")</f>
        <v>#NAME?</v>
      </c>
      <c r="AC854" s="16">
        <v>2390.8972261383001</v>
      </c>
    </row>
    <row r="855" spans="26:29" x14ac:dyDescent="0.35">
      <c r="Z855" s="4"/>
      <c r="AA855" s="4"/>
      <c r="AB855" s="4" t="e">
        <f ca="1">_xll.ciqfunctions.udf.CIQ("^SPX", "IQ_PRICEDATE", "5/15/2017")</f>
        <v>#NAME?</v>
      </c>
      <c r="AC855" s="16">
        <v>2402.3202821682999</v>
      </c>
    </row>
    <row r="856" spans="26:29" x14ac:dyDescent="0.35">
      <c r="Z856" s="4"/>
      <c r="AA856" s="4"/>
      <c r="AB856" s="4" t="e">
        <f ca="1">_xll.ciqfunctions.udf.CIQ("^SPX", "IQ_PRICEDATE", "5/16/2017")</f>
        <v>#NAME?</v>
      </c>
      <c r="AC856" s="16">
        <v>2400.6741690949998</v>
      </c>
    </row>
    <row r="857" spans="26:29" x14ac:dyDescent="0.35">
      <c r="Z857" s="4"/>
      <c r="AA857" s="4"/>
      <c r="AB857" s="4" t="e">
        <f ca="1">_xll.ciqfunctions.udf.CIQ("^SPX", "IQ_PRICEDATE", "5/17/2017")</f>
        <v>#NAME?</v>
      </c>
      <c r="AC857" s="16">
        <v>2357.0321672037999</v>
      </c>
    </row>
    <row r="858" spans="26:29" x14ac:dyDescent="0.35">
      <c r="Z858" s="4"/>
      <c r="AA858" s="4"/>
      <c r="AB858" s="4" t="e">
        <f ca="1">_xll.ciqfunctions.udf.CIQ("^SPX", "IQ_PRICEDATE", "5/18/2017")</f>
        <v>#NAME?</v>
      </c>
      <c r="AC858" s="16">
        <v>2365.7239626676001</v>
      </c>
    </row>
    <row r="859" spans="26:29" x14ac:dyDescent="0.35">
      <c r="Z859" s="4"/>
      <c r="AA859" s="4"/>
      <c r="AB859" s="4" t="e">
        <f ca="1">_xll.ciqfunctions.udf.CIQ("^SPX", "IQ_PRICEDATE", "5/19/2017")</f>
        <v>#NAME?</v>
      </c>
      <c r="AC859" s="16">
        <v>2381.7267041675</v>
      </c>
    </row>
    <row r="860" spans="26:29" x14ac:dyDescent="0.35">
      <c r="Z860" s="4"/>
      <c r="AA860" s="4"/>
      <c r="AB860" s="4" t="e">
        <f ca="1">_xll.ciqfunctions.udf.CIQ("^SPX", "IQ_PRICEDATE", "5/22/2017")</f>
        <v>#NAME?</v>
      </c>
      <c r="AC860" s="16">
        <v>2394.0240765692001</v>
      </c>
    </row>
    <row r="861" spans="26:29" x14ac:dyDescent="0.35">
      <c r="Z861" s="4"/>
      <c r="AA861" s="4"/>
      <c r="AB861" s="4" t="e">
        <f ca="1">_xll.ciqfunctions.udf.CIQ("^SPX", "IQ_PRICEDATE", "5/23/2017")</f>
        <v>#NAME?</v>
      </c>
      <c r="AC861" s="16">
        <v>2398.4186023841999</v>
      </c>
    </row>
    <row r="862" spans="26:29" x14ac:dyDescent="0.35">
      <c r="Z862" s="4"/>
      <c r="AA862" s="4"/>
      <c r="AB862" s="4" t="e">
        <f ca="1">_xll.ciqfunctions.udf.CIQ("^SPX", "IQ_PRICEDATE", "5/24/2017")</f>
        <v>#NAME?</v>
      </c>
      <c r="AC862" s="16">
        <v>2404.3870216977998</v>
      </c>
    </row>
    <row r="863" spans="26:29" x14ac:dyDescent="0.35">
      <c r="Z863" s="4"/>
      <c r="AA863" s="4"/>
      <c r="AB863" s="4" t="e">
        <f ca="1">_xll.ciqfunctions.udf.CIQ("^SPX", "IQ_PRICEDATE", "5/25/2017")</f>
        <v>#NAME?</v>
      </c>
      <c r="AC863" s="16">
        <v>2415.0657027404</v>
      </c>
    </row>
    <row r="864" spans="26:29" x14ac:dyDescent="0.35">
      <c r="Z864" s="4"/>
      <c r="AA864" s="4"/>
      <c r="AB864" s="4" t="e">
        <f ca="1">_xll.ciqfunctions.udf.CIQ("^SPX", "IQ_PRICEDATE", "5/26/2017")</f>
        <v>#NAME?</v>
      </c>
      <c r="AC864" s="16">
        <v>2415.8224803902999</v>
      </c>
    </row>
    <row r="865" spans="26:29" x14ac:dyDescent="0.35">
      <c r="Z865" s="4"/>
      <c r="AA865" s="4"/>
      <c r="AB865" s="4" t="e">
        <f ca="1">_xll.ciqfunctions.udf.CIQ("^SPX", "IQ_PRICEDATE", "5/30/2017")</f>
        <v>#NAME?</v>
      </c>
      <c r="AC865" s="16">
        <v>2412.9065671479998</v>
      </c>
    </row>
    <row r="866" spans="26:29" x14ac:dyDescent="0.35">
      <c r="Z866" s="4"/>
      <c r="AA866" s="4"/>
      <c r="AB866" s="4" t="e">
        <f ca="1">_xll.ciqfunctions.udf.CIQ("^SPX", "IQ_PRICEDATE", "5/31/2017")</f>
        <v>#NAME?</v>
      </c>
      <c r="AC866" s="16">
        <v>2411.7973242573999</v>
      </c>
    </row>
    <row r="867" spans="26:29" x14ac:dyDescent="0.35">
      <c r="Z867" s="4"/>
      <c r="AA867" s="4"/>
      <c r="AB867" s="4" t="e">
        <f ca="1">_xll.ciqfunctions.udf.CIQ("^SPX", "IQ_PRICEDATE", "6/1/2017")</f>
        <v>#NAME?</v>
      </c>
      <c r="AC867" s="16">
        <v>2430.0610709493999</v>
      </c>
    </row>
    <row r="868" spans="26:29" x14ac:dyDescent="0.35">
      <c r="Z868" s="4"/>
      <c r="AA868" s="4"/>
      <c r="AB868" s="4" t="e">
        <f ca="1">_xll.ciqfunctions.udf.CIQ("^SPX", "IQ_PRICEDATE", "6/2/2017")</f>
        <v>#NAME?</v>
      </c>
      <c r="AC868" s="16">
        <v>2439.0702499803001</v>
      </c>
    </row>
    <row r="869" spans="26:29" x14ac:dyDescent="0.35">
      <c r="Z869" s="4"/>
      <c r="AA869" s="4"/>
      <c r="AB869" s="4" t="e">
        <f ca="1">_xll.ciqfunctions.udf.CIQ("^SPX", "IQ_PRICEDATE", "6/5/2017")</f>
        <v>#NAME?</v>
      </c>
      <c r="AC869" s="16">
        <v>2436.0961957703998</v>
      </c>
    </row>
    <row r="870" spans="26:29" x14ac:dyDescent="0.35">
      <c r="Z870" s="4"/>
      <c r="AA870" s="4"/>
      <c r="AB870" s="4" t="e">
        <f ca="1">_xll.ciqfunctions.udf.CIQ("^SPX", "IQ_PRICEDATE", "6/6/2017")</f>
        <v>#NAME?</v>
      </c>
      <c r="AC870" s="16">
        <v>2429.3272573536001</v>
      </c>
    </row>
    <row r="871" spans="26:29" x14ac:dyDescent="0.35">
      <c r="Z871" s="4"/>
      <c r="AA871" s="4"/>
      <c r="AB871" s="4" t="e">
        <f ca="1">_xll.ciqfunctions.udf.CIQ("^SPX", "IQ_PRICEDATE", "6/7/2017")</f>
        <v>#NAME?</v>
      </c>
      <c r="AC871" s="16">
        <v>2433.1374300828002</v>
      </c>
    </row>
    <row r="872" spans="26:29" x14ac:dyDescent="0.35">
      <c r="Z872" s="4"/>
      <c r="AA872" s="4"/>
      <c r="AB872" s="4" t="e">
        <f ca="1">_xll.ciqfunctions.udf.CIQ("^SPX", "IQ_PRICEDATE", "6/8/2017")</f>
        <v>#NAME?</v>
      </c>
      <c r="AC872" s="16">
        <v>2433.7906309395999</v>
      </c>
    </row>
    <row r="873" spans="26:29" x14ac:dyDescent="0.35">
      <c r="Z873" s="4"/>
      <c r="AA873" s="4"/>
      <c r="AB873" s="4" t="e">
        <f ca="1">_xll.ciqfunctions.udf.CIQ("^SPX", "IQ_PRICEDATE", "6/9/2017")</f>
        <v>#NAME?</v>
      </c>
      <c r="AC873" s="16">
        <v>2431.7723650030998</v>
      </c>
    </row>
    <row r="874" spans="26:29" x14ac:dyDescent="0.35">
      <c r="Z874" s="4"/>
      <c r="AA874" s="4"/>
      <c r="AB874" s="4" t="e">
        <f ca="1">_xll.ciqfunctions.udf.CIQ("^SPX", "IQ_PRICEDATE", "6/12/2017")</f>
        <v>#NAME?</v>
      </c>
      <c r="AC874" s="16">
        <v>2429.3912557921999</v>
      </c>
    </row>
    <row r="875" spans="26:29" x14ac:dyDescent="0.35">
      <c r="Z875" s="4"/>
      <c r="AA875" s="4"/>
      <c r="AB875" s="4" t="e">
        <f ca="1">_xll.ciqfunctions.udf.CIQ("^SPX", "IQ_PRICEDATE", "6/13/2017")</f>
        <v>#NAME?</v>
      </c>
      <c r="AC875" s="16">
        <v>2440.3474964374</v>
      </c>
    </row>
    <row r="876" spans="26:29" x14ac:dyDescent="0.35">
      <c r="Z876" s="4"/>
      <c r="AA876" s="4"/>
      <c r="AB876" s="4" t="e">
        <f ca="1">_xll.ciqfunctions.udf.CIQ("^SPX", "IQ_PRICEDATE", "6/14/2017")</f>
        <v>#NAME?</v>
      </c>
      <c r="AC876" s="16">
        <v>2437.9204812496</v>
      </c>
    </row>
    <row r="877" spans="26:29" x14ac:dyDescent="0.35">
      <c r="Z877" s="4"/>
      <c r="AA877" s="4"/>
      <c r="AB877" s="4" t="e">
        <f ca="1">_xll.ciqfunctions.udf.CIQ("^SPX", "IQ_PRICEDATE", "6/15/2017")</f>
        <v>#NAME?</v>
      </c>
      <c r="AC877" s="16">
        <v>2432.4591271283002</v>
      </c>
    </row>
    <row r="878" spans="26:29" x14ac:dyDescent="0.35">
      <c r="Z878" s="4"/>
      <c r="AA878" s="4"/>
      <c r="AB878" s="4" t="e">
        <f ca="1">_xll.ciqfunctions.udf.CIQ("^SPX", "IQ_PRICEDATE", "6/16/2017")</f>
        <v>#NAME?</v>
      </c>
      <c r="AC878" s="16">
        <v>2433.1508288614</v>
      </c>
    </row>
    <row r="879" spans="26:29" x14ac:dyDescent="0.35">
      <c r="Z879" s="4"/>
      <c r="AA879" s="4"/>
      <c r="AB879" s="4" t="e">
        <f ca="1">_xll.ciqfunctions.udf.CIQ("^SPX", "IQ_PRICEDATE", "6/19/2017")</f>
        <v>#NAME?</v>
      </c>
      <c r="AC879" s="16">
        <v>2453.4586037494</v>
      </c>
    </row>
    <row r="880" spans="26:29" x14ac:dyDescent="0.35">
      <c r="Z880" s="4"/>
      <c r="AA880" s="4"/>
      <c r="AB880" s="4" t="e">
        <f ca="1">_xll.ciqfunctions.udf.CIQ("^SPX", "IQ_PRICEDATE", "6/20/2017")</f>
        <v>#NAME?</v>
      </c>
      <c r="AC880" s="16">
        <v>2437.0281337665001</v>
      </c>
    </row>
    <row r="881" spans="26:29" x14ac:dyDescent="0.35">
      <c r="Z881" s="4"/>
      <c r="AA881" s="4"/>
      <c r="AB881" s="4" t="e">
        <f ca="1">_xll.ciqfunctions.udf.CIQ("^SPX", "IQ_PRICEDATE", "6/21/2017")</f>
        <v>#NAME?</v>
      </c>
      <c r="AC881" s="16">
        <v>2435.6116850599001</v>
      </c>
    </row>
    <row r="882" spans="26:29" x14ac:dyDescent="0.35">
      <c r="Z882" s="4"/>
      <c r="AA882" s="4"/>
      <c r="AB882" s="4" t="e">
        <f ca="1">_xll.ciqfunctions.udf.CIQ("^SPX", "IQ_PRICEDATE", "6/22/2017")</f>
        <v>#NAME?</v>
      </c>
      <c r="AC882" s="16">
        <v>2434.4974087685</v>
      </c>
    </row>
    <row r="883" spans="26:29" x14ac:dyDescent="0.35">
      <c r="Z883" s="4"/>
      <c r="AA883" s="4"/>
      <c r="AB883" s="4" t="e">
        <f ca="1">_xll.ciqfunctions.udf.CIQ("^SPX", "IQ_PRICEDATE", "6/23/2017")</f>
        <v>#NAME?</v>
      </c>
      <c r="AC883" s="16">
        <v>2438.2969118630999</v>
      </c>
    </row>
    <row r="884" spans="26:29" x14ac:dyDescent="0.35">
      <c r="Z884" s="4"/>
      <c r="AA884" s="4"/>
      <c r="AB884" s="4" t="e">
        <f ca="1">_xll.ciqfunctions.udf.CIQ("^SPX", "IQ_PRICEDATE", "6/26/2017")</f>
        <v>#NAME?</v>
      </c>
      <c r="AC884" s="16">
        <v>2439.0654771775999</v>
      </c>
    </row>
    <row r="885" spans="26:29" x14ac:dyDescent="0.35">
      <c r="Z885" s="4"/>
      <c r="AA885" s="4"/>
      <c r="AB885" s="4" t="e">
        <f ca="1">_xll.ciqfunctions.udf.CIQ("^SPX", "IQ_PRICEDATE", "6/27/2017")</f>
        <v>#NAME?</v>
      </c>
      <c r="AC885" s="16">
        <v>2419.3758615268998</v>
      </c>
    </row>
    <row r="886" spans="26:29" x14ac:dyDescent="0.35">
      <c r="Z886" s="4"/>
      <c r="AA886" s="4"/>
      <c r="AB886" s="4" t="e">
        <f ca="1">_xll.ciqfunctions.udf.CIQ("^SPX", "IQ_PRICEDATE", "6/28/2017")</f>
        <v>#NAME?</v>
      </c>
      <c r="AC886" s="16">
        <v>2440.6903289911002</v>
      </c>
    </row>
    <row r="887" spans="26:29" x14ac:dyDescent="0.35">
      <c r="Z887" s="4"/>
      <c r="AA887" s="4"/>
      <c r="AB887" s="4" t="e">
        <f ca="1">_xll.ciqfunctions.udf.CIQ("^SPX", "IQ_PRICEDATE", "6/29/2017")</f>
        <v>#NAME?</v>
      </c>
      <c r="AC887" s="16">
        <v>2419.6971113274999</v>
      </c>
    </row>
    <row r="888" spans="26:29" x14ac:dyDescent="0.35">
      <c r="Z888" s="4"/>
      <c r="AA888" s="4"/>
      <c r="AB888" s="4" t="e">
        <f ca="1">_xll.ciqfunctions.udf.CIQ("^SPX", "IQ_PRICEDATE", "6/30/2017")</f>
        <v>#NAME?</v>
      </c>
      <c r="AC888" s="16">
        <v>2423.4088910629998</v>
      </c>
    </row>
    <row r="889" spans="26:29" x14ac:dyDescent="0.35">
      <c r="Z889" s="4"/>
      <c r="AA889" s="4"/>
      <c r="AB889" s="4" t="e">
        <f ca="1">_xll.ciqfunctions.udf.CIQ("^SPX", "IQ_PRICEDATE", "7/3/2017")</f>
        <v>#NAME?</v>
      </c>
      <c r="AC889" s="16">
        <v>2429.0148792035002</v>
      </c>
    </row>
    <row r="890" spans="26:29" x14ac:dyDescent="0.35">
      <c r="Z890" s="4"/>
      <c r="AA890" s="4"/>
      <c r="AB890" s="4" t="e">
        <f ca="1">_xll.ciqfunctions.udf.CIQ("^SPX", "IQ_PRICEDATE", "7/5/2017")</f>
        <v>#NAME?</v>
      </c>
      <c r="AC890" s="16">
        <v>2432.5423402270999</v>
      </c>
    </row>
    <row r="891" spans="26:29" x14ac:dyDescent="0.35">
      <c r="Z891" s="4"/>
      <c r="AA891" s="4"/>
      <c r="AB891" s="4" t="e">
        <f ca="1">_xll.ciqfunctions.udf.CIQ("^SPX", "IQ_PRICEDATE", "7/6/2017")</f>
        <v>#NAME?</v>
      </c>
      <c r="AC891" s="16">
        <v>2409.7497799244002</v>
      </c>
    </row>
    <row r="892" spans="26:29" x14ac:dyDescent="0.35">
      <c r="Z892" s="4"/>
      <c r="AA892" s="4"/>
      <c r="AB892" s="4" t="e">
        <f ca="1">_xll.ciqfunctions.udf.CIQ("^SPX", "IQ_PRICEDATE", "7/7/2017")</f>
        <v>#NAME?</v>
      </c>
      <c r="AC892" s="16">
        <v>2425.1769614262998</v>
      </c>
    </row>
    <row r="893" spans="26:29" x14ac:dyDescent="0.35">
      <c r="Z893" s="4"/>
      <c r="AA893" s="4"/>
      <c r="AB893" s="4" t="e">
        <f ca="1">_xll.ciqfunctions.udf.CIQ("^SPX", "IQ_PRICEDATE", "7/10/2017")</f>
        <v>#NAME?</v>
      </c>
      <c r="AC893" s="16">
        <v>2427.4344884965999</v>
      </c>
    </row>
    <row r="894" spans="26:29" x14ac:dyDescent="0.35">
      <c r="Z894" s="4"/>
      <c r="AA894" s="4"/>
      <c r="AB894" s="4" t="e">
        <f ca="1">_xll.ciqfunctions.udf.CIQ("^SPX", "IQ_PRICEDATE", "7/11/2017")</f>
        <v>#NAME?</v>
      </c>
      <c r="AC894" s="16">
        <v>2425.5262141653998</v>
      </c>
    </row>
    <row r="895" spans="26:29" x14ac:dyDescent="0.35">
      <c r="Z895" s="4"/>
      <c r="AA895" s="4"/>
      <c r="AB895" s="4" t="e">
        <f ca="1">_xll.ciqfunctions.udf.CIQ("^SPX", "IQ_PRICEDATE", "7/12/2017")</f>
        <v>#NAME?</v>
      </c>
      <c r="AC895" s="16">
        <v>2443.2511766420998</v>
      </c>
    </row>
    <row r="896" spans="26:29" x14ac:dyDescent="0.35">
      <c r="Z896" s="4"/>
      <c r="AA896" s="4"/>
      <c r="AB896" s="4" t="e">
        <f ca="1">_xll.ciqfunctions.udf.CIQ("^SPX", "IQ_PRICEDATE", "7/13/2017")</f>
        <v>#NAME?</v>
      </c>
      <c r="AC896" s="16">
        <v>2447.8342759661</v>
      </c>
    </row>
    <row r="897" spans="26:29" x14ac:dyDescent="0.35">
      <c r="Z897" s="4"/>
      <c r="AA897" s="4"/>
      <c r="AB897" s="4" t="e">
        <f ca="1">_xll.ciqfunctions.udf.CIQ("^SPX", "IQ_PRICEDATE", "7/14/2017")</f>
        <v>#NAME?</v>
      </c>
      <c r="AC897" s="16">
        <v>2459.2709908214001</v>
      </c>
    </row>
    <row r="898" spans="26:29" x14ac:dyDescent="0.35">
      <c r="Z898" s="4"/>
      <c r="AA898" s="4"/>
      <c r="AB898" s="4" t="e">
        <f ca="1">_xll.ciqfunctions.udf.CIQ("^SPX", "IQ_PRICEDATE", "7/17/2017")</f>
        <v>#NAME?</v>
      </c>
      <c r="AC898" s="16">
        <v>2459.1407192176998</v>
      </c>
    </row>
    <row r="899" spans="26:29" x14ac:dyDescent="0.35">
      <c r="Z899" s="4"/>
      <c r="AA899" s="4"/>
      <c r="AB899" s="4" t="e">
        <f ca="1">_xll.ciqfunctions.udf.CIQ("^SPX", "IQ_PRICEDATE", "7/18/2017")</f>
        <v>#NAME?</v>
      </c>
      <c r="AC899" s="16">
        <v>2460.6104434094</v>
      </c>
    </row>
    <row r="900" spans="26:29" x14ac:dyDescent="0.35">
      <c r="Z900" s="4"/>
      <c r="AA900" s="4"/>
      <c r="AB900" s="4" t="e">
        <f ca="1">_xll.ciqfunctions.udf.CIQ("^SPX", "IQ_PRICEDATE", "7/19/2017")</f>
        <v>#NAME?</v>
      </c>
      <c r="AC900" s="16">
        <v>2473.8277852738001</v>
      </c>
    </row>
    <row r="901" spans="26:29" x14ac:dyDescent="0.35">
      <c r="Z901" s="4"/>
      <c r="AA901" s="4"/>
      <c r="AB901" s="4" t="e">
        <f ca="1">_xll.ciqfunctions.udf.CIQ("^SPX", "IQ_PRICEDATE", "7/20/2017")</f>
        <v>#NAME?</v>
      </c>
      <c r="AC901" s="16">
        <v>2473.4493827199999</v>
      </c>
    </row>
    <row r="902" spans="26:29" x14ac:dyDescent="0.35">
      <c r="Z902" s="4"/>
      <c r="AA902" s="4"/>
      <c r="AB902" s="4" t="e">
        <f ca="1">_xll.ciqfunctions.udf.CIQ("^SPX", "IQ_PRICEDATE", "7/21/2017")</f>
        <v>#NAME?</v>
      </c>
      <c r="AC902" s="16">
        <v>2472.5358544521</v>
      </c>
    </row>
    <row r="903" spans="26:29" x14ac:dyDescent="0.35">
      <c r="Z903" s="4"/>
      <c r="AA903" s="4"/>
      <c r="AB903" s="4" t="e">
        <f ca="1">_xll.ciqfunctions.udf.CIQ("^SPX", "IQ_PRICEDATE", "7/24/2017")</f>
        <v>#NAME?</v>
      </c>
      <c r="AC903" s="16">
        <v>2469.9119171232001</v>
      </c>
    </row>
    <row r="904" spans="26:29" x14ac:dyDescent="0.35">
      <c r="Z904" s="4"/>
      <c r="AA904" s="4"/>
      <c r="AB904" s="4" t="e">
        <f ca="1">_xll.ciqfunctions.udf.CIQ("^SPX", "IQ_PRICEDATE", "7/25/2017")</f>
        <v>#NAME?</v>
      </c>
      <c r="AC904" s="16">
        <v>2477.1253697525999</v>
      </c>
    </row>
    <row r="905" spans="26:29" x14ac:dyDescent="0.35">
      <c r="Z905" s="4"/>
      <c r="AA905" s="4"/>
      <c r="AB905" s="4" t="e">
        <f ca="1">_xll.ciqfunctions.udf.CIQ("^SPX", "IQ_PRICEDATE", "7/26/2017")</f>
        <v>#NAME?</v>
      </c>
      <c r="AC905" s="16">
        <v>2477.8305107064998</v>
      </c>
    </row>
    <row r="906" spans="26:29" x14ac:dyDescent="0.35">
      <c r="Z906" s="4"/>
      <c r="AA906" s="4"/>
      <c r="AB906" s="4" t="e">
        <f ca="1">_xll.ciqfunctions.udf.CIQ("^SPX", "IQ_PRICEDATE", "7/27/2017")</f>
        <v>#NAME?</v>
      </c>
      <c r="AC906" s="16">
        <v>2475.420890931</v>
      </c>
    </row>
    <row r="907" spans="26:29" x14ac:dyDescent="0.35">
      <c r="Z907" s="4"/>
      <c r="AA907" s="4"/>
      <c r="AB907" s="4" t="e">
        <f ca="1">_xll.ciqfunctions.udf.CIQ("^SPX", "IQ_PRICEDATE", "7/28/2017")</f>
        <v>#NAME?</v>
      </c>
      <c r="AC907" s="16">
        <v>2472.0985372059999</v>
      </c>
    </row>
    <row r="908" spans="26:29" x14ac:dyDescent="0.35">
      <c r="Z908" s="4"/>
      <c r="AA908" s="4"/>
      <c r="AB908" s="4" t="e">
        <f ca="1">_xll.ciqfunctions.udf.CIQ("^SPX", "IQ_PRICEDATE", "7/31/2017")</f>
        <v>#NAME?</v>
      </c>
      <c r="AC908" s="16">
        <v>2470.3000252602001</v>
      </c>
    </row>
    <row r="909" spans="26:29" x14ac:dyDescent="0.35">
      <c r="Z909" s="4"/>
      <c r="AA909" s="4"/>
      <c r="AB909" s="4" t="e">
        <f ca="1">_xll.ciqfunctions.udf.CIQ("^SPX", "IQ_PRICEDATE", "8/1/2017")</f>
        <v>#NAME?</v>
      </c>
      <c r="AC909" s="16">
        <v>2476.3472099536002</v>
      </c>
    </row>
    <row r="910" spans="26:29" x14ac:dyDescent="0.35">
      <c r="Z910" s="4"/>
      <c r="AA910" s="4"/>
      <c r="AB910" s="4" t="e">
        <f ca="1">_xll.ciqfunctions.udf.CIQ("^SPX", "IQ_PRICEDATE", "8/2/2017")</f>
        <v>#NAME?</v>
      </c>
      <c r="AC910" s="16">
        <v>2477.5680969176001</v>
      </c>
    </row>
    <row r="911" spans="26:29" x14ac:dyDescent="0.35">
      <c r="Z911" s="4"/>
      <c r="AA911" s="4"/>
      <c r="AB911" s="4" t="e">
        <f ca="1">_xll.ciqfunctions.udf.CIQ("^SPX", "IQ_PRICEDATE", "8/3/2017")</f>
        <v>#NAME?</v>
      </c>
      <c r="AC911" s="16">
        <v>2472.1576280376999</v>
      </c>
    </row>
    <row r="912" spans="26:29" x14ac:dyDescent="0.35">
      <c r="Z912" s="4"/>
      <c r="AA912" s="4"/>
      <c r="AB912" s="4" t="e">
        <f ca="1">_xll.ciqfunctions.udf.CIQ("^SPX", "IQ_PRICEDATE", "8/4/2017")</f>
        <v>#NAME?</v>
      </c>
      <c r="AC912" s="16">
        <v>2476.8309965460999</v>
      </c>
    </row>
    <row r="913" spans="26:29" x14ac:dyDescent="0.35">
      <c r="Z913" s="4"/>
      <c r="AA913" s="4"/>
      <c r="AB913" s="4" t="e">
        <f ca="1">_xll.ciqfunctions.udf.CIQ("^SPX", "IQ_PRICEDATE", "8/7/2017")</f>
        <v>#NAME?</v>
      </c>
      <c r="AC913" s="16">
        <v>2480.9120213837</v>
      </c>
    </row>
    <row r="914" spans="26:29" x14ac:dyDescent="0.35">
      <c r="Z914" s="4"/>
      <c r="AA914" s="4"/>
      <c r="AB914" s="4" t="e">
        <f ca="1">_xll.ciqfunctions.udf.CIQ("^SPX", "IQ_PRICEDATE", "8/8/2017")</f>
        <v>#NAME?</v>
      </c>
      <c r="AC914" s="16">
        <v>2474.9188409218</v>
      </c>
    </row>
    <row r="915" spans="26:29" x14ac:dyDescent="0.35">
      <c r="Z915" s="4"/>
      <c r="AA915" s="4"/>
      <c r="AB915" s="4" t="e">
        <f ca="1">_xll.ciqfunctions.udf.CIQ("^SPX", "IQ_PRICEDATE", "8/9/2017")</f>
        <v>#NAME?</v>
      </c>
      <c r="AC915" s="16">
        <v>2474.0170798125</v>
      </c>
    </row>
    <row r="916" spans="26:29" x14ac:dyDescent="0.35">
      <c r="Z916" s="4"/>
      <c r="AA916" s="4"/>
      <c r="AB916" s="4" t="e">
        <f ca="1">_xll.ciqfunctions.udf.CIQ("^SPX", "IQ_PRICEDATE", "8/10/2017")</f>
        <v>#NAME?</v>
      </c>
      <c r="AC916" s="16">
        <v>2438.2097100884998</v>
      </c>
    </row>
    <row r="917" spans="26:29" x14ac:dyDescent="0.35">
      <c r="Z917" s="4"/>
      <c r="AA917" s="4"/>
      <c r="AB917" s="4" t="e">
        <f ca="1">_xll.ciqfunctions.udf.CIQ("^SPX", "IQ_PRICEDATE", "8/11/2017")</f>
        <v>#NAME?</v>
      </c>
      <c r="AC917" s="16">
        <v>2441.3202405644001</v>
      </c>
    </row>
    <row r="918" spans="26:29" x14ac:dyDescent="0.35">
      <c r="Z918" s="4"/>
      <c r="AA918" s="4"/>
      <c r="AB918" s="4" t="e">
        <f ca="1">_xll.ciqfunctions.udf.CIQ("^SPX", "IQ_PRICEDATE", "8/14/2017")</f>
        <v>#NAME?</v>
      </c>
      <c r="AC918" s="16">
        <v>2465.8358122222999</v>
      </c>
    </row>
    <row r="919" spans="26:29" x14ac:dyDescent="0.35">
      <c r="Z919" s="4"/>
      <c r="AA919" s="4"/>
      <c r="AB919" s="4" t="e">
        <f ca="1">_xll.ciqfunctions.udf.CIQ("^SPX", "IQ_PRICEDATE", "8/15/2017")</f>
        <v>#NAME?</v>
      </c>
      <c r="AC919" s="16">
        <v>2464.6099933352998</v>
      </c>
    </row>
    <row r="920" spans="26:29" x14ac:dyDescent="0.35">
      <c r="Z920" s="4"/>
      <c r="AA920" s="4"/>
      <c r="AB920" s="4" t="e">
        <f ca="1">_xll.ciqfunctions.udf.CIQ("^SPX", "IQ_PRICEDATE", "8/16/2017")</f>
        <v>#NAME?</v>
      </c>
      <c r="AC920" s="16">
        <v>2468.1072601102001</v>
      </c>
    </row>
    <row r="921" spans="26:29" x14ac:dyDescent="0.35">
      <c r="Z921" s="4"/>
      <c r="AA921" s="4"/>
      <c r="AB921" s="4" t="e">
        <f ca="1">_xll.ciqfunctions.udf.CIQ("^SPX", "IQ_PRICEDATE", "8/17/2017")</f>
        <v>#NAME?</v>
      </c>
      <c r="AC921" s="16">
        <v>2430.0078784775001</v>
      </c>
    </row>
    <row r="922" spans="26:29" x14ac:dyDescent="0.35">
      <c r="Z922" s="4"/>
      <c r="AA922" s="4"/>
      <c r="AB922" s="4" t="e">
        <f ca="1">_xll.ciqfunctions.udf.CIQ("^SPX", "IQ_PRICEDATE", "8/18/2017")</f>
        <v>#NAME?</v>
      </c>
      <c r="AC922" s="16">
        <v>2425.5521696646001</v>
      </c>
    </row>
    <row r="923" spans="26:29" x14ac:dyDescent="0.35">
      <c r="Z923" s="4"/>
      <c r="AA923" s="4"/>
      <c r="AB923" s="4" t="e">
        <f ca="1">_xll.ciqfunctions.udf.CIQ("^SPX", "IQ_PRICEDATE", "8/21/2017")</f>
        <v>#NAME?</v>
      </c>
      <c r="AC923" s="16">
        <v>2428.3679855597002</v>
      </c>
    </row>
    <row r="924" spans="26:29" x14ac:dyDescent="0.35">
      <c r="Z924" s="4"/>
      <c r="AA924" s="4"/>
      <c r="AB924" s="4" t="e">
        <f ca="1">_xll.ciqfunctions.udf.CIQ("^SPX", "IQ_PRICEDATE", "8/22/2017")</f>
        <v>#NAME?</v>
      </c>
      <c r="AC924" s="16">
        <v>2452.5102728912998</v>
      </c>
    </row>
    <row r="925" spans="26:29" x14ac:dyDescent="0.35">
      <c r="Z925" s="4"/>
      <c r="AA925" s="4"/>
      <c r="AB925" s="4" t="e">
        <f ca="1">_xll.ciqfunctions.udf.CIQ("^SPX", "IQ_PRICEDATE", "8/23/2017")</f>
        <v>#NAME?</v>
      </c>
      <c r="AC925" s="16">
        <v>2444.0432453390999</v>
      </c>
    </row>
    <row r="926" spans="26:29" x14ac:dyDescent="0.35">
      <c r="Z926" s="4"/>
      <c r="AA926" s="4"/>
      <c r="AB926" s="4" t="e">
        <f ca="1">_xll.ciqfunctions.udf.CIQ("^SPX", "IQ_PRICEDATE", "8/24/2017")</f>
        <v>#NAME?</v>
      </c>
      <c r="AC926" s="16">
        <v>2438.9681198158</v>
      </c>
    </row>
    <row r="927" spans="26:29" x14ac:dyDescent="0.35">
      <c r="Z927" s="4"/>
      <c r="AA927" s="4"/>
      <c r="AB927" s="4" t="e">
        <f ca="1">_xll.ciqfunctions.udf.CIQ("^SPX", "IQ_PRICEDATE", "8/25/2017")</f>
        <v>#NAME?</v>
      </c>
      <c r="AC927" s="16">
        <v>2443.0457983411002</v>
      </c>
    </row>
    <row r="928" spans="26:29" x14ac:dyDescent="0.35">
      <c r="Z928" s="4"/>
      <c r="AA928" s="4"/>
      <c r="AB928" s="4" t="e">
        <f ca="1">_xll.ciqfunctions.udf.CIQ("^SPX", "IQ_PRICEDATE", "8/28/2017")</f>
        <v>#NAME?</v>
      </c>
      <c r="AC928" s="16">
        <v>2444.2403151729</v>
      </c>
    </row>
    <row r="929" spans="26:29" x14ac:dyDescent="0.35">
      <c r="Z929" s="4"/>
      <c r="AA929" s="4"/>
      <c r="AB929" s="4" t="e">
        <f ca="1">_xll.ciqfunctions.udf.CIQ("^SPX", "IQ_PRICEDATE", "8/29/2017")</f>
        <v>#NAME?</v>
      </c>
      <c r="AC929" s="16">
        <v>2446.2955235941999</v>
      </c>
    </row>
    <row r="930" spans="26:29" x14ac:dyDescent="0.35">
      <c r="Z930" s="4"/>
      <c r="AA930" s="4"/>
      <c r="AB930" s="4" t="e">
        <f ca="1">_xll.ciqfunctions.udf.CIQ("^SPX", "IQ_PRICEDATE", "8/30/2017")</f>
        <v>#NAME?</v>
      </c>
      <c r="AC930" s="16">
        <v>2457.5858115205001</v>
      </c>
    </row>
    <row r="931" spans="26:29" x14ac:dyDescent="0.35">
      <c r="Z931" s="4"/>
      <c r="AA931" s="4"/>
      <c r="AB931" s="4" t="e">
        <f ca="1">_xll.ciqfunctions.udf.CIQ("^SPX", "IQ_PRICEDATE", "8/31/2017")</f>
        <v>#NAME?</v>
      </c>
      <c r="AC931" s="16">
        <v>2471.6502079420002</v>
      </c>
    </row>
    <row r="932" spans="26:29" x14ac:dyDescent="0.35">
      <c r="Z932" s="4"/>
      <c r="AA932" s="4"/>
      <c r="AB932" s="4" t="e">
        <f ca="1">_xll.ciqfunctions.udf.CIQ("^SPX", "IQ_PRICEDATE", "9/1/2017")</f>
        <v>#NAME?</v>
      </c>
      <c r="AC932" s="16">
        <v>2476.5523893887998</v>
      </c>
    </row>
    <row r="933" spans="26:29" x14ac:dyDescent="0.35">
      <c r="Z933" s="4"/>
      <c r="AA933" s="4"/>
      <c r="AB933" s="4" t="e">
        <f ca="1">_xll.ciqfunctions.udf.CIQ("^SPX", "IQ_PRICEDATE", "9/5/2017")</f>
        <v>#NAME?</v>
      </c>
      <c r="AC933" s="16">
        <v>2457.8498705637999</v>
      </c>
    </row>
    <row r="934" spans="26:29" x14ac:dyDescent="0.35">
      <c r="Z934" s="4"/>
      <c r="AA934" s="4"/>
      <c r="AB934" s="4" t="e">
        <f ca="1">_xll.ciqfunctions.udf.CIQ("^SPX", "IQ_PRICEDATE", "9/6/2017")</f>
        <v>#NAME?</v>
      </c>
      <c r="AC934" s="16">
        <v>2465.5436228673002</v>
      </c>
    </row>
    <row r="935" spans="26:29" x14ac:dyDescent="0.35">
      <c r="Z935" s="4"/>
      <c r="AA935" s="4"/>
      <c r="AB935" s="4" t="e">
        <f ca="1">_xll.ciqfunctions.udf.CIQ("^SPX", "IQ_PRICEDATE", "9/7/2017")</f>
        <v>#NAME?</v>
      </c>
      <c r="AC935" s="16">
        <v>2465.1021359574002</v>
      </c>
    </row>
    <row r="936" spans="26:29" x14ac:dyDescent="0.35">
      <c r="Z936" s="4"/>
      <c r="AA936" s="4"/>
      <c r="AB936" s="4" t="e">
        <f ca="1">_xll.ciqfunctions.udf.CIQ("^SPX", "IQ_PRICEDATE", "9/8/2017")</f>
        <v>#NAME?</v>
      </c>
      <c r="AC936" s="16">
        <v>2461.4336439222002</v>
      </c>
    </row>
    <row r="937" spans="26:29" x14ac:dyDescent="0.35">
      <c r="Z937" s="4"/>
      <c r="AA937" s="4"/>
      <c r="AB937" s="4" t="e">
        <f ca="1">_xll.ciqfunctions.udf.CIQ("^SPX", "IQ_PRICEDATE", "9/11/2017")</f>
        <v>#NAME?</v>
      </c>
      <c r="AC937" s="16">
        <v>2488.1079650554002</v>
      </c>
    </row>
    <row r="938" spans="26:29" x14ac:dyDescent="0.35">
      <c r="Z938" s="4"/>
      <c r="AA938" s="4"/>
      <c r="AB938" s="4" t="e">
        <f ca="1">_xll.ciqfunctions.udf.CIQ("^SPX", "IQ_PRICEDATE", "9/12/2017")</f>
        <v>#NAME?</v>
      </c>
      <c r="AC938" s="16">
        <v>2496.4836195681</v>
      </c>
    </row>
    <row r="939" spans="26:29" x14ac:dyDescent="0.35">
      <c r="Z939" s="4"/>
      <c r="AA939" s="4"/>
      <c r="AB939" s="4" t="e">
        <f ca="1">_xll.ciqfunctions.udf.CIQ("^SPX", "IQ_PRICEDATE", "9/13/2017")</f>
        <v>#NAME?</v>
      </c>
      <c r="AC939" s="16">
        <v>2498.3708154599999</v>
      </c>
    </row>
    <row r="940" spans="26:29" x14ac:dyDescent="0.35">
      <c r="Z940" s="4"/>
      <c r="AA940" s="4"/>
      <c r="AB940" s="4" t="e">
        <f ca="1">_xll.ciqfunctions.udf.CIQ("^SPX", "IQ_PRICEDATE", "9/14/2017")</f>
        <v>#NAME?</v>
      </c>
      <c r="AC940" s="16">
        <v>2495.6191538507001</v>
      </c>
    </row>
    <row r="941" spans="26:29" x14ac:dyDescent="0.35">
      <c r="Z941" s="4"/>
      <c r="AA941" s="4"/>
      <c r="AB941" s="4" t="e">
        <f ca="1">_xll.ciqfunctions.udf.CIQ("^SPX", "IQ_PRICEDATE", "9/15/2017")</f>
        <v>#NAME?</v>
      </c>
      <c r="AC941" s="16">
        <v>2500.2258576201998</v>
      </c>
    </row>
    <row r="942" spans="26:29" x14ac:dyDescent="0.35">
      <c r="Z942" s="4"/>
      <c r="AA942" s="4"/>
      <c r="AB942" s="4" t="e">
        <f ca="1">_xll.ciqfunctions.udf.CIQ("^SPX", "IQ_PRICEDATE", "9/18/2017")</f>
        <v>#NAME?</v>
      </c>
      <c r="AC942" s="16">
        <v>2503.8695562620001</v>
      </c>
    </row>
    <row r="943" spans="26:29" x14ac:dyDescent="0.35">
      <c r="Z943" s="4"/>
      <c r="AA943" s="4"/>
      <c r="AB943" s="4" t="e">
        <f ca="1">_xll.ciqfunctions.udf.CIQ("^SPX", "IQ_PRICEDATE", "9/19/2017")</f>
        <v>#NAME?</v>
      </c>
      <c r="AC943" s="16">
        <v>2506.6479354336002</v>
      </c>
    </row>
    <row r="944" spans="26:29" x14ac:dyDescent="0.35">
      <c r="Z944" s="4"/>
      <c r="AA944" s="4"/>
      <c r="AB944" s="4" t="e">
        <f ca="1">_xll.ciqfunctions.udf.CIQ("^SPX", "IQ_PRICEDATE", "9/20/2017")</f>
        <v>#NAME?</v>
      </c>
      <c r="AC944" s="16">
        <v>2508.2360483629</v>
      </c>
    </row>
    <row r="945" spans="26:29" x14ac:dyDescent="0.35">
      <c r="Z945" s="4"/>
      <c r="AA945" s="4"/>
      <c r="AB945" s="4" t="e">
        <f ca="1">_xll.ciqfunctions.udf.CIQ("^SPX", "IQ_PRICEDATE", "9/21/2017")</f>
        <v>#NAME?</v>
      </c>
      <c r="AC945" s="16">
        <v>2500.6026174977001</v>
      </c>
    </row>
    <row r="946" spans="26:29" x14ac:dyDescent="0.35">
      <c r="Z946" s="4"/>
      <c r="AA946" s="4"/>
      <c r="AB946" s="4" t="e">
        <f ca="1">_xll.ciqfunctions.udf.CIQ("^SPX", "IQ_PRICEDATE", "9/22/2017")</f>
        <v>#NAME?</v>
      </c>
      <c r="AC946" s="16">
        <v>2502.2222245405001</v>
      </c>
    </row>
    <row r="947" spans="26:29" x14ac:dyDescent="0.35">
      <c r="Z947" s="4"/>
      <c r="AA947" s="4"/>
      <c r="AB947" s="4" t="e">
        <f ca="1">_xll.ciqfunctions.udf.CIQ("^SPX", "IQ_PRICEDATE", "9/25/2017")</f>
        <v>#NAME?</v>
      </c>
      <c r="AC947" s="16">
        <v>2496.6605903076002</v>
      </c>
    </row>
    <row r="948" spans="26:29" x14ac:dyDescent="0.35">
      <c r="Z948" s="4"/>
      <c r="AA948" s="4"/>
      <c r="AB948" s="4" t="e">
        <f ca="1">_xll.ciqfunctions.udf.CIQ("^SPX", "IQ_PRICEDATE", "9/26/2017")</f>
        <v>#NAME?</v>
      </c>
      <c r="AC948" s="16">
        <v>2496.8408940905001</v>
      </c>
    </row>
    <row r="949" spans="26:29" x14ac:dyDescent="0.35">
      <c r="Z949" s="4"/>
      <c r="AA949" s="4"/>
      <c r="AB949" s="4" t="e">
        <f ca="1">_xll.ciqfunctions.udf.CIQ("^SPX", "IQ_PRICEDATE", "9/27/2017")</f>
        <v>#NAME?</v>
      </c>
      <c r="AC949" s="16">
        <v>2507.0432811582</v>
      </c>
    </row>
    <row r="950" spans="26:29" x14ac:dyDescent="0.35">
      <c r="Z950" s="4"/>
      <c r="AA950" s="4"/>
      <c r="AB950" s="4" t="e">
        <f ca="1">_xll.ciqfunctions.udf.CIQ("^SPX", "IQ_PRICEDATE", "9/28/2017")</f>
        <v>#NAME?</v>
      </c>
      <c r="AC950" s="16">
        <v>2510.0619918303</v>
      </c>
    </row>
    <row r="951" spans="26:29" x14ac:dyDescent="0.35">
      <c r="Z951" s="4"/>
      <c r="AA951" s="4"/>
      <c r="AB951" s="4" t="e">
        <f ca="1">_xll.ciqfunctions.udf.CIQ("^SPX", "IQ_PRICEDATE", "9/29/2017")</f>
        <v>#NAME?</v>
      </c>
      <c r="AC951" s="16">
        <v>2519.3596719061002</v>
      </c>
    </row>
    <row r="952" spans="26:29" x14ac:dyDescent="0.35">
      <c r="Z952" s="4"/>
      <c r="AA952" s="4"/>
      <c r="AB952" s="4" t="e">
        <f ca="1">_xll.ciqfunctions.udf.CIQ("^SPX", "IQ_PRICEDATE", "10/2/2017")</f>
        <v>#NAME?</v>
      </c>
      <c r="AC952" s="16">
        <v>2529.1152990602</v>
      </c>
    </row>
    <row r="953" spans="26:29" x14ac:dyDescent="0.35">
      <c r="Z953" s="4"/>
      <c r="AA953" s="4"/>
      <c r="AB953" s="4" t="e">
        <f ca="1">_xll.ciqfunctions.udf.CIQ("^SPX", "IQ_PRICEDATE", "10/3/2017")</f>
        <v>#NAME?</v>
      </c>
      <c r="AC953" s="16">
        <v>2534.5796830441</v>
      </c>
    </row>
    <row r="954" spans="26:29" x14ac:dyDescent="0.35">
      <c r="Z954" s="4"/>
      <c r="AA954" s="4"/>
      <c r="AB954" s="4" t="e">
        <f ca="1">_xll.ciqfunctions.udf.CIQ("^SPX", "IQ_PRICEDATE", "10/4/2017")</f>
        <v>#NAME?</v>
      </c>
      <c r="AC954" s="16">
        <v>2537.7412400060002</v>
      </c>
    </row>
    <row r="955" spans="26:29" x14ac:dyDescent="0.35">
      <c r="Z955" s="4"/>
      <c r="AA955" s="4"/>
      <c r="AB955" s="4" t="e">
        <f ca="1">_xll.ciqfunctions.udf.CIQ("^SPX", "IQ_PRICEDATE", "10/5/2017")</f>
        <v>#NAME?</v>
      </c>
      <c r="AC955" s="16">
        <v>2552.0653990719002</v>
      </c>
    </row>
    <row r="956" spans="26:29" x14ac:dyDescent="0.35">
      <c r="Z956" s="4"/>
      <c r="AA956" s="4"/>
      <c r="AB956" s="4" t="e">
        <f ca="1">_xll.ciqfunctions.udf.CIQ("^SPX", "IQ_PRICEDATE", "10/6/2017")</f>
        <v>#NAME?</v>
      </c>
      <c r="AC956" s="16">
        <v>2549.3315089020998</v>
      </c>
    </row>
    <row r="957" spans="26:29" x14ac:dyDescent="0.35">
      <c r="Z957" s="4"/>
      <c r="AA957" s="4"/>
      <c r="AB957" s="4" t="e">
        <f ca="1">_xll.ciqfunctions.udf.CIQ("^SPX", "IQ_PRICEDATE", "10/9/2017")</f>
        <v>#NAME?</v>
      </c>
      <c r="AC957" s="16">
        <v>2544.7285771562001</v>
      </c>
    </row>
    <row r="958" spans="26:29" x14ac:dyDescent="0.35">
      <c r="Z958" s="4"/>
      <c r="AA958" s="4"/>
      <c r="AB958" s="4" t="e">
        <f ca="1">_xll.ciqfunctions.udf.CIQ("^SPX", "IQ_PRICEDATE", "10/10/2017")</f>
        <v>#NAME?</v>
      </c>
      <c r="AC958" s="16">
        <v>2550.6424334051999</v>
      </c>
    </row>
    <row r="959" spans="26:29" x14ac:dyDescent="0.35">
      <c r="Z959" s="4"/>
      <c r="AA959" s="4"/>
      <c r="AB959" s="4" t="e">
        <f ca="1">_xll.ciqfunctions.udf.CIQ("^SPX", "IQ_PRICEDATE", "10/11/2017")</f>
        <v>#NAME?</v>
      </c>
      <c r="AC959" s="16">
        <v>2555.2407886845999</v>
      </c>
    </row>
    <row r="960" spans="26:29" x14ac:dyDescent="0.35">
      <c r="Z960" s="4"/>
      <c r="AA960" s="4"/>
      <c r="AB960" s="4" t="e">
        <f ca="1">_xll.ciqfunctions.udf.CIQ("^SPX", "IQ_PRICEDATE", "10/12/2017")</f>
        <v>#NAME?</v>
      </c>
      <c r="AC960" s="16">
        <v>2550.9330093848998</v>
      </c>
    </row>
    <row r="961" spans="26:29" x14ac:dyDescent="0.35">
      <c r="Z961" s="4"/>
      <c r="AA961" s="4"/>
      <c r="AB961" s="4" t="e">
        <f ca="1">_xll.ciqfunctions.udf.CIQ("^SPX", "IQ_PRICEDATE", "10/13/2017")</f>
        <v>#NAME?</v>
      </c>
      <c r="AC961" s="16">
        <v>2553.1693728503001</v>
      </c>
    </row>
    <row r="962" spans="26:29" x14ac:dyDescent="0.35">
      <c r="Z962" s="4"/>
      <c r="AA962" s="4"/>
      <c r="AB962" s="4" t="e">
        <f ca="1">_xll.ciqfunctions.udf.CIQ("^SPX", "IQ_PRICEDATE", "10/16/2017")</f>
        <v>#NAME?</v>
      </c>
      <c r="AC962" s="16">
        <v>2557.6397377800999</v>
      </c>
    </row>
    <row r="963" spans="26:29" x14ac:dyDescent="0.35">
      <c r="Z963" s="4"/>
      <c r="AA963" s="4"/>
      <c r="AB963" s="4" t="e">
        <f ca="1">_xll.ciqfunctions.udf.CIQ("^SPX", "IQ_PRICEDATE", "10/17/2017")</f>
        <v>#NAME?</v>
      </c>
      <c r="AC963" s="16">
        <v>2559.3563108588</v>
      </c>
    </row>
    <row r="964" spans="26:29" x14ac:dyDescent="0.35">
      <c r="Z964" s="4"/>
      <c r="AA964" s="4"/>
      <c r="AB964" s="4" t="e">
        <f ca="1">_xll.ciqfunctions.udf.CIQ("^SPX", "IQ_PRICEDATE", "10/18/2017")</f>
        <v>#NAME?</v>
      </c>
      <c r="AC964" s="16">
        <v>2561.2644527327998</v>
      </c>
    </row>
    <row r="965" spans="26:29" x14ac:dyDescent="0.35">
      <c r="Z965" s="4"/>
      <c r="AA965" s="4"/>
      <c r="AB965" s="4" t="e">
        <f ca="1">_xll.ciqfunctions.udf.CIQ("^SPX", "IQ_PRICEDATE", "10/19/2017")</f>
        <v>#NAME?</v>
      </c>
      <c r="AC965" s="16">
        <v>2562.1037547780002</v>
      </c>
    </row>
    <row r="966" spans="26:29" x14ac:dyDescent="0.35">
      <c r="Z966" s="4"/>
      <c r="AA966" s="4"/>
      <c r="AB966" s="4" t="e">
        <f ca="1">_xll.ciqfunctions.udf.CIQ("^SPX", "IQ_PRICEDATE", "10/20/2017")</f>
        <v>#NAME?</v>
      </c>
      <c r="AC966" s="16">
        <v>2575.2058778891001</v>
      </c>
    </row>
    <row r="967" spans="26:29" x14ac:dyDescent="0.35">
      <c r="Z967" s="4"/>
      <c r="AA967" s="4"/>
      <c r="AB967" s="4" t="e">
        <f ca="1">_xll.ciqfunctions.udf.CIQ("^SPX", "IQ_PRICEDATE", "10/23/2017")</f>
        <v>#NAME?</v>
      </c>
      <c r="AC967" s="16">
        <v>2564.9785238794998</v>
      </c>
    </row>
    <row r="968" spans="26:29" x14ac:dyDescent="0.35">
      <c r="Z968" s="4"/>
      <c r="AA968" s="4"/>
      <c r="AB968" s="4" t="e">
        <f ca="1">_xll.ciqfunctions.udf.CIQ("^SPX", "IQ_PRICEDATE", "10/24/2017")</f>
        <v>#NAME?</v>
      </c>
      <c r="AC968" s="16">
        <v>2569.1342599453001</v>
      </c>
    </row>
    <row r="969" spans="26:29" x14ac:dyDescent="0.35">
      <c r="Z969" s="4"/>
      <c r="AA969" s="4"/>
      <c r="AB969" s="4" t="e">
        <f ca="1">_xll.ciqfunctions.udf.CIQ("^SPX", "IQ_PRICEDATE", "10/25/2017")</f>
        <v>#NAME?</v>
      </c>
      <c r="AC969" s="16">
        <v>2557.1509845873002</v>
      </c>
    </row>
    <row r="970" spans="26:29" x14ac:dyDescent="0.35">
      <c r="Z970" s="4"/>
      <c r="AA970" s="4"/>
      <c r="AB970" s="4" t="e">
        <f ca="1">_xll.ciqfunctions.udf.CIQ("^SPX", "IQ_PRICEDATE", "10/26/2017")</f>
        <v>#NAME?</v>
      </c>
      <c r="AC970" s="16">
        <v>2560.3991945194002</v>
      </c>
    </row>
    <row r="971" spans="26:29" x14ac:dyDescent="0.35">
      <c r="Z971" s="4"/>
      <c r="AA971" s="4"/>
      <c r="AB971" s="4" t="e">
        <f ca="1">_xll.ciqfunctions.udf.CIQ("^SPX", "IQ_PRICEDATE", "10/27/2017")</f>
        <v>#NAME?</v>
      </c>
      <c r="AC971" s="16">
        <v>2581.0657031342998</v>
      </c>
    </row>
    <row r="972" spans="26:29" x14ac:dyDescent="0.35">
      <c r="Z972" s="4"/>
      <c r="AA972" s="4"/>
      <c r="AB972" s="4" t="e">
        <f ca="1">_xll.ciqfunctions.udf.CIQ("^SPX", "IQ_PRICEDATE", "10/30/2017")</f>
        <v>#NAME?</v>
      </c>
      <c r="AC972" s="16">
        <v>2572.8336032472998</v>
      </c>
    </row>
    <row r="973" spans="26:29" x14ac:dyDescent="0.35">
      <c r="Z973" s="4"/>
      <c r="AA973" s="4"/>
      <c r="AB973" s="4" t="e">
        <f ca="1">_xll.ciqfunctions.udf.CIQ("^SPX", "IQ_PRICEDATE", "10/31/2017")</f>
        <v>#NAME?</v>
      </c>
      <c r="AC973" s="16">
        <v>2575.2638304521001</v>
      </c>
    </row>
    <row r="974" spans="26:29" x14ac:dyDescent="0.35">
      <c r="Z974" s="4"/>
      <c r="AA974" s="4"/>
      <c r="AB974" s="4" t="e">
        <f ca="1">_xll.ciqfunctions.udf.CIQ("^SPX", "IQ_PRICEDATE", "11/1/2017")</f>
        <v>#NAME?</v>
      </c>
      <c r="AC974" s="16">
        <v>2579.3558498933999</v>
      </c>
    </row>
    <row r="975" spans="26:29" x14ac:dyDescent="0.35">
      <c r="Z975" s="4"/>
      <c r="AA975" s="4"/>
      <c r="AB975" s="4" t="e">
        <f ca="1">_xll.ciqfunctions.udf.CIQ("^SPX", "IQ_PRICEDATE", "11/2/2017")</f>
        <v>#NAME?</v>
      </c>
      <c r="AC975" s="16">
        <v>2579.8516516144</v>
      </c>
    </row>
    <row r="976" spans="26:29" x14ac:dyDescent="0.35">
      <c r="Z976" s="4"/>
      <c r="AA976" s="4"/>
      <c r="AB976" s="4" t="e">
        <f ca="1">_xll.ciqfunctions.udf.CIQ("^SPX", "IQ_PRICEDATE", "11/3/2017")</f>
        <v>#NAME?</v>
      </c>
      <c r="AC976" s="16">
        <v>2587.8360570379</v>
      </c>
    </row>
    <row r="977" spans="26:29" x14ac:dyDescent="0.35">
      <c r="Z977" s="4"/>
      <c r="AA977" s="4"/>
      <c r="AB977" s="4" t="e">
        <f ca="1">_xll.ciqfunctions.udf.CIQ("^SPX", "IQ_PRICEDATE", "11/6/2017")</f>
        <v>#NAME?</v>
      </c>
      <c r="AC977" s="16">
        <v>2591.1284424032001</v>
      </c>
    </row>
    <row r="978" spans="26:29" x14ac:dyDescent="0.35">
      <c r="Z978" s="4"/>
      <c r="AA978" s="4"/>
      <c r="AB978" s="4" t="e">
        <f ca="1">_xll.ciqfunctions.udf.CIQ("^SPX", "IQ_PRICEDATE", "11/7/2017")</f>
        <v>#NAME?</v>
      </c>
      <c r="AC978" s="16">
        <v>2590.6417566441</v>
      </c>
    </row>
    <row r="979" spans="26:29" x14ac:dyDescent="0.35">
      <c r="Z979" s="4"/>
      <c r="AA979" s="4"/>
      <c r="AB979" s="4" t="e">
        <f ca="1">_xll.ciqfunctions.udf.CIQ("^SPX", "IQ_PRICEDATE", "11/8/2017")</f>
        <v>#NAME?</v>
      </c>
      <c r="AC979" s="16">
        <v>2594.3752091488</v>
      </c>
    </row>
    <row r="980" spans="26:29" x14ac:dyDescent="0.35">
      <c r="Z980" s="4"/>
      <c r="AA980" s="4"/>
      <c r="AB980" s="4" t="e">
        <f ca="1">_xll.ciqfunctions.udf.CIQ("^SPX", "IQ_PRICEDATE", "11/9/2017")</f>
        <v>#NAME?</v>
      </c>
      <c r="AC980" s="16">
        <v>2584.6212738756999</v>
      </c>
    </row>
    <row r="981" spans="26:29" x14ac:dyDescent="0.35">
      <c r="Z981" s="4"/>
      <c r="AA981" s="4"/>
      <c r="AB981" s="4" t="e">
        <f ca="1">_xll.ciqfunctions.udf.CIQ("^SPX", "IQ_PRICEDATE", "11/10/2017")</f>
        <v>#NAME?</v>
      </c>
      <c r="AC981" s="16">
        <v>2582.3000392549002</v>
      </c>
    </row>
    <row r="982" spans="26:29" x14ac:dyDescent="0.35">
      <c r="Z982" s="4"/>
      <c r="AA982" s="4"/>
      <c r="AB982" s="4" t="e">
        <f ca="1">_xll.ciqfunctions.udf.CIQ("^SPX", "IQ_PRICEDATE", "11/13/2017")</f>
        <v>#NAME?</v>
      </c>
      <c r="AC982" s="16">
        <v>2584.844826306</v>
      </c>
    </row>
    <row r="983" spans="26:29" x14ac:dyDescent="0.35">
      <c r="Z983" s="4"/>
      <c r="AA983" s="4"/>
      <c r="AB983" s="4" t="e">
        <f ca="1">_xll.ciqfunctions.udf.CIQ("^SPX", "IQ_PRICEDATE", "11/14/2017")</f>
        <v>#NAME?</v>
      </c>
      <c r="AC983" s="16">
        <v>2578.8718241124998</v>
      </c>
    </row>
    <row r="984" spans="26:29" x14ac:dyDescent="0.35">
      <c r="Z984" s="4"/>
      <c r="AA984" s="4"/>
      <c r="AB984" s="4" t="e">
        <f ca="1">_xll.ciqfunctions.udf.CIQ("^SPX", "IQ_PRICEDATE", "11/15/2017")</f>
        <v>#NAME?</v>
      </c>
      <c r="AC984" s="16">
        <v>2564.6205095055998</v>
      </c>
    </row>
    <row r="985" spans="26:29" x14ac:dyDescent="0.35">
      <c r="Z985" s="4"/>
      <c r="AA985" s="4"/>
      <c r="AB985" s="4" t="e">
        <f ca="1">_xll.ciqfunctions.udf.CIQ("^SPX", "IQ_PRICEDATE", "11/16/2017")</f>
        <v>#NAME?</v>
      </c>
      <c r="AC985" s="16">
        <v>2585.6431638326999</v>
      </c>
    </row>
    <row r="986" spans="26:29" x14ac:dyDescent="0.35">
      <c r="Z986" s="4"/>
      <c r="AA986" s="4"/>
      <c r="AB986" s="4" t="e">
        <f ca="1">_xll.ciqfunctions.udf.CIQ("^SPX", "IQ_PRICEDATE", "11/17/2017")</f>
        <v>#NAME?</v>
      </c>
      <c r="AC986" s="16">
        <v>2578.8543239638002</v>
      </c>
    </row>
    <row r="987" spans="26:29" x14ac:dyDescent="0.35">
      <c r="Z987" s="4"/>
      <c r="AA987" s="4"/>
      <c r="AB987" s="4" t="e">
        <f ca="1">_xll.ciqfunctions.udf.CIQ("^SPX", "IQ_PRICEDATE", "11/20/2017")</f>
        <v>#NAME?</v>
      </c>
      <c r="AC987" s="16">
        <v>2582.1415887037001</v>
      </c>
    </row>
    <row r="988" spans="26:29" x14ac:dyDescent="0.35">
      <c r="Z988" s="4"/>
      <c r="AA988" s="4"/>
      <c r="AB988" s="4" t="e">
        <f ca="1">_xll.ciqfunctions.udf.CIQ("^SPX", "IQ_PRICEDATE", "11/21/2017")</f>
        <v>#NAME?</v>
      </c>
      <c r="AC988" s="16">
        <v>2599.0291929053001</v>
      </c>
    </row>
    <row r="989" spans="26:29" x14ac:dyDescent="0.35">
      <c r="Z989" s="4"/>
      <c r="AA989" s="4"/>
      <c r="AB989" s="4" t="e">
        <f ca="1">_xll.ciqfunctions.udf.CIQ("^SPX", "IQ_PRICEDATE", "11/22/2017")</f>
        <v>#NAME?</v>
      </c>
      <c r="AC989" s="16">
        <v>2597.0772026103</v>
      </c>
    </row>
    <row r="990" spans="26:29" x14ac:dyDescent="0.35">
      <c r="Z990" s="4"/>
      <c r="AA990" s="4"/>
      <c r="AB990" s="4" t="e">
        <f ca="1">_xll.ciqfunctions.udf.CIQ("^SPX", "IQ_PRICEDATE", "11/24/2017")</f>
        <v>#NAME?</v>
      </c>
      <c r="AC990" s="16">
        <v>2602.4247078124999</v>
      </c>
    </row>
    <row r="991" spans="26:29" x14ac:dyDescent="0.35">
      <c r="Z991" s="4"/>
      <c r="AA991" s="4"/>
      <c r="AB991" s="4" t="e">
        <f ca="1">_xll.ciqfunctions.udf.CIQ("^SPX", "IQ_PRICEDATE", "11/27/2017")</f>
        <v>#NAME?</v>
      </c>
      <c r="AC991" s="16">
        <v>2601.4238908288999</v>
      </c>
    </row>
    <row r="992" spans="26:29" x14ac:dyDescent="0.35">
      <c r="Z992" s="4"/>
      <c r="AA992" s="4"/>
      <c r="AB992" s="4" t="e">
        <f ca="1">_xll.ciqfunctions.udf.CIQ("^SPX", "IQ_PRICEDATE", "11/28/2017")</f>
        <v>#NAME?</v>
      </c>
      <c r="AC992" s="16">
        <v>2627.0440254405999</v>
      </c>
    </row>
    <row r="993" spans="26:29" x14ac:dyDescent="0.35">
      <c r="Z993" s="4"/>
      <c r="AA993" s="4"/>
      <c r="AB993" s="4" t="e">
        <f ca="1">_xll.ciqfunctions.udf.CIQ("^SPX", "IQ_PRICEDATE", "11/29/2017")</f>
        <v>#NAME?</v>
      </c>
      <c r="AC993" s="16">
        <v>2626.0661946542</v>
      </c>
    </row>
    <row r="994" spans="26:29" x14ac:dyDescent="0.35">
      <c r="Z994" s="4"/>
      <c r="AA994" s="4"/>
      <c r="AB994" s="4" t="e">
        <f ca="1">_xll.ciqfunctions.udf.CIQ("^SPX", "IQ_PRICEDATE", "11/30/2017")</f>
        <v>#NAME?</v>
      </c>
      <c r="AC994" s="16">
        <v>2647.5799274831002</v>
      </c>
    </row>
    <row r="995" spans="26:29" x14ac:dyDescent="0.35">
      <c r="Z995" s="4"/>
      <c r="AA995" s="4"/>
      <c r="AB995" s="4" t="e">
        <f ca="1">_xll.ciqfunctions.udf.CIQ("^SPX", "IQ_PRICEDATE", "12/1/2017")</f>
        <v>#NAME?</v>
      </c>
      <c r="AC995" s="16">
        <v>2642.2157647466001</v>
      </c>
    </row>
    <row r="996" spans="26:29" x14ac:dyDescent="0.35">
      <c r="Z996" s="4"/>
      <c r="AA996" s="4"/>
      <c r="AB996" s="4" t="e">
        <f ca="1">_xll.ciqfunctions.udf.CIQ("^SPX", "IQ_PRICEDATE", "12/4/2017")</f>
        <v>#NAME?</v>
      </c>
      <c r="AC996" s="16">
        <v>2639.4370480450002</v>
      </c>
    </row>
    <row r="997" spans="26:29" x14ac:dyDescent="0.35">
      <c r="Z997" s="4"/>
      <c r="AA997" s="4"/>
      <c r="AB997" s="4" t="e">
        <f ca="1">_xll.ciqfunctions.udf.CIQ("^SPX", "IQ_PRICEDATE", "12/5/2017")</f>
        <v>#NAME?</v>
      </c>
      <c r="AC997" s="16">
        <v>2629.5708449898002</v>
      </c>
    </row>
    <row r="998" spans="26:29" x14ac:dyDescent="0.35">
      <c r="Z998" s="4"/>
      <c r="AA998" s="4"/>
      <c r="AB998" s="4" t="e">
        <f ca="1">_xll.ciqfunctions.udf.CIQ("^SPX", "IQ_PRICEDATE", "12/6/2017")</f>
        <v>#NAME?</v>
      </c>
      <c r="AC998" s="16">
        <v>2629.2669138668002</v>
      </c>
    </row>
    <row r="999" spans="26:29" x14ac:dyDescent="0.35">
      <c r="Z999" s="4"/>
      <c r="AA999" s="4"/>
      <c r="AB999" s="4" t="e">
        <f ca="1">_xll.ciqfunctions.udf.CIQ("^SPX", "IQ_PRICEDATE", "12/7/2017")</f>
        <v>#NAME?</v>
      </c>
      <c r="AC999" s="16">
        <v>2636.9764936510001</v>
      </c>
    </row>
    <row r="1000" spans="26:29" x14ac:dyDescent="0.35">
      <c r="Z1000" s="4"/>
      <c r="AA1000" s="4"/>
      <c r="AB1000" s="4" t="e">
        <f ca="1">_xll.ciqfunctions.udf.CIQ("^SPX", "IQ_PRICEDATE", "12/8/2017")</f>
        <v>#NAME?</v>
      </c>
      <c r="AC1000" s="16">
        <v>2651.5010002734002</v>
      </c>
    </row>
    <row r="1001" spans="26:29" x14ac:dyDescent="0.35">
      <c r="Z1001" s="4"/>
      <c r="AA1001" s="4"/>
      <c r="AB1001" s="4" t="e">
        <f ca="1">_xll.ciqfunctions.udf.CIQ("^SPX", "IQ_PRICEDATE", "12/11/2017")</f>
        <v>#NAME?</v>
      </c>
      <c r="AC1001" s="16">
        <v>2659.9896497108002</v>
      </c>
    </row>
    <row r="1002" spans="26:29" x14ac:dyDescent="0.35">
      <c r="Z1002" s="4"/>
      <c r="AA1002" s="4"/>
      <c r="AB1002" s="4" t="e">
        <f ca="1">_xll.ciqfunctions.udf.CIQ("^SPX", "IQ_PRICEDATE", "12/12/2017")</f>
        <v>#NAME?</v>
      </c>
      <c r="AC1002" s="16">
        <v>2664.1057286303999</v>
      </c>
    </row>
    <row r="1003" spans="26:29" x14ac:dyDescent="0.35">
      <c r="Z1003" s="4"/>
      <c r="AA1003" s="4"/>
      <c r="AB1003" s="4" t="e">
        <f ca="1">_xll.ciqfunctions.udf.CIQ("^SPX", "IQ_PRICEDATE", "12/13/2017")</f>
        <v>#NAME?</v>
      </c>
      <c r="AC1003" s="16">
        <v>2662.8451882638001</v>
      </c>
    </row>
    <row r="1004" spans="26:29" x14ac:dyDescent="0.35">
      <c r="Z1004" s="4"/>
      <c r="AA1004" s="4"/>
      <c r="AB1004" s="4" t="e">
        <f ca="1">_xll.ciqfunctions.udf.CIQ("^SPX", "IQ_PRICEDATE", "12/14/2017")</f>
        <v>#NAME?</v>
      </c>
      <c r="AC1004" s="16">
        <v>2652.0124436092001</v>
      </c>
    </row>
    <row r="1005" spans="26:29" x14ac:dyDescent="0.35">
      <c r="Z1005" s="4"/>
      <c r="AA1005" s="4"/>
      <c r="AB1005" s="4" t="e">
        <f ca="1">_xll.ciqfunctions.udf.CIQ("^SPX", "IQ_PRICEDATE", "12/15/2017")</f>
        <v>#NAME?</v>
      </c>
      <c r="AC1005" s="16">
        <v>2675.8079812269998</v>
      </c>
    </row>
    <row r="1006" spans="26:29" x14ac:dyDescent="0.35">
      <c r="Z1006" s="4"/>
      <c r="AA1006" s="4"/>
      <c r="AB1006" s="4" t="e">
        <f ca="1">_xll.ciqfunctions.udf.CIQ("^SPX", "IQ_PRICEDATE", "12/18/2017")</f>
        <v>#NAME?</v>
      </c>
      <c r="AC1006" s="16">
        <v>2690.1582514102001</v>
      </c>
    </row>
    <row r="1007" spans="26:29" x14ac:dyDescent="0.35">
      <c r="Z1007" s="4"/>
      <c r="AA1007" s="4"/>
      <c r="AB1007" s="4" t="e">
        <f ca="1">_xll.ciqfunctions.udf.CIQ("^SPX", "IQ_PRICEDATE", "12/19/2017")</f>
        <v>#NAME?</v>
      </c>
      <c r="AC1007" s="16">
        <v>2681.4736294856998</v>
      </c>
    </row>
    <row r="1008" spans="26:29" x14ac:dyDescent="0.35">
      <c r="Z1008" s="4"/>
      <c r="AA1008" s="4"/>
      <c r="AB1008" s="4" t="e">
        <f ca="1">_xll.ciqfunctions.udf.CIQ("^SPX", "IQ_PRICEDATE", "12/20/2017")</f>
        <v>#NAME?</v>
      </c>
      <c r="AC1008" s="16">
        <v>2679.2480845041</v>
      </c>
    </row>
    <row r="1009" spans="26:29" x14ac:dyDescent="0.35">
      <c r="Z1009" s="4"/>
      <c r="AA1009" s="4"/>
      <c r="AB1009" s="4" t="e">
        <f ca="1">_xll.ciqfunctions.udf.CIQ("^SPX", "IQ_PRICEDATE", "12/21/2017")</f>
        <v>#NAME?</v>
      </c>
      <c r="AC1009" s="16">
        <v>2684.5691760676</v>
      </c>
    </row>
    <row r="1010" spans="26:29" x14ac:dyDescent="0.35">
      <c r="Z1010" s="4"/>
      <c r="AA1010" s="4"/>
      <c r="AB1010" s="4" t="e">
        <f ca="1">_xll.ciqfunctions.udf.CIQ("^SPX", "IQ_PRICEDATE", "12/22/2017")</f>
        <v>#NAME?</v>
      </c>
      <c r="AC1010" s="16">
        <v>2683.3372743313998</v>
      </c>
    </row>
    <row r="1011" spans="26:29" x14ac:dyDescent="0.35">
      <c r="Z1011" s="4"/>
      <c r="AA1011" s="4"/>
      <c r="AB1011" s="4" t="e">
        <f ca="1">_xll.ciqfunctions.udf.CIQ("^SPX", "IQ_PRICEDATE", "12/26/2017")</f>
        <v>#NAME?</v>
      </c>
      <c r="AC1011" s="16">
        <v>2680.5044863251001</v>
      </c>
    </row>
    <row r="1012" spans="26:29" x14ac:dyDescent="0.35">
      <c r="Z1012" s="4"/>
      <c r="AA1012" s="4"/>
      <c r="AB1012" s="4" t="e">
        <f ca="1">_xll.ciqfunctions.udf.CIQ("^SPX", "IQ_PRICEDATE", "12/27/2017")</f>
        <v>#NAME?</v>
      </c>
      <c r="AC1012" s="16">
        <v>2682.6199232041999</v>
      </c>
    </row>
    <row r="1013" spans="26:29" x14ac:dyDescent="0.35">
      <c r="Z1013" s="4"/>
      <c r="AA1013" s="4"/>
      <c r="AB1013" s="4" t="e">
        <f ca="1">_xll.ciqfunctions.udf.CIQ("^SPX", "IQ_PRICEDATE", "12/28/2017")</f>
        <v>#NAME?</v>
      </c>
      <c r="AC1013" s="16">
        <v>2687.5378291884999</v>
      </c>
    </row>
    <row r="1014" spans="26:29" x14ac:dyDescent="0.35">
      <c r="Z1014" s="4"/>
      <c r="AA1014" s="4"/>
      <c r="AB1014" s="4" t="e">
        <f ca="1">_xll.ciqfunctions.udf.CIQ("^SPX", "IQ_PRICEDATE", "12/29/2017")</f>
        <v>#NAME?</v>
      </c>
      <c r="AC1014" s="16">
        <v>2673.6105231516999</v>
      </c>
    </row>
    <row r="1015" spans="26:29" x14ac:dyDescent="0.35">
      <c r="Z1015" s="4"/>
      <c r="AA1015" s="4"/>
      <c r="AB1015" s="4" t="e">
        <f ca="1">_xll.ciqfunctions.udf.CIQ("^SPX", "IQ_PRICEDATE", "1/2/2018")</f>
        <v>#NAME?</v>
      </c>
      <c r="AC1015" s="16">
        <v>2695.8097718087001</v>
      </c>
    </row>
    <row r="1016" spans="26:29" x14ac:dyDescent="0.35">
      <c r="Z1016" s="4"/>
      <c r="AA1016" s="4"/>
      <c r="AB1016" s="4" t="e">
        <f ca="1">_xll.ciqfunctions.udf.CIQ("^SPX", "IQ_PRICEDATE", "1/3/2018")</f>
        <v>#NAME?</v>
      </c>
      <c r="AC1016" s="16">
        <v>2713.0610059947999</v>
      </c>
    </row>
    <row r="1017" spans="26:29" x14ac:dyDescent="0.35">
      <c r="Z1017" s="4"/>
      <c r="AA1017" s="4"/>
      <c r="AB1017" s="4" t="e">
        <f ca="1">_xll.ciqfunctions.udf.CIQ("^SPX", "IQ_PRICEDATE", "1/4/2018")</f>
        <v>#NAME?</v>
      </c>
      <c r="AC1017" s="16">
        <v>2723.9925953636998</v>
      </c>
    </row>
    <row r="1018" spans="26:29" x14ac:dyDescent="0.35">
      <c r="Z1018" s="4"/>
      <c r="AA1018" s="4"/>
      <c r="AB1018" s="4" t="e">
        <f ca="1">_xll.ciqfunctions.udf.CIQ("^SPX", "IQ_PRICEDATE", "1/5/2018")</f>
        <v>#NAME?</v>
      </c>
      <c r="AC1018" s="16">
        <v>2743.1477732975</v>
      </c>
    </row>
    <row r="1019" spans="26:29" x14ac:dyDescent="0.35">
      <c r="Z1019" s="4"/>
      <c r="AA1019" s="4"/>
      <c r="AB1019" s="4" t="e">
        <f ca="1">_xll.ciqfunctions.udf.CIQ("^SPX", "IQ_PRICEDATE", "1/8/2018")</f>
        <v>#NAME?</v>
      </c>
      <c r="AC1019" s="16">
        <v>2747.7102333489001</v>
      </c>
    </row>
    <row r="1020" spans="26:29" x14ac:dyDescent="0.35">
      <c r="Z1020" s="4"/>
      <c r="AA1020" s="4"/>
      <c r="AB1020" s="4" t="e">
        <f ca="1">_xll.ciqfunctions.udf.CIQ("^SPX", "IQ_PRICEDATE", "1/9/2018")</f>
        <v>#NAME?</v>
      </c>
      <c r="AC1020" s="16">
        <v>2751.2852488919998</v>
      </c>
    </row>
    <row r="1021" spans="26:29" x14ac:dyDescent="0.35">
      <c r="Z1021" s="4"/>
      <c r="AA1021" s="4"/>
      <c r="AB1021" s="4" t="e">
        <f ca="1">_xll.ciqfunctions.udf.CIQ("^SPX", "IQ_PRICEDATE", "1/10/2018")</f>
        <v>#NAME?</v>
      </c>
      <c r="AC1021" s="16">
        <v>2748.2254899627001</v>
      </c>
    </row>
    <row r="1022" spans="26:29" x14ac:dyDescent="0.35">
      <c r="Z1022" s="4"/>
      <c r="AA1022" s="4"/>
      <c r="AB1022" s="4" t="e">
        <f ca="1">_xll.ciqfunctions.udf.CIQ("^SPX", "IQ_PRICEDATE", "1/11/2018")</f>
        <v>#NAME?</v>
      </c>
      <c r="AC1022" s="16">
        <v>2767.5581418168999</v>
      </c>
    </row>
    <row r="1023" spans="26:29" x14ac:dyDescent="0.35">
      <c r="Z1023" s="4"/>
      <c r="AA1023" s="4"/>
      <c r="AB1023" s="4" t="e">
        <f ca="1">_xll.ciqfunctions.udf.CIQ("^SPX", "IQ_PRICEDATE", "1/12/2018")</f>
        <v>#NAME?</v>
      </c>
      <c r="AC1023" s="16">
        <v>2786.2441431866</v>
      </c>
    </row>
    <row r="1024" spans="26:29" x14ac:dyDescent="0.35">
      <c r="Z1024" s="4"/>
      <c r="AA1024" s="4"/>
      <c r="AB1024" s="4" t="e">
        <f ca="1">_xll.ciqfunctions.udf.CIQ("^SPX", "IQ_PRICEDATE", "1/16/2018")</f>
        <v>#NAME?</v>
      </c>
      <c r="AC1024" s="16">
        <v>2776.4200235751</v>
      </c>
    </row>
    <row r="1025" spans="26:29" x14ac:dyDescent="0.35">
      <c r="Z1025" s="4"/>
      <c r="AA1025" s="4"/>
      <c r="AB1025" s="4" t="e">
        <f ca="1">_xll.ciqfunctions.udf.CIQ("^SPX", "IQ_PRICEDATE", "1/17/2018")</f>
        <v>#NAME?</v>
      </c>
      <c r="AC1025" s="16">
        <v>2802.5555741929002</v>
      </c>
    </row>
    <row r="1026" spans="26:29" x14ac:dyDescent="0.35">
      <c r="Z1026" s="4"/>
      <c r="AA1026" s="4"/>
      <c r="AB1026" s="4" t="e">
        <f ca="1">_xll.ciqfunctions.udf.CIQ("^SPX", "IQ_PRICEDATE", "1/18/2018")</f>
        <v>#NAME?</v>
      </c>
      <c r="AC1026" s="16">
        <v>2798.0302570590002</v>
      </c>
    </row>
    <row r="1027" spans="26:29" x14ac:dyDescent="0.35">
      <c r="Z1027" s="4"/>
      <c r="AA1027" s="4"/>
      <c r="AB1027" s="4" t="e">
        <f ca="1">_xll.ciqfunctions.udf.CIQ("^SPX", "IQ_PRICEDATE", "1/19/2018")</f>
        <v>#NAME?</v>
      </c>
      <c r="AC1027" s="16">
        <v>2810.3026834920001</v>
      </c>
    </row>
    <row r="1028" spans="26:29" x14ac:dyDescent="0.35">
      <c r="Z1028" s="4"/>
      <c r="AA1028" s="4"/>
      <c r="AB1028" s="4" t="e">
        <f ca="1">_xll.ciqfunctions.udf.CIQ("^SPX", "IQ_PRICEDATE", "1/22/2018")</f>
        <v>#NAME?</v>
      </c>
      <c r="AC1028" s="16">
        <v>2832.9740997724998</v>
      </c>
    </row>
    <row r="1029" spans="26:29" x14ac:dyDescent="0.35">
      <c r="Z1029" s="4"/>
      <c r="AA1029" s="4"/>
      <c r="AB1029" s="4" t="e">
        <f ca="1">_xll.ciqfunctions.udf.CIQ("^SPX", "IQ_PRICEDATE", "1/23/2018")</f>
        <v>#NAME?</v>
      </c>
      <c r="AC1029" s="16">
        <v>2839.1303619554001</v>
      </c>
    </row>
    <row r="1030" spans="26:29" x14ac:dyDescent="0.35">
      <c r="Z1030" s="4"/>
      <c r="AA1030" s="4"/>
      <c r="AB1030" s="4" t="e">
        <f ca="1">_xll.ciqfunctions.udf.CIQ("^SPX", "IQ_PRICEDATE", "1/24/2018")</f>
        <v>#NAME?</v>
      </c>
      <c r="AC1030" s="16">
        <v>2837.5440076131999</v>
      </c>
    </row>
    <row r="1031" spans="26:29" x14ac:dyDescent="0.35">
      <c r="Z1031" s="4"/>
      <c r="AA1031" s="4"/>
      <c r="AB1031" s="4" t="e">
        <f ca="1">_xll.ciqfunctions.udf.CIQ("^SPX", "IQ_PRICEDATE", "1/25/2018")</f>
        <v>#NAME?</v>
      </c>
      <c r="AC1031" s="16">
        <v>2839.2530312105</v>
      </c>
    </row>
    <row r="1032" spans="26:29" x14ac:dyDescent="0.35">
      <c r="Z1032" s="4"/>
      <c r="AA1032" s="4"/>
      <c r="AB1032" s="4" t="e">
        <f ca="1">_xll.ciqfunctions.udf.CIQ("^SPX", "IQ_PRICEDATE", "1/26/2018")</f>
        <v>#NAME?</v>
      </c>
      <c r="AC1032" s="16">
        <v>2872.8678392431002</v>
      </c>
    </row>
    <row r="1033" spans="26:29" x14ac:dyDescent="0.35">
      <c r="Z1033" s="4"/>
      <c r="AA1033" s="4"/>
      <c r="AB1033" s="4" t="e">
        <f ca="1">_xll.ciqfunctions.udf.CIQ("^SPX", "IQ_PRICEDATE", "1/29/2018")</f>
        <v>#NAME?</v>
      </c>
      <c r="AC1033" s="16">
        <v>2853.5284110404</v>
      </c>
    </row>
    <row r="1034" spans="26:29" x14ac:dyDescent="0.35">
      <c r="Z1034" s="4"/>
      <c r="AA1034" s="4"/>
      <c r="AB1034" s="4" t="e">
        <f ca="1">_xll.ciqfunctions.udf.CIQ("^SPX", "IQ_PRICEDATE", "1/30/2018")</f>
        <v>#NAME?</v>
      </c>
      <c r="AC1034" s="16">
        <v>2822.4339480164999</v>
      </c>
    </row>
    <row r="1035" spans="26:29" x14ac:dyDescent="0.35">
      <c r="Z1035" s="4"/>
      <c r="AA1035" s="4"/>
      <c r="AB1035" s="4" t="e">
        <f ca="1">_xll.ciqfunctions.udf.CIQ("^SPX", "IQ_PRICEDATE", "1/31/2018")</f>
        <v>#NAME?</v>
      </c>
      <c r="AC1035" s="16">
        <v>2823.8099373554001</v>
      </c>
    </row>
    <row r="1036" spans="26:29" x14ac:dyDescent="0.35">
      <c r="Z1036" s="4"/>
      <c r="AA1036" s="4"/>
      <c r="AB1036" s="4" t="e">
        <f ca="1">_xll.ciqfunctions.udf.CIQ("^SPX", "IQ_PRICEDATE", "2/1/2018")</f>
        <v>#NAME?</v>
      </c>
      <c r="AC1036" s="16">
        <v>2821.975892767</v>
      </c>
    </row>
    <row r="1037" spans="26:29" x14ac:dyDescent="0.35">
      <c r="Z1037" s="4"/>
      <c r="AA1037" s="4"/>
      <c r="AB1037" s="4" t="e">
        <f ca="1">_xll.ciqfunctions.udf.CIQ("^SPX", "IQ_PRICEDATE", "2/2/2018")</f>
        <v>#NAME?</v>
      </c>
      <c r="AC1037" s="16">
        <v>2762.1253342727</v>
      </c>
    </row>
    <row r="1038" spans="26:29" x14ac:dyDescent="0.35">
      <c r="Z1038" s="4"/>
      <c r="AA1038" s="4"/>
      <c r="AB1038" s="4" t="e">
        <f ca="1">_xll.ciqfunctions.udf.CIQ("^SPX", "IQ_PRICEDATE", "2/5/2018")</f>
        <v>#NAME?</v>
      </c>
      <c r="AC1038" s="16">
        <v>2648.9390824826</v>
      </c>
    </row>
    <row r="1039" spans="26:29" x14ac:dyDescent="0.35">
      <c r="Z1039" s="4"/>
      <c r="AA1039" s="4"/>
      <c r="AB1039" s="4" t="e">
        <f ca="1">_xll.ciqfunctions.udf.CIQ("^SPX", "IQ_PRICEDATE", "2/6/2018")</f>
        <v>#NAME?</v>
      </c>
      <c r="AC1039" s="16">
        <v>2695.1442389796998</v>
      </c>
    </row>
    <row r="1040" spans="26:29" x14ac:dyDescent="0.35">
      <c r="Z1040" s="4"/>
      <c r="AA1040" s="4"/>
      <c r="AB1040" s="4" t="e">
        <f ca="1">_xll.ciqfunctions.udf.CIQ("^SPX", "IQ_PRICEDATE", "2/7/2018")</f>
        <v>#NAME?</v>
      </c>
      <c r="AC1040" s="16">
        <v>2681.6601351724998</v>
      </c>
    </row>
    <row r="1041" spans="26:29" x14ac:dyDescent="0.35">
      <c r="Z1041" s="4"/>
      <c r="AA1041" s="4"/>
      <c r="AB1041" s="4" t="e">
        <f ca="1">_xll.ciqfunctions.udf.CIQ("^SPX", "IQ_PRICEDATE", "2/8/2018")</f>
        <v>#NAME?</v>
      </c>
      <c r="AC1041" s="16">
        <v>2580.9994808281999</v>
      </c>
    </row>
    <row r="1042" spans="26:29" x14ac:dyDescent="0.35">
      <c r="Z1042" s="4"/>
      <c r="AA1042" s="4"/>
      <c r="AB1042" s="4" t="e">
        <f ca="1">_xll.ciqfunctions.udf.CIQ("^SPX", "IQ_PRICEDATE", "2/9/2018")</f>
        <v>#NAME?</v>
      </c>
      <c r="AC1042" s="16">
        <v>2619.5455949231</v>
      </c>
    </row>
    <row r="1043" spans="26:29" x14ac:dyDescent="0.35">
      <c r="Z1043" s="4"/>
      <c r="AA1043" s="4"/>
      <c r="AB1043" s="4" t="e">
        <f ca="1">_xll.ciqfunctions.udf.CIQ("^SPX", "IQ_PRICEDATE", "2/12/2018")</f>
        <v>#NAME?</v>
      </c>
      <c r="AC1043" s="16">
        <v>2655.9975272689999</v>
      </c>
    </row>
    <row r="1044" spans="26:29" x14ac:dyDescent="0.35">
      <c r="Z1044" s="4"/>
      <c r="AA1044" s="4"/>
      <c r="AB1044" s="4" t="e">
        <f ca="1">_xll.ciqfunctions.udf.CIQ("^SPX", "IQ_PRICEDATE", "2/13/2018")</f>
        <v>#NAME?</v>
      </c>
      <c r="AC1044" s="16">
        <v>2662.9429033240999</v>
      </c>
    </row>
    <row r="1045" spans="26:29" x14ac:dyDescent="0.35">
      <c r="Z1045" s="4"/>
      <c r="AA1045" s="4"/>
      <c r="AB1045" s="4" t="e">
        <f ca="1">_xll.ciqfunctions.udf.CIQ("^SPX", "IQ_PRICEDATE", "2/14/2018")</f>
        <v>#NAME?</v>
      </c>
      <c r="AC1045" s="16">
        <v>2698.6336625295999</v>
      </c>
    </row>
    <row r="1046" spans="26:29" x14ac:dyDescent="0.35">
      <c r="Z1046" s="4"/>
      <c r="AA1046" s="4"/>
      <c r="AB1046" s="4" t="e">
        <f ca="1">_xll.ciqfunctions.udf.CIQ("^SPX", "IQ_PRICEDATE", "2/15/2018")</f>
        <v>#NAME?</v>
      </c>
      <c r="AC1046" s="16">
        <v>2731.2041407155002</v>
      </c>
    </row>
    <row r="1047" spans="26:29" x14ac:dyDescent="0.35">
      <c r="Z1047" s="4"/>
      <c r="AA1047" s="4"/>
      <c r="AB1047" s="4" t="e">
        <f ca="1">_xll.ciqfunctions.udf.CIQ("^SPX", "IQ_PRICEDATE", "2/16/2018")</f>
        <v>#NAME?</v>
      </c>
      <c r="AC1047" s="16">
        <v>2732.2198367972001</v>
      </c>
    </row>
    <row r="1048" spans="26:29" x14ac:dyDescent="0.35">
      <c r="Z1048" s="4"/>
      <c r="AA1048" s="4"/>
      <c r="AB1048" s="4" t="e">
        <f ca="1">_xll.ciqfunctions.udf.CIQ("^SPX", "IQ_PRICEDATE", "2/20/2018")</f>
        <v>#NAME?</v>
      </c>
      <c r="AC1048" s="16">
        <v>2716.2555424986999</v>
      </c>
    </row>
    <row r="1049" spans="26:29" x14ac:dyDescent="0.35">
      <c r="Z1049" s="4"/>
      <c r="AA1049" s="4"/>
      <c r="AB1049" s="4" t="e">
        <f ca="1">_xll.ciqfunctions.udf.CIQ("^SPX", "IQ_PRICEDATE", "2/21/2018")</f>
        <v>#NAME?</v>
      </c>
      <c r="AC1049" s="16">
        <v>2701.328793314</v>
      </c>
    </row>
    <row r="1050" spans="26:29" x14ac:dyDescent="0.35">
      <c r="Z1050" s="4"/>
      <c r="AA1050" s="4"/>
      <c r="AB1050" s="4" t="e">
        <f ca="1">_xll.ciqfunctions.udf.CIQ("^SPX", "IQ_PRICEDATE", "2/22/2018")</f>
        <v>#NAME?</v>
      </c>
      <c r="AC1050" s="16">
        <v>2703.9612574600001</v>
      </c>
    </row>
    <row r="1051" spans="26:29" x14ac:dyDescent="0.35">
      <c r="Z1051" s="4"/>
      <c r="AA1051" s="4"/>
      <c r="AB1051" s="4" t="e">
        <f ca="1">_xll.ciqfunctions.udf.CIQ("^SPX", "IQ_PRICEDATE", "2/23/2018")</f>
        <v>#NAME?</v>
      </c>
      <c r="AC1051" s="16">
        <v>2747.2985491692998</v>
      </c>
    </row>
    <row r="1052" spans="26:29" x14ac:dyDescent="0.35">
      <c r="Z1052" s="4"/>
      <c r="AA1052" s="4"/>
      <c r="AB1052" s="4" t="e">
        <f ca="1">_xll.ciqfunctions.udf.CIQ("^SPX", "IQ_PRICEDATE", "2/26/2018")</f>
        <v>#NAME?</v>
      </c>
      <c r="AC1052" s="16">
        <v>2779.5959744897</v>
      </c>
    </row>
    <row r="1053" spans="26:29" x14ac:dyDescent="0.35">
      <c r="Z1053" s="4"/>
      <c r="AA1053" s="4"/>
      <c r="AB1053" s="4" t="e">
        <f ca="1">_xll.ciqfunctions.udf.CIQ("^SPX", "IQ_PRICEDATE", "2/27/2018")</f>
        <v>#NAME?</v>
      </c>
      <c r="AC1053" s="16">
        <v>2744.2806905071002</v>
      </c>
    </row>
    <row r="1054" spans="26:29" x14ac:dyDescent="0.35">
      <c r="Z1054" s="4"/>
      <c r="AA1054" s="4"/>
      <c r="AB1054" s="4" t="e">
        <f ca="1">_xll.ciqfunctions.udf.CIQ("^SPX", "IQ_PRICEDATE", "2/28/2018")</f>
        <v>#NAME?</v>
      </c>
      <c r="AC1054" s="16">
        <v>2713.8305387238001</v>
      </c>
    </row>
    <row r="1055" spans="26:29" x14ac:dyDescent="0.35">
      <c r="Z1055" s="4"/>
      <c r="AA1055" s="4"/>
      <c r="AB1055" s="4" t="e">
        <f ca="1">_xll.ciqfunctions.udf.CIQ("^SPX", "IQ_PRICEDATE", "3/1/2018")</f>
        <v>#NAME?</v>
      </c>
      <c r="AC1055" s="16">
        <v>2677.6709360935001</v>
      </c>
    </row>
    <row r="1056" spans="26:29" x14ac:dyDescent="0.35">
      <c r="Z1056" s="4"/>
      <c r="AA1056" s="4"/>
      <c r="AB1056" s="4" t="e">
        <f ca="1">_xll.ciqfunctions.udf.CIQ("^SPX", "IQ_PRICEDATE", "3/2/2018")</f>
        <v>#NAME?</v>
      </c>
      <c r="AC1056" s="16">
        <v>2691.2527686766002</v>
      </c>
    </row>
    <row r="1057" spans="26:29" x14ac:dyDescent="0.35">
      <c r="Z1057" s="4"/>
      <c r="AA1057" s="4"/>
      <c r="AB1057" s="4" t="e">
        <f ca="1">_xll.ciqfunctions.udf.CIQ("^SPX", "IQ_PRICEDATE", "3/5/2018")</f>
        <v>#NAME?</v>
      </c>
      <c r="AC1057" s="16">
        <v>2720.9408972913998</v>
      </c>
    </row>
    <row r="1058" spans="26:29" x14ac:dyDescent="0.35">
      <c r="Z1058" s="4"/>
      <c r="AA1058" s="4"/>
      <c r="AB1058" s="4" t="e">
        <f ca="1">_xll.ciqfunctions.udf.CIQ("^SPX", "IQ_PRICEDATE", "3/6/2018")</f>
        <v>#NAME?</v>
      </c>
      <c r="AC1058" s="16">
        <v>2728.1219997834</v>
      </c>
    </row>
    <row r="1059" spans="26:29" x14ac:dyDescent="0.35">
      <c r="Z1059" s="4"/>
      <c r="AA1059" s="4"/>
      <c r="AB1059" s="4" t="e">
        <f ca="1">_xll.ciqfunctions.udf.CIQ("^SPX", "IQ_PRICEDATE", "3/7/2018")</f>
        <v>#NAME?</v>
      </c>
      <c r="AC1059" s="16">
        <v>2726.8013692489999</v>
      </c>
    </row>
    <row r="1060" spans="26:29" x14ac:dyDescent="0.35">
      <c r="Z1060" s="4"/>
      <c r="AA1060" s="4"/>
      <c r="AB1060" s="4" t="e">
        <f ca="1">_xll.ciqfunctions.udf.CIQ("^SPX", "IQ_PRICEDATE", "3/8/2018")</f>
        <v>#NAME?</v>
      </c>
      <c r="AC1060" s="16">
        <v>2738.9694301486002</v>
      </c>
    </row>
    <row r="1061" spans="26:29" x14ac:dyDescent="0.35">
      <c r="Z1061" s="4"/>
      <c r="AA1061" s="4"/>
      <c r="AB1061" s="4" t="e">
        <f ca="1">_xll.ciqfunctions.udf.CIQ("^SPX", "IQ_PRICEDATE", "3/9/2018")</f>
        <v>#NAME?</v>
      </c>
      <c r="AC1061" s="16">
        <v>2786.5651027531999</v>
      </c>
    </row>
    <row r="1062" spans="26:29" x14ac:dyDescent="0.35">
      <c r="Z1062" s="4"/>
      <c r="AA1062" s="4"/>
      <c r="AB1062" s="4" t="e">
        <f ca="1">_xll.ciqfunctions.udf.CIQ("^SPX", "IQ_PRICEDATE", "3/12/2018")</f>
        <v>#NAME?</v>
      </c>
      <c r="AC1062" s="16">
        <v>2783.0192629327998</v>
      </c>
    </row>
    <row r="1063" spans="26:29" x14ac:dyDescent="0.35">
      <c r="Z1063" s="4"/>
      <c r="AA1063" s="4"/>
      <c r="AB1063" s="4" t="e">
        <f ca="1">_xll.ciqfunctions.udf.CIQ("^SPX", "IQ_PRICEDATE", "3/13/2018")</f>
        <v>#NAME?</v>
      </c>
      <c r="AC1063" s="16">
        <v>2765.3094530812</v>
      </c>
    </row>
    <row r="1064" spans="26:29" x14ac:dyDescent="0.35">
      <c r="Z1064" s="4"/>
      <c r="AA1064" s="4"/>
      <c r="AB1064" s="4" t="e">
        <f ca="1">_xll.ciqfunctions.udf.CIQ("^SPX", "IQ_PRICEDATE", "3/14/2018")</f>
        <v>#NAME?</v>
      </c>
      <c r="AC1064" s="16">
        <v>2749.4822693171</v>
      </c>
    </row>
    <row r="1065" spans="26:29" x14ac:dyDescent="0.35">
      <c r="Z1065" s="4"/>
      <c r="AA1065" s="4"/>
      <c r="AB1065" s="4" t="e">
        <f ca="1">_xll.ciqfunctions.udf.CIQ("^SPX", "IQ_PRICEDATE", "3/15/2018")</f>
        <v>#NAME?</v>
      </c>
      <c r="AC1065" s="16">
        <v>2747.3298499872999</v>
      </c>
    </row>
    <row r="1066" spans="26:29" x14ac:dyDescent="0.35">
      <c r="Z1066" s="4"/>
      <c r="AA1066" s="4"/>
      <c r="AB1066" s="4" t="e">
        <f ca="1">_xll.ciqfunctions.udf.CIQ("^SPX", "IQ_PRICEDATE", "3/16/2018")</f>
        <v>#NAME?</v>
      </c>
      <c r="AC1066" s="16">
        <v>2752.0117875495998</v>
      </c>
    </row>
    <row r="1067" spans="26:29" x14ac:dyDescent="0.35">
      <c r="Z1067" s="4"/>
      <c r="AA1067" s="4"/>
      <c r="AB1067" s="4" t="e">
        <f ca="1">_xll.ciqfunctions.udf.CIQ("^SPX", "IQ_PRICEDATE", "3/19/2018")</f>
        <v>#NAME?</v>
      </c>
      <c r="AC1067" s="16">
        <v>2712.9173684696998</v>
      </c>
    </row>
    <row r="1068" spans="26:29" x14ac:dyDescent="0.35">
      <c r="Z1068" s="4"/>
      <c r="AA1068" s="4"/>
      <c r="AB1068" s="4" t="e">
        <f ca="1">_xll.ciqfunctions.udf.CIQ("^SPX", "IQ_PRICEDATE", "3/20/2018")</f>
        <v>#NAME?</v>
      </c>
      <c r="AC1068" s="16">
        <v>2716.9422346931001</v>
      </c>
    </row>
    <row r="1069" spans="26:29" x14ac:dyDescent="0.35">
      <c r="Z1069" s="4"/>
      <c r="AA1069" s="4"/>
      <c r="AB1069" s="4" t="e">
        <f ca="1">_xll.ciqfunctions.udf.CIQ("^SPX", "IQ_PRICEDATE", "3/21/2018")</f>
        <v>#NAME?</v>
      </c>
      <c r="AC1069" s="16">
        <v>2711.9280882306998</v>
      </c>
    </row>
    <row r="1070" spans="26:29" x14ac:dyDescent="0.35">
      <c r="Z1070" s="4"/>
      <c r="AA1070" s="4"/>
      <c r="AB1070" s="4" t="e">
        <f ca="1">_xll.ciqfunctions.udf.CIQ("^SPX", "IQ_PRICEDATE", "3/22/2018")</f>
        <v>#NAME?</v>
      </c>
      <c r="AC1070" s="16">
        <v>2643.6921823736002</v>
      </c>
    </row>
    <row r="1071" spans="26:29" x14ac:dyDescent="0.35">
      <c r="Z1071" s="4"/>
      <c r="AA1071" s="4"/>
      <c r="AB1071" s="4" t="e">
        <f ca="1">_xll.ciqfunctions.udf.CIQ("^SPX", "IQ_PRICEDATE", "3/23/2018")</f>
        <v>#NAME?</v>
      </c>
      <c r="AC1071" s="16">
        <v>2588.2627920513</v>
      </c>
    </row>
    <row r="1072" spans="26:29" x14ac:dyDescent="0.35">
      <c r="Z1072" s="4"/>
      <c r="AA1072" s="4"/>
      <c r="AB1072" s="4" t="e">
        <f ca="1">_xll.ciqfunctions.udf.CIQ("^SPX", "IQ_PRICEDATE", "3/26/2018")</f>
        <v>#NAME?</v>
      </c>
      <c r="AC1072" s="16">
        <v>2658.5541823533999</v>
      </c>
    </row>
    <row r="1073" spans="26:29" x14ac:dyDescent="0.35">
      <c r="Z1073" s="4"/>
      <c r="AA1073" s="4"/>
      <c r="AB1073" s="4" t="e">
        <f ca="1">_xll.ciqfunctions.udf.CIQ("^SPX", "IQ_PRICEDATE", "3/27/2018")</f>
        <v>#NAME?</v>
      </c>
      <c r="AC1073" s="16">
        <v>2612.6245972403999</v>
      </c>
    </row>
    <row r="1074" spans="26:29" x14ac:dyDescent="0.35">
      <c r="Z1074" s="4"/>
      <c r="AA1074" s="4"/>
      <c r="AB1074" s="4" t="e">
        <f ca="1">_xll.ciqfunctions.udf.CIQ("^SPX", "IQ_PRICEDATE", "3/28/2018")</f>
        <v>#NAME?</v>
      </c>
      <c r="AC1074" s="16">
        <v>2604.9974974954998</v>
      </c>
    </row>
    <row r="1075" spans="26:29" x14ac:dyDescent="0.35">
      <c r="Z1075" s="4"/>
      <c r="AA1075" s="4"/>
      <c r="AB1075" s="4" t="e">
        <f ca="1">_xll.ciqfunctions.udf.CIQ("^SPX", "IQ_PRICEDATE", "3/29/2018")</f>
        <v>#NAME?</v>
      </c>
      <c r="AC1075" s="16">
        <v>2640.8659903293001</v>
      </c>
    </row>
    <row r="1076" spans="26:29" x14ac:dyDescent="0.35">
      <c r="Z1076" s="4"/>
      <c r="AA1076" s="4"/>
      <c r="AB1076" s="4" t="e">
        <f ca="1">_xll.ciqfunctions.udf.CIQ("^SPX", "IQ_PRICEDATE", "4/2/2018")</f>
        <v>#NAME?</v>
      </c>
      <c r="AC1076" s="16">
        <v>2581.881609651</v>
      </c>
    </row>
    <row r="1077" spans="26:29" x14ac:dyDescent="0.35">
      <c r="Z1077" s="4"/>
      <c r="AA1077" s="4"/>
      <c r="AB1077" s="4" t="e">
        <f ca="1">_xll.ciqfunctions.udf.CIQ("^SPX", "IQ_PRICEDATE", "4/3/2018")</f>
        <v>#NAME?</v>
      </c>
      <c r="AC1077" s="16">
        <v>2614.4456710448999</v>
      </c>
    </row>
    <row r="1078" spans="26:29" x14ac:dyDescent="0.35">
      <c r="Z1078" s="4"/>
      <c r="AA1078" s="4"/>
      <c r="AB1078" s="4" t="e">
        <f ca="1">_xll.ciqfunctions.udf.CIQ("^SPX", "IQ_PRICEDATE", "4/4/2018")</f>
        <v>#NAME?</v>
      </c>
      <c r="AC1078" s="16">
        <v>2644.6879610989999</v>
      </c>
    </row>
    <row r="1079" spans="26:29" x14ac:dyDescent="0.35">
      <c r="Z1079" s="4"/>
      <c r="AA1079" s="4"/>
      <c r="AB1079" s="4" t="e">
        <f ca="1">_xll.ciqfunctions.udf.CIQ("^SPX", "IQ_PRICEDATE", "4/5/2018")</f>
        <v>#NAME?</v>
      </c>
      <c r="AC1079" s="16">
        <v>2662.8362421788001</v>
      </c>
    </row>
    <row r="1080" spans="26:29" x14ac:dyDescent="0.35">
      <c r="Z1080" s="4"/>
      <c r="AA1080" s="4"/>
      <c r="AB1080" s="4" t="e">
        <f ca="1">_xll.ciqfunctions.udf.CIQ("^SPX", "IQ_PRICEDATE", "4/6/2018")</f>
        <v>#NAME?</v>
      </c>
      <c r="AC1080" s="16">
        <v>2604.4693845293</v>
      </c>
    </row>
    <row r="1081" spans="26:29" x14ac:dyDescent="0.35">
      <c r="Z1081" s="4"/>
      <c r="AA1081" s="4"/>
      <c r="AB1081" s="4" t="e">
        <f ca="1">_xll.ciqfunctions.udf.CIQ("^SPX", "IQ_PRICEDATE", "4/9/2018")</f>
        <v>#NAME?</v>
      </c>
      <c r="AC1081" s="16">
        <v>2613.158838761</v>
      </c>
    </row>
    <row r="1082" spans="26:29" x14ac:dyDescent="0.35">
      <c r="Z1082" s="4"/>
      <c r="AA1082" s="4"/>
      <c r="AB1082" s="4" t="e">
        <f ca="1">_xll.ciqfunctions.udf.CIQ("^SPX", "IQ_PRICEDATE", "4/10/2018")</f>
        <v>#NAME?</v>
      </c>
      <c r="AC1082" s="16">
        <v>2656.8679807192998</v>
      </c>
    </row>
    <row r="1083" spans="26:29" x14ac:dyDescent="0.35">
      <c r="Z1083" s="4"/>
      <c r="AA1083" s="4"/>
      <c r="AB1083" s="4" t="e">
        <f ca="1">_xll.ciqfunctions.udf.CIQ("^SPX", "IQ_PRICEDATE", "4/11/2018")</f>
        <v>#NAME?</v>
      </c>
      <c r="AC1083" s="16">
        <v>2642.1902114466002</v>
      </c>
    </row>
    <row r="1084" spans="26:29" x14ac:dyDescent="0.35">
      <c r="Z1084" s="4"/>
      <c r="AA1084" s="4"/>
      <c r="AB1084" s="4" t="e">
        <f ca="1">_xll.ciqfunctions.udf.CIQ("^SPX", "IQ_PRICEDATE", "4/12/2018")</f>
        <v>#NAME?</v>
      </c>
      <c r="AC1084" s="16">
        <v>2663.9948004537</v>
      </c>
    </row>
    <row r="1085" spans="26:29" x14ac:dyDescent="0.35">
      <c r="Z1085" s="4"/>
      <c r="AA1085" s="4"/>
      <c r="AB1085" s="4" t="e">
        <f ca="1">_xll.ciqfunctions.udf.CIQ("^SPX", "IQ_PRICEDATE", "4/13/2018")</f>
        <v>#NAME?</v>
      </c>
      <c r="AC1085" s="16">
        <v>2656.2969056536999</v>
      </c>
    </row>
    <row r="1086" spans="26:29" x14ac:dyDescent="0.35">
      <c r="Z1086" s="4"/>
      <c r="AA1086" s="4"/>
      <c r="AB1086" s="4" t="e">
        <f ca="1">_xll.ciqfunctions.udf.CIQ("^SPX", "IQ_PRICEDATE", "4/16/2018")</f>
        <v>#NAME?</v>
      </c>
      <c r="AC1086" s="16">
        <v>2677.8395628404</v>
      </c>
    </row>
    <row r="1087" spans="26:29" x14ac:dyDescent="0.35">
      <c r="Z1087" s="4"/>
      <c r="AA1087" s="4"/>
      <c r="AB1087" s="4" t="e">
        <f ca="1">_xll.ciqfunctions.udf.CIQ("^SPX", "IQ_PRICEDATE", "4/17/2018")</f>
        <v>#NAME?</v>
      </c>
      <c r="AC1087" s="16">
        <v>2706.3850873186998</v>
      </c>
    </row>
    <row r="1088" spans="26:29" x14ac:dyDescent="0.35">
      <c r="Z1088" s="4"/>
      <c r="AA1088" s="4"/>
      <c r="AB1088" s="4" t="e">
        <f ca="1">_xll.ciqfunctions.udf.CIQ("^SPX", "IQ_PRICEDATE", "4/18/2018")</f>
        <v>#NAME?</v>
      </c>
      <c r="AC1088" s="16">
        <v>2708.6389528643999</v>
      </c>
    </row>
    <row r="1089" spans="26:29" x14ac:dyDescent="0.35">
      <c r="Z1089" s="4"/>
      <c r="AA1089" s="4"/>
      <c r="AB1089" s="4" t="e">
        <f ca="1">_xll.ciqfunctions.udf.CIQ("^SPX", "IQ_PRICEDATE", "4/19/2018")</f>
        <v>#NAME?</v>
      </c>
      <c r="AC1089" s="16">
        <v>2693.1257302322001</v>
      </c>
    </row>
    <row r="1090" spans="26:29" x14ac:dyDescent="0.35">
      <c r="Z1090" s="4"/>
      <c r="AA1090" s="4"/>
      <c r="AB1090" s="4" t="e">
        <f ca="1">_xll.ciqfunctions.udf.CIQ("^SPX", "IQ_PRICEDATE", "4/20/2018")</f>
        <v>#NAME?</v>
      </c>
      <c r="AC1090" s="16">
        <v>2670.1417556473998</v>
      </c>
    </row>
    <row r="1091" spans="26:29" x14ac:dyDescent="0.35">
      <c r="Z1091" s="4"/>
      <c r="AA1091" s="4"/>
      <c r="AB1091" s="4" t="e">
        <f ca="1">_xll.ciqfunctions.udf.CIQ("^SPX", "IQ_PRICEDATE", "4/23/2018")</f>
        <v>#NAME?</v>
      </c>
      <c r="AC1091" s="16">
        <v>2670.2904815958</v>
      </c>
    </row>
    <row r="1092" spans="26:29" x14ac:dyDescent="0.35">
      <c r="Z1092" s="4"/>
      <c r="AA1092" s="4"/>
      <c r="AB1092" s="4" t="e">
        <f ca="1">_xll.ciqfunctions.udf.CIQ("^SPX", "IQ_PRICEDATE", "4/24/2018")</f>
        <v>#NAME?</v>
      </c>
      <c r="AC1092" s="16">
        <v>2634.5564523615999</v>
      </c>
    </row>
    <row r="1093" spans="26:29" x14ac:dyDescent="0.35">
      <c r="Z1093" s="4"/>
      <c r="AA1093" s="4"/>
      <c r="AB1093" s="4" t="e">
        <f ca="1">_xll.ciqfunctions.udf.CIQ("^SPX", "IQ_PRICEDATE", "4/25/2018")</f>
        <v>#NAME?</v>
      </c>
      <c r="AC1093" s="16">
        <v>2639.3950272385</v>
      </c>
    </row>
    <row r="1094" spans="26:29" x14ac:dyDescent="0.35">
      <c r="Z1094" s="4"/>
      <c r="AA1094" s="4"/>
      <c r="AB1094" s="4" t="e">
        <f ca="1">_xll.ciqfunctions.udf.CIQ("^SPX", "IQ_PRICEDATE", "4/26/2018")</f>
        <v>#NAME?</v>
      </c>
      <c r="AC1094" s="16">
        <v>2666.9427838322999</v>
      </c>
    </row>
    <row r="1095" spans="26:29" x14ac:dyDescent="0.35">
      <c r="Z1095" s="4"/>
      <c r="AA1095" s="4"/>
      <c r="AB1095" s="4" t="e">
        <f ca="1">_xll.ciqfunctions.udf.CIQ("^SPX", "IQ_PRICEDATE", "4/27/2018")</f>
        <v>#NAME?</v>
      </c>
      <c r="AC1095" s="16">
        <v>2669.906271715</v>
      </c>
    </row>
    <row r="1096" spans="26:29" x14ac:dyDescent="0.35">
      <c r="Z1096" s="4"/>
      <c r="AA1096" s="4"/>
      <c r="AB1096" s="4" t="e">
        <f ca="1">_xll.ciqfunctions.udf.CIQ("^SPX", "IQ_PRICEDATE", "4/30/2018")</f>
        <v>#NAME?</v>
      </c>
      <c r="AC1096" s="16">
        <v>2648.0493647087001</v>
      </c>
    </row>
    <row r="1097" spans="26:29" x14ac:dyDescent="0.35">
      <c r="Z1097" s="4"/>
      <c r="AA1097" s="4"/>
      <c r="AB1097" s="4" t="e">
        <f ca="1">_xll.ciqfunctions.udf.CIQ("^SPX", "IQ_PRICEDATE", "5/1/2018")</f>
        <v>#NAME?</v>
      </c>
      <c r="AC1097" s="16">
        <v>2654.8006518471998</v>
      </c>
    </row>
    <row r="1098" spans="26:29" x14ac:dyDescent="0.35">
      <c r="Z1098" s="4"/>
      <c r="AA1098" s="4"/>
      <c r="AB1098" s="4" t="e">
        <f ca="1">_xll.ciqfunctions.udf.CIQ("^SPX", "IQ_PRICEDATE", "5/2/2018")</f>
        <v>#NAME?</v>
      </c>
      <c r="AC1098" s="16">
        <v>2635.6685473995999</v>
      </c>
    </row>
    <row r="1099" spans="26:29" x14ac:dyDescent="0.35">
      <c r="Z1099" s="4"/>
      <c r="AA1099" s="4"/>
      <c r="AB1099" s="4" t="e">
        <f ca="1">_xll.ciqfunctions.udf.CIQ("^SPX", "IQ_PRICEDATE", "5/3/2018")</f>
        <v>#NAME?</v>
      </c>
      <c r="AC1099" s="16">
        <v>2629.7256154840002</v>
      </c>
    </row>
    <row r="1100" spans="26:29" x14ac:dyDescent="0.35">
      <c r="Z1100" s="4"/>
      <c r="AA1100" s="4"/>
      <c r="AB1100" s="4" t="e">
        <f ca="1">_xll.ciqfunctions.udf.CIQ("^SPX", "IQ_PRICEDATE", "5/4/2018")</f>
        <v>#NAME?</v>
      </c>
      <c r="AC1100" s="16">
        <v>2663.4203373004002</v>
      </c>
    </row>
    <row r="1101" spans="26:29" x14ac:dyDescent="0.35">
      <c r="Z1101" s="4"/>
      <c r="AA1101" s="4"/>
      <c r="AB1101" s="4" t="e">
        <f ca="1">_xll.ciqfunctions.udf.CIQ("^SPX", "IQ_PRICEDATE", "5/7/2018")</f>
        <v>#NAME?</v>
      </c>
      <c r="AC1101" s="16">
        <v>2672.6284981829999</v>
      </c>
    </row>
    <row r="1102" spans="26:29" x14ac:dyDescent="0.35">
      <c r="Z1102" s="4"/>
      <c r="AA1102" s="4"/>
      <c r="AB1102" s="4" t="e">
        <f ca="1">_xll.ciqfunctions.udf.CIQ("^SPX", "IQ_PRICEDATE", "5/8/2018")</f>
        <v>#NAME?</v>
      </c>
      <c r="AC1102" s="16">
        <v>2671.9182617050001</v>
      </c>
    </row>
    <row r="1103" spans="26:29" x14ac:dyDescent="0.35">
      <c r="Z1103" s="4"/>
      <c r="AA1103" s="4"/>
      <c r="AB1103" s="4" t="e">
        <f ca="1">_xll.ciqfunctions.udf.CIQ("^SPX", "IQ_PRICEDATE", "5/9/2018")</f>
        <v>#NAME?</v>
      </c>
      <c r="AC1103" s="16">
        <v>2697.7915487847999</v>
      </c>
    </row>
    <row r="1104" spans="26:29" x14ac:dyDescent="0.35">
      <c r="Z1104" s="4"/>
      <c r="AA1104" s="4"/>
      <c r="AB1104" s="4" t="e">
        <f ca="1">_xll.ciqfunctions.udf.CIQ("^SPX", "IQ_PRICEDATE", "5/10/2018")</f>
        <v>#NAME?</v>
      </c>
      <c r="AC1104" s="16">
        <v>2723.0689028173001</v>
      </c>
    </row>
    <row r="1105" spans="26:29" x14ac:dyDescent="0.35">
      <c r="Z1105" s="4"/>
      <c r="AA1105" s="4"/>
      <c r="AB1105" s="4" t="e">
        <f ca="1">_xll.ciqfunctions.udf.CIQ("^SPX", "IQ_PRICEDATE", "5/11/2018")</f>
        <v>#NAME?</v>
      </c>
      <c r="AC1105" s="16">
        <v>2727.7159275558001</v>
      </c>
    </row>
    <row r="1106" spans="26:29" x14ac:dyDescent="0.35">
      <c r="Z1106" s="4"/>
      <c r="AA1106" s="4"/>
      <c r="AB1106" s="4" t="e">
        <f ca="1">_xll.ciqfunctions.udf.CIQ("^SPX", "IQ_PRICEDATE", "5/14/2018")</f>
        <v>#NAME?</v>
      </c>
      <c r="AC1106" s="16">
        <v>2730.1324574028999</v>
      </c>
    </row>
    <row r="1107" spans="26:29" x14ac:dyDescent="0.35">
      <c r="Z1107" s="4"/>
      <c r="AA1107" s="4"/>
      <c r="AB1107" s="4" t="e">
        <f ca="1">_xll.ciqfunctions.udf.CIQ("^SPX", "IQ_PRICEDATE", "5/15/2018")</f>
        <v>#NAME?</v>
      </c>
      <c r="AC1107" s="16">
        <v>2711.4455236237</v>
      </c>
    </row>
    <row r="1108" spans="26:29" x14ac:dyDescent="0.35">
      <c r="Z1108" s="4"/>
      <c r="AA1108" s="4"/>
      <c r="AB1108" s="4" t="e">
        <f ca="1">_xll.ciqfunctions.udf.CIQ("^SPX", "IQ_PRICEDATE", "5/16/2018")</f>
        <v>#NAME?</v>
      </c>
      <c r="AC1108" s="16">
        <v>2722.4622972534999</v>
      </c>
    </row>
    <row r="1109" spans="26:29" x14ac:dyDescent="0.35">
      <c r="Z1109" s="4"/>
      <c r="AA1109" s="4"/>
      <c r="AB1109" s="4" t="e">
        <f ca="1">_xll.ciqfunctions.udf.CIQ("^SPX", "IQ_PRICEDATE", "5/17/2018")</f>
        <v>#NAME?</v>
      </c>
      <c r="AC1109" s="16">
        <v>2720.1272067587001</v>
      </c>
    </row>
    <row r="1110" spans="26:29" x14ac:dyDescent="0.35">
      <c r="Z1110" s="4"/>
      <c r="AA1110" s="4"/>
      <c r="AB1110" s="4" t="e">
        <f ca="1">_xll.ciqfunctions.udf.CIQ("^SPX", "IQ_PRICEDATE", "5/18/2018")</f>
        <v>#NAME?</v>
      </c>
      <c r="AC1110" s="16">
        <v>2712.9747135605999</v>
      </c>
    </row>
    <row r="1111" spans="26:29" x14ac:dyDescent="0.35">
      <c r="Z1111" s="4"/>
      <c r="AA1111" s="4"/>
      <c r="AB1111" s="4" t="e">
        <f ca="1">_xll.ciqfunctions.udf.CIQ("^SPX", "IQ_PRICEDATE", "5/21/2018")</f>
        <v>#NAME?</v>
      </c>
      <c r="AC1111" s="16">
        <v>2733.0108196046999</v>
      </c>
    </row>
    <row r="1112" spans="26:29" x14ac:dyDescent="0.35">
      <c r="Z1112" s="4"/>
      <c r="AA1112" s="4"/>
      <c r="AB1112" s="4" t="e">
        <f ca="1">_xll.ciqfunctions.udf.CIQ("^SPX", "IQ_PRICEDATE", "5/22/2018")</f>
        <v>#NAME?</v>
      </c>
      <c r="AC1112" s="16">
        <v>2724.4440411118999</v>
      </c>
    </row>
    <row r="1113" spans="26:29" x14ac:dyDescent="0.35">
      <c r="Z1113" s="4"/>
      <c r="AA1113" s="4"/>
      <c r="AB1113" s="4" t="e">
        <f ca="1">_xll.ciqfunctions.udf.CIQ("^SPX", "IQ_PRICEDATE", "5/23/2018")</f>
        <v>#NAME?</v>
      </c>
      <c r="AC1113" s="16">
        <v>2733.2892688342999</v>
      </c>
    </row>
    <row r="1114" spans="26:29" x14ac:dyDescent="0.35">
      <c r="Z1114" s="4"/>
      <c r="AA1114" s="4"/>
      <c r="AB1114" s="4" t="e">
        <f ca="1">_xll.ciqfunctions.udf.CIQ("^SPX", "IQ_PRICEDATE", "5/24/2018")</f>
        <v>#NAME?</v>
      </c>
      <c r="AC1114" s="16">
        <v>2727.7631947084001</v>
      </c>
    </row>
    <row r="1115" spans="26:29" x14ac:dyDescent="0.35">
      <c r="Z1115" s="4"/>
      <c r="AA1115" s="4"/>
      <c r="AB1115" s="4" t="e">
        <f ca="1">_xll.ciqfunctions.udf.CIQ("^SPX", "IQ_PRICEDATE", "5/25/2018")</f>
        <v>#NAME?</v>
      </c>
      <c r="AC1115" s="16">
        <v>2721.3279562726002</v>
      </c>
    </row>
    <row r="1116" spans="26:29" x14ac:dyDescent="0.35">
      <c r="Z1116" s="4"/>
      <c r="AA1116" s="4"/>
      <c r="AB1116" s="4" t="e">
        <f ca="1">_xll.ciqfunctions.udf.CIQ("^SPX", "IQ_PRICEDATE", "5/29/2018")</f>
        <v>#NAME?</v>
      </c>
      <c r="AC1116" s="16">
        <v>2689.8572489476001</v>
      </c>
    </row>
    <row r="1117" spans="26:29" x14ac:dyDescent="0.35">
      <c r="Z1117" s="4"/>
      <c r="AA1117" s="4"/>
      <c r="AB1117" s="4" t="e">
        <f ca="1">_xll.ciqfunctions.udf.CIQ("^SPX", "IQ_PRICEDATE", "5/30/2018")</f>
        <v>#NAME?</v>
      </c>
      <c r="AC1117" s="16">
        <v>2724.0099112322</v>
      </c>
    </row>
    <row r="1118" spans="26:29" x14ac:dyDescent="0.35">
      <c r="Z1118" s="4"/>
      <c r="AA1118" s="4"/>
      <c r="AB1118" s="4" t="e">
        <f ca="1">_xll.ciqfunctions.udf.CIQ("^SPX", "IQ_PRICEDATE", "5/31/2018")</f>
        <v>#NAME?</v>
      </c>
      <c r="AC1118" s="16">
        <v>2705.2747516248</v>
      </c>
    </row>
    <row r="1119" spans="26:29" x14ac:dyDescent="0.35">
      <c r="Z1119" s="4"/>
      <c r="AA1119" s="4"/>
      <c r="AB1119" s="4" t="e">
        <f ca="1">_xll.ciqfunctions.udf.CIQ("^SPX", "IQ_PRICEDATE", "6/1/2018")</f>
        <v>#NAME?</v>
      </c>
      <c r="AC1119" s="16">
        <v>2734.6188550041002</v>
      </c>
    </row>
    <row r="1120" spans="26:29" x14ac:dyDescent="0.35">
      <c r="Z1120" s="4"/>
      <c r="AA1120" s="4"/>
      <c r="AB1120" s="4" t="e">
        <f ca="1">_xll.ciqfunctions.udf.CIQ("^SPX", "IQ_PRICEDATE", "6/4/2018")</f>
        <v>#NAME?</v>
      </c>
      <c r="AC1120" s="16">
        <v>2746.8711136748998</v>
      </c>
    </row>
    <row r="1121" spans="26:29" x14ac:dyDescent="0.35">
      <c r="Z1121" s="4"/>
      <c r="AA1121" s="4"/>
      <c r="AB1121" s="4" t="e">
        <f ca="1">_xll.ciqfunctions.udf.CIQ("^SPX", "IQ_PRICEDATE", "6/5/2018")</f>
        <v>#NAME?</v>
      </c>
      <c r="AC1121" s="16">
        <v>2748.7951858796</v>
      </c>
    </row>
    <row r="1122" spans="26:29" x14ac:dyDescent="0.35">
      <c r="Z1122" s="4"/>
      <c r="AA1122" s="4"/>
      <c r="AB1122" s="4" t="e">
        <f ca="1">_xll.ciqfunctions.udf.CIQ("^SPX", "IQ_PRICEDATE", "6/6/2018")</f>
        <v>#NAME?</v>
      </c>
      <c r="AC1122" s="16">
        <v>2772.3457853834002</v>
      </c>
    </row>
    <row r="1123" spans="26:29" x14ac:dyDescent="0.35">
      <c r="Z1123" s="4"/>
      <c r="AA1123" s="4"/>
      <c r="AB1123" s="4" t="e">
        <f ca="1">_xll.ciqfunctions.udf.CIQ("^SPX", "IQ_PRICEDATE", "6/7/2018")</f>
        <v>#NAME?</v>
      </c>
      <c r="AC1123" s="16">
        <v>2770.3720468904999</v>
      </c>
    </row>
    <row r="1124" spans="26:29" x14ac:dyDescent="0.35">
      <c r="Z1124" s="4"/>
      <c r="AA1124" s="4"/>
      <c r="AB1124" s="4" t="e">
        <f ca="1">_xll.ciqfunctions.udf.CIQ("^SPX", "IQ_PRICEDATE", "6/8/2018")</f>
        <v>#NAME?</v>
      </c>
      <c r="AC1124" s="16">
        <v>2779.0285906191002</v>
      </c>
    </row>
    <row r="1125" spans="26:29" x14ac:dyDescent="0.35">
      <c r="Z1125" s="4"/>
      <c r="AA1125" s="4"/>
      <c r="AB1125" s="4" t="e">
        <f ca="1">_xll.ciqfunctions.udf.CIQ("^SPX", "IQ_PRICEDATE", "6/11/2018")</f>
        <v>#NAME?</v>
      </c>
      <c r="AC1125" s="16">
        <v>2782.0048600648001</v>
      </c>
    </row>
    <row r="1126" spans="26:29" x14ac:dyDescent="0.35">
      <c r="Z1126" s="4"/>
      <c r="AA1126" s="4"/>
      <c r="AB1126" s="4" t="e">
        <f ca="1">_xll.ciqfunctions.udf.CIQ("^SPX", "IQ_PRICEDATE", "6/12/2018")</f>
        <v>#NAME?</v>
      </c>
      <c r="AC1126" s="16">
        <v>2786.8524730265999</v>
      </c>
    </row>
    <row r="1127" spans="26:29" x14ac:dyDescent="0.35">
      <c r="Z1127" s="4"/>
      <c r="AA1127" s="4"/>
      <c r="AB1127" s="4" t="e">
        <f ca="1">_xll.ciqfunctions.udf.CIQ("^SPX", "IQ_PRICEDATE", "6/13/2018")</f>
        <v>#NAME?</v>
      </c>
      <c r="AC1127" s="16">
        <v>2775.6267511489</v>
      </c>
    </row>
    <row r="1128" spans="26:29" x14ac:dyDescent="0.35">
      <c r="Z1128" s="4"/>
      <c r="AA1128" s="4"/>
      <c r="AB1128" s="4" t="e">
        <f ca="1">_xll.ciqfunctions.udf.CIQ("^SPX", "IQ_PRICEDATE", "6/14/2018")</f>
        <v>#NAME?</v>
      </c>
      <c r="AC1128" s="16">
        <v>2782.4894063784</v>
      </c>
    </row>
    <row r="1129" spans="26:29" x14ac:dyDescent="0.35">
      <c r="Z1129" s="4"/>
      <c r="AA1129" s="4"/>
      <c r="AB1129" s="4" t="e">
        <f ca="1">_xll.ciqfunctions.udf.CIQ("^SPX", "IQ_PRICEDATE", "6/15/2018")</f>
        <v>#NAME?</v>
      </c>
      <c r="AC1129" s="16">
        <v>2779.6630272875</v>
      </c>
    </row>
    <row r="1130" spans="26:29" x14ac:dyDescent="0.35">
      <c r="Z1130" s="4"/>
      <c r="AA1130" s="4"/>
      <c r="AB1130" s="4" t="e">
        <f ca="1">_xll.ciqfunctions.udf.CIQ("^SPX", "IQ_PRICEDATE", "6/18/2018")</f>
        <v>#NAME?</v>
      </c>
      <c r="AC1130" s="16">
        <v>2773.7450408555001</v>
      </c>
    </row>
    <row r="1131" spans="26:29" x14ac:dyDescent="0.35">
      <c r="Z1131" s="4"/>
      <c r="AA1131" s="4"/>
      <c r="AB1131" s="4" t="e">
        <f ca="1">_xll.ciqfunctions.udf.CIQ("^SPX", "IQ_PRICEDATE", "6/19/2018")</f>
        <v>#NAME?</v>
      </c>
      <c r="AC1131" s="16">
        <v>2762.5946469127998</v>
      </c>
    </row>
    <row r="1132" spans="26:29" x14ac:dyDescent="0.35">
      <c r="Z1132" s="4"/>
      <c r="AA1132" s="4"/>
      <c r="AB1132" s="4" t="e">
        <f ca="1">_xll.ciqfunctions.udf.CIQ("^SPX", "IQ_PRICEDATE", "6/20/2018")</f>
        <v>#NAME?</v>
      </c>
      <c r="AC1132" s="16">
        <v>2767.3179049554001</v>
      </c>
    </row>
    <row r="1133" spans="26:29" x14ac:dyDescent="0.35">
      <c r="Z1133" s="4"/>
      <c r="AA1133" s="4"/>
      <c r="AB1133" s="4" t="e">
        <f ca="1">_xll.ciqfunctions.udf.CIQ("^SPX", "IQ_PRICEDATE", "6/21/2018")</f>
        <v>#NAME?</v>
      </c>
      <c r="AC1133" s="16">
        <v>2749.7579690309999</v>
      </c>
    </row>
    <row r="1134" spans="26:29" x14ac:dyDescent="0.35">
      <c r="Z1134" s="4"/>
      <c r="AA1134" s="4"/>
      <c r="AB1134" s="4" t="e">
        <f ca="1">_xll.ciqfunctions.udf.CIQ("^SPX", "IQ_PRICEDATE", "6/22/2018")</f>
        <v>#NAME?</v>
      </c>
      <c r="AC1134" s="16">
        <v>2754.8769951096001</v>
      </c>
    </row>
    <row r="1135" spans="26:29" x14ac:dyDescent="0.35">
      <c r="Z1135" s="4"/>
      <c r="AA1135" s="4"/>
      <c r="AB1135" s="4" t="e">
        <f ca="1">_xll.ciqfunctions.udf.CIQ("^SPX", "IQ_PRICEDATE", "6/25/2018")</f>
        <v>#NAME?</v>
      </c>
      <c r="AC1135" s="16">
        <v>2717.0742184511</v>
      </c>
    </row>
    <row r="1136" spans="26:29" x14ac:dyDescent="0.35">
      <c r="Z1136" s="4"/>
      <c r="AA1136" s="4"/>
      <c r="AB1136" s="4" t="e">
        <f ca="1">_xll.ciqfunctions.udf.CIQ("^SPX", "IQ_PRICEDATE", "6/26/2018")</f>
        <v>#NAME?</v>
      </c>
      <c r="AC1136" s="16">
        <v>2723.0588856282002</v>
      </c>
    </row>
    <row r="1137" spans="26:29" x14ac:dyDescent="0.35">
      <c r="Z1137" s="4"/>
      <c r="AA1137" s="4"/>
      <c r="AB1137" s="4" t="e">
        <f ca="1">_xll.ciqfunctions.udf.CIQ("^SPX", "IQ_PRICEDATE", "6/27/2018")</f>
        <v>#NAME?</v>
      </c>
      <c r="AC1137" s="16">
        <v>2699.6262029689001</v>
      </c>
    </row>
    <row r="1138" spans="26:29" x14ac:dyDescent="0.35">
      <c r="Z1138" s="4"/>
      <c r="AA1138" s="4"/>
      <c r="AB1138" s="4" t="e">
        <f ca="1">_xll.ciqfunctions.udf.CIQ("^SPX", "IQ_PRICEDATE", "6/28/2018")</f>
        <v>#NAME?</v>
      </c>
      <c r="AC1138" s="16">
        <v>2716.3099359139001</v>
      </c>
    </row>
    <row r="1139" spans="26:29" x14ac:dyDescent="0.35">
      <c r="Z1139" s="4"/>
      <c r="AA1139" s="4"/>
      <c r="AB1139" s="4" t="e">
        <f ca="1">_xll.ciqfunctions.udf.CIQ("^SPX", "IQ_PRICEDATE", "6/29/2018")</f>
        <v>#NAME?</v>
      </c>
      <c r="AC1139" s="16">
        <v>2718.3734650222</v>
      </c>
    </row>
    <row r="1140" spans="26:29" x14ac:dyDescent="0.35">
      <c r="Z1140" s="4"/>
      <c r="AA1140" s="4"/>
      <c r="AB1140" s="4" t="e">
        <f ca="1">_xll.ciqfunctions.udf.CIQ("^SPX", "IQ_PRICEDATE", "7/2/2018")</f>
        <v>#NAME?</v>
      </c>
      <c r="AC1140" s="16">
        <v>2726.7137643404999</v>
      </c>
    </row>
    <row r="1141" spans="26:29" x14ac:dyDescent="0.35">
      <c r="Z1141" s="4"/>
      <c r="AA1141" s="4"/>
      <c r="AB1141" s="4" t="e">
        <f ca="1">_xll.ciqfunctions.udf.CIQ("^SPX", "IQ_PRICEDATE", "7/3/2018")</f>
        <v>#NAME?</v>
      </c>
      <c r="AC1141" s="16">
        <v>2713.220886397</v>
      </c>
    </row>
    <row r="1142" spans="26:29" x14ac:dyDescent="0.35">
      <c r="Z1142" s="4"/>
      <c r="AA1142" s="4"/>
      <c r="AB1142" s="4" t="e">
        <f ca="1">_xll.ciqfunctions.udf.CIQ("^SPX", "IQ_PRICEDATE", "7/5/2018")</f>
        <v>#NAME?</v>
      </c>
      <c r="AC1142" s="16">
        <v>2736.612571228</v>
      </c>
    </row>
    <row r="1143" spans="26:29" x14ac:dyDescent="0.35">
      <c r="Z1143" s="4"/>
      <c r="AA1143" s="4"/>
      <c r="AB1143" s="4" t="e">
        <f ca="1">_xll.ciqfunctions.udf.CIQ("^SPX", "IQ_PRICEDATE", "7/6/2018")</f>
        <v>#NAME?</v>
      </c>
      <c r="AC1143" s="16">
        <v>2759.8219158252</v>
      </c>
    </row>
    <row r="1144" spans="26:29" x14ac:dyDescent="0.35">
      <c r="Z1144" s="4"/>
      <c r="AA1144" s="4"/>
      <c r="AB1144" s="4" t="e">
        <f ca="1">_xll.ciqfunctions.udf.CIQ("^SPX", "IQ_PRICEDATE", "7/9/2018")</f>
        <v>#NAME?</v>
      </c>
      <c r="AC1144" s="16">
        <v>2784.1732403668998</v>
      </c>
    </row>
    <row r="1145" spans="26:29" x14ac:dyDescent="0.35">
      <c r="Z1145" s="4"/>
      <c r="AA1145" s="4"/>
      <c r="AB1145" s="4" t="e">
        <f ca="1">_xll.ciqfunctions.udf.CIQ("^SPX", "IQ_PRICEDATE", "7/10/2018")</f>
        <v>#NAME?</v>
      </c>
      <c r="AC1145" s="16">
        <v>2793.8391511653999</v>
      </c>
    </row>
    <row r="1146" spans="26:29" x14ac:dyDescent="0.35">
      <c r="Z1146" s="4"/>
      <c r="AA1146" s="4"/>
      <c r="AB1146" s="4" t="e">
        <f ca="1">_xll.ciqfunctions.udf.CIQ("^SPX", "IQ_PRICEDATE", "7/11/2018")</f>
        <v>#NAME?</v>
      </c>
      <c r="AC1146" s="16">
        <v>2774.0174783796001</v>
      </c>
    </row>
    <row r="1147" spans="26:29" x14ac:dyDescent="0.35">
      <c r="Z1147" s="4"/>
      <c r="AA1147" s="4"/>
      <c r="AB1147" s="4" t="e">
        <f ca="1">_xll.ciqfunctions.udf.CIQ("^SPX", "IQ_PRICEDATE", "7/12/2018")</f>
        <v>#NAME?</v>
      </c>
      <c r="AC1147" s="16">
        <v>2798.2869223869002</v>
      </c>
    </row>
    <row r="1148" spans="26:29" x14ac:dyDescent="0.35">
      <c r="Z1148" s="4"/>
      <c r="AA1148" s="4"/>
      <c r="AB1148" s="4" t="e">
        <f ca="1">_xll.ciqfunctions.udf.CIQ("^SPX", "IQ_PRICEDATE", "7/13/2018")</f>
        <v>#NAME?</v>
      </c>
      <c r="AC1148" s="16">
        <v>2801.3113726616998</v>
      </c>
    </row>
    <row r="1149" spans="26:29" x14ac:dyDescent="0.35">
      <c r="Z1149" s="4"/>
      <c r="AA1149" s="4"/>
      <c r="AB1149" s="4" t="e">
        <f ca="1">_xll.ciqfunctions.udf.CIQ("^SPX", "IQ_PRICEDATE", "7/16/2018")</f>
        <v>#NAME?</v>
      </c>
      <c r="AC1149" s="16">
        <v>2798.4346041356998</v>
      </c>
    </row>
    <row r="1150" spans="26:29" x14ac:dyDescent="0.35">
      <c r="Z1150" s="4"/>
      <c r="AA1150" s="4"/>
      <c r="AB1150" s="4" t="e">
        <f ca="1">_xll.ciqfunctions.udf.CIQ("^SPX", "IQ_PRICEDATE", "7/17/2018")</f>
        <v>#NAME?</v>
      </c>
      <c r="AC1150" s="16">
        <v>2809.5516223514001</v>
      </c>
    </row>
    <row r="1151" spans="26:29" x14ac:dyDescent="0.35">
      <c r="Z1151" s="4"/>
      <c r="AA1151" s="4"/>
      <c r="AB1151" s="4" t="e">
        <f ca="1">_xll.ciqfunctions.udf.CIQ("^SPX", "IQ_PRICEDATE", "7/18/2018")</f>
        <v>#NAME?</v>
      </c>
      <c r="AC1151" s="16">
        <v>2815.6197843404002</v>
      </c>
    </row>
    <row r="1152" spans="26:29" x14ac:dyDescent="0.35">
      <c r="Z1152" s="4"/>
      <c r="AA1152" s="4"/>
      <c r="AB1152" s="4" t="e">
        <f ca="1">_xll.ciqfunctions.udf.CIQ("^SPX", "IQ_PRICEDATE", "7/19/2018")</f>
        <v>#NAME?</v>
      </c>
      <c r="AC1152" s="16">
        <v>2804.4934139565999</v>
      </c>
    </row>
    <row r="1153" spans="26:29" x14ac:dyDescent="0.35">
      <c r="Z1153" s="4"/>
      <c r="AA1153" s="4"/>
      <c r="AB1153" s="4" t="e">
        <f ca="1">_xll.ciqfunctions.udf.CIQ("^SPX", "IQ_PRICEDATE", "7/20/2018")</f>
        <v>#NAME?</v>
      </c>
      <c r="AC1153" s="16">
        <v>2801.8280880917</v>
      </c>
    </row>
    <row r="1154" spans="26:29" x14ac:dyDescent="0.35">
      <c r="Z1154" s="4"/>
      <c r="AA1154" s="4"/>
      <c r="AB1154" s="4" t="e">
        <f ca="1">_xll.ciqfunctions.udf.CIQ("^SPX", "IQ_PRICEDATE", "7/23/2018")</f>
        <v>#NAME?</v>
      </c>
      <c r="AC1154" s="16">
        <v>2806.9828988651002</v>
      </c>
    </row>
    <row r="1155" spans="26:29" x14ac:dyDescent="0.35">
      <c r="Z1155" s="4"/>
      <c r="AA1155" s="4"/>
      <c r="AB1155" s="4" t="e">
        <f ca="1">_xll.ciqfunctions.udf.CIQ("^SPX", "IQ_PRICEDATE", "7/24/2018")</f>
        <v>#NAME?</v>
      </c>
      <c r="AC1155" s="16">
        <v>2820.4041297202998</v>
      </c>
    </row>
    <row r="1156" spans="26:29" x14ac:dyDescent="0.35">
      <c r="Z1156" s="4"/>
      <c r="AA1156" s="4"/>
      <c r="AB1156" s="4" t="e">
        <f ca="1">_xll.ciqfunctions.udf.CIQ("^SPX", "IQ_PRICEDATE", "7/25/2018")</f>
        <v>#NAME?</v>
      </c>
      <c r="AC1156" s="16">
        <v>2846.0670433640998</v>
      </c>
    </row>
    <row r="1157" spans="26:29" x14ac:dyDescent="0.35">
      <c r="Z1157" s="4"/>
      <c r="AA1157" s="4"/>
      <c r="AB1157" s="4" t="e">
        <f ca="1">_xll.ciqfunctions.udf.CIQ("^SPX", "IQ_PRICEDATE", "7/26/2018")</f>
        <v>#NAME?</v>
      </c>
      <c r="AC1157" s="16">
        <v>2837.4399856340001</v>
      </c>
    </row>
    <row r="1158" spans="26:29" x14ac:dyDescent="0.35">
      <c r="Z1158" s="4"/>
      <c r="AA1158" s="4"/>
      <c r="AB1158" s="4" t="e">
        <f ca="1">_xll.ciqfunctions.udf.CIQ("^SPX", "IQ_PRICEDATE", "7/27/2018")</f>
        <v>#NAME?</v>
      </c>
      <c r="AC1158" s="16">
        <v>2818.8176262962002</v>
      </c>
    </row>
    <row r="1159" spans="26:29" x14ac:dyDescent="0.35">
      <c r="Z1159" s="4"/>
      <c r="AA1159" s="4"/>
      <c r="AB1159" s="4" t="e">
        <f ca="1">_xll.ciqfunctions.udf.CIQ("^SPX", "IQ_PRICEDATE", "7/30/2018")</f>
        <v>#NAME?</v>
      </c>
      <c r="AC1159" s="16">
        <v>2802.601445843</v>
      </c>
    </row>
    <row r="1160" spans="26:29" x14ac:dyDescent="0.35">
      <c r="Z1160" s="4"/>
      <c r="AA1160" s="4"/>
      <c r="AB1160" s="4" t="e">
        <f ca="1">_xll.ciqfunctions.udf.CIQ("^SPX", "IQ_PRICEDATE", "7/31/2018")</f>
        <v>#NAME?</v>
      </c>
      <c r="AC1160" s="16">
        <v>2816.2886310910999</v>
      </c>
    </row>
    <row r="1161" spans="26:29" x14ac:dyDescent="0.35">
      <c r="Z1161" s="4"/>
      <c r="AA1161" s="4"/>
      <c r="AB1161" s="4" t="e">
        <f ca="1">_xll.ciqfunctions.udf.CIQ("^SPX", "IQ_PRICEDATE", "8/1/2018")</f>
        <v>#NAME?</v>
      </c>
      <c r="AC1161" s="16">
        <v>2813.3649089529999</v>
      </c>
    </row>
    <row r="1162" spans="26:29" x14ac:dyDescent="0.35">
      <c r="Z1162" s="4"/>
      <c r="AA1162" s="4"/>
      <c r="AB1162" s="4" t="e">
        <f ca="1">_xll.ciqfunctions.udf.CIQ("^SPX", "IQ_PRICEDATE", "8/2/2018")</f>
        <v>#NAME?</v>
      </c>
      <c r="AC1162" s="16">
        <v>2827.2182583862</v>
      </c>
    </row>
    <row r="1163" spans="26:29" x14ac:dyDescent="0.35">
      <c r="Z1163" s="4"/>
      <c r="AA1163" s="4"/>
      <c r="AB1163" s="4" t="e">
        <f ca="1">_xll.ciqfunctions.udf.CIQ("^SPX", "IQ_PRICEDATE", "8/3/2018")</f>
        <v>#NAME?</v>
      </c>
      <c r="AC1163" s="16">
        <v>2840.3535543807998</v>
      </c>
    </row>
    <row r="1164" spans="26:29" x14ac:dyDescent="0.35">
      <c r="Z1164" s="4"/>
      <c r="AA1164" s="4"/>
      <c r="AB1164" s="4" t="e">
        <f ca="1">_xll.ciqfunctions.udf.CIQ("^SPX", "IQ_PRICEDATE", "8/6/2018")</f>
        <v>#NAME?</v>
      </c>
      <c r="AC1164" s="16">
        <v>2850.3965780045</v>
      </c>
    </row>
    <row r="1165" spans="26:29" x14ac:dyDescent="0.35">
      <c r="Z1165" s="4"/>
      <c r="AA1165" s="4"/>
      <c r="AB1165" s="4" t="e">
        <f ca="1">_xll.ciqfunctions.udf.CIQ("^SPX", "IQ_PRICEDATE", "8/7/2018")</f>
        <v>#NAME?</v>
      </c>
      <c r="AC1165" s="16">
        <v>2858.4515094494</v>
      </c>
    </row>
    <row r="1166" spans="26:29" x14ac:dyDescent="0.35">
      <c r="Z1166" s="4"/>
      <c r="AA1166" s="4"/>
      <c r="AB1166" s="4" t="e">
        <f ca="1">_xll.ciqfunctions.udf.CIQ("^SPX", "IQ_PRICEDATE", "8/8/2018")</f>
        <v>#NAME?</v>
      </c>
      <c r="AC1166" s="16">
        <v>2857.7044950281002</v>
      </c>
    </row>
    <row r="1167" spans="26:29" x14ac:dyDescent="0.35">
      <c r="Z1167" s="4"/>
      <c r="AA1167" s="4"/>
      <c r="AB1167" s="4" t="e">
        <f ca="1">_xll.ciqfunctions.udf.CIQ("^SPX", "IQ_PRICEDATE", "8/9/2018")</f>
        <v>#NAME?</v>
      </c>
      <c r="AC1167" s="16">
        <v>2853.5839477989998</v>
      </c>
    </row>
    <row r="1168" spans="26:29" x14ac:dyDescent="0.35">
      <c r="Z1168" s="4"/>
      <c r="AA1168" s="4"/>
      <c r="AB1168" s="4" t="e">
        <f ca="1">_xll.ciqfunctions.udf.CIQ("^SPX", "IQ_PRICEDATE", "8/10/2018")</f>
        <v>#NAME?</v>
      </c>
      <c r="AC1168" s="16">
        <v>2833.2836316821999</v>
      </c>
    </row>
    <row r="1169" spans="26:29" x14ac:dyDescent="0.35">
      <c r="Z1169" s="4"/>
      <c r="AA1169" s="4"/>
      <c r="AB1169" s="4" t="e">
        <f ca="1">_xll.ciqfunctions.udf.CIQ("^SPX", "IQ_PRICEDATE", "8/13/2018")</f>
        <v>#NAME?</v>
      </c>
      <c r="AC1169" s="16">
        <v>2821.9282342060001</v>
      </c>
    </row>
    <row r="1170" spans="26:29" x14ac:dyDescent="0.35">
      <c r="Z1170" s="4"/>
      <c r="AA1170" s="4"/>
      <c r="AB1170" s="4" t="e">
        <f ca="1">_xll.ciqfunctions.udf.CIQ("^SPX", "IQ_PRICEDATE", "8/14/2018")</f>
        <v>#NAME?</v>
      </c>
      <c r="AC1170" s="16">
        <v>2839.955390868</v>
      </c>
    </row>
    <row r="1171" spans="26:29" x14ac:dyDescent="0.35">
      <c r="Z1171" s="4"/>
      <c r="AA1171" s="4"/>
      <c r="AB1171" s="4" t="e">
        <f ca="1">_xll.ciqfunctions.udf.CIQ("^SPX", "IQ_PRICEDATE", "8/15/2018")</f>
        <v>#NAME?</v>
      </c>
      <c r="AC1171" s="16">
        <v>2818.3730198970002</v>
      </c>
    </row>
    <row r="1172" spans="26:29" x14ac:dyDescent="0.35">
      <c r="Z1172" s="4"/>
      <c r="AA1172" s="4"/>
      <c r="AB1172" s="4" t="e">
        <f ca="1">_xll.ciqfunctions.udf.CIQ("^SPX", "IQ_PRICEDATE", "8/16/2018")</f>
        <v>#NAME?</v>
      </c>
      <c r="AC1172" s="16">
        <v>2840.6879724707001</v>
      </c>
    </row>
    <row r="1173" spans="26:29" x14ac:dyDescent="0.35">
      <c r="Z1173" s="4"/>
      <c r="AA1173" s="4"/>
      <c r="AB1173" s="4" t="e">
        <f ca="1">_xll.ciqfunctions.udf.CIQ("^SPX", "IQ_PRICEDATE", "8/17/2018")</f>
        <v>#NAME?</v>
      </c>
      <c r="AC1173" s="16">
        <v>2850.1316116040998</v>
      </c>
    </row>
    <row r="1174" spans="26:29" x14ac:dyDescent="0.35">
      <c r="Z1174" s="4"/>
      <c r="AA1174" s="4"/>
      <c r="AB1174" s="4" t="e">
        <f ca="1">_xll.ciqfunctions.udf.CIQ("^SPX", "IQ_PRICEDATE", "8/20/2018")</f>
        <v>#NAME?</v>
      </c>
      <c r="AC1174" s="16">
        <v>2857.0540072342001</v>
      </c>
    </row>
    <row r="1175" spans="26:29" x14ac:dyDescent="0.35">
      <c r="Z1175" s="4"/>
      <c r="AA1175" s="4"/>
      <c r="AB1175" s="4" t="e">
        <f ca="1">_xll.ciqfunctions.udf.CIQ("^SPX", "IQ_PRICEDATE", "8/21/2018")</f>
        <v>#NAME?</v>
      </c>
      <c r="AC1175" s="16">
        <v>2862.9569880949002</v>
      </c>
    </row>
    <row r="1176" spans="26:29" x14ac:dyDescent="0.35">
      <c r="Z1176" s="4"/>
      <c r="AA1176" s="4"/>
      <c r="AB1176" s="4" t="e">
        <f ca="1">_xll.ciqfunctions.udf.CIQ("^SPX", "IQ_PRICEDATE", "8/22/2018")</f>
        <v>#NAME?</v>
      </c>
      <c r="AC1176" s="16">
        <v>2861.8246299142002</v>
      </c>
    </row>
    <row r="1177" spans="26:29" x14ac:dyDescent="0.35">
      <c r="Z1177" s="4"/>
      <c r="AA1177" s="4"/>
      <c r="AB1177" s="4" t="e">
        <f ca="1">_xll.ciqfunctions.udf.CIQ("^SPX", "IQ_PRICEDATE", "8/23/2018")</f>
        <v>#NAME?</v>
      </c>
      <c r="AC1177" s="16">
        <v>2856.9805412893002</v>
      </c>
    </row>
    <row r="1178" spans="26:29" x14ac:dyDescent="0.35">
      <c r="Z1178" s="4"/>
      <c r="AA1178" s="4"/>
      <c r="AB1178" s="4" t="e">
        <f ca="1">_xll.ciqfunctions.udf.CIQ("^SPX", "IQ_PRICEDATE", "8/24/2018")</f>
        <v>#NAME?</v>
      </c>
      <c r="AC1178" s="16">
        <v>2874.6891438910998</v>
      </c>
    </row>
    <row r="1179" spans="26:29" x14ac:dyDescent="0.35">
      <c r="Z1179" s="4"/>
      <c r="AA1179" s="4"/>
      <c r="AB1179" s="4" t="e">
        <f ca="1">_xll.ciqfunctions.udf.CIQ("^SPX", "IQ_PRICEDATE", "8/27/2018")</f>
        <v>#NAME?</v>
      </c>
      <c r="AC1179" s="16">
        <v>2896.7356353035002</v>
      </c>
    </row>
    <row r="1180" spans="26:29" x14ac:dyDescent="0.35">
      <c r="Z1180" s="4"/>
      <c r="AA1180" s="4"/>
      <c r="AB1180" s="4" t="e">
        <f ca="1">_xll.ciqfunctions.udf.CIQ("^SPX", "IQ_PRICEDATE", "8/28/2018")</f>
        <v>#NAME?</v>
      </c>
      <c r="AC1180" s="16">
        <v>2897.5220448636001</v>
      </c>
    </row>
    <row r="1181" spans="26:29" x14ac:dyDescent="0.35">
      <c r="Z1181" s="4"/>
      <c r="AA1181" s="4"/>
      <c r="AB1181" s="4" t="e">
        <f ca="1">_xll.ciqfunctions.udf.CIQ("^SPX", "IQ_PRICEDATE", "8/29/2018")</f>
        <v>#NAME?</v>
      </c>
      <c r="AC1181" s="16">
        <v>2914.0413654341</v>
      </c>
    </row>
    <row r="1182" spans="26:29" x14ac:dyDescent="0.35">
      <c r="Z1182" s="4"/>
      <c r="AA1182" s="4"/>
      <c r="AB1182" s="4" t="e">
        <f ca="1">_xll.ciqfunctions.udf.CIQ("^SPX", "IQ_PRICEDATE", "8/30/2018")</f>
        <v>#NAME?</v>
      </c>
      <c r="AC1182" s="16">
        <v>2901.1265962030002</v>
      </c>
    </row>
    <row r="1183" spans="26:29" x14ac:dyDescent="0.35">
      <c r="Z1183" s="4"/>
      <c r="AA1183" s="4"/>
      <c r="AB1183" s="4" t="e">
        <f ca="1">_xll.ciqfunctions.udf.CIQ("^SPX", "IQ_PRICEDATE", "8/31/2018")</f>
        <v>#NAME?</v>
      </c>
      <c r="AC1183" s="16">
        <v>2901.5176770405001</v>
      </c>
    </row>
    <row r="1184" spans="26:29" x14ac:dyDescent="0.35">
      <c r="Z1184" s="4"/>
      <c r="AA1184" s="4"/>
      <c r="AB1184" s="4" t="e">
        <f ca="1">_xll.ciqfunctions.udf.CIQ("^SPX", "IQ_PRICEDATE", "9/4/2018")</f>
        <v>#NAME?</v>
      </c>
      <c r="AC1184" s="16">
        <v>2896.7232861861999</v>
      </c>
    </row>
    <row r="1185" spans="26:29" x14ac:dyDescent="0.35">
      <c r="Z1185" s="4"/>
      <c r="AA1185" s="4"/>
      <c r="AB1185" s="4" t="e">
        <f ca="1">_xll.ciqfunctions.udf.CIQ("^SPX", "IQ_PRICEDATE", "9/5/2018")</f>
        <v>#NAME?</v>
      </c>
      <c r="AC1185" s="16">
        <v>2888.6017988977001</v>
      </c>
    </row>
    <row r="1186" spans="26:29" x14ac:dyDescent="0.35">
      <c r="Z1186" s="4"/>
      <c r="AA1186" s="4"/>
      <c r="AB1186" s="4" t="e">
        <f ca="1">_xll.ciqfunctions.udf.CIQ("^SPX", "IQ_PRICEDATE", "9/6/2018")</f>
        <v>#NAME?</v>
      </c>
      <c r="AC1186" s="16">
        <v>2878.0524329330001</v>
      </c>
    </row>
    <row r="1187" spans="26:29" x14ac:dyDescent="0.35">
      <c r="Z1187" s="4"/>
      <c r="AA1187" s="4"/>
      <c r="AB1187" s="4" t="e">
        <f ca="1">_xll.ciqfunctions.udf.CIQ("^SPX", "IQ_PRICEDATE", "9/7/2018")</f>
        <v>#NAME?</v>
      </c>
      <c r="AC1187" s="16">
        <v>2871.6815283021001</v>
      </c>
    </row>
    <row r="1188" spans="26:29" x14ac:dyDescent="0.35">
      <c r="Z1188" s="4"/>
      <c r="AA1188" s="4"/>
      <c r="AB1188" s="4" t="e">
        <f ca="1">_xll.ciqfunctions.udf.CIQ("^SPX", "IQ_PRICEDATE", "9/10/2018")</f>
        <v>#NAME?</v>
      </c>
      <c r="AC1188" s="16">
        <v>2877.1261459303</v>
      </c>
    </row>
    <row r="1189" spans="26:29" x14ac:dyDescent="0.35">
      <c r="Z1189" s="4"/>
      <c r="AA1189" s="4"/>
      <c r="AB1189" s="4" t="e">
        <f ca="1">_xll.ciqfunctions.udf.CIQ("^SPX", "IQ_PRICEDATE", "9/11/2018")</f>
        <v>#NAME?</v>
      </c>
      <c r="AC1189" s="16">
        <v>2887.8937973604002</v>
      </c>
    </row>
    <row r="1190" spans="26:29" x14ac:dyDescent="0.35">
      <c r="Z1190" s="4"/>
      <c r="AA1190" s="4"/>
      <c r="AB1190" s="4" t="e">
        <f ca="1">_xll.ciqfunctions.udf.CIQ("^SPX", "IQ_PRICEDATE", "9/12/2018")</f>
        <v>#NAME?</v>
      </c>
      <c r="AC1190" s="16">
        <v>2888.9166550290001</v>
      </c>
    </row>
    <row r="1191" spans="26:29" x14ac:dyDescent="0.35">
      <c r="Z1191" s="4"/>
      <c r="AA1191" s="4"/>
      <c r="AB1191" s="4" t="e">
        <f ca="1">_xll.ciqfunctions.udf.CIQ("^SPX", "IQ_PRICEDATE", "9/13/2018")</f>
        <v>#NAME?</v>
      </c>
      <c r="AC1191" s="16">
        <v>2904.183860264</v>
      </c>
    </row>
    <row r="1192" spans="26:29" x14ac:dyDescent="0.35">
      <c r="Z1192" s="4"/>
      <c r="AA1192" s="4"/>
      <c r="AB1192" s="4" t="e">
        <f ca="1">_xll.ciqfunctions.udf.CIQ("^SPX", "IQ_PRICEDATE", "9/14/2018")</f>
        <v>#NAME?</v>
      </c>
      <c r="AC1192" s="16">
        <v>2904.9753853013999</v>
      </c>
    </row>
    <row r="1193" spans="26:29" x14ac:dyDescent="0.35">
      <c r="Z1193" s="4"/>
      <c r="AA1193" s="4"/>
      <c r="AB1193" s="4" t="e">
        <f ca="1">_xll.ciqfunctions.udf.CIQ("^SPX", "IQ_PRICEDATE", "9/17/2018")</f>
        <v>#NAME?</v>
      </c>
      <c r="AC1193" s="16">
        <v>2888.8011449655</v>
      </c>
    </row>
    <row r="1194" spans="26:29" x14ac:dyDescent="0.35">
      <c r="Z1194" s="4"/>
      <c r="AA1194" s="4"/>
      <c r="AB1194" s="4" t="e">
        <f ca="1">_xll.ciqfunctions.udf.CIQ("^SPX", "IQ_PRICEDATE", "9/18/2018")</f>
        <v>#NAME?</v>
      </c>
      <c r="AC1194" s="16">
        <v>2904.3106462578999</v>
      </c>
    </row>
    <row r="1195" spans="26:29" x14ac:dyDescent="0.35">
      <c r="Z1195" s="4"/>
      <c r="AA1195" s="4"/>
      <c r="AB1195" s="4" t="e">
        <f ca="1">_xll.ciqfunctions.udf.CIQ("^SPX", "IQ_PRICEDATE", "9/19/2018")</f>
        <v>#NAME?</v>
      </c>
      <c r="AC1195" s="16">
        <v>2907.9453942373002</v>
      </c>
    </row>
    <row r="1196" spans="26:29" x14ac:dyDescent="0.35">
      <c r="Z1196" s="4"/>
      <c r="AA1196" s="4"/>
      <c r="AB1196" s="4" t="e">
        <f ca="1">_xll.ciqfunctions.udf.CIQ("^SPX", "IQ_PRICEDATE", "9/20/2018")</f>
        <v>#NAME?</v>
      </c>
      <c r="AC1196" s="16">
        <v>2930.7461520994998</v>
      </c>
    </row>
    <row r="1197" spans="26:29" x14ac:dyDescent="0.35">
      <c r="Z1197" s="4"/>
      <c r="AA1197" s="4"/>
      <c r="AB1197" s="4" t="e">
        <f ca="1">_xll.ciqfunctions.udf.CIQ("^SPX", "IQ_PRICEDATE", "9/21/2018")</f>
        <v>#NAME?</v>
      </c>
      <c r="AC1197" s="16">
        <v>2929.6671956252999</v>
      </c>
    </row>
    <row r="1198" spans="26:29" x14ac:dyDescent="0.35">
      <c r="Z1198" s="4"/>
      <c r="AA1198" s="4"/>
      <c r="AB1198" s="4" t="e">
        <f ca="1">_xll.ciqfunctions.udf.CIQ("^SPX", "IQ_PRICEDATE", "9/24/2018")</f>
        <v>#NAME?</v>
      </c>
      <c r="AC1198" s="16">
        <v>2919.3731493785999</v>
      </c>
    </row>
    <row r="1199" spans="26:29" x14ac:dyDescent="0.35">
      <c r="Z1199" s="4"/>
      <c r="AA1199" s="4"/>
      <c r="AB1199" s="4" t="e">
        <f ca="1">_xll.ciqfunctions.udf.CIQ("^SPX", "IQ_PRICEDATE", "9/25/2018")</f>
        <v>#NAME?</v>
      </c>
      <c r="AC1199" s="16">
        <v>2915.5642837762998</v>
      </c>
    </row>
    <row r="1200" spans="26:29" x14ac:dyDescent="0.35">
      <c r="Z1200" s="4"/>
      <c r="AA1200" s="4"/>
      <c r="AB1200" s="4" t="e">
        <f ca="1">_xll.ciqfunctions.udf.CIQ("^SPX", "IQ_PRICEDATE", "9/26/2018")</f>
        <v>#NAME?</v>
      </c>
      <c r="AC1200" s="16">
        <v>2905.9655876406</v>
      </c>
    </row>
    <row r="1201" spans="26:29" x14ac:dyDescent="0.35">
      <c r="Z1201" s="4"/>
      <c r="AA1201" s="4"/>
      <c r="AB1201" s="4" t="e">
        <f ca="1">_xll.ciqfunctions.udf.CIQ("^SPX", "IQ_PRICEDATE", "9/27/2018")</f>
        <v>#NAME?</v>
      </c>
      <c r="AC1201" s="16">
        <v>2913.9981861058</v>
      </c>
    </row>
    <row r="1202" spans="26:29" x14ac:dyDescent="0.35">
      <c r="Z1202" s="4"/>
      <c r="AA1202" s="4"/>
      <c r="AB1202" s="4" t="e">
        <f ca="1">_xll.ciqfunctions.udf.CIQ("^SPX", "IQ_PRICEDATE", "9/28/2018")</f>
        <v>#NAME?</v>
      </c>
      <c r="AC1202" s="16">
        <v>2913.978139886</v>
      </c>
    </row>
    <row r="1203" spans="26:29" x14ac:dyDescent="0.35">
      <c r="Z1203" s="4"/>
      <c r="AA1203" s="4"/>
      <c r="AB1203" s="4" t="e">
        <f ca="1">_xll.ciqfunctions.udf.CIQ("^SPX", "IQ_PRICEDATE", "10/1/2018")</f>
        <v>#NAME?</v>
      </c>
      <c r="AC1203" s="16">
        <v>2924.5909370456002</v>
      </c>
    </row>
    <row r="1204" spans="26:29" x14ac:dyDescent="0.35">
      <c r="Z1204" s="4"/>
      <c r="AA1204" s="4"/>
      <c r="AB1204" s="4" t="e">
        <f ca="1">_xll.ciqfunctions.udf.CIQ("^SPX", "IQ_PRICEDATE", "10/2/2018")</f>
        <v>#NAME?</v>
      </c>
      <c r="AC1204" s="16">
        <v>2923.4334526643001</v>
      </c>
    </row>
    <row r="1205" spans="26:29" x14ac:dyDescent="0.35">
      <c r="Z1205" s="4"/>
      <c r="AA1205" s="4"/>
      <c r="AB1205" s="4" t="e">
        <f ca="1">_xll.ciqfunctions.udf.CIQ("^SPX", "IQ_PRICEDATE", "10/3/2018")</f>
        <v>#NAME?</v>
      </c>
      <c r="AC1205" s="16">
        <v>2925.5130376727998</v>
      </c>
    </row>
    <row r="1206" spans="26:29" x14ac:dyDescent="0.35">
      <c r="Z1206" s="4"/>
      <c r="AA1206" s="4"/>
      <c r="AB1206" s="4" t="e">
        <f ca="1">_xll.ciqfunctions.udf.CIQ("^SPX", "IQ_PRICEDATE", "10/4/2018")</f>
        <v>#NAME?</v>
      </c>
      <c r="AC1206" s="16">
        <v>2901.6114880516998</v>
      </c>
    </row>
    <row r="1207" spans="26:29" x14ac:dyDescent="0.35">
      <c r="Z1207" s="4"/>
      <c r="AA1207" s="4"/>
      <c r="AB1207" s="4" t="e">
        <f ca="1">_xll.ciqfunctions.udf.CIQ("^SPX", "IQ_PRICEDATE", "10/5/2018")</f>
        <v>#NAME?</v>
      </c>
      <c r="AC1207" s="16">
        <v>2885.5662522712</v>
      </c>
    </row>
    <row r="1208" spans="26:29" x14ac:dyDescent="0.35">
      <c r="Z1208" s="4"/>
      <c r="AA1208" s="4"/>
      <c r="AB1208" s="4" t="e">
        <f ca="1">_xll.ciqfunctions.udf.CIQ("^SPX", "IQ_PRICEDATE", "10/8/2018")</f>
        <v>#NAME?</v>
      </c>
      <c r="AC1208" s="16">
        <v>2884.4326743419001</v>
      </c>
    </row>
    <row r="1209" spans="26:29" x14ac:dyDescent="0.35">
      <c r="Z1209" s="4"/>
      <c r="AA1209" s="4"/>
      <c r="AB1209" s="4" t="e">
        <f ca="1">_xll.ciqfunctions.udf.CIQ("^SPX", "IQ_PRICEDATE", "10/9/2018")</f>
        <v>#NAME?</v>
      </c>
      <c r="AC1209" s="16">
        <v>2880.3437116677001</v>
      </c>
    </row>
    <row r="1210" spans="26:29" x14ac:dyDescent="0.35">
      <c r="Z1210" s="4"/>
      <c r="AA1210" s="4"/>
      <c r="AB1210" s="4" t="e">
        <f ca="1">_xll.ciqfunctions.udf.CIQ("^SPX", "IQ_PRICEDATE", "10/10/2018")</f>
        <v>#NAME?</v>
      </c>
      <c r="AC1210" s="16">
        <v>2785.6791790991001</v>
      </c>
    </row>
    <row r="1211" spans="26:29" x14ac:dyDescent="0.35">
      <c r="Z1211" s="4"/>
      <c r="AA1211" s="4"/>
      <c r="AB1211" s="4" t="e">
        <f ca="1">_xll.ciqfunctions.udf.CIQ("^SPX", "IQ_PRICEDATE", "10/11/2018")</f>
        <v>#NAME?</v>
      </c>
      <c r="AC1211" s="16">
        <v>2728.3662914993001</v>
      </c>
    </row>
    <row r="1212" spans="26:29" x14ac:dyDescent="0.35">
      <c r="Z1212" s="4"/>
      <c r="AA1212" s="4"/>
      <c r="AB1212" s="4" t="e">
        <f ca="1">_xll.ciqfunctions.udf.CIQ("^SPX", "IQ_PRICEDATE", "10/12/2018")</f>
        <v>#NAME?</v>
      </c>
      <c r="AC1212" s="16">
        <v>2767.1260181809998</v>
      </c>
    </row>
    <row r="1213" spans="26:29" x14ac:dyDescent="0.35">
      <c r="Z1213" s="4"/>
      <c r="AA1213" s="4"/>
      <c r="AB1213" s="4" t="e">
        <f ca="1">_xll.ciqfunctions.udf.CIQ("^SPX", "IQ_PRICEDATE", "10/15/2018")</f>
        <v>#NAME?</v>
      </c>
      <c r="AC1213" s="16">
        <v>2750.7860409097998</v>
      </c>
    </row>
    <row r="1214" spans="26:29" x14ac:dyDescent="0.35">
      <c r="AB1214" s="4" t="e">
        <f ca="1">_xll.ciqfunctions.udf.CIQ("^SPX", "IQ_PRICEDATE", "10/16/2018")</f>
        <v>#NAME?</v>
      </c>
      <c r="AC1214" s="16">
        <v>2809.9156707527</v>
      </c>
    </row>
    <row r="1215" spans="26:29" x14ac:dyDescent="0.35">
      <c r="AB1215" s="4" t="e">
        <f ca="1">_xll.ciqfunctions.udf.CIQ("^SPX", "IQ_PRICEDATE", "10/17/2018")</f>
        <v>#NAME?</v>
      </c>
      <c r="AC1215" s="16">
        <v>2809.2090822675</v>
      </c>
    </row>
  </sheetData>
  <mergeCells count="8">
    <mergeCell ref="D1:F1"/>
    <mergeCell ref="N4:Y4"/>
    <mergeCell ref="X5:Y5"/>
    <mergeCell ref="N5:O5"/>
    <mergeCell ref="P5:Q5"/>
    <mergeCell ref="R5:S5"/>
    <mergeCell ref="T5:U5"/>
    <mergeCell ref="V5:W5"/>
  </mergeCells>
  <pageMargins left="0.7" right="0.7" top="0.75" bottom="0.75" header="0.3" footer="0.3"/>
  <pageSetup orientation="portrait" horizontalDpi="200" verticalDpi="200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freshMacro_Verti1">
                <anchor moveWithCells="1" sizeWithCells="1">
                  <from>
                    <xdr:col>4</xdr:col>
                    <xdr:colOff>400050</xdr:colOff>
                    <xdr:row>2</xdr:row>
                    <xdr:rowOff>76200</xdr:rowOff>
                  </from>
                  <to>
                    <xdr:col>5</xdr:col>
                    <xdr:colOff>279400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C1215"/>
  <sheetViews>
    <sheetView tabSelected="1" topLeftCell="A10" zoomScale="90" zoomScaleNormal="90" workbookViewId="0">
      <selection activeCell="A11" sqref="A11"/>
    </sheetView>
  </sheetViews>
  <sheetFormatPr defaultRowHeight="14.5" x14ac:dyDescent="0.35"/>
  <cols>
    <col min="1" max="1" width="26.54296875" bestFit="1" customWidth="1"/>
    <col min="2" max="2" width="15.54296875" bestFit="1" customWidth="1"/>
    <col min="3" max="3" width="23.1796875" bestFit="1" customWidth="1"/>
    <col min="4" max="4" width="14.7265625" bestFit="1" customWidth="1"/>
    <col min="5" max="5" width="23.7265625" bestFit="1" customWidth="1"/>
    <col min="6" max="6" width="22.26953125" customWidth="1"/>
    <col min="7" max="7" width="19.453125" customWidth="1"/>
    <col min="8" max="8" width="21.1796875" bestFit="1" customWidth="1"/>
    <col min="9" max="9" width="23.453125" bestFit="1" customWidth="1"/>
    <col min="10" max="10" width="19.81640625" bestFit="1" customWidth="1"/>
    <col min="11" max="11" width="14.453125" bestFit="1" customWidth="1"/>
    <col min="12" max="12" width="20.26953125" bestFit="1" customWidth="1"/>
    <col min="13" max="13" width="20.453125" bestFit="1" customWidth="1"/>
    <col min="14" max="17" width="13.453125" customWidth="1"/>
    <col min="18" max="18" width="10.453125" bestFit="1" customWidth="1"/>
    <col min="19" max="25" width="13.453125" customWidth="1"/>
    <col min="28" max="28" width="11.54296875" bestFit="1" customWidth="1"/>
    <col min="29" max="29" width="11.81640625" bestFit="1" customWidth="1"/>
  </cols>
  <sheetData>
    <row r="1" spans="1:29" ht="23.5" x14ac:dyDescent="0.55000000000000004">
      <c r="A1" t="s">
        <v>0</v>
      </c>
      <c r="B1" s="1" t="s">
        <v>1</v>
      </c>
      <c r="D1" s="21" t="e">
        <f ca="1">IF($B$1="","",_xll.ciqfunctions.udf.CIQ($B$1,"iq_company_name"))</f>
        <v>#NAME?</v>
      </c>
      <c r="E1" s="21"/>
      <c r="F1" s="21"/>
    </row>
    <row r="2" spans="1:29" x14ac:dyDescent="0.35">
      <c r="A2" t="s">
        <v>3</v>
      </c>
      <c r="B2" s="1" t="s">
        <v>4</v>
      </c>
    </row>
    <row r="3" spans="1:29" x14ac:dyDescent="0.35">
      <c r="A3" t="s">
        <v>2</v>
      </c>
      <c r="B3" s="13" t="e">
        <f ca="1">_xll.ciqfunctions.udf.CIQGETDATE(IQ_TODAY)</f>
        <v>#NAME?</v>
      </c>
      <c r="AB3" s="12"/>
      <c r="AC3" s="13"/>
    </row>
    <row r="4" spans="1:29" x14ac:dyDescent="0.35">
      <c r="A4" t="s">
        <v>1715</v>
      </c>
      <c r="B4" s="13">
        <v>41639</v>
      </c>
      <c r="G4" s="11">
        <f>IQ_LTM</f>
        <v>2000</v>
      </c>
      <c r="H4" s="11">
        <f>IQ_NTM</f>
        <v>6000</v>
      </c>
      <c r="N4" s="22" t="s">
        <v>1712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AB4" s="12"/>
    </row>
    <row r="5" spans="1:29" ht="15.5" x14ac:dyDescent="0.35">
      <c r="M5" t="s">
        <v>523</v>
      </c>
      <c r="N5" s="23">
        <v>43388</v>
      </c>
      <c r="O5" s="24"/>
      <c r="P5" s="23">
        <v>43100</v>
      </c>
      <c r="Q5" s="24"/>
      <c r="R5" s="23">
        <v>42735</v>
      </c>
      <c r="S5" s="24"/>
      <c r="T5" s="23">
        <v>42369</v>
      </c>
      <c r="U5" s="24"/>
      <c r="V5" s="23">
        <v>42004</v>
      </c>
      <c r="W5" s="24"/>
      <c r="X5" s="23">
        <v>42004</v>
      </c>
      <c r="Y5" s="24"/>
      <c r="AB5" s="20" t="e">
        <f ca="1">D1&amp;" Values"</f>
        <v>#NAME?</v>
      </c>
    </row>
    <row r="6" spans="1:29" ht="43.5" x14ac:dyDescent="0.35">
      <c r="A6" s="5" t="e">
        <f ca="1">_xll.ciqfunctions.udf.CIQRANGE($B$1,"IQ_CONSTITUENTS",1,,,,,,"Constituents")</f>
        <v>#NAME?</v>
      </c>
      <c r="B6" s="5" t="s">
        <v>5</v>
      </c>
      <c r="C6" s="5" t="s">
        <v>6</v>
      </c>
      <c r="D6" s="5" t="s">
        <v>7</v>
      </c>
      <c r="E6" s="5" t="s">
        <v>8</v>
      </c>
      <c r="F6" s="5" t="s">
        <v>9</v>
      </c>
      <c r="G6" s="6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18" t="s">
        <v>1713</v>
      </c>
      <c r="O6" s="18" t="s">
        <v>1714</v>
      </c>
      <c r="P6" s="18" t="s">
        <v>1713</v>
      </c>
      <c r="Q6" s="18" t="s">
        <v>1714</v>
      </c>
      <c r="R6" s="18" t="s">
        <v>1713</v>
      </c>
      <c r="S6" s="18" t="s">
        <v>1714</v>
      </c>
      <c r="T6" s="18" t="s">
        <v>1713</v>
      </c>
      <c r="U6" s="18" t="s">
        <v>1714</v>
      </c>
      <c r="V6" s="18" t="s">
        <v>1713</v>
      </c>
      <c r="W6" s="18" t="s">
        <v>1714</v>
      </c>
      <c r="X6" s="18" t="s">
        <v>1713</v>
      </c>
      <c r="Y6" s="18" t="s">
        <v>1714</v>
      </c>
      <c r="Z6" s="7"/>
      <c r="AA6" s="8"/>
      <c r="AB6" s="9" t="e">
        <f ca="1">_xll.ciqfunctions.udf.CIQRANGE($B$1,"IQ_PRICEDATE",$B$4,$B$3,,,,,"Date")</f>
        <v>#NAME?</v>
      </c>
      <c r="AC6" s="7" t="s">
        <v>522</v>
      </c>
    </row>
    <row r="7" spans="1:29" x14ac:dyDescent="0.35">
      <c r="A7" s="2" t="s">
        <v>17</v>
      </c>
      <c r="B7" s="4" t="e">
        <f ca="1">IF($A7="","",_xll.ciqfunctions.udf.CIQ($A7,"IQ_COMPANY_NAME"))</f>
        <v>#NAME?</v>
      </c>
      <c r="C7" s="4" t="e">
        <f ca="1">IF($A7="","",_xll.ciqfunctions.udf.CIQ($A7,"IQ_INDUSTRY_SECTOR"))</f>
        <v>#NAME?</v>
      </c>
      <c r="D7" s="4" t="e">
        <f ca="1">IF($A7="","",_xll.ciqfunctions.udf.CIQ($A7,"IQ_INDUSTRY_GROUP"))</f>
        <v>#NAME?</v>
      </c>
      <c r="E7" s="4" t="e">
        <f ca="1">IF($A7="","",_xll.ciqfunctions.udf.CIQ($A7,"IQ_INDUSTRY"))</f>
        <v>#NAME?</v>
      </c>
      <c r="F7" s="4" t="e">
        <f ca="1">IF($A7="","",_xll.ciqfunctions.udf.CIQ($A7,"IQ_PRIMARY_INDUSTRY"))</f>
        <v>#NAME?</v>
      </c>
      <c r="G7" s="14" t="e">
        <f ca="1">IF($A7="","",_xll.ciqfunctions.udf.CIQ($A7,"IQ_CLOSEPRICE_ADJ",$B$3,$B$2))</f>
        <v>#NAME?</v>
      </c>
      <c r="H7" s="10" t="e">
        <f ca="1">IF($A7="","",_xll.ciqfunctions.udf.CIQ($A7,"IQ_TEV_EBITDA",$G$4,$B$3))</f>
        <v>#NAME?</v>
      </c>
      <c r="I7" s="10" t="e">
        <f ca="1">IF($A7="","",_xll.ciqfunctions.udf.CIQ($A7,"IQ_PE_EXCL",$G$4,$B$3))</f>
        <v>#NAME?</v>
      </c>
      <c r="J7" s="10" t="e">
        <f ca="1">IF($A7="","",_xll.ciqfunctions.udf.CIQ($A7,"IQ_PTBV",$G$4,$B$3))</f>
        <v>#NAME?</v>
      </c>
      <c r="K7" s="15" t="str">
        <f ca="1">IF($A7="","",IF(ISERROR(_xll.ciqfunctions.udf.CIQ($A7,"IQ_DIVIDEND_YIELD",$B$3)/100),"NA",_xll.ciqfunctions.udf.CIQ($A7,"IQ_DIVIDEND_YIELD",$B$3)/100))</f>
        <v>NA</v>
      </c>
      <c r="L7" s="17" t="e">
        <f ca="1">IF($A7="","",_xll.ciqfunctions.udf.CIQ($A7,"IQ_MARKETCAP",$B$3,$B$2))</f>
        <v>#NAME?</v>
      </c>
      <c r="M7" s="4" t="e">
        <f ca="1">IF($A7="","",_xll.ciqfunctions.udf.CIQ($A7,"IQ_COMPANY_ADDRESS"))</f>
        <v>#NAME?</v>
      </c>
      <c r="N7" s="19" t="e">
        <f ca="1">IF($A7="","",_xll.ciqfunctions.udf.CIQ($A7,"IQ_DILUT_EPS_EXCL",$G$4,$N$5,,,$B$2))</f>
        <v>#NAME?</v>
      </c>
      <c r="O7" s="19" t="e">
        <f ca="1">IF($A7="","",_xll.ciqfunctions.udf.CIQ($A7,"IQ_EPS_EST",$H$4,$N$5,,,$B$2))</f>
        <v>#NAME?</v>
      </c>
      <c r="P7" s="19" t="e">
        <f ca="1">IF($A7="","",_xll.ciqfunctions.udf.CIQ($A7,"IQ_DILUT_EPS_EXCL",G$4,$P$5,,,$B$2))</f>
        <v>#NAME?</v>
      </c>
      <c r="Q7" s="19" t="e">
        <f ca="1">IF($A7="","",_xll.ciqfunctions.udf.CIQ($A7,"IQ_EPS_EST",H$4,$P$5,,,$B$2))</f>
        <v>#NAME?</v>
      </c>
      <c r="R7" s="19" t="e">
        <f ca="1">IF($A7="","",_xll.ciqfunctions.udf.CIQ($A7,"IQ_DILUT_EPS_EXCL",G$4,$R$5,,,$B$2))</f>
        <v>#NAME?</v>
      </c>
      <c r="S7" s="19" t="e">
        <f ca="1">IF($A7="","",_xll.ciqfunctions.udf.CIQ($A7,"IQ_EPS_EST",H$4,$R$5,,,$B$2))</f>
        <v>#NAME?</v>
      </c>
      <c r="T7" s="19" t="e">
        <f ca="1">IF($A7="","",_xll.ciqfunctions.udf.CIQ($A7,"IQ_DILUT_EPS_EXCL",$G$4,$R$5,,,$B$2))</f>
        <v>#NAME?</v>
      </c>
      <c r="U7" s="19" t="e">
        <f ca="1">IF($A7="","",_xll.ciqfunctions.udf.CIQ($A7,"IQ_EPS_EST",H$4,$T$5,,,$B$2))</f>
        <v>#NAME?</v>
      </c>
      <c r="V7" s="19" t="e">
        <f ca="1">IF($A7="","",_xll.ciqfunctions.udf.CIQ($A7,"IQ_DILUT_EPS_EXCL",G$4,$V$5,,,$B$2))</f>
        <v>#NAME?</v>
      </c>
      <c r="W7" s="19" t="e">
        <f ca="1">IF($A7="","",_xll.ciqfunctions.udf.CIQ($A7,"IQ_EPS_EST",H$4,$V$5,,,$B$2))</f>
        <v>#NAME?</v>
      </c>
      <c r="X7" s="19" t="e">
        <f ca="1">IF($A7="","",_xll.ciqfunctions.udf.CIQ($A7,"IQ_DILUT_EPS_EXCL",G$4,$X$5,,,$B$2))</f>
        <v>#NAME?</v>
      </c>
      <c r="Y7" s="19" t="e">
        <f ca="1">IF($A7="","",_xll.ciqfunctions.udf.CIQ($A7,"IQ_EPS_EST",H$4,$X$5,,,$B$2))</f>
        <v>#NAME?</v>
      </c>
      <c r="Z7" s="3"/>
      <c r="AA7" s="3"/>
      <c r="AB7" s="4" t="e">
        <f ca="1">_xll.ciqfunctions.udf.CIQ("^SPX", "IQ_PRICEDATE", "12/31/2013")</f>
        <v>#NAME?</v>
      </c>
      <c r="AC7" s="16" t="e">
        <f ca="1">IF($AB7="","",_xll.ciqfunctions.udf.CIQ($B$1,"IQ_LASTSALEPRICE",$AB7))</f>
        <v>#NAME?</v>
      </c>
    </row>
    <row r="8" spans="1:29" x14ac:dyDescent="0.35">
      <c r="A8" s="2" t="s">
        <v>18</v>
      </c>
      <c r="B8" s="4" t="s">
        <v>524</v>
      </c>
      <c r="C8" s="4" t="s">
        <v>525</v>
      </c>
      <c r="D8" s="4" t="s">
        <v>526</v>
      </c>
      <c r="E8" s="4" t="s">
        <v>527</v>
      </c>
      <c r="F8" s="4" t="s">
        <v>527</v>
      </c>
      <c r="G8" s="14">
        <v>47.62</v>
      </c>
      <c r="H8" s="10">
        <v>12.431886</v>
      </c>
      <c r="I8" s="10">
        <v>25.099882000000001</v>
      </c>
      <c r="J8" s="10">
        <v>8.8809430000000003</v>
      </c>
      <c r="K8" s="15">
        <v>1.8479000000000002E-2</v>
      </c>
      <c r="L8" s="17">
        <v>8124.2858630000001</v>
      </c>
      <c r="M8" s="4" t="s">
        <v>528</v>
      </c>
      <c r="N8" s="19">
        <v>1.8972199999999999</v>
      </c>
      <c r="O8" s="19">
        <v>2.77</v>
      </c>
      <c r="P8" s="19">
        <v>1.699999</v>
      </c>
      <c r="Q8" s="19">
        <v>2.3384999999999998</v>
      </c>
      <c r="R8" s="19">
        <v>1.85</v>
      </c>
      <c r="S8" s="19">
        <v>2.0019999999999998</v>
      </c>
      <c r="T8" s="19">
        <v>1.85</v>
      </c>
      <c r="U8" s="19">
        <v>1.7150000000000001</v>
      </c>
      <c r="V8" s="19">
        <v>1.1399999999999999</v>
      </c>
      <c r="W8" s="19">
        <v>1.3201000000000001</v>
      </c>
      <c r="X8" s="19">
        <v>1.1399999999999999</v>
      </c>
      <c r="Y8" s="19">
        <v>1.3201000000000001</v>
      </c>
      <c r="Z8" s="4"/>
      <c r="AA8" s="4"/>
      <c r="AB8" s="4" t="e">
        <f ca="1">_xll.ciqfunctions.udf.CIQ("^SPX", "IQ_PRICEDATE", "1/2/2014")</f>
        <v>#NAME?</v>
      </c>
      <c r="AC8" s="16">
        <v>1831.9847069969001</v>
      </c>
    </row>
    <row r="9" spans="1:29" x14ac:dyDescent="0.35">
      <c r="A9" s="2" t="s">
        <v>19</v>
      </c>
      <c r="B9" s="4" t="s">
        <v>529</v>
      </c>
      <c r="C9" s="4" t="s">
        <v>530</v>
      </c>
      <c r="D9" s="4" t="s">
        <v>531</v>
      </c>
      <c r="E9" s="4" t="s">
        <v>532</v>
      </c>
      <c r="F9" s="4" t="s">
        <v>533</v>
      </c>
      <c r="G9" s="14">
        <v>70.23</v>
      </c>
      <c r="H9" s="10">
        <v>20.619713000000001</v>
      </c>
      <c r="I9" s="10">
        <v>151.43086299999999</v>
      </c>
      <c r="J9" s="10" t="s">
        <v>534</v>
      </c>
      <c r="K9" s="15">
        <v>1.5946999999999999E-2</v>
      </c>
      <c r="L9" s="17">
        <v>123205.84331500001</v>
      </c>
      <c r="M9" s="4" t="s">
        <v>535</v>
      </c>
      <c r="N9" s="19">
        <v>0.45742100000000002</v>
      </c>
      <c r="O9" s="19">
        <v>3.0392999999999999</v>
      </c>
      <c r="P9" s="19">
        <v>0.19770099999999999</v>
      </c>
      <c r="Q9" s="19">
        <v>2.7597</v>
      </c>
      <c r="R9" s="19">
        <v>0.71</v>
      </c>
      <c r="S9" s="19">
        <v>2.3942999999999999</v>
      </c>
      <c r="T9" s="19">
        <v>0.71</v>
      </c>
      <c r="U9" s="19">
        <v>2.2970000000000002</v>
      </c>
      <c r="V9" s="19">
        <v>1.1200000000000001</v>
      </c>
      <c r="W9" s="19">
        <v>2.2957000000000001</v>
      </c>
      <c r="X9" s="19">
        <v>1.1200000000000001</v>
      </c>
      <c r="Y9" s="19">
        <v>2.2957000000000001</v>
      </c>
      <c r="Z9" s="4"/>
      <c r="AA9" s="4"/>
      <c r="AB9" s="4" t="e">
        <f ca="1">_xll.ciqfunctions.udf.CIQ("^SPX", "IQ_PRICEDATE", "1/3/2014")</f>
        <v>#NAME?</v>
      </c>
      <c r="AC9" s="16">
        <v>1831.3665650882001</v>
      </c>
    </row>
    <row r="10" spans="1:29" x14ac:dyDescent="0.35">
      <c r="A10" s="2" t="s">
        <v>20</v>
      </c>
      <c r="B10" s="4" t="s">
        <v>536</v>
      </c>
      <c r="C10" s="4" t="s">
        <v>530</v>
      </c>
      <c r="D10" s="4" t="s">
        <v>537</v>
      </c>
      <c r="E10" s="4" t="s">
        <v>538</v>
      </c>
      <c r="F10" s="4" t="s">
        <v>538</v>
      </c>
      <c r="G10" s="14">
        <v>92.27</v>
      </c>
      <c r="H10" s="10">
        <v>13.411451</v>
      </c>
      <c r="I10" s="10">
        <v>22.903839999999999</v>
      </c>
      <c r="J10" s="10" t="s">
        <v>534</v>
      </c>
      <c r="K10" s="15">
        <v>4.1616E-2</v>
      </c>
      <c r="L10" s="17">
        <v>139721.94184399999</v>
      </c>
      <c r="M10" s="4" t="s">
        <v>539</v>
      </c>
      <c r="N10" s="19">
        <v>4.0285820000000001</v>
      </c>
      <c r="O10" s="19">
        <v>8.2057000000000002</v>
      </c>
      <c r="P10" s="19">
        <v>3.3</v>
      </c>
      <c r="Q10" s="19">
        <v>6.2378999999999998</v>
      </c>
      <c r="R10" s="19">
        <v>3.63</v>
      </c>
      <c r="S10" s="19">
        <v>5.2127999999999997</v>
      </c>
      <c r="T10" s="19">
        <v>3.63</v>
      </c>
      <c r="U10" s="19">
        <v>4.7849000000000004</v>
      </c>
      <c r="V10" s="19">
        <v>1.1000000000000001</v>
      </c>
      <c r="W10" s="19">
        <v>3.9489000000000001</v>
      </c>
      <c r="X10" s="19">
        <v>1.1000000000000001</v>
      </c>
      <c r="Y10" s="19">
        <v>3.9489000000000001</v>
      </c>
      <c r="Z10" s="4"/>
      <c r="AA10" s="4"/>
      <c r="AB10" s="4" t="e">
        <f ca="1">_xll.ciqfunctions.udf.CIQ("^SPX", "IQ_PRICEDATE", "1/6/2014")</f>
        <v>#NAME?</v>
      </c>
      <c r="AC10" s="16">
        <v>1826.7671905136999</v>
      </c>
    </row>
    <row r="11" spans="1:29" x14ac:dyDescent="0.35">
      <c r="A11" s="2" t="s">
        <v>21</v>
      </c>
      <c r="B11" s="4" t="s">
        <v>540</v>
      </c>
      <c r="C11" s="4" t="s">
        <v>530</v>
      </c>
      <c r="D11" s="4" t="s">
        <v>531</v>
      </c>
      <c r="E11" s="4" t="s">
        <v>532</v>
      </c>
      <c r="F11" s="4" t="s">
        <v>533</v>
      </c>
      <c r="G11" s="14">
        <v>389.79</v>
      </c>
      <c r="H11" s="10">
        <v>93.505396000000005</v>
      </c>
      <c r="I11" s="10">
        <v>108.669015</v>
      </c>
      <c r="J11" s="10">
        <v>25.372848999999999</v>
      </c>
      <c r="K11" s="15">
        <v>0</v>
      </c>
      <c r="L11" s="17">
        <v>17492.668195999999</v>
      </c>
      <c r="M11" s="4" t="s">
        <v>541</v>
      </c>
      <c r="N11" s="19">
        <v>3.5869469999999999</v>
      </c>
      <c r="O11" s="19">
        <v>3.7967</v>
      </c>
      <c r="P11" s="19">
        <v>1.9928250000000001</v>
      </c>
      <c r="Q11" s="19">
        <v>2.3254999999999999</v>
      </c>
      <c r="R11" s="19">
        <v>1.069429</v>
      </c>
      <c r="S11" s="19">
        <v>1.5048999999999999</v>
      </c>
      <c r="T11" s="19">
        <v>1.069429</v>
      </c>
      <c r="U11" s="19">
        <v>0.83340000000000003</v>
      </c>
      <c r="V11" s="19">
        <v>0.43869999999999998</v>
      </c>
      <c r="W11" s="19">
        <v>0.27</v>
      </c>
      <c r="X11" s="19">
        <v>0.43869999999999998</v>
      </c>
      <c r="Y11" s="19">
        <v>0.27</v>
      </c>
      <c r="Z11" s="4"/>
      <c r="AA11" s="4"/>
      <c r="AB11" s="4" t="e">
        <f ca="1">_xll.ciqfunctions.udf.CIQ("^SPX", "IQ_PRICEDATE", "1/7/2014")</f>
        <v>#NAME?</v>
      </c>
      <c r="AC11" s="16">
        <v>1837.8771502604</v>
      </c>
    </row>
    <row r="12" spans="1:29" x14ac:dyDescent="0.35">
      <c r="A12" s="2" t="s">
        <v>22</v>
      </c>
      <c r="B12" s="4" t="s">
        <v>542</v>
      </c>
      <c r="C12" s="4" t="s">
        <v>543</v>
      </c>
      <c r="D12" s="4" t="s">
        <v>544</v>
      </c>
      <c r="E12" s="4" t="s">
        <v>545</v>
      </c>
      <c r="F12" s="4" t="s">
        <v>546</v>
      </c>
      <c r="G12" s="14">
        <v>158.9</v>
      </c>
      <c r="H12" s="10">
        <v>14.352510000000001</v>
      </c>
      <c r="I12" s="10">
        <v>25.060727</v>
      </c>
      <c r="J12" s="10">
        <v>20.432095</v>
      </c>
      <c r="K12" s="15">
        <v>1.8376E-2</v>
      </c>
      <c r="L12" s="17">
        <v>101814.86975300001</v>
      </c>
      <c r="M12" s="4" t="s">
        <v>547</v>
      </c>
      <c r="N12" s="19">
        <v>6.340598</v>
      </c>
      <c r="O12" s="19">
        <v>7.2157799999999996</v>
      </c>
      <c r="P12" s="19">
        <v>5.6416959999999996</v>
      </c>
      <c r="Q12" s="19">
        <v>6.7298</v>
      </c>
      <c r="R12" s="19">
        <v>6.7577980000000002</v>
      </c>
      <c r="S12" s="19">
        <v>5.9042000000000003</v>
      </c>
      <c r="T12" s="19">
        <v>6.7577980000000002</v>
      </c>
      <c r="U12" s="19">
        <v>5.3948</v>
      </c>
      <c r="V12" s="19">
        <v>4.6630919999999998</v>
      </c>
      <c r="W12" s="19">
        <v>4.8414000000000001</v>
      </c>
      <c r="X12" s="19">
        <v>4.6630919999999998</v>
      </c>
      <c r="Y12" s="19">
        <v>4.8414000000000001</v>
      </c>
      <c r="Z12" s="4"/>
      <c r="AA12" s="4"/>
      <c r="AB12" s="4" t="e">
        <f ca="1">_xll.ciqfunctions.udf.CIQ("^SPX", "IQ_PRICEDATE", "1/8/2014")</f>
        <v>#NAME?</v>
      </c>
      <c r="AC12" s="16">
        <v>1837.4946026504999</v>
      </c>
    </row>
    <row r="13" spans="1:29" x14ac:dyDescent="0.35">
      <c r="A13" s="2" t="s">
        <v>23</v>
      </c>
      <c r="B13" s="4" t="s">
        <v>548</v>
      </c>
      <c r="C13" s="4" t="s">
        <v>549</v>
      </c>
      <c r="D13" s="4" t="s">
        <v>550</v>
      </c>
      <c r="E13" s="4" t="s">
        <v>551</v>
      </c>
      <c r="F13" s="4" t="s">
        <v>552</v>
      </c>
      <c r="G13" s="14">
        <v>78.3</v>
      </c>
      <c r="H13" s="10">
        <v>26.368684999999999</v>
      </c>
      <c r="I13" s="10">
        <v>119.25867700000001</v>
      </c>
      <c r="J13" s="10" t="s">
        <v>534</v>
      </c>
      <c r="K13" s="15">
        <v>4.3419999999999995E-3</v>
      </c>
      <c r="L13" s="17">
        <v>59696.592362000003</v>
      </c>
      <c r="M13" s="4" t="s">
        <v>553</v>
      </c>
      <c r="N13" s="19">
        <v>0.65655600000000003</v>
      </c>
      <c r="O13" s="19">
        <v>2.8862999999999999</v>
      </c>
      <c r="P13" s="19">
        <v>0.36</v>
      </c>
      <c r="Q13" s="19">
        <v>2.3892000000000002</v>
      </c>
      <c r="R13" s="19">
        <v>1.28</v>
      </c>
      <c r="S13" s="19">
        <v>1.9939</v>
      </c>
      <c r="T13" s="19">
        <v>1.28</v>
      </c>
      <c r="U13" s="19">
        <v>1.4822</v>
      </c>
      <c r="V13" s="19">
        <v>1.1299999999999999</v>
      </c>
      <c r="W13" s="19">
        <v>1.3381000000000001</v>
      </c>
      <c r="X13" s="19">
        <v>1.1299999999999999</v>
      </c>
      <c r="Y13" s="19">
        <v>1.3381000000000001</v>
      </c>
      <c r="Z13" s="4"/>
      <c r="AA13" s="4"/>
      <c r="AB13" s="4" t="e">
        <f ca="1">_xll.ciqfunctions.udf.CIQ("^SPX", "IQ_PRICEDATE", "1/9/2014")</f>
        <v>#NAME?</v>
      </c>
      <c r="AC13" s="16">
        <v>1838.1253009133</v>
      </c>
    </row>
    <row r="14" spans="1:29" x14ac:dyDescent="0.35">
      <c r="A14" s="2" t="s">
        <v>24</v>
      </c>
      <c r="B14" s="4" t="s">
        <v>554</v>
      </c>
      <c r="C14" s="4" t="s">
        <v>543</v>
      </c>
      <c r="D14" s="4" t="s">
        <v>544</v>
      </c>
      <c r="E14" s="4" t="s">
        <v>555</v>
      </c>
      <c r="F14" s="4" t="s">
        <v>556</v>
      </c>
      <c r="G14" s="14">
        <v>258.91000000000003</v>
      </c>
      <c r="H14" s="10">
        <v>39.908220999999998</v>
      </c>
      <c r="I14" s="10">
        <v>53.507344000000003</v>
      </c>
      <c r="J14" s="10">
        <v>119.940592</v>
      </c>
      <c r="K14" s="15">
        <v>0</v>
      </c>
      <c r="L14" s="17">
        <v>126382.651476</v>
      </c>
      <c r="M14" s="4" t="s">
        <v>557</v>
      </c>
      <c r="N14" s="19">
        <v>4.838775</v>
      </c>
      <c r="O14" s="19">
        <v>7.5877999999999997</v>
      </c>
      <c r="P14" s="19">
        <v>3.38</v>
      </c>
      <c r="Q14" s="19">
        <v>5.5664100000000003</v>
      </c>
      <c r="R14" s="19">
        <v>2.3199999999999998</v>
      </c>
      <c r="S14" s="19">
        <v>3.8252299999999999</v>
      </c>
      <c r="T14" s="19">
        <v>2.3199999999999998</v>
      </c>
      <c r="U14" s="19">
        <v>2.7635700000000001</v>
      </c>
      <c r="V14" s="19">
        <v>0.53</v>
      </c>
      <c r="W14" s="19">
        <v>2.1261000000000001</v>
      </c>
      <c r="X14" s="19">
        <v>0.53</v>
      </c>
      <c r="Y14" s="19">
        <v>2.1261000000000001</v>
      </c>
      <c r="Z14" s="4"/>
      <c r="AA14" s="4"/>
      <c r="AB14" s="4" t="e">
        <f ca="1">_xll.ciqfunctions.udf.CIQ("^SPX", "IQ_PRICEDATE", "1/10/2014")</f>
        <v>#NAME?</v>
      </c>
      <c r="AC14" s="16">
        <v>1842.3721870462</v>
      </c>
    </row>
    <row r="15" spans="1:29" x14ac:dyDescent="0.35">
      <c r="A15" s="2" t="s">
        <v>25</v>
      </c>
      <c r="B15" s="4" t="s">
        <v>558</v>
      </c>
      <c r="C15" s="4" t="s">
        <v>559</v>
      </c>
      <c r="D15" s="4" t="s">
        <v>560</v>
      </c>
      <c r="E15" s="4" t="s">
        <v>561</v>
      </c>
      <c r="F15" s="4" t="s">
        <v>562</v>
      </c>
      <c r="G15" s="14">
        <v>159.58000000000001</v>
      </c>
      <c r="H15" s="10">
        <v>12.834377999999999</v>
      </c>
      <c r="I15" s="10">
        <v>22.104013999999999</v>
      </c>
      <c r="J15" s="10">
        <v>5.6433559999999998</v>
      </c>
      <c r="K15" s="15">
        <v>1.503E-3</v>
      </c>
      <c r="L15" s="17">
        <v>11821.686400000001</v>
      </c>
      <c r="M15" s="4" t="s">
        <v>563</v>
      </c>
      <c r="N15" s="19">
        <v>7.2195029999999996</v>
      </c>
      <c r="O15" s="19">
        <v>7.5393999999999997</v>
      </c>
      <c r="P15" s="19">
        <v>6.42</v>
      </c>
      <c r="Q15" s="19">
        <v>5.6608000000000001</v>
      </c>
      <c r="R15" s="19">
        <v>6.2</v>
      </c>
      <c r="S15" s="19">
        <v>7.5974000000000004</v>
      </c>
      <c r="T15" s="19">
        <v>6.2</v>
      </c>
      <c r="U15" s="19">
        <v>8.8721999999999994</v>
      </c>
      <c r="V15" s="19">
        <v>6.229724</v>
      </c>
      <c r="W15" s="19">
        <v>8.5260999999999996</v>
      </c>
      <c r="X15" s="19">
        <v>6.229724</v>
      </c>
      <c r="Y15" s="19">
        <v>8.5260999999999996</v>
      </c>
      <c r="Z15" s="4"/>
      <c r="AA15" s="4"/>
      <c r="AB15" s="4" t="e">
        <f ca="1">_xll.ciqfunctions.udf.CIQ("^SPX", "IQ_PRICEDATE", "1/13/2014")</f>
        <v>#NAME?</v>
      </c>
      <c r="AC15" s="16">
        <v>1819.2026637956001</v>
      </c>
    </row>
    <row r="16" spans="1:29" x14ac:dyDescent="0.35">
      <c r="A16" s="2" t="s">
        <v>26</v>
      </c>
      <c r="B16" s="4" t="s">
        <v>564</v>
      </c>
      <c r="C16" s="4" t="s">
        <v>543</v>
      </c>
      <c r="D16" s="4" t="s">
        <v>565</v>
      </c>
      <c r="E16" s="4" t="s">
        <v>565</v>
      </c>
      <c r="F16" s="4" t="s">
        <v>566</v>
      </c>
      <c r="G16" s="14">
        <v>27.3</v>
      </c>
      <c r="H16" s="10">
        <v>43.307718999999999</v>
      </c>
      <c r="I16" s="10">
        <v>94.396381000000005</v>
      </c>
      <c r="J16" s="10">
        <v>89.320476999999997</v>
      </c>
      <c r="K16" s="15">
        <v>0</v>
      </c>
      <c r="L16" s="17">
        <v>26614.016766000001</v>
      </c>
      <c r="M16" s="4" t="s">
        <v>567</v>
      </c>
      <c r="N16" s="19">
        <v>0.28920600000000002</v>
      </c>
      <c r="O16" s="19">
        <v>0.51690000000000003</v>
      </c>
      <c r="P16" s="19">
        <v>0.04</v>
      </c>
      <c r="Q16" s="19">
        <v>0.28760000000000002</v>
      </c>
      <c r="R16" s="19">
        <v>-0.6</v>
      </c>
      <c r="S16" s="19">
        <v>6.4000000000000003E-3</v>
      </c>
      <c r="T16" s="19">
        <v>-0.6</v>
      </c>
      <c r="U16" s="19">
        <v>-0.36670000000000003</v>
      </c>
      <c r="V16" s="19">
        <v>-0.53</v>
      </c>
      <c r="W16" s="19">
        <v>6.59E-2</v>
      </c>
      <c r="X16" s="19">
        <v>-0.53</v>
      </c>
      <c r="Y16" s="19">
        <v>6.59E-2</v>
      </c>
      <c r="Z16" s="4"/>
      <c r="AA16" s="4"/>
      <c r="AB16" s="4" t="e">
        <f ca="1">_xll.ciqfunctions.udf.CIQ("^SPX", "IQ_PRICEDATE", "1/14/2014")</f>
        <v>#NAME?</v>
      </c>
      <c r="AC16" s="16">
        <v>1838.8825956266001</v>
      </c>
    </row>
    <row r="17" spans="1:29" x14ac:dyDescent="0.35">
      <c r="A17" s="2" t="s">
        <v>27</v>
      </c>
      <c r="B17" s="4" t="s">
        <v>568</v>
      </c>
      <c r="C17" s="4" t="s">
        <v>530</v>
      </c>
      <c r="D17" s="4" t="s">
        <v>531</v>
      </c>
      <c r="E17" s="4" t="s">
        <v>569</v>
      </c>
      <c r="F17" s="4" t="s">
        <v>570</v>
      </c>
      <c r="G17" s="14">
        <v>201.29</v>
      </c>
      <c r="H17" s="10">
        <v>10.971513</v>
      </c>
      <c r="I17" s="10">
        <v>18.976153</v>
      </c>
      <c r="J17" s="10">
        <v>11.517362</v>
      </c>
      <c r="K17" s="15">
        <v>9.9350000000000011E-3</v>
      </c>
      <c r="L17" s="17">
        <v>65902.346000000005</v>
      </c>
      <c r="M17" s="4" t="s">
        <v>571</v>
      </c>
      <c r="N17" s="19">
        <v>10.607524</v>
      </c>
      <c r="O17" s="19">
        <v>11.4535</v>
      </c>
      <c r="P17" s="19">
        <v>5.68</v>
      </c>
      <c r="Q17" s="19">
        <v>9.3135999999999992</v>
      </c>
      <c r="R17" s="19">
        <v>6.41</v>
      </c>
      <c r="S17" s="19">
        <v>8.4269999999999996</v>
      </c>
      <c r="T17" s="19">
        <v>6.41</v>
      </c>
      <c r="U17" s="19">
        <v>7.7839999999999998</v>
      </c>
      <c r="V17" s="19">
        <v>5.68</v>
      </c>
      <c r="W17" s="19">
        <v>6.8905000000000003</v>
      </c>
      <c r="X17" s="19">
        <v>5.68</v>
      </c>
      <c r="Y17" s="19">
        <v>6.8905000000000003</v>
      </c>
      <c r="Z17" s="4"/>
      <c r="AA17" s="4"/>
      <c r="AB17" s="4" t="e">
        <f ca="1">_xll.ciqfunctions.udf.CIQ("^SPX", "IQ_PRICEDATE", "1/15/2014")</f>
        <v>#NAME?</v>
      </c>
      <c r="AC17" s="16">
        <v>1848.3784960119001</v>
      </c>
    </row>
    <row r="18" spans="1:29" x14ac:dyDescent="0.35">
      <c r="A18" s="2" t="s">
        <v>28</v>
      </c>
      <c r="B18" s="4" t="s">
        <v>572</v>
      </c>
      <c r="C18" s="4" t="s">
        <v>573</v>
      </c>
      <c r="D18" s="4" t="s">
        <v>574</v>
      </c>
      <c r="E18" s="4" t="s">
        <v>575</v>
      </c>
      <c r="F18" s="4" t="s">
        <v>576</v>
      </c>
      <c r="G18" s="14">
        <v>127.3</v>
      </c>
      <c r="H18" s="10">
        <v>8.0659589999999994</v>
      </c>
      <c r="I18" s="10">
        <v>10.055982999999999</v>
      </c>
      <c r="J18" s="10" t="s">
        <v>534</v>
      </c>
      <c r="K18" s="15">
        <v>9.4260000000000004E-3</v>
      </c>
      <c r="L18" s="17">
        <v>6801.8869800000002</v>
      </c>
      <c r="M18" s="4" t="s">
        <v>577</v>
      </c>
      <c r="N18" s="19">
        <v>12.659129999999999</v>
      </c>
      <c r="O18" s="19">
        <v>15.7136</v>
      </c>
      <c r="P18" s="19">
        <v>12.030716</v>
      </c>
      <c r="Q18" s="19">
        <v>15.8079</v>
      </c>
      <c r="R18" s="19">
        <v>8.5666659999999997</v>
      </c>
      <c r="S18" s="19">
        <v>13.959</v>
      </c>
      <c r="T18" s="19">
        <v>8.5666659999999997</v>
      </c>
      <c r="U18" s="19">
        <v>13.321099999999999</v>
      </c>
      <c r="V18" s="19">
        <v>7.6900680000000001</v>
      </c>
      <c r="W18" s="19">
        <v>12.5372</v>
      </c>
      <c r="X18" s="19">
        <v>7.6900680000000001</v>
      </c>
      <c r="Y18" s="19">
        <v>12.5372</v>
      </c>
      <c r="Z18" s="4"/>
      <c r="AA18" s="4"/>
      <c r="AB18" s="4" t="e">
        <f ca="1">_xll.ciqfunctions.udf.CIQ("^SPX", "IQ_PRICEDATE", "1/16/2014")</f>
        <v>#NAME?</v>
      </c>
      <c r="AC18" s="16">
        <v>1845.8910317350999</v>
      </c>
    </row>
    <row r="19" spans="1:29" x14ac:dyDescent="0.35">
      <c r="A19" s="2" t="s">
        <v>29</v>
      </c>
      <c r="B19" s="4" t="s">
        <v>578</v>
      </c>
      <c r="C19" s="4" t="s">
        <v>573</v>
      </c>
      <c r="D19" s="4" t="s">
        <v>579</v>
      </c>
      <c r="E19" s="4" t="s">
        <v>579</v>
      </c>
      <c r="F19" s="4" t="s">
        <v>580</v>
      </c>
      <c r="G19" s="14">
        <v>44.72</v>
      </c>
      <c r="H19" s="10">
        <v>8.5708760000000002</v>
      </c>
      <c r="I19" s="10">
        <v>7.2554119999999998</v>
      </c>
      <c r="J19" s="10">
        <v>1.4454549999999999</v>
      </c>
      <c r="K19" s="15">
        <v>2.3254999999999998E-2</v>
      </c>
      <c r="L19" s="17">
        <v>34336.027538000002</v>
      </c>
      <c r="M19" s="4" t="s">
        <v>581</v>
      </c>
      <c r="N19" s="19">
        <v>6.1636740000000003</v>
      </c>
      <c r="O19" s="19">
        <v>4.0414000000000003</v>
      </c>
      <c r="P19" s="19">
        <v>5.77</v>
      </c>
      <c r="Q19" s="19">
        <v>3.3582000000000001</v>
      </c>
      <c r="R19" s="19">
        <v>3.21</v>
      </c>
      <c r="S19" s="19">
        <v>3.2810999999999999</v>
      </c>
      <c r="T19" s="19">
        <v>3.21</v>
      </c>
      <c r="U19" s="19">
        <v>3.1200999999999999</v>
      </c>
      <c r="V19" s="19">
        <v>3.25</v>
      </c>
      <c r="W19" s="19">
        <v>3.0108000000000001</v>
      </c>
      <c r="X19" s="19">
        <v>3.25</v>
      </c>
      <c r="Y19" s="19">
        <v>3.0108000000000001</v>
      </c>
      <c r="Z19" s="4"/>
      <c r="AA19" s="4"/>
      <c r="AB19" s="4" t="e">
        <f ca="1">_xll.ciqfunctions.udf.CIQ("^SPX", "IQ_PRICEDATE", "1/17/2014")</f>
        <v>#NAME?</v>
      </c>
      <c r="AC19" s="16">
        <v>1838.6994866672001</v>
      </c>
    </row>
    <row r="20" spans="1:29" x14ac:dyDescent="0.35">
      <c r="A20" s="2" t="s">
        <v>30</v>
      </c>
      <c r="B20" s="4" t="s">
        <v>582</v>
      </c>
      <c r="C20" s="4" t="s">
        <v>530</v>
      </c>
      <c r="D20" s="4" t="s">
        <v>537</v>
      </c>
      <c r="E20" s="4" t="s">
        <v>583</v>
      </c>
      <c r="F20" s="4" t="s">
        <v>583</v>
      </c>
      <c r="G20" s="14">
        <v>67.2</v>
      </c>
      <c r="H20" s="10">
        <v>18.043894999999999</v>
      </c>
      <c r="I20" s="10">
        <v>73.628907999999996</v>
      </c>
      <c r="J20" s="10">
        <v>19.208604999999999</v>
      </c>
      <c r="K20" s="15">
        <v>8.8690000000000001E-3</v>
      </c>
      <c r="L20" s="17">
        <v>21421.313558000002</v>
      </c>
      <c r="M20" s="4" t="s">
        <v>584</v>
      </c>
      <c r="N20" s="19">
        <v>0.91268499999999997</v>
      </c>
      <c r="O20" s="19">
        <v>2.9154</v>
      </c>
      <c r="P20" s="19">
        <v>2.1</v>
      </c>
      <c r="Q20" s="19">
        <v>2.5831</v>
      </c>
      <c r="R20" s="19">
        <v>1.4</v>
      </c>
      <c r="S20" s="19">
        <v>2.1518000000000002</v>
      </c>
      <c r="T20" s="19">
        <v>1.4</v>
      </c>
      <c r="U20" s="19">
        <v>1.8944000000000001</v>
      </c>
      <c r="V20" s="19">
        <v>0.69</v>
      </c>
      <c r="W20" s="19">
        <v>1.73434</v>
      </c>
      <c r="X20" s="19">
        <v>0.69</v>
      </c>
      <c r="Y20" s="19">
        <v>1.73434</v>
      </c>
      <c r="Z20" s="4"/>
      <c r="AA20" s="4"/>
      <c r="AB20" s="4" t="e">
        <f ca="1">_xll.ciqfunctions.udf.CIQ("^SPX", "IQ_PRICEDATE", "1/21/2014")</f>
        <v>#NAME?</v>
      </c>
      <c r="AC20" s="16">
        <v>1843.8044457285</v>
      </c>
    </row>
    <row r="21" spans="1:29" x14ac:dyDescent="0.35">
      <c r="A21" s="2" t="s">
        <v>31</v>
      </c>
      <c r="B21" s="4" t="s">
        <v>585</v>
      </c>
      <c r="C21" s="4" t="s">
        <v>586</v>
      </c>
      <c r="D21" s="4" t="s">
        <v>586</v>
      </c>
      <c r="E21" s="4" t="s">
        <v>587</v>
      </c>
      <c r="F21" s="4" t="s">
        <v>588</v>
      </c>
      <c r="G21" s="14">
        <v>159.47999999999999</v>
      </c>
      <c r="H21" s="10">
        <v>12.168284</v>
      </c>
      <c r="I21" s="10">
        <v>23.810020999999999</v>
      </c>
      <c r="J21" s="10">
        <v>3.783398</v>
      </c>
      <c r="K21" s="15">
        <v>2.7589000000000002E-2</v>
      </c>
      <c r="L21" s="17">
        <v>34969.577662000003</v>
      </c>
      <c r="M21" s="4" t="s">
        <v>589</v>
      </c>
      <c r="N21" s="19">
        <v>6.6980199999999996</v>
      </c>
      <c r="O21" s="19">
        <v>7.9725000000000001</v>
      </c>
      <c r="P21" s="19">
        <v>4.708685</v>
      </c>
      <c r="Q21" s="19">
        <v>7.02379</v>
      </c>
      <c r="R21" s="19">
        <v>4.8997820000000001</v>
      </c>
      <c r="S21" s="19">
        <v>6.4468800000000002</v>
      </c>
      <c r="T21" s="19">
        <v>4.8997820000000001</v>
      </c>
      <c r="U21" s="19">
        <v>7.3868499999999999</v>
      </c>
      <c r="V21" s="19">
        <v>4.7526630000000001</v>
      </c>
      <c r="W21" s="19">
        <v>6.47464</v>
      </c>
      <c r="X21" s="19">
        <v>4.7526630000000001</v>
      </c>
      <c r="Y21" s="19">
        <v>6.47464</v>
      </c>
      <c r="Z21" s="4"/>
      <c r="AA21" s="4"/>
      <c r="AB21" s="4" t="e">
        <f ca="1">_xll.ciqfunctions.udf.CIQ("^SPX", "IQ_PRICEDATE", "1/22/2014")</f>
        <v>#NAME?</v>
      </c>
      <c r="AC21" s="16">
        <v>1844.8559052889</v>
      </c>
    </row>
    <row r="22" spans="1:29" x14ac:dyDescent="0.35">
      <c r="A22" s="2" t="s">
        <v>32</v>
      </c>
      <c r="B22" s="4" t="s">
        <v>590</v>
      </c>
      <c r="C22" s="4" t="s">
        <v>543</v>
      </c>
      <c r="D22" s="4" t="s">
        <v>544</v>
      </c>
      <c r="E22" s="4" t="s">
        <v>545</v>
      </c>
      <c r="F22" s="4" t="s">
        <v>591</v>
      </c>
      <c r="G22" s="14">
        <v>65.69</v>
      </c>
      <c r="H22" s="10">
        <v>16.105796000000002</v>
      </c>
      <c r="I22" s="10">
        <v>61.511983000000001</v>
      </c>
      <c r="J22" s="10">
        <v>6.2977559999999997</v>
      </c>
      <c r="K22" s="15">
        <v>0</v>
      </c>
      <c r="L22" s="17">
        <v>11134.759013000001</v>
      </c>
      <c r="M22" s="4" t="s">
        <v>592</v>
      </c>
      <c r="N22" s="19">
        <v>1.067922</v>
      </c>
      <c r="O22" s="19">
        <v>3.5804</v>
      </c>
      <c r="P22" s="19">
        <v>1.26</v>
      </c>
      <c r="Q22" s="19">
        <v>2.5524</v>
      </c>
      <c r="R22" s="19">
        <v>1.79</v>
      </c>
      <c r="S22" s="19">
        <v>2.7942999999999998</v>
      </c>
      <c r="T22" s="19">
        <v>1.79</v>
      </c>
      <c r="U22" s="19">
        <v>2.5880999999999998</v>
      </c>
      <c r="V22" s="19">
        <v>1.84</v>
      </c>
      <c r="W22" s="19">
        <v>2.6307</v>
      </c>
      <c r="X22" s="19">
        <v>1.84</v>
      </c>
      <c r="Y22" s="19">
        <v>2.6307</v>
      </c>
      <c r="Z22" s="4"/>
      <c r="AA22" s="4"/>
      <c r="AB22" s="4" t="e">
        <f ca="1">_xll.ciqfunctions.udf.CIQ("^SPX", "IQ_PRICEDATE", "1/23/2014")</f>
        <v>#NAME?</v>
      </c>
      <c r="AC22" s="16">
        <v>1828.4642100517999</v>
      </c>
    </row>
    <row r="23" spans="1:29" x14ac:dyDescent="0.35">
      <c r="A23" s="2" t="s">
        <v>33</v>
      </c>
      <c r="B23" s="4" t="s">
        <v>593</v>
      </c>
      <c r="C23" s="4" t="s">
        <v>525</v>
      </c>
      <c r="D23" s="4" t="s">
        <v>594</v>
      </c>
      <c r="E23" s="4" t="s">
        <v>595</v>
      </c>
      <c r="F23" s="4" t="s">
        <v>595</v>
      </c>
      <c r="G23" s="14">
        <v>64.489999999999995</v>
      </c>
      <c r="H23" s="10">
        <v>6.3517780000000004</v>
      </c>
      <c r="I23" s="10">
        <v>9.4285270000000008</v>
      </c>
      <c r="J23" s="10">
        <v>5.2272410000000002</v>
      </c>
      <c r="K23" s="15">
        <v>1.9847999999999998E-2</v>
      </c>
      <c r="L23" s="17">
        <v>7957.9370200000003</v>
      </c>
      <c r="M23" s="4" t="s">
        <v>596</v>
      </c>
      <c r="N23" s="19">
        <v>6.83988</v>
      </c>
      <c r="O23" s="19">
        <v>4.9287000000000001</v>
      </c>
      <c r="P23" s="19">
        <v>8.35</v>
      </c>
      <c r="Q23" s="19">
        <v>5.9124999999999996</v>
      </c>
      <c r="R23" s="19">
        <v>6.54</v>
      </c>
      <c r="S23" s="19">
        <v>7.1219999999999999</v>
      </c>
      <c r="T23" s="19">
        <v>6.54</v>
      </c>
      <c r="U23" s="19">
        <v>7.1466000000000003</v>
      </c>
      <c r="V23" s="19">
        <v>4.42</v>
      </c>
      <c r="W23" s="19">
        <v>5.0696000000000003</v>
      </c>
      <c r="X23" s="19">
        <v>4.42</v>
      </c>
      <c r="Y23" s="19">
        <v>5.0696000000000003</v>
      </c>
      <c r="Z23" s="4"/>
      <c r="AA23" s="4"/>
      <c r="AB23" s="4" t="e">
        <f ca="1">_xll.ciqfunctions.udf.CIQ("^SPX", "IQ_PRICEDATE", "1/24/2014")</f>
        <v>#NAME?</v>
      </c>
      <c r="AC23" s="16">
        <v>1790.2854774268999</v>
      </c>
    </row>
    <row r="24" spans="1:29" x14ac:dyDescent="0.35">
      <c r="A24" s="2" t="s">
        <v>34</v>
      </c>
      <c r="B24" s="4" t="s">
        <v>597</v>
      </c>
      <c r="C24" s="4" t="s">
        <v>586</v>
      </c>
      <c r="D24" s="4" t="s">
        <v>586</v>
      </c>
      <c r="E24" s="4" t="s">
        <v>587</v>
      </c>
      <c r="F24" s="4" t="s">
        <v>598</v>
      </c>
      <c r="G24" s="14">
        <v>96.32</v>
      </c>
      <c r="H24" s="10">
        <v>11.009551</v>
      </c>
      <c r="I24" s="10">
        <v>32.144286000000001</v>
      </c>
      <c r="J24" s="10">
        <v>6.1348890000000003</v>
      </c>
      <c r="K24" s="15">
        <v>1.3911E-2</v>
      </c>
      <c r="L24" s="17">
        <v>10445.881171999999</v>
      </c>
      <c r="M24" s="4" t="s">
        <v>599</v>
      </c>
      <c r="N24" s="19">
        <v>2.996489</v>
      </c>
      <c r="O24" s="19">
        <v>5.8300999999999998</v>
      </c>
      <c r="P24" s="19">
        <v>0.49</v>
      </c>
      <c r="Q24" s="19">
        <v>4.9772999999999996</v>
      </c>
      <c r="R24" s="19">
        <v>3.9</v>
      </c>
      <c r="S24" s="19">
        <v>3.6690999999999998</v>
      </c>
      <c r="T24" s="19">
        <v>3.9</v>
      </c>
      <c r="U24" s="19">
        <v>3.7957000000000001</v>
      </c>
      <c r="V24" s="19">
        <v>2.57</v>
      </c>
      <c r="W24" s="19">
        <v>4.4009</v>
      </c>
      <c r="X24" s="19">
        <v>2.57</v>
      </c>
      <c r="Y24" s="19">
        <v>4.4009</v>
      </c>
      <c r="Z24" s="4"/>
      <c r="AA24" s="4"/>
      <c r="AB24" s="4" t="e">
        <f ca="1">_xll.ciqfunctions.udf.CIQ("^SPX", "IQ_PRICEDATE", "1/27/2014")</f>
        <v>#NAME?</v>
      </c>
      <c r="AC24" s="16">
        <v>1781.5598990844001</v>
      </c>
    </row>
    <row r="25" spans="1:29" x14ac:dyDescent="0.35">
      <c r="A25" s="2" t="s">
        <v>35</v>
      </c>
      <c r="B25" s="4" t="s">
        <v>600</v>
      </c>
      <c r="C25" s="4" t="s">
        <v>601</v>
      </c>
      <c r="D25" s="4" t="s">
        <v>601</v>
      </c>
      <c r="E25" s="4" t="s">
        <v>602</v>
      </c>
      <c r="F25" s="4" t="s">
        <v>603</v>
      </c>
      <c r="G25" s="14">
        <v>122.57</v>
      </c>
      <c r="H25" s="10">
        <v>24.392128</v>
      </c>
      <c r="I25" s="10">
        <v>43.903275000000001</v>
      </c>
      <c r="J25" s="10">
        <v>2.0320589999999998</v>
      </c>
      <c r="K25" s="15">
        <v>3.0350000000000002E-2</v>
      </c>
      <c r="L25" s="17">
        <v>12962.680963000001</v>
      </c>
      <c r="M25" s="4" t="s">
        <v>604</v>
      </c>
      <c r="N25" s="19">
        <v>2.7918189999999998</v>
      </c>
      <c r="O25" s="19">
        <v>2.3774999999999999</v>
      </c>
      <c r="P25" s="19">
        <v>1.5799989999999999</v>
      </c>
      <c r="Q25" s="19">
        <v>1.9208000000000001</v>
      </c>
      <c r="R25" s="19">
        <v>-1.99</v>
      </c>
      <c r="S25" s="19">
        <v>1.8141</v>
      </c>
      <c r="T25" s="19">
        <v>-1.99</v>
      </c>
      <c r="U25" s="19">
        <v>1.9378</v>
      </c>
      <c r="V25" s="19">
        <v>0.98999899999999996</v>
      </c>
      <c r="W25" s="19">
        <v>1.6573</v>
      </c>
      <c r="X25" s="19">
        <v>0.98999899999999996</v>
      </c>
      <c r="Y25" s="19">
        <v>1.6573</v>
      </c>
      <c r="Z25" s="4"/>
      <c r="AA25" s="4"/>
      <c r="AB25" s="4" t="e">
        <f ca="1">_xll.ciqfunctions.udf.CIQ("^SPX", "IQ_PRICEDATE", "1/28/2014")</f>
        <v>#NAME?</v>
      </c>
      <c r="AC25" s="16">
        <v>1792.4964343403001</v>
      </c>
    </row>
    <row r="26" spans="1:29" x14ac:dyDescent="0.35">
      <c r="A26" s="2" t="s">
        <v>36</v>
      </c>
      <c r="B26" s="4" t="s">
        <v>605</v>
      </c>
      <c r="C26" s="4" t="s">
        <v>530</v>
      </c>
      <c r="D26" s="4" t="s">
        <v>537</v>
      </c>
      <c r="E26" s="4" t="s">
        <v>538</v>
      </c>
      <c r="F26" s="4" t="s">
        <v>538</v>
      </c>
      <c r="G26" s="14">
        <v>128.94</v>
      </c>
      <c r="H26" s="10">
        <v>18.010165000000001</v>
      </c>
      <c r="I26" s="10" t="s">
        <v>534</v>
      </c>
      <c r="J26" s="10" t="s">
        <v>534</v>
      </c>
      <c r="K26" s="15">
        <v>0</v>
      </c>
      <c r="L26" s="17">
        <v>28735.458543000001</v>
      </c>
      <c r="M26" s="4" t="s">
        <v>606</v>
      </c>
      <c r="N26" s="19">
        <v>-0.454295</v>
      </c>
      <c r="O26" s="19">
        <v>7.6116999999999999</v>
      </c>
      <c r="P26" s="19">
        <v>1.97</v>
      </c>
      <c r="Q26" s="19">
        <v>6.35</v>
      </c>
      <c r="R26" s="19">
        <v>1.76</v>
      </c>
      <c r="S26" s="19">
        <v>5.4255000000000004</v>
      </c>
      <c r="T26" s="19">
        <v>1.76</v>
      </c>
      <c r="U26" s="19">
        <v>4.9871999999999996</v>
      </c>
      <c r="V26" s="19">
        <v>3.26</v>
      </c>
      <c r="W26" s="19">
        <v>5.4734999999999996</v>
      </c>
      <c r="X26" s="19">
        <v>3.26</v>
      </c>
      <c r="Y26" s="19">
        <v>5.4734999999999996</v>
      </c>
      <c r="Z26" s="4"/>
      <c r="AA26" s="4"/>
      <c r="AB26" s="4" t="e">
        <f ca="1">_xll.ciqfunctions.udf.CIQ("^SPX", "IQ_PRICEDATE", "1/29/2014")</f>
        <v>#NAME?</v>
      </c>
      <c r="AC26" s="16">
        <v>1774.202749994</v>
      </c>
    </row>
    <row r="27" spans="1:29" x14ac:dyDescent="0.35">
      <c r="A27" s="2" t="s">
        <v>37</v>
      </c>
      <c r="B27" s="4" t="s">
        <v>607</v>
      </c>
      <c r="C27" s="4" t="s">
        <v>530</v>
      </c>
      <c r="D27" s="4" t="s">
        <v>531</v>
      </c>
      <c r="E27" s="4" t="s">
        <v>532</v>
      </c>
      <c r="F27" s="4" t="s">
        <v>608</v>
      </c>
      <c r="G27" s="14">
        <v>332.83</v>
      </c>
      <c r="H27" s="10">
        <v>55.485967000000002</v>
      </c>
      <c r="I27" s="10">
        <v>92.256270999999998</v>
      </c>
      <c r="J27" s="10">
        <v>23.579172</v>
      </c>
      <c r="K27" s="15">
        <v>0</v>
      </c>
      <c r="L27" s="17">
        <v>26732.932892000001</v>
      </c>
      <c r="M27" s="4" t="s">
        <v>609</v>
      </c>
      <c r="N27" s="19">
        <v>3.6076679999999999</v>
      </c>
      <c r="O27" s="19">
        <v>5.3796999999999997</v>
      </c>
      <c r="P27" s="19">
        <v>2.83</v>
      </c>
      <c r="Q27" s="19">
        <v>4.1074000000000002</v>
      </c>
      <c r="R27" s="19">
        <v>2.33</v>
      </c>
      <c r="S27" s="19">
        <v>2.8119999999999998</v>
      </c>
      <c r="T27" s="19">
        <v>2.33</v>
      </c>
      <c r="U27" s="19">
        <v>2.1110000000000002</v>
      </c>
      <c r="V27" s="19">
        <v>1.77</v>
      </c>
      <c r="W27" s="19">
        <v>2.0026000000000002</v>
      </c>
      <c r="X27" s="19">
        <v>1.77</v>
      </c>
      <c r="Y27" s="19">
        <v>2.0026000000000002</v>
      </c>
      <c r="Z27" s="4"/>
      <c r="AA27" s="4"/>
      <c r="AB27" s="4" t="e">
        <f ca="1">_xll.ciqfunctions.udf.CIQ("^SPX", "IQ_PRICEDATE", "1/30/2014")</f>
        <v>#NAME?</v>
      </c>
      <c r="AC27" s="16">
        <v>1794.1901899019001</v>
      </c>
    </row>
    <row r="28" spans="1:29" x14ac:dyDescent="0.35">
      <c r="A28" s="2" t="s">
        <v>38</v>
      </c>
      <c r="B28" s="4" t="s">
        <v>610</v>
      </c>
      <c r="C28" s="4" t="s">
        <v>525</v>
      </c>
      <c r="D28" s="4" t="s">
        <v>526</v>
      </c>
      <c r="E28" s="4" t="s">
        <v>527</v>
      </c>
      <c r="F28" s="4" t="s">
        <v>527</v>
      </c>
      <c r="G28" s="14">
        <v>84.17</v>
      </c>
      <c r="H28" s="10">
        <v>15.928915</v>
      </c>
      <c r="I28" s="10">
        <v>28.258327000000001</v>
      </c>
      <c r="J28" s="10" t="s">
        <v>534</v>
      </c>
      <c r="K28" s="15">
        <v>9.979E-3</v>
      </c>
      <c r="L28" s="17">
        <v>7996.4288550000001</v>
      </c>
      <c r="M28" s="4" t="s">
        <v>611</v>
      </c>
      <c r="N28" s="19">
        <v>2.9785910000000002</v>
      </c>
      <c r="O28" s="19">
        <v>4.6982999999999997</v>
      </c>
      <c r="P28" s="19">
        <v>2.85</v>
      </c>
      <c r="Q28" s="19">
        <v>4.0679999999999996</v>
      </c>
      <c r="R28" s="19">
        <v>2.36</v>
      </c>
      <c r="S28" s="19">
        <v>3.6274999999999999</v>
      </c>
      <c r="T28" s="19">
        <v>2.36</v>
      </c>
      <c r="U28" s="19">
        <v>3.2574000000000001</v>
      </c>
      <c r="V28" s="19">
        <v>1.92</v>
      </c>
      <c r="W28" s="19">
        <v>2.8837000000000002</v>
      </c>
      <c r="X28" s="19">
        <v>1.92</v>
      </c>
      <c r="Y28" s="19">
        <v>2.8837000000000002</v>
      </c>
      <c r="Z28" s="4"/>
      <c r="AA28" s="4"/>
      <c r="AB28" s="4" t="e">
        <f ca="1">_xll.ciqfunctions.udf.CIQ("^SPX", "IQ_PRICEDATE", "1/31/2014")</f>
        <v>#NAME?</v>
      </c>
      <c r="AC28" s="16">
        <v>1782.5869667694001</v>
      </c>
    </row>
    <row r="29" spans="1:29" x14ac:dyDescent="0.35">
      <c r="A29" s="2" t="s">
        <v>39</v>
      </c>
      <c r="B29" s="4" t="s">
        <v>612</v>
      </c>
      <c r="C29" s="4" t="s">
        <v>530</v>
      </c>
      <c r="D29" s="4" t="s">
        <v>537</v>
      </c>
      <c r="E29" s="4" t="s">
        <v>613</v>
      </c>
      <c r="F29" s="4" t="s">
        <v>613</v>
      </c>
      <c r="G29" s="14">
        <v>191</v>
      </c>
      <c r="H29" s="10">
        <v>11.933862</v>
      </c>
      <c r="I29" s="10" t="s">
        <v>534</v>
      </c>
      <c r="J29" s="10" t="s">
        <v>534</v>
      </c>
      <c r="K29" s="15">
        <v>1.5078000000000001E-2</v>
      </c>
      <c r="L29" s="17">
        <v>64833.884601999998</v>
      </c>
      <c r="M29" s="4" t="s">
        <v>614</v>
      </c>
      <c r="N29" s="19">
        <v>-4.1488509999999996</v>
      </c>
      <c r="O29" s="19">
        <v>16.184799999999999</v>
      </c>
      <c r="P29" s="19">
        <v>-11.99</v>
      </c>
      <c r="Q29" s="19">
        <v>16.450600000000001</v>
      </c>
      <c r="R29" s="19">
        <v>-3.17</v>
      </c>
      <c r="S29" s="19">
        <v>15.389900000000001</v>
      </c>
      <c r="T29" s="19">
        <v>-3.17</v>
      </c>
      <c r="U29" s="19">
        <v>15.541399999999999</v>
      </c>
      <c r="V29" s="19">
        <v>-11.31</v>
      </c>
      <c r="W29" s="19">
        <v>15.8141</v>
      </c>
      <c r="X29" s="19">
        <v>-11.31</v>
      </c>
      <c r="Y29" s="19">
        <v>15.8141</v>
      </c>
      <c r="Z29" s="4"/>
      <c r="AA29" s="4"/>
      <c r="AB29" s="4" t="e">
        <f ca="1">_xll.ciqfunctions.udf.CIQ("^SPX", "IQ_PRICEDATE", "2/3/2014")</f>
        <v>#NAME?</v>
      </c>
      <c r="AC29" s="16">
        <v>1741.8855076612001</v>
      </c>
    </row>
    <row r="30" spans="1:29" x14ac:dyDescent="0.35">
      <c r="A30" s="2" t="s">
        <v>40</v>
      </c>
      <c r="B30" s="4" t="s">
        <v>615</v>
      </c>
      <c r="C30" s="4" t="s">
        <v>543</v>
      </c>
      <c r="D30" s="4" t="s">
        <v>544</v>
      </c>
      <c r="E30" s="4" t="s">
        <v>545</v>
      </c>
      <c r="F30" s="4" t="s">
        <v>616</v>
      </c>
      <c r="G30" s="14">
        <v>211.46</v>
      </c>
      <c r="H30" s="10">
        <v>18.218432</v>
      </c>
      <c r="I30" s="10">
        <v>13.258654</v>
      </c>
      <c r="J30" s="10" t="s">
        <v>534</v>
      </c>
      <c r="K30" s="15">
        <v>1.0782E-2</v>
      </c>
      <c r="L30" s="17">
        <v>11618.371752999999</v>
      </c>
      <c r="M30" s="4" t="s">
        <v>617</v>
      </c>
      <c r="N30" s="19">
        <v>15.948828000000001</v>
      </c>
      <c r="O30" s="19">
        <v>24.6281</v>
      </c>
      <c r="P30" s="19">
        <v>14.1</v>
      </c>
      <c r="Q30" s="19">
        <v>20.595700000000001</v>
      </c>
      <c r="R30" s="19">
        <v>7.34</v>
      </c>
      <c r="S30" s="19">
        <v>18.249500000000001</v>
      </c>
      <c r="T30" s="19">
        <v>7.34</v>
      </c>
      <c r="U30" s="19">
        <v>16.690100000000001</v>
      </c>
      <c r="V30" s="19">
        <v>7.87</v>
      </c>
      <c r="W30" s="19">
        <v>14.158099999999999</v>
      </c>
      <c r="X30" s="19">
        <v>7.87</v>
      </c>
      <c r="Y30" s="19">
        <v>14.158099999999999</v>
      </c>
      <c r="Z30" s="4"/>
      <c r="AA30" s="4"/>
      <c r="AB30" s="4" t="e">
        <f ca="1">_xll.ciqfunctions.udf.CIQ("^SPX", "IQ_PRICEDATE", "2/4/2014")</f>
        <v>#NAME?</v>
      </c>
      <c r="AC30" s="16">
        <v>1755.2041996217999</v>
      </c>
    </row>
    <row r="31" spans="1:29" x14ac:dyDescent="0.35">
      <c r="A31" s="2" t="s">
        <v>41</v>
      </c>
      <c r="B31" s="4" t="s">
        <v>618</v>
      </c>
      <c r="C31" s="4" t="s">
        <v>619</v>
      </c>
      <c r="D31" s="4" t="s">
        <v>619</v>
      </c>
      <c r="E31" s="4" t="s">
        <v>620</v>
      </c>
      <c r="F31" s="4" t="s">
        <v>620</v>
      </c>
      <c r="G31" s="14">
        <v>43.23</v>
      </c>
      <c r="H31" s="10">
        <v>13.025459</v>
      </c>
      <c r="I31" s="10">
        <v>20.672498999999998</v>
      </c>
      <c r="J31" s="10">
        <v>2.322845</v>
      </c>
      <c r="K31" s="15">
        <v>3.0996000000000003E-2</v>
      </c>
      <c r="L31" s="17">
        <v>10287.568813</v>
      </c>
      <c r="M31" s="4" t="s">
        <v>621</v>
      </c>
      <c r="N31" s="19">
        <v>2.0911840000000002</v>
      </c>
      <c r="O31" s="19">
        <v>2.1358000000000001</v>
      </c>
      <c r="P31" s="19">
        <v>1.9847619999999999</v>
      </c>
      <c r="Q31" s="19">
        <v>2.2665999999999999</v>
      </c>
      <c r="R31" s="19">
        <v>1.6459699999999999</v>
      </c>
      <c r="S31" s="19">
        <v>2.0745</v>
      </c>
      <c r="T31" s="19">
        <v>1.6459699999999999</v>
      </c>
      <c r="U31" s="19">
        <v>1.921</v>
      </c>
      <c r="V31" s="19">
        <v>1.738836</v>
      </c>
      <c r="W31" s="19">
        <v>1.8338000000000001</v>
      </c>
      <c r="X31" s="19">
        <v>1.738836</v>
      </c>
      <c r="Y31" s="19">
        <v>1.8338000000000001</v>
      </c>
      <c r="Z31" s="4"/>
      <c r="AA31" s="4"/>
      <c r="AB31" s="4" t="e">
        <f ca="1">_xll.ciqfunctions.udf.CIQ("^SPX", "IQ_PRICEDATE", "2/5/2014")</f>
        <v>#NAME?</v>
      </c>
      <c r="AC31" s="16">
        <v>1751.6417690134999</v>
      </c>
    </row>
    <row r="32" spans="1:29" x14ac:dyDescent="0.35">
      <c r="A32" s="2" t="s">
        <v>42</v>
      </c>
      <c r="B32" s="4" t="s">
        <v>622</v>
      </c>
      <c r="C32" s="4" t="s">
        <v>549</v>
      </c>
      <c r="D32" s="4" t="s">
        <v>550</v>
      </c>
      <c r="E32" s="4" t="s">
        <v>623</v>
      </c>
      <c r="F32" s="4" t="s">
        <v>623</v>
      </c>
      <c r="G32" s="14">
        <v>1115.69</v>
      </c>
      <c r="H32" s="10">
        <v>17.851136</v>
      </c>
      <c r="I32" s="10">
        <v>0</v>
      </c>
      <c r="J32" s="10">
        <v>0</v>
      </c>
      <c r="K32" s="15">
        <v>0</v>
      </c>
      <c r="L32" s="17">
        <v>780275.68643100001</v>
      </c>
      <c r="M32" s="4" t="s">
        <v>624</v>
      </c>
      <c r="N32" s="19">
        <v>23.155086000000001</v>
      </c>
      <c r="O32" s="19">
        <v>44.751199999999997</v>
      </c>
      <c r="P32" s="19">
        <v>17.996428999999999</v>
      </c>
      <c r="Q32" s="19">
        <v>39.5794</v>
      </c>
      <c r="R32" s="19">
        <v>27.877247000000001</v>
      </c>
      <c r="S32" s="19">
        <v>39.429200000000002</v>
      </c>
      <c r="T32" s="19">
        <v>27.877247000000001</v>
      </c>
      <c r="U32" s="19">
        <v>32.428199999999997</v>
      </c>
      <c r="V32" s="19">
        <v>19.823307</v>
      </c>
      <c r="W32" s="19">
        <v>28.783000000000001</v>
      </c>
      <c r="X32" s="19">
        <v>19.823307</v>
      </c>
      <c r="Y32" s="19">
        <v>28.783000000000001</v>
      </c>
      <c r="Z32" s="4"/>
      <c r="AA32" s="4"/>
      <c r="AB32" s="4" t="e">
        <f ca="1">_xll.ciqfunctions.udf.CIQ("^SPX", "IQ_PRICEDATE", "2/6/2014")</f>
        <v>#NAME?</v>
      </c>
      <c r="AC32" s="16">
        <v>1773.4299637595</v>
      </c>
    </row>
    <row r="33" spans="1:29" x14ac:dyDescent="0.35">
      <c r="A33" s="2" t="s">
        <v>43</v>
      </c>
      <c r="B33" s="4" t="s">
        <v>622</v>
      </c>
      <c r="C33" s="4" t="s">
        <v>549</v>
      </c>
      <c r="D33" s="4" t="s">
        <v>550</v>
      </c>
      <c r="E33" s="4" t="s">
        <v>623</v>
      </c>
      <c r="F33" s="4" t="s">
        <v>623</v>
      </c>
      <c r="G33" s="14">
        <v>1127.5899999999999</v>
      </c>
      <c r="H33" s="10">
        <v>17.851136</v>
      </c>
      <c r="I33" s="10">
        <v>48.697291999999997</v>
      </c>
      <c r="J33" s="10">
        <v>5.5481129999999999</v>
      </c>
      <c r="K33" s="15">
        <v>0</v>
      </c>
      <c r="L33" s="17">
        <v>780275.68643100001</v>
      </c>
      <c r="M33" s="4" t="s">
        <v>624</v>
      </c>
      <c r="N33" s="19">
        <v>23.155086000000001</v>
      </c>
      <c r="O33" s="19">
        <v>43.810899999999997</v>
      </c>
      <c r="P33" s="19">
        <v>17.996428999999999</v>
      </c>
      <c r="Q33" s="19">
        <v>39.5794</v>
      </c>
      <c r="R33" s="19">
        <v>27.877247000000001</v>
      </c>
      <c r="S33" s="19">
        <v>39.433999999999997</v>
      </c>
      <c r="T33" s="19">
        <v>27.877247000000001</v>
      </c>
      <c r="U33" s="19">
        <v>32.431699999999999</v>
      </c>
      <c r="V33" s="19">
        <v>19.823307</v>
      </c>
      <c r="W33" s="19">
        <v>28.863</v>
      </c>
      <c r="X33" s="19">
        <v>19.823307</v>
      </c>
      <c r="Y33" s="19">
        <v>28.863</v>
      </c>
      <c r="Z33" s="4"/>
      <c r="AA33" s="4"/>
      <c r="AB33" s="4" t="e">
        <f ca="1">_xll.ciqfunctions.udf.CIQ("^SPX", "IQ_PRICEDATE", "2/7/2014")</f>
        <v>#NAME?</v>
      </c>
      <c r="AC33" s="16">
        <v>1797.0169234533</v>
      </c>
    </row>
    <row r="34" spans="1:29" x14ac:dyDescent="0.35">
      <c r="A34" s="2" t="s">
        <v>44</v>
      </c>
      <c r="B34" s="4" t="s">
        <v>625</v>
      </c>
      <c r="C34" s="4" t="s">
        <v>626</v>
      </c>
      <c r="D34" s="4" t="s">
        <v>627</v>
      </c>
      <c r="E34" s="4" t="s">
        <v>628</v>
      </c>
      <c r="F34" s="4" t="s">
        <v>628</v>
      </c>
      <c r="G34" s="14">
        <v>60.62</v>
      </c>
      <c r="H34" s="10">
        <v>11.487541999999999</v>
      </c>
      <c r="I34" s="10">
        <v>10.889616</v>
      </c>
      <c r="J34" s="10" t="s">
        <v>534</v>
      </c>
      <c r="K34" s="15">
        <v>5.2787000000000001E-2</v>
      </c>
      <c r="L34" s="17">
        <v>114279.00539999999</v>
      </c>
      <c r="M34" s="4" t="s">
        <v>629</v>
      </c>
      <c r="N34" s="19">
        <v>5.5667710000000001</v>
      </c>
      <c r="O34" s="19">
        <v>4.1566999999999998</v>
      </c>
      <c r="P34" s="19">
        <v>5.31</v>
      </c>
      <c r="Q34" s="19">
        <v>3.5179999999999998</v>
      </c>
      <c r="R34" s="19">
        <v>7.28</v>
      </c>
      <c r="S34" s="19">
        <v>3.2063000000000001</v>
      </c>
      <c r="T34" s="19">
        <v>7.28</v>
      </c>
      <c r="U34" s="19">
        <v>2.9863</v>
      </c>
      <c r="V34" s="19">
        <v>2.5571280000000001</v>
      </c>
      <c r="W34" s="19">
        <v>2.7555999999999998</v>
      </c>
      <c r="X34" s="19">
        <v>2.5571280000000001</v>
      </c>
      <c r="Y34" s="19">
        <v>2.7555999999999998</v>
      </c>
      <c r="Z34" s="4"/>
      <c r="AA34" s="4"/>
      <c r="AB34" s="4" t="e">
        <f ca="1">_xll.ciqfunctions.udf.CIQ("^SPX", "IQ_PRICEDATE", "2/10/2014")</f>
        <v>#NAME?</v>
      </c>
      <c r="AC34" s="16">
        <v>1799.8393518810001</v>
      </c>
    </row>
    <row r="35" spans="1:29" x14ac:dyDescent="0.35">
      <c r="A35" s="2" t="s">
        <v>45</v>
      </c>
      <c r="B35" s="4" t="s">
        <v>630</v>
      </c>
      <c r="C35" s="4" t="s">
        <v>559</v>
      </c>
      <c r="D35" s="4" t="s">
        <v>560</v>
      </c>
      <c r="E35" s="4" t="s">
        <v>631</v>
      </c>
      <c r="F35" s="4" t="s">
        <v>631</v>
      </c>
      <c r="G35" s="14">
        <v>1831.73</v>
      </c>
      <c r="H35" s="10">
        <v>44.208266000000002</v>
      </c>
      <c r="I35" s="10">
        <v>145.068691</v>
      </c>
      <c r="J35" s="10">
        <v>42.375779000000001</v>
      </c>
      <c r="K35" s="15">
        <v>0</v>
      </c>
      <c r="L35" s="17">
        <v>893410.16812699998</v>
      </c>
      <c r="M35" s="4" t="s">
        <v>632</v>
      </c>
      <c r="N35" s="19">
        <v>12.626639000000001</v>
      </c>
      <c r="O35" s="19">
        <v>20.139900000000001</v>
      </c>
      <c r="P35" s="19">
        <v>6.15</v>
      </c>
      <c r="Q35" s="19">
        <v>6.0980999999999996</v>
      </c>
      <c r="R35" s="19">
        <v>4.9000000000000004</v>
      </c>
      <c r="S35" s="19">
        <v>7.1908000000000003</v>
      </c>
      <c r="T35" s="19">
        <v>4.9000000000000004</v>
      </c>
      <c r="U35" s="19">
        <v>4.3808999999999996</v>
      </c>
      <c r="V35" s="19">
        <v>-0.52164500000000003</v>
      </c>
      <c r="W35" s="19">
        <v>5.5E-2</v>
      </c>
      <c r="X35" s="19">
        <v>-0.52164500000000003</v>
      </c>
      <c r="Y35" s="19">
        <v>5.5E-2</v>
      </c>
      <c r="Z35" s="4"/>
      <c r="AA35" s="4"/>
      <c r="AB35" s="4" t="e">
        <f ca="1">_xll.ciqfunctions.udf.CIQ("^SPX", "IQ_PRICEDATE", "2/11/2014")</f>
        <v>#NAME?</v>
      </c>
      <c r="AC35" s="16">
        <v>1819.7478427199001</v>
      </c>
    </row>
    <row r="36" spans="1:29" x14ac:dyDescent="0.35">
      <c r="A36" s="2" t="s">
        <v>46</v>
      </c>
      <c r="B36" s="4" t="s">
        <v>633</v>
      </c>
      <c r="C36" s="4" t="s">
        <v>619</v>
      </c>
      <c r="D36" s="4" t="s">
        <v>619</v>
      </c>
      <c r="E36" s="4" t="s">
        <v>634</v>
      </c>
      <c r="F36" s="4" t="s">
        <v>634</v>
      </c>
      <c r="G36" s="14">
        <v>64.760000000000005</v>
      </c>
      <c r="H36" s="10">
        <v>10.078181000000001</v>
      </c>
      <c r="I36" s="10">
        <v>25.687097999999999</v>
      </c>
      <c r="J36" s="10">
        <v>2.2654390000000002</v>
      </c>
      <c r="K36" s="15">
        <v>2.9339E-2</v>
      </c>
      <c r="L36" s="17">
        <v>15804.029105</v>
      </c>
      <c r="M36" s="4" t="s">
        <v>635</v>
      </c>
      <c r="N36" s="19">
        <v>2.5211100000000002</v>
      </c>
      <c r="O36" s="19">
        <v>3.3363999999999998</v>
      </c>
      <c r="P36" s="19">
        <v>2.14</v>
      </c>
      <c r="Q36" s="19">
        <v>2.8441999999999998</v>
      </c>
      <c r="R36" s="19">
        <v>2.68</v>
      </c>
      <c r="S36" s="19">
        <v>2.73</v>
      </c>
      <c r="T36" s="19">
        <v>2.68</v>
      </c>
      <c r="U36" s="19">
        <v>2.3107000000000002</v>
      </c>
      <c r="V36" s="19">
        <v>2.4</v>
      </c>
      <c r="W36" s="19">
        <v>2.5133999999999999</v>
      </c>
      <c r="X36" s="19">
        <v>2.4</v>
      </c>
      <c r="Y36" s="19">
        <v>2.5133999999999999</v>
      </c>
      <c r="Z36" s="4"/>
      <c r="AA36" s="4"/>
      <c r="AB36" s="4" t="e">
        <f ca="1">_xll.ciqfunctions.udf.CIQ("^SPX", "IQ_PRICEDATE", "2/12/2014")</f>
        <v>#NAME?</v>
      </c>
      <c r="AC36" s="16">
        <v>1819.2642758690999</v>
      </c>
    </row>
    <row r="37" spans="1:29" x14ac:dyDescent="0.35">
      <c r="A37" s="2" t="s">
        <v>47</v>
      </c>
      <c r="B37" s="4" t="s">
        <v>636</v>
      </c>
      <c r="C37" s="4" t="s">
        <v>525</v>
      </c>
      <c r="D37" s="4" t="s">
        <v>594</v>
      </c>
      <c r="E37" s="4" t="s">
        <v>595</v>
      </c>
      <c r="F37" s="4" t="s">
        <v>595</v>
      </c>
      <c r="G37" s="14">
        <v>33.57</v>
      </c>
      <c r="H37" s="10">
        <v>5.791874</v>
      </c>
      <c r="I37" s="10">
        <v>10.928908</v>
      </c>
      <c r="J37" s="10" t="s">
        <v>534</v>
      </c>
      <c r="K37" s="15">
        <v>1.1915E-2</v>
      </c>
      <c r="L37" s="17">
        <v>15459.294381</v>
      </c>
      <c r="M37" s="4" t="s">
        <v>637</v>
      </c>
      <c r="N37" s="19">
        <v>3.0716700000000001</v>
      </c>
      <c r="O37" s="19">
        <v>4.5327000000000002</v>
      </c>
      <c r="P37" s="19">
        <v>3.9</v>
      </c>
      <c r="Q37" s="19">
        <v>4.7663000000000002</v>
      </c>
      <c r="R37" s="19">
        <v>4.8099999999999996</v>
      </c>
      <c r="S37" s="19">
        <v>4.4809000000000001</v>
      </c>
      <c r="T37" s="19">
        <v>4.8099999999999996</v>
      </c>
      <c r="U37" s="19">
        <v>7.1485000000000003</v>
      </c>
      <c r="V37" s="19">
        <v>3.9304320000000001</v>
      </c>
      <c r="W37" s="19">
        <v>8.4161000000000001</v>
      </c>
      <c r="X37" s="19">
        <v>3.9304320000000001</v>
      </c>
      <c r="Y37" s="19">
        <v>8.4161000000000001</v>
      </c>
      <c r="Z37" s="4"/>
      <c r="AA37" s="4"/>
      <c r="AB37" s="4" t="e">
        <f ca="1">_xll.ciqfunctions.udf.CIQ("^SPX", "IQ_PRICEDATE", "2/13/2014")</f>
        <v>#NAME?</v>
      </c>
      <c r="AC37" s="16">
        <v>1829.82975844</v>
      </c>
    </row>
    <row r="38" spans="1:29" x14ac:dyDescent="0.35">
      <c r="A38" s="2" t="s">
        <v>48</v>
      </c>
      <c r="B38" s="4" t="s">
        <v>638</v>
      </c>
      <c r="C38" s="4" t="s">
        <v>619</v>
      </c>
      <c r="D38" s="4" t="s">
        <v>619</v>
      </c>
      <c r="E38" s="4" t="s">
        <v>620</v>
      </c>
      <c r="F38" s="4" t="s">
        <v>620</v>
      </c>
      <c r="G38" s="14">
        <v>71.72</v>
      </c>
      <c r="H38" s="10">
        <v>11.156098</v>
      </c>
      <c r="I38" s="10">
        <v>18.342466999999999</v>
      </c>
      <c r="J38" s="10">
        <v>1.8935759999999999</v>
      </c>
      <c r="K38" s="15">
        <v>3.4578000000000005E-2</v>
      </c>
      <c r="L38" s="17">
        <v>35353.230640000002</v>
      </c>
      <c r="M38" s="4" t="s">
        <v>639</v>
      </c>
      <c r="N38" s="19">
        <v>3.9100519999999999</v>
      </c>
      <c r="O38" s="19">
        <v>3.9563999999999999</v>
      </c>
      <c r="P38" s="19">
        <v>3.88</v>
      </c>
      <c r="Q38" s="19">
        <v>3.7833000000000001</v>
      </c>
      <c r="R38" s="19">
        <v>1.248027</v>
      </c>
      <c r="S38" s="19">
        <v>3.5844999999999998</v>
      </c>
      <c r="T38" s="19">
        <v>1.248027</v>
      </c>
      <c r="U38" s="19">
        <v>3.5718000000000001</v>
      </c>
      <c r="V38" s="19">
        <v>3.24</v>
      </c>
      <c r="W38" s="19">
        <v>3.3292999999999999</v>
      </c>
      <c r="X38" s="19">
        <v>3.24</v>
      </c>
      <c r="Y38" s="19">
        <v>3.3292999999999999</v>
      </c>
      <c r="Z38" s="4"/>
      <c r="AA38" s="4"/>
      <c r="AB38" s="4" t="e">
        <f ca="1">_xll.ciqfunctions.udf.CIQ("^SPX", "IQ_PRICEDATE", "2/14/2014")</f>
        <v>#NAME?</v>
      </c>
      <c r="AC38" s="16">
        <v>1838.6327143240001</v>
      </c>
    </row>
    <row r="39" spans="1:29" x14ac:dyDescent="0.35">
      <c r="A39" s="2" t="s">
        <v>49</v>
      </c>
      <c r="B39" s="4" t="s">
        <v>640</v>
      </c>
      <c r="C39" s="4" t="s">
        <v>573</v>
      </c>
      <c r="D39" s="4" t="s">
        <v>574</v>
      </c>
      <c r="E39" s="4" t="s">
        <v>641</v>
      </c>
      <c r="F39" s="4" t="s">
        <v>641</v>
      </c>
      <c r="G39" s="14">
        <v>104.34</v>
      </c>
      <c r="H39" s="10">
        <v>0</v>
      </c>
      <c r="I39" s="10">
        <v>27.540894000000002</v>
      </c>
      <c r="J39" s="10">
        <v>4.3000540000000003</v>
      </c>
      <c r="K39" s="15">
        <v>1.3416999999999998E-2</v>
      </c>
      <c r="L39" s="17">
        <v>89842.400445000007</v>
      </c>
      <c r="M39" s="4" t="s">
        <v>642</v>
      </c>
      <c r="N39" s="19">
        <v>3.788548</v>
      </c>
      <c r="O39" s="19">
        <v>7.5248999999999997</v>
      </c>
      <c r="P39" s="19">
        <v>2.97</v>
      </c>
      <c r="Q39" s="19">
        <v>6.3056000000000001</v>
      </c>
      <c r="R39" s="19">
        <v>5.65</v>
      </c>
      <c r="S39" s="19">
        <v>5.2156000000000002</v>
      </c>
      <c r="T39" s="19">
        <v>5.65</v>
      </c>
      <c r="U39" s="19">
        <v>5.2336</v>
      </c>
      <c r="V39" s="19">
        <v>5.56</v>
      </c>
      <c r="W39" s="19">
        <v>5.9082999999999997</v>
      </c>
      <c r="X39" s="19">
        <v>5.56</v>
      </c>
      <c r="Y39" s="19">
        <v>5.9082999999999997</v>
      </c>
      <c r="Z39" s="4"/>
      <c r="AA39" s="4"/>
      <c r="AB39" s="4" t="e">
        <f ca="1">_xll.ciqfunctions.udf.CIQ("^SPX", "IQ_PRICEDATE", "2/18/2014")</f>
        <v>#NAME?</v>
      </c>
      <c r="AC39" s="16">
        <v>1840.7563614977</v>
      </c>
    </row>
    <row r="40" spans="1:29" x14ac:dyDescent="0.35">
      <c r="A40" s="2" t="s">
        <v>50</v>
      </c>
      <c r="B40" s="4" t="s">
        <v>643</v>
      </c>
      <c r="C40" s="4" t="s">
        <v>573</v>
      </c>
      <c r="D40" s="4" t="s">
        <v>579</v>
      </c>
      <c r="E40" s="4" t="s">
        <v>579</v>
      </c>
      <c r="F40" s="4" t="s">
        <v>644</v>
      </c>
      <c r="G40" s="14">
        <v>49.62</v>
      </c>
      <c r="H40" s="10">
        <v>11.805273</v>
      </c>
      <c r="I40" s="10" t="s">
        <v>534</v>
      </c>
      <c r="J40" s="10">
        <v>0.72274700000000003</v>
      </c>
      <c r="K40" s="15">
        <v>2.5795999999999999E-2</v>
      </c>
      <c r="L40" s="17">
        <v>44084.703867999997</v>
      </c>
      <c r="M40" s="4" t="s">
        <v>645</v>
      </c>
      <c r="N40" s="19">
        <v>-7.1890980000000004</v>
      </c>
      <c r="O40" s="19">
        <v>5.0500999999999996</v>
      </c>
      <c r="P40" s="19">
        <v>-6.5422880000000001</v>
      </c>
      <c r="Q40" s="19">
        <v>4.6581999999999999</v>
      </c>
      <c r="R40" s="19">
        <v>-0.7</v>
      </c>
      <c r="S40" s="19">
        <v>5.1496000000000004</v>
      </c>
      <c r="T40" s="19">
        <v>-0.7</v>
      </c>
      <c r="U40" s="19">
        <v>4.9114000000000004</v>
      </c>
      <c r="V40" s="19">
        <v>5.2399990000000001</v>
      </c>
      <c r="W40" s="19">
        <v>4.7538</v>
      </c>
      <c r="X40" s="19">
        <v>5.2399990000000001</v>
      </c>
      <c r="Y40" s="19">
        <v>4.7538</v>
      </c>
      <c r="Z40" s="4"/>
      <c r="AA40" s="4"/>
      <c r="AB40" s="4" t="e">
        <f ca="1">_xll.ciqfunctions.udf.CIQ("^SPX", "IQ_PRICEDATE", "2/19/2014")</f>
        <v>#NAME?</v>
      </c>
      <c r="AC40" s="16">
        <v>1828.7467956528999</v>
      </c>
    </row>
    <row r="41" spans="1:29" x14ac:dyDescent="0.35">
      <c r="A41" s="2" t="s">
        <v>51</v>
      </c>
      <c r="B41" s="4" t="s">
        <v>646</v>
      </c>
      <c r="C41" s="4" t="s">
        <v>601</v>
      </c>
      <c r="D41" s="4" t="s">
        <v>601</v>
      </c>
      <c r="E41" s="4" t="s">
        <v>602</v>
      </c>
      <c r="F41" s="4" t="s">
        <v>647</v>
      </c>
      <c r="G41" s="14">
        <v>146.68</v>
      </c>
      <c r="H41" s="10">
        <v>21.115278</v>
      </c>
      <c r="I41" s="10">
        <v>58.161458000000003</v>
      </c>
      <c r="J41" s="10" t="s">
        <v>534</v>
      </c>
      <c r="K41" s="15">
        <v>2.1543E-2</v>
      </c>
      <c r="L41" s="17">
        <v>64661.686307000004</v>
      </c>
      <c r="M41" s="4" t="s">
        <v>648</v>
      </c>
      <c r="N41" s="19">
        <v>2.5219450000000001</v>
      </c>
      <c r="O41" s="19">
        <v>3.5129999999999999</v>
      </c>
      <c r="P41" s="19">
        <v>2.67</v>
      </c>
      <c r="Q41" s="19">
        <v>3.3589000000000002</v>
      </c>
      <c r="R41" s="19">
        <v>1.98</v>
      </c>
      <c r="S41" s="19">
        <v>2.5825</v>
      </c>
      <c r="T41" s="19">
        <v>1.98</v>
      </c>
      <c r="U41" s="19">
        <v>2.2949999999999999</v>
      </c>
      <c r="V41" s="19">
        <v>2</v>
      </c>
      <c r="W41" s="19">
        <v>2.5792000000000002</v>
      </c>
      <c r="X41" s="19">
        <v>2</v>
      </c>
      <c r="Y41" s="19">
        <v>2.5792000000000002</v>
      </c>
      <c r="Z41" s="4"/>
      <c r="AA41" s="4"/>
      <c r="AB41" s="4" t="e">
        <f ca="1">_xll.ciqfunctions.udf.CIQ("^SPX", "IQ_PRICEDATE", "2/20/2014")</f>
        <v>#NAME?</v>
      </c>
      <c r="AC41" s="16">
        <v>1839.7822149358999</v>
      </c>
    </row>
    <row r="42" spans="1:29" x14ac:dyDescent="0.35">
      <c r="A42" s="2" t="s">
        <v>52</v>
      </c>
      <c r="B42" s="4" t="s">
        <v>649</v>
      </c>
      <c r="C42" s="4" t="s">
        <v>619</v>
      </c>
      <c r="D42" s="4" t="s">
        <v>619</v>
      </c>
      <c r="E42" s="4" t="s">
        <v>650</v>
      </c>
      <c r="F42" s="4" t="s">
        <v>650</v>
      </c>
      <c r="G42" s="14">
        <v>89.95</v>
      </c>
      <c r="H42" s="10">
        <v>14.688186999999999</v>
      </c>
      <c r="I42" s="10">
        <v>34.332061000000003</v>
      </c>
      <c r="J42" s="10">
        <v>4.0446179999999998</v>
      </c>
      <c r="K42" s="15">
        <v>2.0232999999999998E-2</v>
      </c>
      <c r="L42" s="17">
        <v>16235.273209999999</v>
      </c>
      <c r="M42" s="4" t="s">
        <v>651</v>
      </c>
      <c r="N42" s="19">
        <v>2.62</v>
      </c>
      <c r="O42" s="19">
        <v>3.3288000000000002</v>
      </c>
      <c r="P42" s="19">
        <v>2.38</v>
      </c>
      <c r="Q42" s="19">
        <v>3.1894</v>
      </c>
      <c r="R42" s="19">
        <v>2.62</v>
      </c>
      <c r="S42" s="19">
        <v>2.9403999999999999</v>
      </c>
      <c r="T42" s="19">
        <v>2.62</v>
      </c>
      <c r="U42" s="19">
        <v>2.7743000000000002</v>
      </c>
      <c r="V42" s="19">
        <v>2.39</v>
      </c>
      <c r="W42" s="19">
        <v>2.5543</v>
      </c>
      <c r="X42" s="19">
        <v>2.39</v>
      </c>
      <c r="Y42" s="19">
        <v>2.5543</v>
      </c>
      <c r="Z42" s="4"/>
      <c r="AA42" s="4"/>
      <c r="AB42" s="4" t="e">
        <f ca="1">_xll.ciqfunctions.udf.CIQ("^SPX", "IQ_PRICEDATE", "2/21/2014")</f>
        <v>#NAME?</v>
      </c>
      <c r="AC42" s="16">
        <v>1836.2461813611001</v>
      </c>
    </row>
    <row r="43" spans="1:29" x14ac:dyDescent="0.35">
      <c r="A43" s="2" t="s">
        <v>53</v>
      </c>
      <c r="B43" s="4" t="s">
        <v>652</v>
      </c>
      <c r="C43" s="4" t="s">
        <v>573</v>
      </c>
      <c r="D43" s="4" t="s">
        <v>574</v>
      </c>
      <c r="E43" s="4" t="s">
        <v>575</v>
      </c>
      <c r="F43" s="4" t="s">
        <v>576</v>
      </c>
      <c r="G43" s="14">
        <v>138.37</v>
      </c>
      <c r="H43" s="10">
        <v>5.8799390000000002</v>
      </c>
      <c r="I43" s="10">
        <v>12.130046999999999</v>
      </c>
      <c r="J43" s="10">
        <v>3.4941469999999999</v>
      </c>
      <c r="K43" s="15">
        <v>2.6017000000000002E-2</v>
      </c>
      <c r="L43" s="17">
        <v>19629.701201</v>
      </c>
      <c r="M43" s="4" t="s">
        <v>653</v>
      </c>
      <c r="N43" s="19">
        <v>11.407209999999999</v>
      </c>
      <c r="O43" s="19">
        <v>15.475300000000001</v>
      </c>
      <c r="P43" s="19">
        <v>9.44</v>
      </c>
      <c r="Q43" s="19">
        <v>12.704599999999999</v>
      </c>
      <c r="R43" s="19">
        <v>7.81</v>
      </c>
      <c r="S43" s="19">
        <v>10.0672</v>
      </c>
      <c r="T43" s="19">
        <v>7.81</v>
      </c>
      <c r="U43" s="19">
        <v>9.9716000000000005</v>
      </c>
      <c r="V43" s="19">
        <v>8.31</v>
      </c>
      <c r="W43" s="19">
        <v>9.2737999999999996</v>
      </c>
      <c r="X43" s="19">
        <v>8.31</v>
      </c>
      <c r="Y43" s="19">
        <v>9.2737999999999996</v>
      </c>
      <c r="Z43" s="4"/>
      <c r="AA43" s="4"/>
      <c r="AB43" s="4" t="e">
        <f ca="1">_xll.ciqfunctions.udf.CIQ("^SPX", "IQ_PRICEDATE", "2/24/2014")</f>
        <v>#NAME?</v>
      </c>
      <c r="AC43" s="16">
        <v>1847.6146440903001</v>
      </c>
    </row>
    <row r="44" spans="1:29" x14ac:dyDescent="0.35">
      <c r="A44" s="2" t="s">
        <v>54</v>
      </c>
      <c r="B44" s="4" t="s">
        <v>654</v>
      </c>
      <c r="C44" s="4" t="s">
        <v>530</v>
      </c>
      <c r="D44" s="4" t="s">
        <v>531</v>
      </c>
      <c r="E44" s="4" t="s">
        <v>569</v>
      </c>
      <c r="F44" s="4" t="s">
        <v>655</v>
      </c>
      <c r="G44" s="14">
        <v>93.76</v>
      </c>
      <c r="H44" s="10">
        <v>9.5782790000000002</v>
      </c>
      <c r="I44" s="10">
        <v>19.227425</v>
      </c>
      <c r="J44" s="10" t="s">
        <v>534</v>
      </c>
      <c r="K44" s="15">
        <v>1.6211E-2</v>
      </c>
      <c r="L44" s="17">
        <v>20285.598941</v>
      </c>
      <c r="M44" s="4" t="s">
        <v>656</v>
      </c>
      <c r="N44" s="19">
        <v>4.8763680000000003</v>
      </c>
      <c r="O44" s="19">
        <v>6.9241999999999999</v>
      </c>
      <c r="P44" s="19">
        <v>4.420153</v>
      </c>
      <c r="Q44" s="19">
        <v>6.0747600000000004</v>
      </c>
      <c r="R44" s="19">
        <v>5.9869690000000002</v>
      </c>
      <c r="S44" s="19">
        <v>5.7546099999999996</v>
      </c>
      <c r="T44" s="19">
        <v>5.9869690000000002</v>
      </c>
      <c r="U44" s="19">
        <v>5.8305100000000003</v>
      </c>
      <c r="V44" s="19">
        <v>0.15307399999999999</v>
      </c>
      <c r="W44" s="19">
        <v>4.4666899999999998</v>
      </c>
      <c r="X44" s="19">
        <v>0.15307399999999999</v>
      </c>
      <c r="Y44" s="19">
        <v>4.4666899999999998</v>
      </c>
      <c r="Z44" s="4"/>
      <c r="AA44" s="4"/>
      <c r="AB44" s="4" t="e">
        <f ca="1">_xll.ciqfunctions.udf.CIQ("^SPX", "IQ_PRICEDATE", "2/25/2014")</f>
        <v>#NAME?</v>
      </c>
      <c r="AC44" s="16">
        <v>1845.1199680528</v>
      </c>
    </row>
    <row r="45" spans="1:29" x14ac:dyDescent="0.35">
      <c r="A45" s="2" t="s">
        <v>55</v>
      </c>
      <c r="B45" s="4" t="s">
        <v>657</v>
      </c>
      <c r="C45" s="4" t="s">
        <v>525</v>
      </c>
      <c r="D45" s="4" t="s">
        <v>526</v>
      </c>
      <c r="E45" s="4" t="s">
        <v>658</v>
      </c>
      <c r="F45" s="4" t="s">
        <v>659</v>
      </c>
      <c r="G45" s="14">
        <v>73.31</v>
      </c>
      <c r="H45" s="10">
        <v>15.390796</v>
      </c>
      <c r="I45" s="10">
        <v>22.222995999999998</v>
      </c>
      <c r="J45" s="10" t="s">
        <v>534</v>
      </c>
      <c r="K45" s="15">
        <v>7.6380000000000007E-3</v>
      </c>
      <c r="L45" s="17">
        <v>17000.381020000001</v>
      </c>
      <c r="M45" s="4" t="s">
        <v>660</v>
      </c>
      <c r="N45" s="19">
        <v>3.298835</v>
      </c>
      <c r="O45" s="19">
        <v>3.3536000000000001</v>
      </c>
      <c r="P45" s="19">
        <v>2.94</v>
      </c>
      <c r="Q45" s="19">
        <v>2.8050999999999999</v>
      </c>
      <c r="R45" s="19">
        <v>2.19</v>
      </c>
      <c r="S45" s="19">
        <v>2.3963999999999999</v>
      </c>
      <c r="T45" s="19">
        <v>2.19</v>
      </c>
      <c r="U45" s="19">
        <v>2.6741999999999999</v>
      </c>
      <c r="V45" s="19">
        <v>2.37</v>
      </c>
      <c r="W45" s="19">
        <v>2.5880999999999998</v>
      </c>
      <c r="X45" s="19">
        <v>2.37</v>
      </c>
      <c r="Y45" s="19">
        <v>2.5880999999999998</v>
      </c>
      <c r="Z45" s="4"/>
      <c r="AA45" s="4"/>
      <c r="AB45" s="4" t="e">
        <f ca="1">_xll.ciqfunctions.udf.CIQ("^SPX", "IQ_PRICEDATE", "2/26/2014")</f>
        <v>#NAME?</v>
      </c>
      <c r="AC45" s="16">
        <v>1845.1639780911</v>
      </c>
    </row>
    <row r="46" spans="1:29" x14ac:dyDescent="0.35">
      <c r="A46" s="2" t="s">
        <v>56</v>
      </c>
      <c r="B46" s="4" t="s">
        <v>661</v>
      </c>
      <c r="C46" s="4" t="s">
        <v>530</v>
      </c>
      <c r="D46" s="4" t="s">
        <v>537</v>
      </c>
      <c r="E46" s="4" t="s">
        <v>538</v>
      </c>
      <c r="F46" s="4" t="s">
        <v>538</v>
      </c>
      <c r="G46" s="14">
        <v>202.77</v>
      </c>
      <c r="H46" s="10">
        <v>10.840305000000001</v>
      </c>
      <c r="I46" s="10">
        <v>60.741714999999999</v>
      </c>
      <c r="J46" s="10" t="s">
        <v>534</v>
      </c>
      <c r="K46" s="15">
        <v>2.6039E-2</v>
      </c>
      <c r="L46" s="17">
        <v>131247.35702600001</v>
      </c>
      <c r="M46" s="4" t="s">
        <v>662</v>
      </c>
      <c r="N46" s="19">
        <v>3.3382329999999998</v>
      </c>
      <c r="O46" s="19">
        <v>14.0382</v>
      </c>
      <c r="P46" s="19">
        <v>2.69</v>
      </c>
      <c r="Q46" s="19">
        <v>12.5274</v>
      </c>
      <c r="R46" s="19">
        <v>10.24</v>
      </c>
      <c r="S46" s="19">
        <v>11.9491</v>
      </c>
      <c r="T46" s="19">
        <v>10.24</v>
      </c>
      <c r="U46" s="19">
        <v>10.189399999999999</v>
      </c>
      <c r="V46" s="19">
        <v>6.7</v>
      </c>
      <c r="W46" s="19">
        <v>8.8605</v>
      </c>
      <c r="X46" s="19">
        <v>6.7</v>
      </c>
      <c r="Y46" s="19">
        <v>8.8605</v>
      </c>
      <c r="Z46" s="4"/>
      <c r="AA46" s="4"/>
      <c r="AB46" s="4" t="e">
        <f ca="1">_xll.ciqfunctions.udf.CIQ("^SPX", "IQ_PRICEDATE", "2/27/2014")</f>
        <v>#NAME?</v>
      </c>
      <c r="AC46" s="16">
        <v>1854.2920045507999</v>
      </c>
    </row>
    <row r="47" spans="1:29" x14ac:dyDescent="0.35">
      <c r="A47" s="2" t="s">
        <v>57</v>
      </c>
      <c r="B47" s="4" t="s">
        <v>663</v>
      </c>
      <c r="C47" s="4" t="s">
        <v>543</v>
      </c>
      <c r="D47" s="4" t="s">
        <v>664</v>
      </c>
      <c r="E47" s="4" t="s">
        <v>665</v>
      </c>
      <c r="F47" s="4" t="s">
        <v>666</v>
      </c>
      <c r="G47" s="14">
        <v>85.83</v>
      </c>
      <c r="H47" s="10">
        <v>15.702054</v>
      </c>
      <c r="I47" s="10">
        <v>37.384796999999999</v>
      </c>
      <c r="J47" s="10" t="s">
        <v>534</v>
      </c>
      <c r="K47" s="15">
        <v>1.0718E-2</v>
      </c>
      <c r="L47" s="17">
        <v>25779.260396000001</v>
      </c>
      <c r="M47" s="4" t="s">
        <v>667</v>
      </c>
      <c r="N47" s="19">
        <v>2.2958530000000001</v>
      </c>
      <c r="O47" s="19">
        <v>3.7726999999999999</v>
      </c>
      <c r="P47" s="19">
        <v>2.06</v>
      </c>
      <c r="Q47" s="19">
        <v>3.3321000000000001</v>
      </c>
      <c r="R47" s="19">
        <v>2.61</v>
      </c>
      <c r="S47" s="19">
        <v>2.9285000000000001</v>
      </c>
      <c r="T47" s="19">
        <v>2.61</v>
      </c>
      <c r="U47" s="19">
        <v>2.4822000000000002</v>
      </c>
      <c r="V47" s="19">
        <v>2.21</v>
      </c>
      <c r="W47" s="19">
        <v>2.411</v>
      </c>
      <c r="X47" s="19">
        <v>2.21</v>
      </c>
      <c r="Y47" s="19">
        <v>2.411</v>
      </c>
      <c r="Z47" s="4"/>
      <c r="AA47" s="4"/>
      <c r="AB47" s="4" t="e">
        <f ca="1">_xll.ciqfunctions.udf.CIQ("^SPX", "IQ_PRICEDATE", "2/28/2014")</f>
        <v>#NAME?</v>
      </c>
      <c r="AC47" s="16">
        <v>1859.4493719912</v>
      </c>
    </row>
    <row r="48" spans="1:29" x14ac:dyDescent="0.35">
      <c r="A48" s="2" t="s">
        <v>58</v>
      </c>
      <c r="B48" s="4" t="s">
        <v>668</v>
      </c>
      <c r="C48" s="4" t="s">
        <v>669</v>
      </c>
      <c r="D48" s="4" t="s">
        <v>669</v>
      </c>
      <c r="E48" s="4" t="s">
        <v>670</v>
      </c>
      <c r="F48" s="4" t="s">
        <v>671</v>
      </c>
      <c r="G48" s="14">
        <v>67.05</v>
      </c>
      <c r="H48" s="10">
        <v>10.743789</v>
      </c>
      <c r="I48" s="10">
        <v>85.307079999999999</v>
      </c>
      <c r="J48" s="10">
        <v>10.329324</v>
      </c>
      <c r="K48" s="15">
        <v>1.4914E-2</v>
      </c>
      <c r="L48" s="17">
        <v>34334.632974</v>
      </c>
      <c r="M48" s="4" t="s">
        <v>672</v>
      </c>
      <c r="N48" s="19">
        <v>0.78598400000000002</v>
      </c>
      <c r="O48" s="19">
        <v>4.0381</v>
      </c>
      <c r="P48" s="19">
        <v>-0.85036400000000001</v>
      </c>
      <c r="Q48" s="19">
        <v>-0.4073</v>
      </c>
      <c r="R48" s="19">
        <v>-5.8984670000000001</v>
      </c>
      <c r="S48" s="19">
        <v>-0.56389999999999996</v>
      </c>
      <c r="T48" s="19">
        <v>-5.8984670000000001</v>
      </c>
      <c r="U48" s="19">
        <v>-2.6663000000000001</v>
      </c>
      <c r="V48" s="19">
        <v>-3.47</v>
      </c>
      <c r="W48" s="19">
        <v>2.8883000000000001</v>
      </c>
      <c r="X48" s="19">
        <v>-3.47</v>
      </c>
      <c r="Y48" s="19">
        <v>2.8883000000000001</v>
      </c>
      <c r="Z48" s="4"/>
      <c r="AA48" s="4"/>
      <c r="AB48" s="4" t="e">
        <f ca="1">_xll.ciqfunctions.udf.CIQ("^SPX", "IQ_PRICEDATE", "3/3/2014")</f>
        <v>#NAME?</v>
      </c>
      <c r="AC48" s="16">
        <v>1845.7344417764</v>
      </c>
    </row>
    <row r="49" spans="1:29" x14ac:dyDescent="0.35">
      <c r="A49" s="2" t="s">
        <v>59</v>
      </c>
      <c r="B49" s="4" t="s">
        <v>673</v>
      </c>
      <c r="C49" s="4" t="s">
        <v>543</v>
      </c>
      <c r="D49" s="4" t="s">
        <v>565</v>
      </c>
      <c r="E49" s="4" t="s">
        <v>565</v>
      </c>
      <c r="F49" s="4" t="s">
        <v>566</v>
      </c>
      <c r="G49" s="14">
        <v>85.25</v>
      </c>
      <c r="H49" s="10">
        <v>13.499216000000001</v>
      </c>
      <c r="I49" s="10">
        <v>22.70299</v>
      </c>
      <c r="J49" s="10" t="s">
        <v>534</v>
      </c>
      <c r="K49" s="15">
        <v>2.2520999999999999E-2</v>
      </c>
      <c r="L49" s="17">
        <v>31684.864602000001</v>
      </c>
      <c r="M49" s="4" t="s">
        <v>674</v>
      </c>
      <c r="N49" s="19">
        <v>3.7550119999999998</v>
      </c>
      <c r="O49" s="19">
        <v>5.819</v>
      </c>
      <c r="P49" s="19">
        <v>2.0699999999999998</v>
      </c>
      <c r="Q49" s="19">
        <v>5.1731600000000002</v>
      </c>
      <c r="R49" s="19">
        <v>2.76</v>
      </c>
      <c r="S49" s="19">
        <v>3.40123</v>
      </c>
      <c r="T49" s="19">
        <v>2.76</v>
      </c>
      <c r="U49" s="19">
        <v>3.2889200000000001</v>
      </c>
      <c r="V49" s="19">
        <v>1.98</v>
      </c>
      <c r="W49" s="19">
        <v>2.8330899999999999</v>
      </c>
      <c r="X49" s="19">
        <v>1.98</v>
      </c>
      <c r="Y49" s="19">
        <v>2.8330899999999999</v>
      </c>
      <c r="Z49" s="4"/>
      <c r="AA49" s="4"/>
      <c r="AB49" s="4" t="e">
        <f ca="1">_xll.ciqfunctions.udf.CIQ("^SPX", "IQ_PRICEDATE", "3/4/2014")</f>
        <v>#NAME?</v>
      </c>
      <c r="AC49" s="16">
        <v>1873.9137272164</v>
      </c>
    </row>
    <row r="50" spans="1:29" x14ac:dyDescent="0.35">
      <c r="A50" s="2" t="s">
        <v>60</v>
      </c>
      <c r="B50" s="4" t="s">
        <v>675</v>
      </c>
      <c r="C50" s="4" t="s">
        <v>543</v>
      </c>
      <c r="D50" s="4" t="s">
        <v>544</v>
      </c>
      <c r="E50" s="4" t="s">
        <v>555</v>
      </c>
      <c r="F50" s="4" t="s">
        <v>556</v>
      </c>
      <c r="G50" s="14">
        <v>158.85</v>
      </c>
      <c r="H50" s="10">
        <v>27.055145</v>
      </c>
      <c r="I50" s="10">
        <v>45.285257999999999</v>
      </c>
      <c r="J50" s="10">
        <v>19.048786</v>
      </c>
      <c r="K50" s="15">
        <v>0</v>
      </c>
      <c r="L50" s="17">
        <v>13390.707753999999</v>
      </c>
      <c r="M50" s="4" t="s">
        <v>676</v>
      </c>
      <c r="N50" s="19">
        <v>3.5077639999999999</v>
      </c>
      <c r="O50" s="19">
        <v>5.1750999999999996</v>
      </c>
      <c r="P50" s="19">
        <v>2.98</v>
      </c>
      <c r="Q50" s="19">
        <v>4.1280999999999999</v>
      </c>
      <c r="R50" s="19">
        <v>2.99</v>
      </c>
      <c r="S50" s="19">
        <v>3.7214</v>
      </c>
      <c r="T50" s="19">
        <v>2.99</v>
      </c>
      <c r="U50" s="19">
        <v>3.5400999999999998</v>
      </c>
      <c r="V50" s="19">
        <v>2.7</v>
      </c>
      <c r="W50" s="19">
        <v>3.4318</v>
      </c>
      <c r="X50" s="19">
        <v>2.7</v>
      </c>
      <c r="Y50" s="19">
        <v>3.4318</v>
      </c>
      <c r="Z50" s="4"/>
      <c r="AA50" s="4"/>
      <c r="AB50" s="4" t="e">
        <f ca="1">_xll.ciqfunctions.udf.CIQ("^SPX", "IQ_PRICEDATE", "3/5/2014")</f>
        <v>#NAME?</v>
      </c>
      <c r="AC50" s="16">
        <v>1873.8115208239999</v>
      </c>
    </row>
    <row r="51" spans="1:29" x14ac:dyDescent="0.35">
      <c r="A51" s="2" t="s">
        <v>61</v>
      </c>
      <c r="B51" s="4" t="s">
        <v>677</v>
      </c>
      <c r="C51" s="4" t="s">
        <v>530</v>
      </c>
      <c r="D51" s="4" t="s">
        <v>531</v>
      </c>
      <c r="E51" s="4" t="s">
        <v>569</v>
      </c>
      <c r="F51" s="4" t="s">
        <v>570</v>
      </c>
      <c r="G51" s="14">
        <v>279.58</v>
      </c>
      <c r="H51" s="10">
        <v>14.451527</v>
      </c>
      <c r="I51" s="10">
        <v>17.014026000000001</v>
      </c>
      <c r="J51" s="10" t="s">
        <v>534</v>
      </c>
      <c r="K51" s="15">
        <v>1.073E-2</v>
      </c>
      <c r="L51" s="17">
        <v>72677.849295000007</v>
      </c>
      <c r="M51" s="4" t="s">
        <v>678</v>
      </c>
      <c r="N51" s="19">
        <v>16.432324000000001</v>
      </c>
      <c r="O51" s="19">
        <v>16.466000000000001</v>
      </c>
      <c r="P51" s="19">
        <v>14.35</v>
      </c>
      <c r="Q51" s="19">
        <v>12.1853</v>
      </c>
      <c r="R51" s="19">
        <v>9.2100000000000009</v>
      </c>
      <c r="S51" s="19">
        <v>11.354699999999999</v>
      </c>
      <c r="T51" s="19">
        <v>9.2100000000000009</v>
      </c>
      <c r="U51" s="19">
        <v>10.542</v>
      </c>
      <c r="V51" s="19">
        <v>8.9600000000000009</v>
      </c>
      <c r="W51" s="19">
        <v>9.2853999999999992</v>
      </c>
      <c r="X51" s="19">
        <v>8.9600000000000009</v>
      </c>
      <c r="Y51" s="19">
        <v>9.2853999999999992</v>
      </c>
      <c r="Z51" s="4"/>
      <c r="AA51" s="4"/>
      <c r="AB51" s="4" t="e">
        <f ca="1">_xll.ciqfunctions.udf.CIQ("^SPX", "IQ_PRICEDATE", "3/6/2014")</f>
        <v>#NAME?</v>
      </c>
      <c r="AC51" s="16">
        <v>1877.0258953811001</v>
      </c>
    </row>
    <row r="52" spans="1:29" x14ac:dyDescent="0.35">
      <c r="A52" s="2" t="s">
        <v>62</v>
      </c>
      <c r="B52" s="4" t="s">
        <v>679</v>
      </c>
      <c r="C52" s="4" t="s">
        <v>573</v>
      </c>
      <c r="D52" s="4" t="s">
        <v>579</v>
      </c>
      <c r="E52" s="4" t="s">
        <v>579</v>
      </c>
      <c r="F52" s="4" t="s">
        <v>680</v>
      </c>
      <c r="G52" s="14">
        <v>150.46</v>
      </c>
      <c r="H52" s="10">
        <v>18.739305999999999</v>
      </c>
      <c r="I52" s="10">
        <v>45.505878000000003</v>
      </c>
      <c r="J52" s="10" t="s">
        <v>534</v>
      </c>
      <c r="K52" s="15">
        <v>1.0633999999999999E-2</v>
      </c>
      <c r="L52" s="17">
        <v>36509.922908</v>
      </c>
      <c r="M52" s="4" t="s">
        <v>681</v>
      </c>
      <c r="N52" s="19">
        <v>3.3063859999999998</v>
      </c>
      <c r="O52" s="19">
        <v>8.5817999999999994</v>
      </c>
      <c r="P52" s="19">
        <v>1.53</v>
      </c>
      <c r="Q52" s="19">
        <v>7.5286999999999997</v>
      </c>
      <c r="R52" s="19">
        <v>4.51</v>
      </c>
      <c r="S52" s="19">
        <v>6.8296000000000001</v>
      </c>
      <c r="T52" s="19">
        <v>4.51</v>
      </c>
      <c r="U52" s="19">
        <v>6.2182000000000004</v>
      </c>
      <c r="V52" s="19">
        <v>4.6628829999999999</v>
      </c>
      <c r="W52" s="19">
        <v>5.8129</v>
      </c>
      <c r="X52" s="19">
        <v>4.6628829999999999</v>
      </c>
      <c r="Y52" s="19">
        <v>5.8129</v>
      </c>
      <c r="Z52" s="4"/>
      <c r="AA52" s="4"/>
      <c r="AB52" s="4" t="e">
        <f ca="1">_xll.ciqfunctions.udf.CIQ("^SPX", "IQ_PRICEDATE", "3/7/2014")</f>
        <v>#NAME?</v>
      </c>
      <c r="AC52" s="16">
        <v>1878.0391851899001</v>
      </c>
    </row>
    <row r="53" spans="1:29" x14ac:dyDescent="0.35">
      <c r="A53" s="2" t="s">
        <v>63</v>
      </c>
      <c r="B53" s="4" t="s">
        <v>682</v>
      </c>
      <c r="C53" s="4" t="s">
        <v>669</v>
      </c>
      <c r="D53" s="4" t="s">
        <v>669</v>
      </c>
      <c r="E53" s="4" t="s">
        <v>670</v>
      </c>
      <c r="F53" s="4" t="s">
        <v>671</v>
      </c>
      <c r="G53" s="14">
        <v>43.28</v>
      </c>
      <c r="H53" s="10">
        <v>6.2995989999999997</v>
      </c>
      <c r="I53" s="10">
        <v>19.326829</v>
      </c>
      <c r="J53" s="10">
        <v>2.166601</v>
      </c>
      <c r="K53" s="15">
        <v>2.3105000000000001E-2</v>
      </c>
      <c r="L53" s="17">
        <v>16553.992045999999</v>
      </c>
      <c r="M53" s="4" t="s">
        <v>683</v>
      </c>
      <c r="N53" s="19">
        <v>2.2393740000000002</v>
      </c>
      <c r="O53" s="19">
        <v>2.0139999999999998</v>
      </c>
      <c r="P53" s="19">
        <v>3.41</v>
      </c>
      <c r="Q53" s="19">
        <v>0.89849999999999997</v>
      </c>
      <c r="R53" s="19">
        <v>-3.6200519999999998</v>
      </c>
      <c r="S53" s="19">
        <v>1.1649</v>
      </c>
      <c r="T53" s="19">
        <v>-3.6200519999999998</v>
      </c>
      <c r="U53" s="19">
        <v>-0.7903</v>
      </c>
      <c r="V53" s="19">
        <v>-17.325520000000001</v>
      </c>
      <c r="W53" s="19">
        <v>1.9764999999999999</v>
      </c>
      <c r="X53" s="19">
        <v>-17.325520000000001</v>
      </c>
      <c r="Y53" s="19">
        <v>1.9764999999999999</v>
      </c>
      <c r="Z53" s="4"/>
      <c r="AA53" s="4"/>
      <c r="AB53" s="4" t="e">
        <f ca="1">_xll.ciqfunctions.udf.CIQ("^SPX", "IQ_PRICEDATE", "3/10/2014")</f>
        <v>#NAME?</v>
      </c>
      <c r="AC53" s="16">
        <v>1877.1738938220001</v>
      </c>
    </row>
    <row r="54" spans="1:29" x14ac:dyDescent="0.35">
      <c r="A54" s="2" t="s">
        <v>64</v>
      </c>
      <c r="B54" s="4" t="s">
        <v>684</v>
      </c>
      <c r="C54" s="4" t="s">
        <v>601</v>
      </c>
      <c r="D54" s="4" t="s">
        <v>601</v>
      </c>
      <c r="E54" s="4" t="s">
        <v>602</v>
      </c>
      <c r="F54" s="4" t="s">
        <v>685</v>
      </c>
      <c r="G54" s="14">
        <v>42.84</v>
      </c>
      <c r="H54" s="10">
        <v>18.993903</v>
      </c>
      <c r="I54" s="10">
        <v>18.426662</v>
      </c>
      <c r="J54" s="10">
        <v>4.5242969999999998</v>
      </c>
      <c r="K54" s="15">
        <v>3.5479999999999998E-2</v>
      </c>
      <c r="L54" s="17">
        <v>6740.935176</v>
      </c>
      <c r="M54" s="4" t="s">
        <v>686</v>
      </c>
      <c r="N54" s="19">
        <v>2.3248920000000002</v>
      </c>
      <c r="O54" s="19">
        <v>0.33029999999999998</v>
      </c>
      <c r="P54" s="19">
        <v>1.96</v>
      </c>
      <c r="Q54" s="19">
        <v>0.66559999999999997</v>
      </c>
      <c r="R54" s="19">
        <v>2.67</v>
      </c>
      <c r="S54" s="19">
        <v>0.29970000000000002</v>
      </c>
      <c r="T54" s="19">
        <v>2.67</v>
      </c>
      <c r="U54" s="19">
        <v>0.47310000000000002</v>
      </c>
      <c r="V54" s="19">
        <v>2.06</v>
      </c>
      <c r="W54" s="19">
        <v>0.43669999999999998</v>
      </c>
      <c r="X54" s="19">
        <v>2.06</v>
      </c>
      <c r="Y54" s="19">
        <v>0.43669999999999998</v>
      </c>
      <c r="Z54" s="4"/>
      <c r="AA54" s="4"/>
      <c r="AB54" s="4" t="e">
        <f ca="1">_xll.ciqfunctions.udf.CIQ("^SPX", "IQ_PRICEDATE", "3/11/2014")</f>
        <v>#NAME?</v>
      </c>
      <c r="AC54" s="16">
        <v>1867.6260374315</v>
      </c>
    </row>
    <row r="55" spans="1:29" x14ac:dyDescent="0.35">
      <c r="A55" s="2" t="s">
        <v>65</v>
      </c>
      <c r="B55" s="4" t="s">
        <v>687</v>
      </c>
      <c r="C55" s="4" t="s">
        <v>543</v>
      </c>
      <c r="D55" s="4" t="s">
        <v>664</v>
      </c>
      <c r="E55" s="4" t="s">
        <v>688</v>
      </c>
      <c r="F55" s="4" t="s">
        <v>688</v>
      </c>
      <c r="G55" s="14">
        <v>221.19</v>
      </c>
      <c r="H55" s="10">
        <v>14.159171000000001</v>
      </c>
      <c r="I55" s="10">
        <v>20.039470000000001</v>
      </c>
      <c r="J55" s="10">
        <v>9.3189569999999993</v>
      </c>
      <c r="K55" s="15">
        <v>1.3201000000000001E-2</v>
      </c>
      <c r="L55" s="17">
        <v>1068332.2167</v>
      </c>
      <c r="M55" s="4" t="s">
        <v>689</v>
      </c>
      <c r="N55" s="19">
        <v>11.037717000000001</v>
      </c>
      <c r="O55" s="19">
        <v>13.3803</v>
      </c>
      <c r="P55" s="19">
        <v>9.7002210000000009</v>
      </c>
      <c r="Q55" s="19">
        <v>11.456049999999999</v>
      </c>
      <c r="R55" s="19">
        <v>8.3295469999999998</v>
      </c>
      <c r="S55" s="19">
        <v>9.0141500000000008</v>
      </c>
      <c r="T55" s="19">
        <v>8.3295469999999998</v>
      </c>
      <c r="U55" s="19">
        <v>9.7505699999999997</v>
      </c>
      <c r="V55" s="19">
        <v>7.3854069999999998</v>
      </c>
      <c r="W55" s="19">
        <v>7.7707300000000004</v>
      </c>
      <c r="X55" s="19">
        <v>7.3854069999999998</v>
      </c>
      <c r="Y55" s="19">
        <v>7.7707300000000004</v>
      </c>
      <c r="Z55" s="4"/>
      <c r="AA55" s="4"/>
      <c r="AB55" s="4" t="e">
        <f ca="1">_xll.ciqfunctions.udf.CIQ("^SPX", "IQ_PRICEDATE", "3/12/2014")</f>
        <v>#NAME?</v>
      </c>
      <c r="AC55" s="16">
        <v>1868.1951226484</v>
      </c>
    </row>
    <row r="56" spans="1:29" x14ac:dyDescent="0.35">
      <c r="A56" s="2" t="s">
        <v>66</v>
      </c>
      <c r="B56" s="4" t="s">
        <v>690</v>
      </c>
      <c r="C56" s="4" t="s">
        <v>543</v>
      </c>
      <c r="D56" s="4" t="s">
        <v>565</v>
      </c>
      <c r="E56" s="4" t="s">
        <v>565</v>
      </c>
      <c r="F56" s="4" t="s">
        <v>691</v>
      </c>
      <c r="G56" s="14">
        <v>34.96</v>
      </c>
      <c r="H56" s="10">
        <v>6.7097850000000001</v>
      </c>
      <c r="I56" s="10">
        <v>10.708788999999999</v>
      </c>
      <c r="J56" s="10">
        <v>10.759346000000001</v>
      </c>
      <c r="K56" s="15">
        <v>2.2883000000000001E-2</v>
      </c>
      <c r="L56" s="17">
        <v>34365.348614000002</v>
      </c>
      <c r="M56" s="4" t="s">
        <v>692</v>
      </c>
      <c r="N56" s="19">
        <v>3.264608</v>
      </c>
      <c r="O56" s="19">
        <v>3.9666999999999999</v>
      </c>
      <c r="P56" s="19">
        <v>3.17</v>
      </c>
      <c r="Q56" s="19">
        <v>4.0048399999999997</v>
      </c>
      <c r="R56" s="19">
        <v>1.54</v>
      </c>
      <c r="S56" s="19">
        <v>2.37785</v>
      </c>
      <c r="T56" s="19">
        <v>1.54</v>
      </c>
      <c r="U56" s="19">
        <v>1.2066399999999999</v>
      </c>
      <c r="V56" s="19">
        <v>0.87</v>
      </c>
      <c r="W56" s="19">
        <v>1.30138</v>
      </c>
      <c r="X56" s="19">
        <v>0.87</v>
      </c>
      <c r="Y56" s="19">
        <v>1.30138</v>
      </c>
      <c r="Z56" s="4"/>
      <c r="AA56" s="4"/>
      <c r="AB56" s="4" t="e">
        <f ca="1">_xll.ciqfunctions.udf.CIQ("^SPX", "IQ_PRICEDATE", "3/13/2014")</f>
        <v>#NAME?</v>
      </c>
      <c r="AC56" s="16">
        <v>1846.3448121255001</v>
      </c>
    </row>
    <row r="57" spans="1:29" x14ac:dyDescent="0.35">
      <c r="A57" s="2" t="s">
        <v>67</v>
      </c>
      <c r="B57" s="4" t="s">
        <v>693</v>
      </c>
      <c r="C57" s="4" t="s">
        <v>559</v>
      </c>
      <c r="D57" s="4" t="s">
        <v>694</v>
      </c>
      <c r="E57" s="4" t="s">
        <v>695</v>
      </c>
      <c r="F57" s="4" t="s">
        <v>696</v>
      </c>
      <c r="G57" s="14">
        <v>73.98</v>
      </c>
      <c r="H57" s="10">
        <v>10.14565</v>
      </c>
      <c r="I57" s="10">
        <v>18.121883</v>
      </c>
      <c r="J57" s="10">
        <v>161.92789999999999</v>
      </c>
      <c r="K57" s="15">
        <v>1.1894999999999999E-2</v>
      </c>
      <c r="L57" s="17">
        <v>19585.316129999999</v>
      </c>
      <c r="M57" s="4" t="s">
        <v>697</v>
      </c>
      <c r="N57" s="19">
        <v>4.082357</v>
      </c>
      <c r="O57" s="19">
        <v>5.5492999999999997</v>
      </c>
      <c r="P57" s="19">
        <v>3.6982119999999998</v>
      </c>
      <c r="Q57" s="19">
        <v>5.1178999999999997</v>
      </c>
      <c r="R57" s="19">
        <v>2.9166349999999999</v>
      </c>
      <c r="S57" s="19">
        <v>6.3044000000000002</v>
      </c>
      <c r="T57" s="19">
        <v>2.9166349999999999</v>
      </c>
      <c r="U57" s="19">
        <v>5.9668999999999999</v>
      </c>
      <c r="V57" s="19">
        <v>4.2812520000000003</v>
      </c>
      <c r="W57" s="19">
        <v>5.5155000000000003</v>
      </c>
      <c r="X57" s="19">
        <v>4.2812520000000003</v>
      </c>
      <c r="Y57" s="19">
        <v>5.5155000000000003</v>
      </c>
      <c r="Z57" s="4"/>
      <c r="AA57" s="4"/>
      <c r="AB57" s="4" t="e">
        <f ca="1">_xll.ciqfunctions.udf.CIQ("^SPX", "IQ_PRICEDATE", "3/14/2014")</f>
        <v>#NAME?</v>
      </c>
      <c r="AC57" s="16">
        <v>1841.1335089520001</v>
      </c>
    </row>
    <row r="58" spans="1:29" x14ac:dyDescent="0.35">
      <c r="A58" s="2" t="s">
        <v>68</v>
      </c>
      <c r="B58" s="4" t="s">
        <v>698</v>
      </c>
      <c r="C58" s="4" t="s">
        <v>626</v>
      </c>
      <c r="D58" s="4" t="s">
        <v>627</v>
      </c>
      <c r="E58" s="4" t="s">
        <v>699</v>
      </c>
      <c r="F58" s="4" t="s">
        <v>700</v>
      </c>
      <c r="G58" s="14">
        <v>49.03</v>
      </c>
      <c r="H58" s="10">
        <v>10.862416</v>
      </c>
      <c r="I58" s="10">
        <v>14.316916000000001</v>
      </c>
      <c r="J58" s="10">
        <v>1.8424149999999999</v>
      </c>
      <c r="K58" s="15">
        <v>2.733E-2</v>
      </c>
      <c r="L58" s="17">
        <v>27443.924623999999</v>
      </c>
      <c r="M58" s="4" t="s">
        <v>701</v>
      </c>
      <c r="N58" s="19">
        <v>3.42462</v>
      </c>
      <c r="O58" s="19">
        <v>3.6072000000000002</v>
      </c>
      <c r="P58" s="19">
        <v>2.79</v>
      </c>
      <c r="Q58" s="19">
        <v>2.6318000000000001</v>
      </c>
      <c r="R58" s="19">
        <v>2.16</v>
      </c>
      <c r="S58" s="19">
        <v>2.8992</v>
      </c>
      <c r="T58" s="19">
        <v>2.16</v>
      </c>
      <c r="U58" s="19">
        <v>2.9195000000000002</v>
      </c>
      <c r="V58" s="19">
        <v>3.43</v>
      </c>
      <c r="W58" s="19">
        <v>3.5432000000000001</v>
      </c>
      <c r="X58" s="19">
        <v>3.43</v>
      </c>
      <c r="Y58" s="19">
        <v>3.5432000000000001</v>
      </c>
      <c r="Z58" s="4"/>
      <c r="AA58" s="4"/>
      <c r="AB58" s="4" t="e">
        <f ca="1">_xll.ciqfunctions.udf.CIQ("^SPX", "IQ_PRICEDATE", "3/17/2014")</f>
        <v>#NAME?</v>
      </c>
      <c r="AC58" s="16">
        <v>1858.8322294687</v>
      </c>
    </row>
    <row r="59" spans="1:29" x14ac:dyDescent="0.35">
      <c r="A59" s="2" t="s">
        <v>69</v>
      </c>
      <c r="B59" s="4" t="s">
        <v>702</v>
      </c>
      <c r="C59" s="4" t="s">
        <v>525</v>
      </c>
      <c r="D59" s="4" t="s">
        <v>526</v>
      </c>
      <c r="E59" s="4" t="s">
        <v>703</v>
      </c>
      <c r="F59" s="4" t="s">
        <v>703</v>
      </c>
      <c r="G59" s="14">
        <v>22.52</v>
      </c>
      <c r="H59" s="10">
        <v>9.0503370000000007</v>
      </c>
      <c r="I59" s="10" t="s">
        <v>534</v>
      </c>
      <c r="J59" s="10" t="s">
        <v>534</v>
      </c>
      <c r="K59" s="15">
        <v>1.0657000000000002E-2</v>
      </c>
      <c r="L59" s="17">
        <v>10876.140249</v>
      </c>
      <c r="M59" s="4" t="s">
        <v>704</v>
      </c>
      <c r="N59" s="19">
        <v>-0.83657099999999995</v>
      </c>
      <c r="O59" s="19">
        <v>1.3976</v>
      </c>
      <c r="P59" s="19">
        <v>-0.28159600000000001</v>
      </c>
      <c r="Q59" s="19">
        <v>1.3622000000000001</v>
      </c>
      <c r="R59" s="19">
        <v>-2.5821909999999999</v>
      </c>
      <c r="S59" s="19">
        <v>1.2056500000000001</v>
      </c>
      <c r="T59" s="19">
        <v>-2.5821909999999999</v>
      </c>
      <c r="U59" s="19">
        <v>0</v>
      </c>
      <c r="V59" s="19">
        <v>-0.21188599999999999</v>
      </c>
      <c r="W59" s="19">
        <v>0</v>
      </c>
      <c r="X59" s="19">
        <v>-0.21188599999999999</v>
      </c>
      <c r="Y59" s="19">
        <v>0</v>
      </c>
      <c r="Z59" s="4"/>
      <c r="AA59" s="4"/>
      <c r="AB59" s="4" t="e">
        <f ca="1">_xll.ciqfunctions.udf.CIQ("^SPX", "IQ_PRICEDATE", "3/18/2014")</f>
        <v>#NAME?</v>
      </c>
      <c r="AC59" s="16">
        <v>1872.2515034585999</v>
      </c>
    </row>
    <row r="60" spans="1:29" x14ac:dyDescent="0.35">
      <c r="A60" s="2" t="s">
        <v>70</v>
      </c>
      <c r="B60" s="4" t="s">
        <v>705</v>
      </c>
      <c r="C60" s="4" t="s">
        <v>543</v>
      </c>
      <c r="D60" s="4" t="s">
        <v>664</v>
      </c>
      <c r="E60" s="4" t="s">
        <v>706</v>
      </c>
      <c r="F60" s="4" t="s">
        <v>706</v>
      </c>
      <c r="G60" s="14">
        <v>238.95</v>
      </c>
      <c r="H60" s="10">
        <v>26.489977</v>
      </c>
      <c r="I60" s="10">
        <v>81.112485000000007</v>
      </c>
      <c r="J60" s="10">
        <v>10.390459</v>
      </c>
      <c r="K60" s="15">
        <v>0</v>
      </c>
      <c r="L60" s="17">
        <v>17879.120487</v>
      </c>
      <c r="M60" s="4" t="s">
        <v>707</v>
      </c>
      <c r="N60" s="19">
        <v>2.9459089999999999</v>
      </c>
      <c r="O60" s="19">
        <v>7.7565999999999997</v>
      </c>
      <c r="P60" s="19">
        <v>5.349253</v>
      </c>
      <c r="Q60" s="19">
        <v>5.8776999999999999</v>
      </c>
      <c r="R60" s="19">
        <v>2.499781</v>
      </c>
      <c r="S60" s="19">
        <v>3.2968000000000002</v>
      </c>
      <c r="T60" s="19">
        <v>2.499781</v>
      </c>
      <c r="U60" s="19">
        <v>2.4504000000000001</v>
      </c>
      <c r="V60" s="19">
        <v>1.291884</v>
      </c>
      <c r="W60" s="19">
        <v>1.4689000000000001</v>
      </c>
      <c r="X60" s="19">
        <v>1.291884</v>
      </c>
      <c r="Y60" s="19">
        <v>1.4689000000000001</v>
      </c>
      <c r="Z60" s="4"/>
      <c r="AA60" s="4"/>
      <c r="AB60" s="4" t="e">
        <f ca="1">_xll.ciqfunctions.udf.CIQ("^SPX", "IQ_PRICEDATE", "3/19/2014")</f>
        <v>#NAME?</v>
      </c>
      <c r="AC60" s="16">
        <v>1860.771428732</v>
      </c>
    </row>
    <row r="61" spans="1:29" x14ac:dyDescent="0.35">
      <c r="A61" s="2" t="s">
        <v>71</v>
      </c>
      <c r="B61" s="4" t="s">
        <v>708</v>
      </c>
      <c r="C61" s="4" t="s">
        <v>573</v>
      </c>
      <c r="D61" s="4" t="s">
        <v>579</v>
      </c>
      <c r="E61" s="4" t="s">
        <v>579</v>
      </c>
      <c r="F61" s="4" t="s">
        <v>680</v>
      </c>
      <c r="G61" s="14">
        <v>72.11</v>
      </c>
      <c r="H61" s="10">
        <v>15.740428</v>
      </c>
      <c r="I61" s="10">
        <v>24.028448000000001</v>
      </c>
      <c r="J61" s="10" t="s">
        <v>534</v>
      </c>
      <c r="K61" s="15">
        <v>2.2743000000000003E-2</v>
      </c>
      <c r="L61" s="17">
        <v>13168.151320000001</v>
      </c>
      <c r="M61" s="4" t="s">
        <v>709</v>
      </c>
      <c r="N61" s="19">
        <v>3.001026</v>
      </c>
      <c r="O61" s="19">
        <v>3.6972</v>
      </c>
      <c r="P61" s="19">
        <v>2.54</v>
      </c>
      <c r="Q61" s="19">
        <v>3.2663000000000002</v>
      </c>
      <c r="R61" s="19">
        <v>2.3199999999999998</v>
      </c>
      <c r="S61" s="19">
        <v>2.9754</v>
      </c>
      <c r="T61" s="19">
        <v>2.3199999999999998</v>
      </c>
      <c r="U61" s="19">
        <v>2.6560000000000001</v>
      </c>
      <c r="V61" s="19">
        <v>1.97</v>
      </c>
      <c r="W61" s="19">
        <v>2.6497999999999999</v>
      </c>
      <c r="X61" s="19">
        <v>1.97</v>
      </c>
      <c r="Y61" s="19">
        <v>2.6497999999999999</v>
      </c>
      <c r="Z61" s="4"/>
      <c r="AA61" s="4"/>
      <c r="AB61" s="4" t="e">
        <f ca="1">_xll.ciqfunctions.udf.CIQ("^SPX", "IQ_PRICEDATE", "3/20/2014")</f>
        <v>#NAME?</v>
      </c>
      <c r="AC61" s="16">
        <v>1872.0084084619</v>
      </c>
    </row>
    <row r="62" spans="1:29" x14ac:dyDescent="0.35">
      <c r="A62" s="2" t="s">
        <v>72</v>
      </c>
      <c r="B62" s="4" t="s">
        <v>710</v>
      </c>
      <c r="C62" s="4" t="s">
        <v>573</v>
      </c>
      <c r="D62" s="4" t="s">
        <v>579</v>
      </c>
      <c r="E62" s="4" t="s">
        <v>579</v>
      </c>
      <c r="F62" s="4" t="s">
        <v>644</v>
      </c>
      <c r="G62" s="14">
        <v>105.89</v>
      </c>
      <c r="H62" s="10">
        <v>14.818097</v>
      </c>
      <c r="I62" s="10">
        <v>13.824254</v>
      </c>
      <c r="J62" s="10">
        <v>2.935953</v>
      </c>
      <c r="K62" s="15">
        <v>2.1154000000000003E-2</v>
      </c>
      <c r="L62" s="17">
        <v>6616.8672390000002</v>
      </c>
      <c r="M62" s="4" t="s">
        <v>711</v>
      </c>
      <c r="N62" s="19">
        <v>7.659726</v>
      </c>
      <c r="O62" s="19">
        <v>7.9082999999999997</v>
      </c>
      <c r="P62" s="19">
        <v>9.3899989999999995</v>
      </c>
      <c r="Q62" s="19">
        <v>6.7249999999999996</v>
      </c>
      <c r="R62" s="19">
        <v>9.1300000000000008</v>
      </c>
      <c r="S62" s="19">
        <v>5.0307000000000004</v>
      </c>
      <c r="T62" s="19">
        <v>9.1300000000000008</v>
      </c>
      <c r="U62" s="19">
        <v>6.3696000000000002</v>
      </c>
      <c r="V62" s="19">
        <v>6.4399990000000003</v>
      </c>
      <c r="W62" s="19">
        <v>6.4756</v>
      </c>
      <c r="X62" s="19">
        <v>6.4399990000000003</v>
      </c>
      <c r="Y62" s="19">
        <v>6.4756</v>
      </c>
      <c r="Z62" s="4"/>
      <c r="AA62" s="4"/>
      <c r="AB62" s="4" t="e">
        <f ca="1">_xll.ciqfunctions.udf.CIQ("^SPX", "IQ_PRICEDATE", "3/21/2014")</f>
        <v>#NAME?</v>
      </c>
      <c r="AC62" s="16">
        <v>1866.5207372805</v>
      </c>
    </row>
    <row r="63" spans="1:29" x14ac:dyDescent="0.35">
      <c r="A63" s="2" t="s">
        <v>73</v>
      </c>
      <c r="B63" s="4" t="s">
        <v>712</v>
      </c>
      <c r="C63" s="4" t="s">
        <v>549</v>
      </c>
      <c r="D63" s="4" t="s">
        <v>713</v>
      </c>
      <c r="E63" s="4" t="s">
        <v>714</v>
      </c>
      <c r="F63" s="4" t="s">
        <v>715</v>
      </c>
      <c r="G63" s="14">
        <v>32.57</v>
      </c>
      <c r="H63" s="10">
        <v>9.1452080000000002</v>
      </c>
      <c r="I63" s="10">
        <v>6.364617</v>
      </c>
      <c r="J63" s="10" t="s">
        <v>534</v>
      </c>
      <c r="K63" s="15">
        <v>6.1406000000000002E-2</v>
      </c>
      <c r="L63" s="17">
        <v>236523.34</v>
      </c>
      <c r="M63" s="4" t="s">
        <v>716</v>
      </c>
      <c r="N63" s="19">
        <v>5.1173539999999997</v>
      </c>
      <c r="O63" s="19">
        <v>3.5756999999999999</v>
      </c>
      <c r="P63" s="19">
        <v>4.7651620000000001</v>
      </c>
      <c r="Q63" s="19">
        <v>2.9018000000000002</v>
      </c>
      <c r="R63" s="19">
        <v>2.0987230000000001</v>
      </c>
      <c r="S63" s="19">
        <v>2.9396</v>
      </c>
      <c r="T63" s="19">
        <v>2.0987230000000001</v>
      </c>
      <c r="U63" s="19">
        <v>2.8005</v>
      </c>
      <c r="V63" s="19">
        <v>1.236353</v>
      </c>
      <c r="W63" s="19">
        <v>2.5251000000000001</v>
      </c>
      <c r="X63" s="19">
        <v>1.236353</v>
      </c>
      <c r="Y63" s="19">
        <v>2.5251000000000001</v>
      </c>
      <c r="Z63" s="4"/>
      <c r="AA63" s="4"/>
      <c r="AB63" s="4" t="e">
        <f ca="1">_xll.ciqfunctions.udf.CIQ("^SPX", "IQ_PRICEDATE", "3/24/2014")</f>
        <v>#NAME?</v>
      </c>
      <c r="AC63" s="16">
        <v>1857.4444747878999</v>
      </c>
    </row>
    <row r="64" spans="1:29" x14ac:dyDescent="0.35">
      <c r="A64" s="2" t="s">
        <v>74</v>
      </c>
      <c r="B64" s="4" t="s">
        <v>717</v>
      </c>
      <c r="C64" s="4" t="s">
        <v>543</v>
      </c>
      <c r="D64" s="4" t="s">
        <v>544</v>
      </c>
      <c r="E64" s="4" t="s">
        <v>555</v>
      </c>
      <c r="F64" s="4" t="s">
        <v>556</v>
      </c>
      <c r="G64" s="14">
        <v>141.77000000000001</v>
      </c>
      <c r="H64" s="10" t="s">
        <v>534</v>
      </c>
      <c r="I64" s="10" t="s">
        <v>534</v>
      </c>
      <c r="J64" s="10" t="s">
        <v>534</v>
      </c>
      <c r="K64" s="15">
        <v>0</v>
      </c>
      <c r="L64" s="17">
        <v>30993.280060000001</v>
      </c>
      <c r="M64" s="4" t="s">
        <v>718</v>
      </c>
      <c r="N64" s="19">
        <v>-1.8950009999999999</v>
      </c>
      <c r="O64" s="19">
        <v>1.9783999999999999</v>
      </c>
      <c r="P64" s="19">
        <v>-2.5763630000000002</v>
      </c>
      <c r="Q64" s="19">
        <v>0.66180000000000005</v>
      </c>
      <c r="R64" s="19">
        <v>-1.9964839999999999</v>
      </c>
      <c r="S64" s="19">
        <v>-0.52749999999999997</v>
      </c>
      <c r="T64" s="19">
        <v>-1.9964839999999999</v>
      </c>
      <c r="U64" s="19">
        <v>-0.3221</v>
      </c>
      <c r="V64" s="19">
        <v>0.53063800000000005</v>
      </c>
      <c r="W64" s="19">
        <v>1.2554000000000001</v>
      </c>
      <c r="X64" s="19">
        <v>0.53063800000000005</v>
      </c>
      <c r="Y64" s="19">
        <v>1.2554000000000001</v>
      </c>
      <c r="Z64" s="4"/>
      <c r="AA64" s="4"/>
      <c r="AB64" s="4" t="e">
        <f ca="1">_xll.ciqfunctions.udf.CIQ("^SPX", "IQ_PRICEDATE", "3/25/2014")</f>
        <v>#NAME?</v>
      </c>
      <c r="AC64" s="16">
        <v>1865.6243739253</v>
      </c>
    </row>
    <row r="65" spans="1:29" x14ac:dyDescent="0.35">
      <c r="A65" s="2" t="s">
        <v>75</v>
      </c>
      <c r="B65" s="4" t="s">
        <v>719</v>
      </c>
      <c r="C65" s="4" t="s">
        <v>543</v>
      </c>
      <c r="D65" s="4" t="s">
        <v>544</v>
      </c>
      <c r="E65" s="4" t="s">
        <v>545</v>
      </c>
      <c r="F65" s="4" t="s">
        <v>616</v>
      </c>
      <c r="G65" s="14">
        <v>143.66</v>
      </c>
      <c r="H65" s="10">
        <v>21.476887999999999</v>
      </c>
      <c r="I65" s="10">
        <v>39.251365999999997</v>
      </c>
      <c r="J65" s="10">
        <v>191.19817599999999</v>
      </c>
      <c r="K65" s="15">
        <v>1.9212E-2</v>
      </c>
      <c r="L65" s="17">
        <v>62842.607558000003</v>
      </c>
      <c r="M65" s="4" t="s">
        <v>720</v>
      </c>
      <c r="N65" s="19">
        <v>3.66</v>
      </c>
      <c r="O65" s="19">
        <v>5.1756099999999998</v>
      </c>
      <c r="P65" s="19">
        <v>3.8696419999999998</v>
      </c>
      <c r="Q65" s="19">
        <v>3.9645000000000001</v>
      </c>
      <c r="R65" s="19">
        <v>3.7221359999999999</v>
      </c>
      <c r="S65" s="19">
        <v>3.6962000000000002</v>
      </c>
      <c r="T65" s="19">
        <v>3.7221359999999999</v>
      </c>
      <c r="U65" s="19">
        <v>3.3454999999999999</v>
      </c>
      <c r="V65" s="19">
        <v>2.6802760000000001</v>
      </c>
      <c r="W65" s="19">
        <v>3.0026000000000002</v>
      </c>
      <c r="X65" s="19">
        <v>2.6802760000000001</v>
      </c>
      <c r="Y65" s="19">
        <v>3.0026000000000002</v>
      </c>
      <c r="Z65" s="4"/>
      <c r="AA65" s="4"/>
      <c r="AB65" s="4" t="e">
        <f ca="1">_xll.ciqfunctions.udf.CIQ("^SPX", "IQ_PRICEDATE", "3/26/2014")</f>
        <v>#NAME?</v>
      </c>
      <c r="AC65" s="16">
        <v>1852.5611685929</v>
      </c>
    </row>
    <row r="66" spans="1:29" x14ac:dyDescent="0.35">
      <c r="A66" s="2" t="s">
        <v>76</v>
      </c>
      <c r="B66" s="4" t="s">
        <v>721</v>
      </c>
      <c r="C66" s="4" t="s">
        <v>559</v>
      </c>
      <c r="D66" s="4" t="s">
        <v>560</v>
      </c>
      <c r="E66" s="4" t="s">
        <v>561</v>
      </c>
      <c r="F66" s="4" t="s">
        <v>562</v>
      </c>
      <c r="G66" s="14">
        <v>714.71</v>
      </c>
      <c r="H66" s="10">
        <v>9.9934390000000004</v>
      </c>
      <c r="I66" s="10">
        <v>14.654705</v>
      </c>
      <c r="J66" s="10" t="s">
        <v>534</v>
      </c>
      <c r="K66" s="15">
        <v>0</v>
      </c>
      <c r="L66" s="17">
        <v>18398.06482</v>
      </c>
      <c r="M66" s="4" t="s">
        <v>722</v>
      </c>
      <c r="N66" s="19">
        <v>48.77</v>
      </c>
      <c r="O66" s="19">
        <v>57.526809999999998</v>
      </c>
      <c r="P66" s="19">
        <v>44.790261000000001</v>
      </c>
      <c r="Q66" s="19">
        <v>47.839100000000002</v>
      </c>
      <c r="R66" s="19">
        <v>41.844641000000003</v>
      </c>
      <c r="S66" s="19">
        <v>46.582099999999997</v>
      </c>
      <c r="T66" s="19">
        <v>41.844641000000003</v>
      </c>
      <c r="U66" s="19">
        <v>41.786000000000001</v>
      </c>
      <c r="V66" s="19">
        <v>32.623027999999998</v>
      </c>
      <c r="W66" s="19">
        <v>36.801200000000001</v>
      </c>
      <c r="X66" s="19">
        <v>32.623027999999998</v>
      </c>
      <c r="Y66" s="19">
        <v>36.801200000000001</v>
      </c>
      <c r="Z66" s="4"/>
      <c r="AA66" s="4"/>
      <c r="AB66" s="4" t="e">
        <f ca="1">_xll.ciqfunctions.udf.CIQ("^SPX", "IQ_PRICEDATE", "3/27/2014")</f>
        <v>#NAME?</v>
      </c>
      <c r="AC66" s="16">
        <v>1849.0426430863999</v>
      </c>
    </row>
    <row r="67" spans="1:29" x14ac:dyDescent="0.35">
      <c r="A67" s="2" t="s">
        <v>77</v>
      </c>
      <c r="B67" s="4" t="s">
        <v>723</v>
      </c>
      <c r="C67" s="4" t="s">
        <v>601</v>
      </c>
      <c r="D67" s="4" t="s">
        <v>601</v>
      </c>
      <c r="E67" s="4" t="s">
        <v>602</v>
      </c>
      <c r="F67" s="4" t="s">
        <v>685</v>
      </c>
      <c r="G67" s="14">
        <v>176</v>
      </c>
      <c r="H67" s="10">
        <v>21.987911</v>
      </c>
      <c r="I67" s="10">
        <v>27.894634</v>
      </c>
      <c r="J67" s="10">
        <v>2.3331940000000002</v>
      </c>
      <c r="K67" s="15">
        <v>3.3409000000000001E-2</v>
      </c>
      <c r="L67" s="17">
        <v>24326.496127999999</v>
      </c>
      <c r="M67" s="4" t="s">
        <v>724</v>
      </c>
      <c r="N67" s="19">
        <v>6.3094570000000001</v>
      </c>
      <c r="O67" s="19">
        <v>4.8205</v>
      </c>
      <c r="P67" s="19">
        <v>6.3517340000000004</v>
      </c>
      <c r="Q67" s="19">
        <v>4.6833</v>
      </c>
      <c r="R67" s="19">
        <v>7.522411</v>
      </c>
      <c r="S67" s="19">
        <v>4.4530000000000003</v>
      </c>
      <c r="T67" s="19">
        <v>7.522411</v>
      </c>
      <c r="U67" s="19">
        <v>4.3085000000000004</v>
      </c>
      <c r="V67" s="19">
        <v>4.9179760000000003</v>
      </c>
      <c r="W67" s="19">
        <v>3.7132999999999998</v>
      </c>
      <c r="X67" s="19">
        <v>4.9179760000000003</v>
      </c>
      <c r="Y67" s="19">
        <v>3.7132999999999998</v>
      </c>
      <c r="Z67" s="4"/>
      <c r="AA67" s="4"/>
      <c r="AB67" s="4" t="e">
        <f ca="1">_xll.ciqfunctions.udf.CIQ("^SPX", "IQ_PRICEDATE", "3/28/2014")</f>
        <v>#NAME?</v>
      </c>
      <c r="AC67" s="16">
        <v>1857.6207873610999</v>
      </c>
    </row>
    <row r="68" spans="1:29" x14ac:dyDescent="0.35">
      <c r="A68" s="2" t="s">
        <v>78</v>
      </c>
      <c r="B68" s="4" t="s">
        <v>725</v>
      </c>
      <c r="C68" s="4" t="s">
        <v>586</v>
      </c>
      <c r="D68" s="4" t="s">
        <v>586</v>
      </c>
      <c r="E68" s="4" t="s">
        <v>726</v>
      </c>
      <c r="F68" s="4" t="s">
        <v>727</v>
      </c>
      <c r="G68" s="14">
        <v>99.55</v>
      </c>
      <c r="H68" s="10">
        <v>10.900296000000001</v>
      </c>
      <c r="I68" s="10">
        <v>33.142623</v>
      </c>
      <c r="J68" s="10" t="s">
        <v>534</v>
      </c>
      <c r="K68" s="15">
        <v>2.0893999999999999E-2</v>
      </c>
      <c r="L68" s="17">
        <v>8702.4660810000005</v>
      </c>
      <c r="M68" s="4" t="s">
        <v>728</v>
      </c>
      <c r="N68" s="19">
        <v>3.0036849999999999</v>
      </c>
      <c r="O68" s="19">
        <v>6.3192000000000004</v>
      </c>
      <c r="P68" s="19">
        <v>3.13</v>
      </c>
      <c r="Q68" s="19">
        <v>5.5392999999999999</v>
      </c>
      <c r="R68" s="19">
        <v>3.54</v>
      </c>
      <c r="S68" s="19">
        <v>4.3076999999999996</v>
      </c>
      <c r="T68" s="19">
        <v>3.54</v>
      </c>
      <c r="U68" s="19">
        <v>3.6417000000000002</v>
      </c>
      <c r="V68" s="19">
        <v>2.2942740000000001</v>
      </c>
      <c r="W68" s="19">
        <v>3.3010000000000002</v>
      </c>
      <c r="X68" s="19">
        <v>2.2942740000000001</v>
      </c>
      <c r="Y68" s="19">
        <v>3.3010000000000002</v>
      </c>
      <c r="Z68" s="4"/>
      <c r="AA68" s="4"/>
      <c r="AB68" s="4" t="e">
        <f ca="1">_xll.ciqfunctions.udf.CIQ("^SPX", "IQ_PRICEDATE", "3/31/2014")</f>
        <v>#NAME?</v>
      </c>
      <c r="AC68" s="16">
        <v>1872.3351792173</v>
      </c>
    </row>
    <row r="69" spans="1:29" x14ac:dyDescent="0.35">
      <c r="A69" s="2" t="s">
        <v>79</v>
      </c>
      <c r="B69" s="4" t="s">
        <v>729</v>
      </c>
      <c r="C69" s="4" t="s">
        <v>669</v>
      </c>
      <c r="D69" s="4" t="s">
        <v>669</v>
      </c>
      <c r="E69" s="4" t="s">
        <v>730</v>
      </c>
      <c r="F69" s="4" t="s">
        <v>731</v>
      </c>
      <c r="G69" s="14">
        <v>30.79</v>
      </c>
      <c r="H69" s="10">
        <v>16.215605</v>
      </c>
      <c r="I69" s="10" t="s">
        <v>534</v>
      </c>
      <c r="J69" s="10" t="s">
        <v>534</v>
      </c>
      <c r="K69" s="15">
        <v>2.3384000000000002E-2</v>
      </c>
      <c r="L69" s="17">
        <v>12674.751071000001</v>
      </c>
      <c r="M69" s="4" t="s">
        <v>732</v>
      </c>
      <c r="N69" s="19">
        <v>-5.3901999999999999E-2</v>
      </c>
      <c r="O69" s="19">
        <v>1.0951</v>
      </c>
      <c r="P69" s="19">
        <v>-0.17096</v>
      </c>
      <c r="Q69" s="19">
        <v>0.8427</v>
      </c>
      <c r="R69" s="19">
        <v>0</v>
      </c>
      <c r="S69" s="19">
        <v>0</v>
      </c>
      <c r="T69" s="19">
        <v>0</v>
      </c>
      <c r="U69" s="19">
        <v>0</v>
      </c>
      <c r="V69" s="19">
        <v>0</v>
      </c>
      <c r="W69" s="19">
        <v>0</v>
      </c>
      <c r="X69" s="19">
        <v>0</v>
      </c>
      <c r="Y69" s="19">
        <v>0</v>
      </c>
      <c r="Z69" s="4"/>
      <c r="AA69" s="4"/>
      <c r="AB69" s="4" t="e">
        <f ca="1">_xll.ciqfunctions.udf.CIQ("^SPX", "IQ_PRICEDATE", "4/1/2014")</f>
        <v>#NAME?</v>
      </c>
      <c r="AC69" s="16">
        <v>1885.5225739334001</v>
      </c>
    </row>
    <row r="70" spans="1:29" x14ac:dyDescent="0.35">
      <c r="A70" s="2" t="s">
        <v>80</v>
      </c>
      <c r="B70" s="4" t="s">
        <v>733</v>
      </c>
      <c r="C70" s="4" t="s">
        <v>586</v>
      </c>
      <c r="D70" s="4" t="s">
        <v>586</v>
      </c>
      <c r="E70" s="4" t="s">
        <v>726</v>
      </c>
      <c r="F70" s="4" t="s">
        <v>734</v>
      </c>
      <c r="G70" s="14">
        <v>46.2</v>
      </c>
      <c r="H70" s="10">
        <v>12.136112000000001</v>
      </c>
      <c r="I70" s="10">
        <v>36.649678999999999</v>
      </c>
      <c r="J70" s="10" t="s">
        <v>534</v>
      </c>
      <c r="K70" s="15">
        <v>8.6580000000000008E-3</v>
      </c>
      <c r="L70" s="17">
        <v>15888.708251</v>
      </c>
      <c r="M70" s="4" t="s">
        <v>735</v>
      </c>
      <c r="N70" s="19">
        <v>1.2605839999999999</v>
      </c>
      <c r="O70" s="19">
        <v>2.4104000000000001</v>
      </c>
      <c r="P70" s="19">
        <v>1.05</v>
      </c>
      <c r="Q70" s="19">
        <v>2.2002999999999999</v>
      </c>
      <c r="R70" s="19">
        <v>0.81</v>
      </c>
      <c r="S70" s="19">
        <v>2.0415999999999999</v>
      </c>
      <c r="T70" s="19">
        <v>0.81</v>
      </c>
      <c r="U70" s="19">
        <v>1.7566999999999999</v>
      </c>
      <c r="V70" s="19">
        <v>1.65</v>
      </c>
      <c r="W70" s="19">
        <v>1.9826999999999999</v>
      </c>
      <c r="X70" s="19">
        <v>1.65</v>
      </c>
      <c r="Y70" s="19">
        <v>1.9826999999999999</v>
      </c>
      <c r="Z70" s="4"/>
      <c r="AA70" s="4"/>
      <c r="AB70" s="4" t="e">
        <f ca="1">_xll.ciqfunctions.udf.CIQ("^SPX", "IQ_PRICEDATE", "4/2/2014")</f>
        <v>#NAME?</v>
      </c>
      <c r="AC70" s="16">
        <v>1890.8987744302001</v>
      </c>
    </row>
    <row r="71" spans="1:29" x14ac:dyDescent="0.35">
      <c r="A71" s="2" t="s">
        <v>81</v>
      </c>
      <c r="B71" s="4" t="s">
        <v>736</v>
      </c>
      <c r="C71" s="4" t="s">
        <v>573</v>
      </c>
      <c r="D71" s="4" t="s">
        <v>737</v>
      </c>
      <c r="E71" s="4" t="s">
        <v>737</v>
      </c>
      <c r="F71" s="4" t="s">
        <v>738</v>
      </c>
      <c r="G71" s="14">
        <v>28.9</v>
      </c>
      <c r="H71" s="10">
        <v>0</v>
      </c>
      <c r="I71" s="10">
        <v>13.790528999999999</v>
      </c>
      <c r="J71" s="10">
        <v>1.667262</v>
      </c>
      <c r="K71" s="15">
        <v>2.0760999999999998E-2</v>
      </c>
      <c r="L71" s="17">
        <v>284903.50132500002</v>
      </c>
      <c r="M71" s="4" t="s">
        <v>739</v>
      </c>
      <c r="N71" s="19">
        <v>2.0956410000000001</v>
      </c>
      <c r="O71" s="19">
        <v>2.7846000000000002</v>
      </c>
      <c r="P71" s="19">
        <v>1.5590390000000001</v>
      </c>
      <c r="Q71" s="19">
        <v>2.0701999999999998</v>
      </c>
      <c r="R71" s="19">
        <v>1.4882120000000001</v>
      </c>
      <c r="S71" s="19">
        <v>1.585</v>
      </c>
      <c r="T71" s="19">
        <v>1.4882120000000001</v>
      </c>
      <c r="U71" s="19">
        <v>1.4852000000000001</v>
      </c>
      <c r="V71" s="19">
        <v>0.42</v>
      </c>
      <c r="W71" s="19">
        <v>1.4008</v>
      </c>
      <c r="X71" s="19">
        <v>0.42</v>
      </c>
      <c r="Y71" s="19">
        <v>1.4008</v>
      </c>
      <c r="Z71" s="4"/>
      <c r="AA71" s="4"/>
      <c r="AB71" s="4" t="e">
        <f ca="1">_xll.ciqfunctions.udf.CIQ("^SPX", "IQ_PRICEDATE", "4/3/2014")</f>
        <v>#NAME?</v>
      </c>
      <c r="AC71" s="16">
        <v>1888.7704803894001</v>
      </c>
    </row>
    <row r="72" spans="1:29" x14ac:dyDescent="0.35">
      <c r="A72" s="2" t="s">
        <v>82</v>
      </c>
      <c r="B72" s="4" t="s">
        <v>740</v>
      </c>
      <c r="C72" s="4" t="s">
        <v>530</v>
      </c>
      <c r="D72" s="4" t="s">
        <v>531</v>
      </c>
      <c r="E72" s="4" t="s">
        <v>532</v>
      </c>
      <c r="F72" s="4" t="s">
        <v>533</v>
      </c>
      <c r="G72" s="14">
        <v>72.44</v>
      </c>
      <c r="H72" s="10">
        <v>16.729575000000001</v>
      </c>
      <c r="I72" s="10">
        <v>43.768250000000002</v>
      </c>
      <c r="J72" s="10">
        <v>8.6702689999999993</v>
      </c>
      <c r="K72" s="15">
        <v>1.0490999999999999E-2</v>
      </c>
      <c r="L72" s="17">
        <v>38702.232154999998</v>
      </c>
      <c r="M72" s="4" t="s">
        <v>741</v>
      </c>
      <c r="N72" s="19">
        <v>1.655081</v>
      </c>
      <c r="O72" s="19">
        <v>3.0848</v>
      </c>
      <c r="P72" s="19">
        <v>1.3</v>
      </c>
      <c r="Q72" s="19">
        <v>2.5802999999999998</v>
      </c>
      <c r="R72" s="19">
        <v>9.01</v>
      </c>
      <c r="S72" s="19">
        <v>2.0653000000000001</v>
      </c>
      <c r="T72" s="19">
        <v>9.01</v>
      </c>
      <c r="U72" s="19">
        <v>1.3563000000000001</v>
      </c>
      <c r="V72" s="19">
        <v>0.83</v>
      </c>
      <c r="W72" s="19">
        <v>4.6683000000000003</v>
      </c>
      <c r="X72" s="19">
        <v>0.83</v>
      </c>
      <c r="Y72" s="19">
        <v>4.6683000000000003</v>
      </c>
      <c r="Z72" s="4"/>
      <c r="AA72" s="4"/>
      <c r="AB72" s="4" t="e">
        <f ca="1">_xll.ciqfunctions.udf.CIQ("^SPX", "IQ_PRICEDATE", "4/4/2014")</f>
        <v>#NAME?</v>
      </c>
      <c r="AC72" s="16">
        <v>1865.093413869</v>
      </c>
    </row>
    <row r="73" spans="1:29" x14ac:dyDescent="0.35">
      <c r="A73" s="2" t="s">
        <v>83</v>
      </c>
      <c r="B73" s="4" t="s">
        <v>742</v>
      </c>
      <c r="C73" s="4" t="s">
        <v>573</v>
      </c>
      <c r="D73" s="4" t="s">
        <v>737</v>
      </c>
      <c r="E73" s="4" t="s">
        <v>737</v>
      </c>
      <c r="F73" s="4" t="s">
        <v>743</v>
      </c>
      <c r="G73" s="14">
        <v>47.71</v>
      </c>
      <c r="H73" s="10">
        <v>0</v>
      </c>
      <c r="I73" s="10">
        <v>13.868186</v>
      </c>
      <c r="J73" s="10">
        <v>2.2443569999999999</v>
      </c>
      <c r="K73" s="15">
        <v>3.3954999999999999E-2</v>
      </c>
      <c r="L73" s="17">
        <v>36948.860502000003</v>
      </c>
      <c r="M73" s="4" t="s">
        <v>744</v>
      </c>
      <c r="N73" s="19">
        <v>3.440248</v>
      </c>
      <c r="O73" s="19">
        <v>4.1311999999999998</v>
      </c>
      <c r="P73" s="19">
        <v>2.74</v>
      </c>
      <c r="Q73" s="19">
        <v>3.3536999999999999</v>
      </c>
      <c r="R73" s="19">
        <v>2.77</v>
      </c>
      <c r="S73" s="19">
        <v>3.0568</v>
      </c>
      <c r="T73" s="19">
        <v>2.77</v>
      </c>
      <c r="U73" s="19">
        <v>3.0432000000000001</v>
      </c>
      <c r="V73" s="19">
        <v>2.72</v>
      </c>
      <c r="W73" s="19">
        <v>2.9737</v>
      </c>
      <c r="X73" s="19">
        <v>2.72</v>
      </c>
      <c r="Y73" s="19">
        <v>2.9737</v>
      </c>
      <c r="Z73" s="4"/>
      <c r="AA73" s="4"/>
      <c r="AB73" s="4" t="e">
        <f ca="1">_xll.ciqfunctions.udf.CIQ("^SPX", "IQ_PRICEDATE", "4/7/2014")</f>
        <v>#NAME?</v>
      </c>
      <c r="AC73" s="16">
        <v>1845.0353750807999</v>
      </c>
    </row>
    <row r="74" spans="1:29" x14ac:dyDescent="0.35">
      <c r="A74" s="2" t="s">
        <v>84</v>
      </c>
      <c r="B74" s="4" t="s">
        <v>745</v>
      </c>
      <c r="C74" s="4" t="s">
        <v>530</v>
      </c>
      <c r="D74" s="4" t="s">
        <v>531</v>
      </c>
      <c r="E74" s="4" t="s">
        <v>532</v>
      </c>
      <c r="F74" s="4" t="s">
        <v>533</v>
      </c>
      <c r="G74" s="14">
        <v>244.98</v>
      </c>
      <c r="H74" s="10">
        <v>20.324798999999999</v>
      </c>
      <c r="I74" s="10">
        <v>100.458826</v>
      </c>
      <c r="J74" s="10" t="s">
        <v>534</v>
      </c>
      <c r="K74" s="15">
        <v>1.2244999999999999E-2</v>
      </c>
      <c r="L74" s="17">
        <v>65547.724359</v>
      </c>
      <c r="M74" s="4" t="s">
        <v>746</v>
      </c>
      <c r="N74" s="19">
        <v>2.4386109999999999</v>
      </c>
      <c r="O74" s="19">
        <v>12.128399999999999</v>
      </c>
      <c r="P74" s="19">
        <v>1.287857</v>
      </c>
      <c r="Q74" s="19">
        <v>10.95617</v>
      </c>
      <c r="R74" s="19">
        <v>6.0084809999999997</v>
      </c>
      <c r="S74" s="19">
        <v>9.4920399999999994</v>
      </c>
      <c r="T74" s="19">
        <v>6.0084809999999997</v>
      </c>
      <c r="U74" s="19">
        <v>8.4030100000000001</v>
      </c>
      <c r="V74" s="19">
        <v>5.8210879999999996</v>
      </c>
      <c r="W74" s="19">
        <v>6.8008100000000002</v>
      </c>
      <c r="X74" s="19">
        <v>5.8210879999999996</v>
      </c>
      <c r="Y74" s="19">
        <v>6.8008100000000002</v>
      </c>
      <c r="Z74" s="4"/>
      <c r="AA74" s="4"/>
      <c r="AB74" s="4" t="e">
        <f ca="1">_xll.ciqfunctions.udf.CIQ("^SPX", "IQ_PRICEDATE", "4/8/2014")</f>
        <v>#NAME?</v>
      </c>
      <c r="AC74" s="16">
        <v>1851.9568565739</v>
      </c>
    </row>
    <row r="75" spans="1:29" x14ac:dyDescent="0.35">
      <c r="A75" s="2" t="s">
        <v>85</v>
      </c>
      <c r="B75" s="4" t="s">
        <v>747</v>
      </c>
      <c r="C75" s="4" t="s">
        <v>573</v>
      </c>
      <c r="D75" s="4" t="s">
        <v>574</v>
      </c>
      <c r="E75" s="4" t="s">
        <v>748</v>
      </c>
      <c r="F75" s="4" t="s">
        <v>749</v>
      </c>
      <c r="G75" s="14">
        <v>210.52</v>
      </c>
      <c r="H75" s="10">
        <v>13.176541</v>
      </c>
      <c r="I75" s="10">
        <v>0</v>
      </c>
      <c r="J75" s="10">
        <v>0</v>
      </c>
      <c r="K75" s="15">
        <v>0</v>
      </c>
      <c r="L75" s="17">
        <v>522541.546638</v>
      </c>
      <c r="M75" s="4" t="s">
        <v>750</v>
      </c>
      <c r="N75" s="19">
        <v>28872.225612999999</v>
      </c>
      <c r="O75" s="19">
        <v>9.8932000000000002</v>
      </c>
      <c r="P75" s="19">
        <v>27325.544276000001</v>
      </c>
      <c r="Q75" s="19">
        <v>7.9211999999999998</v>
      </c>
      <c r="R75" s="19">
        <v>14645.102339999999</v>
      </c>
      <c r="S75" s="19">
        <v>8.2537000000000003</v>
      </c>
      <c r="T75" s="19">
        <v>14645.102339999999</v>
      </c>
      <c r="U75" s="19">
        <v>7.9124999999999996</v>
      </c>
      <c r="V75" s="19">
        <v>12091.592350999999</v>
      </c>
      <c r="W75" s="19">
        <v>7.3375000000000004</v>
      </c>
      <c r="X75" s="19">
        <v>12091.592350999999</v>
      </c>
      <c r="Y75" s="19">
        <v>7.3375000000000004</v>
      </c>
      <c r="Z75" s="4"/>
      <c r="AA75" s="4"/>
      <c r="AB75" s="4" t="e">
        <f ca="1">_xll.ciqfunctions.udf.CIQ("^SPX", "IQ_PRICEDATE", "4/9/2014")</f>
        <v>#NAME?</v>
      </c>
      <c r="AC75" s="16">
        <v>1872.1787969918</v>
      </c>
    </row>
    <row r="76" spans="1:29" x14ac:dyDescent="0.35">
      <c r="A76" s="2" t="s">
        <v>86</v>
      </c>
      <c r="B76" s="4" t="s">
        <v>751</v>
      </c>
      <c r="C76" s="4" t="s">
        <v>559</v>
      </c>
      <c r="D76" s="4" t="s">
        <v>560</v>
      </c>
      <c r="E76" s="4" t="s">
        <v>561</v>
      </c>
      <c r="F76" s="4" t="s">
        <v>752</v>
      </c>
      <c r="G76" s="14">
        <v>73.83</v>
      </c>
      <c r="H76" s="10">
        <v>6.8990669999999996</v>
      </c>
      <c r="I76" s="10">
        <v>20.536394000000001</v>
      </c>
      <c r="J76" s="10">
        <v>7.4287570000000001</v>
      </c>
      <c r="K76" s="15">
        <v>2.4380000000000002E-2</v>
      </c>
      <c r="L76" s="17">
        <v>20270.584286000001</v>
      </c>
      <c r="M76" s="4" t="s">
        <v>753</v>
      </c>
      <c r="N76" s="19">
        <v>3.595081</v>
      </c>
      <c r="O76" s="19">
        <v>5.2553000000000001</v>
      </c>
      <c r="P76" s="19">
        <v>3.9762970000000002</v>
      </c>
      <c r="Q76" s="19">
        <v>4.218</v>
      </c>
      <c r="R76" s="19">
        <v>3.2797740000000002</v>
      </c>
      <c r="S76" s="19">
        <v>3.395</v>
      </c>
      <c r="T76" s="19">
        <v>3.2797740000000002</v>
      </c>
      <c r="U76" s="19">
        <v>2.7639</v>
      </c>
      <c r="V76" s="19">
        <v>2.9402910000000002</v>
      </c>
      <c r="W76" s="19">
        <v>2.5731000000000002</v>
      </c>
      <c r="X76" s="19">
        <v>2.9402910000000002</v>
      </c>
      <c r="Y76" s="19">
        <v>2.5731000000000002</v>
      </c>
      <c r="Z76" s="4"/>
      <c r="AA76" s="4"/>
      <c r="AB76" s="4" t="e">
        <f ca="1">_xll.ciqfunctions.udf.CIQ("^SPX", "IQ_PRICEDATE", "4/10/2014")</f>
        <v>#NAME?</v>
      </c>
      <c r="AC76" s="16">
        <v>1833.0779771555999</v>
      </c>
    </row>
    <row r="77" spans="1:29" x14ac:dyDescent="0.35">
      <c r="A77" s="2" t="s">
        <v>87</v>
      </c>
      <c r="B77" s="4" t="s">
        <v>754</v>
      </c>
      <c r="C77" s="4" t="s">
        <v>530</v>
      </c>
      <c r="D77" s="4" t="s">
        <v>537</v>
      </c>
      <c r="E77" s="4" t="s">
        <v>538</v>
      </c>
      <c r="F77" s="4" t="s">
        <v>538</v>
      </c>
      <c r="G77" s="14">
        <v>338.23</v>
      </c>
      <c r="H77" s="10">
        <v>10.526857</v>
      </c>
      <c r="I77" s="10">
        <v>24.015906999999999</v>
      </c>
      <c r="J77" s="10">
        <v>19.868200000000002</v>
      </c>
      <c r="K77" s="15">
        <v>0</v>
      </c>
      <c r="L77" s="17">
        <v>68134.015155999994</v>
      </c>
      <c r="M77" s="4" t="s">
        <v>755</v>
      </c>
      <c r="N77" s="19">
        <v>14.083582</v>
      </c>
      <c r="O77" s="19">
        <v>27.034800000000001</v>
      </c>
      <c r="P77" s="19">
        <v>11.92</v>
      </c>
      <c r="Q77" s="19">
        <v>23.4514</v>
      </c>
      <c r="R77" s="19">
        <v>16.93</v>
      </c>
      <c r="S77" s="19">
        <v>20.423400000000001</v>
      </c>
      <c r="T77" s="19">
        <v>16.93</v>
      </c>
      <c r="U77" s="19">
        <v>17.5108</v>
      </c>
      <c r="V77" s="19">
        <v>12.37</v>
      </c>
      <c r="W77" s="19">
        <v>15.878500000000001</v>
      </c>
      <c r="X77" s="19">
        <v>12.37</v>
      </c>
      <c r="Y77" s="19">
        <v>15.878500000000001</v>
      </c>
      <c r="Z77" s="4"/>
      <c r="AA77" s="4"/>
      <c r="AB77" s="4" t="e">
        <f ca="1">_xll.ciqfunctions.udf.CIQ("^SPX", "IQ_PRICEDATE", "4/11/2014")</f>
        <v>#NAME?</v>
      </c>
      <c r="AC77" s="16">
        <v>1815.6850871536001</v>
      </c>
    </row>
    <row r="78" spans="1:29" x14ac:dyDescent="0.35">
      <c r="A78" s="2" t="s">
        <v>88</v>
      </c>
      <c r="B78" s="4" t="s">
        <v>756</v>
      </c>
      <c r="C78" s="4" t="s">
        <v>573</v>
      </c>
      <c r="D78" s="4" t="s">
        <v>574</v>
      </c>
      <c r="E78" s="4" t="s">
        <v>575</v>
      </c>
      <c r="F78" s="4" t="s">
        <v>576</v>
      </c>
      <c r="G78" s="14">
        <v>411.85</v>
      </c>
      <c r="H78" s="10">
        <v>10.503163000000001</v>
      </c>
      <c r="I78" s="10">
        <v>11.781677999999999</v>
      </c>
      <c r="J78" s="10">
        <v>42.775889999999997</v>
      </c>
      <c r="K78" s="15">
        <v>3.0398999999999999E-2</v>
      </c>
      <c r="L78" s="17">
        <v>65815.427312999993</v>
      </c>
      <c r="M78" s="4" t="s">
        <v>757</v>
      </c>
      <c r="N78" s="19">
        <v>34.95682</v>
      </c>
      <c r="O78" s="19">
        <v>28.341999999999999</v>
      </c>
      <c r="P78" s="19">
        <v>30.229998999999999</v>
      </c>
      <c r="Q78" s="19">
        <v>24.3644</v>
      </c>
      <c r="R78" s="19">
        <v>19.039999000000002</v>
      </c>
      <c r="S78" s="19">
        <v>21.220500000000001</v>
      </c>
      <c r="T78" s="19">
        <v>19.039999000000002</v>
      </c>
      <c r="U78" s="19">
        <v>20.105899999999998</v>
      </c>
      <c r="V78" s="19">
        <v>19.249998999999999</v>
      </c>
      <c r="W78" s="19">
        <v>19.6983</v>
      </c>
      <c r="X78" s="19">
        <v>19.249998999999999</v>
      </c>
      <c r="Y78" s="19">
        <v>19.6983</v>
      </c>
      <c r="Z78" s="4"/>
      <c r="AA78" s="4"/>
      <c r="AB78" s="4" t="e">
        <f ca="1">_xll.ciqfunctions.udf.CIQ("^SPX", "IQ_PRICEDATE", "4/14/2014")</f>
        <v>#NAME?</v>
      </c>
      <c r="AC78" s="16">
        <v>1830.6099712215</v>
      </c>
    </row>
    <row r="79" spans="1:29" x14ac:dyDescent="0.35">
      <c r="A79" s="2" t="s">
        <v>89</v>
      </c>
      <c r="B79" s="4" t="s">
        <v>758</v>
      </c>
      <c r="C79" s="4" t="s">
        <v>559</v>
      </c>
      <c r="D79" s="4" t="s">
        <v>560</v>
      </c>
      <c r="E79" s="4" t="s">
        <v>631</v>
      </c>
      <c r="F79" s="4" t="s">
        <v>631</v>
      </c>
      <c r="G79" s="14">
        <v>1850.51</v>
      </c>
      <c r="H79" s="10">
        <v>16.342027999999999</v>
      </c>
      <c r="I79" s="10">
        <v>33.222943000000001</v>
      </c>
      <c r="J79" s="10">
        <v>16.318456999999999</v>
      </c>
      <c r="K79" s="15">
        <v>0</v>
      </c>
      <c r="L79" s="17">
        <v>87847.458832999997</v>
      </c>
      <c r="M79" s="4" t="s">
        <v>759</v>
      </c>
      <c r="N79" s="19">
        <v>55.699759999999998</v>
      </c>
      <c r="O79" s="19">
        <v>93.3322</v>
      </c>
      <c r="P79" s="19">
        <v>46.86</v>
      </c>
      <c r="Q79" s="19">
        <v>80.751900000000006</v>
      </c>
      <c r="R79" s="19">
        <v>42.65</v>
      </c>
      <c r="S79" s="19">
        <v>75.648700000000005</v>
      </c>
      <c r="T79" s="19">
        <v>42.65</v>
      </c>
      <c r="U79" s="19">
        <v>65.969300000000004</v>
      </c>
      <c r="V79" s="19">
        <v>45.67</v>
      </c>
      <c r="W79" s="19">
        <v>59.284100000000002</v>
      </c>
      <c r="X79" s="19">
        <v>45.67</v>
      </c>
      <c r="Y79" s="19">
        <v>59.284100000000002</v>
      </c>
      <c r="Z79" s="4"/>
      <c r="AA79" s="4"/>
      <c r="AB79" s="4" t="e">
        <f ca="1">_xll.ciqfunctions.udf.CIQ("^SPX", "IQ_PRICEDATE", "4/15/2014")</f>
        <v>#NAME?</v>
      </c>
      <c r="AC79" s="16">
        <v>1842.9812684377</v>
      </c>
    </row>
    <row r="80" spans="1:29" x14ac:dyDescent="0.35">
      <c r="A80" s="2" t="s">
        <v>90</v>
      </c>
      <c r="B80" s="4" t="s">
        <v>760</v>
      </c>
      <c r="C80" s="4" t="s">
        <v>559</v>
      </c>
      <c r="D80" s="4" t="s">
        <v>694</v>
      </c>
      <c r="E80" s="4" t="s">
        <v>695</v>
      </c>
      <c r="F80" s="4" t="s">
        <v>696</v>
      </c>
      <c r="G80" s="14">
        <v>37.9</v>
      </c>
      <c r="H80" s="10">
        <v>5.4776449999999999</v>
      </c>
      <c r="I80" s="10">
        <v>14.90521</v>
      </c>
      <c r="J80" s="10">
        <v>4.8259889999999999</v>
      </c>
      <c r="K80" s="15">
        <v>1.7940999999999999E-2</v>
      </c>
      <c r="L80" s="17">
        <v>7916.0707460000003</v>
      </c>
      <c r="M80" s="4" t="s">
        <v>761</v>
      </c>
      <c r="N80" s="19">
        <v>2.542735</v>
      </c>
      <c r="O80" s="19">
        <v>4.5087999999999999</v>
      </c>
      <c r="P80" s="19">
        <v>2.08</v>
      </c>
      <c r="Q80" s="19">
        <v>4.1189999999999998</v>
      </c>
      <c r="R80" s="19">
        <v>0.55000000000000004</v>
      </c>
      <c r="S80" s="19">
        <v>3.3852000000000002</v>
      </c>
      <c r="T80" s="19">
        <v>0.55000000000000004</v>
      </c>
      <c r="U80" s="19">
        <v>3.2254</v>
      </c>
      <c r="V80" s="19">
        <v>2.86</v>
      </c>
      <c r="W80" s="19">
        <v>3.5762999999999998</v>
      </c>
      <c r="X80" s="19">
        <v>2.86</v>
      </c>
      <c r="Y80" s="19">
        <v>3.5762999999999998</v>
      </c>
      <c r="Z80" s="4"/>
      <c r="AA80" s="4"/>
      <c r="AB80" s="4" t="e">
        <f ca="1">_xll.ciqfunctions.udf.CIQ("^SPX", "IQ_PRICEDATE", "4/16/2014")</f>
        <v>#NAME?</v>
      </c>
      <c r="AC80" s="16">
        <v>1862.3119970058001</v>
      </c>
    </row>
    <row r="81" spans="1:29" x14ac:dyDescent="0.35">
      <c r="A81" s="2" t="s">
        <v>91</v>
      </c>
      <c r="B81" s="4" t="s">
        <v>762</v>
      </c>
      <c r="C81" s="4" t="s">
        <v>601</v>
      </c>
      <c r="D81" s="4" t="s">
        <v>601</v>
      </c>
      <c r="E81" s="4" t="s">
        <v>602</v>
      </c>
      <c r="F81" s="4" t="s">
        <v>603</v>
      </c>
      <c r="G81" s="14">
        <v>117.52</v>
      </c>
      <c r="H81" s="10">
        <v>20.020022000000001</v>
      </c>
      <c r="I81" s="10">
        <v>34.561849000000002</v>
      </c>
      <c r="J81" s="10">
        <v>3.1875900000000001</v>
      </c>
      <c r="K81" s="15">
        <v>3.2334000000000002E-2</v>
      </c>
      <c r="L81" s="17">
        <v>18147.415601000001</v>
      </c>
      <c r="M81" s="4" t="s">
        <v>763</v>
      </c>
      <c r="N81" s="19">
        <v>3.4002810000000001</v>
      </c>
      <c r="O81" s="19">
        <v>2.8677000000000001</v>
      </c>
      <c r="P81" s="19">
        <v>2.93</v>
      </c>
      <c r="Q81" s="19">
        <v>2.8548</v>
      </c>
      <c r="R81" s="19">
        <v>3.26</v>
      </c>
      <c r="S81" s="19">
        <v>2.0867</v>
      </c>
      <c r="T81" s="19">
        <v>3.26</v>
      </c>
      <c r="U81" s="19">
        <v>1.9963</v>
      </c>
      <c r="V81" s="19">
        <v>2.829145</v>
      </c>
      <c r="W81" s="19">
        <v>1.458</v>
      </c>
      <c r="X81" s="19">
        <v>2.829145</v>
      </c>
      <c r="Y81" s="19">
        <v>1.458</v>
      </c>
      <c r="Z81" s="4"/>
      <c r="AA81" s="4"/>
      <c r="AB81" s="4" t="e">
        <f ca="1">_xll.ciqfunctions.udf.CIQ("^SPX", "IQ_PRICEDATE", "4/17/2014")</f>
        <v>#NAME?</v>
      </c>
      <c r="AC81" s="16">
        <v>1864.8513770633001</v>
      </c>
    </row>
    <row r="82" spans="1:29" x14ac:dyDescent="0.35">
      <c r="A82" s="2" t="s">
        <v>92</v>
      </c>
      <c r="B82" s="4" t="s">
        <v>764</v>
      </c>
      <c r="C82" s="4" t="s">
        <v>530</v>
      </c>
      <c r="D82" s="4" t="s">
        <v>531</v>
      </c>
      <c r="E82" s="4" t="s">
        <v>532</v>
      </c>
      <c r="F82" s="4" t="s">
        <v>533</v>
      </c>
      <c r="G82" s="14">
        <v>38</v>
      </c>
      <c r="H82" s="10">
        <v>22.884535</v>
      </c>
      <c r="I82" s="10">
        <v>100.32817799999999</v>
      </c>
      <c r="J82" s="10" t="s">
        <v>534</v>
      </c>
      <c r="K82" s="15">
        <v>0</v>
      </c>
      <c r="L82" s="17">
        <v>52551.141525999999</v>
      </c>
      <c r="M82" s="4" t="s">
        <v>765</v>
      </c>
      <c r="N82" s="19">
        <v>0.37875700000000001</v>
      </c>
      <c r="O82" s="19">
        <v>1.4548000000000001</v>
      </c>
      <c r="P82" s="19">
        <v>7.5906000000000001E-2</v>
      </c>
      <c r="Q82" s="19">
        <v>1.337</v>
      </c>
      <c r="R82" s="19">
        <v>0.25</v>
      </c>
      <c r="S82" s="19">
        <v>1.2065999999999999</v>
      </c>
      <c r="T82" s="19">
        <v>0.25</v>
      </c>
      <c r="U82" s="19">
        <v>1.0217000000000001</v>
      </c>
      <c r="V82" s="19">
        <v>-0.09</v>
      </c>
      <c r="W82" s="19">
        <v>0.87619999999999998</v>
      </c>
      <c r="X82" s="19">
        <v>-0.09</v>
      </c>
      <c r="Y82" s="19">
        <v>0.87619999999999998</v>
      </c>
      <c r="Z82" s="4"/>
      <c r="AA82" s="4"/>
      <c r="AB82" s="4" t="e">
        <f ca="1">_xll.ciqfunctions.udf.CIQ("^SPX", "IQ_PRICEDATE", "4/21/2014")</f>
        <v>#NAME?</v>
      </c>
      <c r="AC82" s="16">
        <v>1871.8875618069001</v>
      </c>
    </row>
    <row r="83" spans="1:29" x14ac:dyDescent="0.35">
      <c r="A83" s="2" t="s">
        <v>93</v>
      </c>
      <c r="B83" s="4" t="s">
        <v>766</v>
      </c>
      <c r="C83" s="4" t="s">
        <v>573</v>
      </c>
      <c r="D83" s="4" t="s">
        <v>579</v>
      </c>
      <c r="E83" s="4" t="s">
        <v>579</v>
      </c>
      <c r="F83" s="4" t="s">
        <v>580</v>
      </c>
      <c r="G83" s="14">
        <v>44.06</v>
      </c>
      <c r="H83" s="10" t="s">
        <v>534</v>
      </c>
      <c r="I83" s="10" t="s">
        <v>534</v>
      </c>
      <c r="J83" s="10">
        <v>0.39279500000000001</v>
      </c>
      <c r="K83" s="15">
        <v>0</v>
      </c>
      <c r="L83" s="17">
        <v>5277.6243519999998</v>
      </c>
      <c r="M83" s="4" t="s">
        <v>767</v>
      </c>
      <c r="N83" s="19">
        <v>-4.8559669999999997</v>
      </c>
      <c r="O83" s="19">
        <v>8.5884</v>
      </c>
      <c r="P83" s="19">
        <v>-3.155967</v>
      </c>
      <c r="Q83" s="19">
        <v>8.6027000000000005</v>
      </c>
      <c r="R83" s="19">
        <v>-24.538062</v>
      </c>
      <c r="S83" s="19">
        <v>0</v>
      </c>
      <c r="T83" s="19">
        <v>-24.538062</v>
      </c>
      <c r="U83" s="19">
        <v>0</v>
      </c>
      <c r="V83" s="19">
        <v>0</v>
      </c>
      <c r="W83" s="19">
        <v>0</v>
      </c>
      <c r="X83" s="19">
        <v>0</v>
      </c>
      <c r="Y83" s="19">
        <v>0</v>
      </c>
      <c r="Z83" s="4"/>
      <c r="AA83" s="4"/>
      <c r="AB83" s="4" t="e">
        <f ca="1">_xll.ciqfunctions.udf.CIQ("^SPX", "IQ_PRICEDATE", "4/22/2014")</f>
        <v>#NAME?</v>
      </c>
      <c r="AC83" s="16">
        <v>1879.5510464813999</v>
      </c>
    </row>
    <row r="84" spans="1:29" x14ac:dyDescent="0.35">
      <c r="A84" s="2" t="s">
        <v>94</v>
      </c>
      <c r="B84" s="4" t="s">
        <v>768</v>
      </c>
      <c r="C84" s="4" t="s">
        <v>530</v>
      </c>
      <c r="D84" s="4" t="s">
        <v>537</v>
      </c>
      <c r="E84" s="4" t="s">
        <v>613</v>
      </c>
      <c r="F84" s="4" t="s">
        <v>613</v>
      </c>
      <c r="G84" s="14">
        <v>58.9</v>
      </c>
      <c r="H84" s="10">
        <v>16.096806000000001</v>
      </c>
      <c r="I84" s="10">
        <v>262.17978599999998</v>
      </c>
      <c r="J84" s="10">
        <v>21.152635</v>
      </c>
      <c r="K84" s="15">
        <v>2.7164000000000001E-2</v>
      </c>
      <c r="L84" s="17">
        <v>96117.549939999997</v>
      </c>
      <c r="M84" s="4" t="s">
        <v>769</v>
      </c>
      <c r="N84" s="19">
        <v>0.22465499999999999</v>
      </c>
      <c r="O84" s="19">
        <v>3.8197000000000001</v>
      </c>
      <c r="P84" s="19">
        <v>0.61</v>
      </c>
      <c r="Q84" s="19">
        <v>3.0831</v>
      </c>
      <c r="R84" s="19">
        <v>2.65</v>
      </c>
      <c r="S84" s="19">
        <v>2.9203000000000001</v>
      </c>
      <c r="T84" s="19">
        <v>2.65</v>
      </c>
      <c r="U84" s="19">
        <v>2.0779000000000001</v>
      </c>
      <c r="V84" s="19">
        <v>1.2</v>
      </c>
      <c r="W84" s="19">
        <v>1.8321000000000001</v>
      </c>
      <c r="X84" s="19">
        <v>1.2</v>
      </c>
      <c r="Y84" s="19">
        <v>1.8321000000000001</v>
      </c>
      <c r="Z84" s="4"/>
      <c r="AA84" s="4"/>
      <c r="AB84" s="4" t="e">
        <f ca="1">_xll.ciqfunctions.udf.CIQ("^SPX", "IQ_PRICEDATE", "4/23/2014")</f>
        <v>#NAME?</v>
      </c>
      <c r="AC84" s="16">
        <v>1875.3877070323001</v>
      </c>
    </row>
    <row r="85" spans="1:29" x14ac:dyDescent="0.35">
      <c r="A85" s="2" t="s">
        <v>95</v>
      </c>
      <c r="B85" s="4" t="s">
        <v>770</v>
      </c>
      <c r="C85" s="4" t="s">
        <v>543</v>
      </c>
      <c r="D85" s="4" t="s">
        <v>565</v>
      </c>
      <c r="E85" s="4" t="s">
        <v>565</v>
      </c>
      <c r="F85" s="4" t="s">
        <v>566</v>
      </c>
      <c r="G85" s="14">
        <v>237.17</v>
      </c>
      <c r="H85" s="10">
        <v>12.161959</v>
      </c>
      <c r="I85" s="10">
        <v>8.5225469999999994</v>
      </c>
      <c r="J85" s="10" t="s">
        <v>534</v>
      </c>
      <c r="K85" s="15">
        <v>2.9513999999999999E-2</v>
      </c>
      <c r="L85" s="17">
        <v>98057.166882999998</v>
      </c>
      <c r="M85" s="4" t="s">
        <v>771</v>
      </c>
      <c r="N85" s="19">
        <v>27.828533</v>
      </c>
      <c r="O85" s="19">
        <v>21.167400000000001</v>
      </c>
      <c r="P85" s="19">
        <v>4.03</v>
      </c>
      <c r="Q85" s="19">
        <v>0</v>
      </c>
      <c r="R85" s="19">
        <v>-4.5665789999999999</v>
      </c>
      <c r="S85" s="19">
        <v>0</v>
      </c>
      <c r="T85" s="19">
        <v>-4.5665789999999999</v>
      </c>
      <c r="U85" s="19">
        <v>0</v>
      </c>
      <c r="V85" s="19">
        <v>1.1599999999999999</v>
      </c>
      <c r="W85" s="19">
        <v>0</v>
      </c>
      <c r="X85" s="19">
        <v>1.1599999999999999</v>
      </c>
      <c r="Y85" s="19">
        <v>0</v>
      </c>
      <c r="Z85" s="4"/>
      <c r="AA85" s="4"/>
      <c r="AB85" s="4" t="e">
        <f ca="1">_xll.ciqfunctions.udf.CIQ("^SPX", "IQ_PRICEDATE", "4/24/2014")</f>
        <v>#NAME?</v>
      </c>
      <c r="AC85" s="16">
        <v>1878.610508557</v>
      </c>
    </row>
    <row r="86" spans="1:29" x14ac:dyDescent="0.35">
      <c r="A86" s="2" t="s">
        <v>96</v>
      </c>
      <c r="B86" s="4" t="s">
        <v>772</v>
      </c>
      <c r="C86" s="4" t="s">
        <v>543</v>
      </c>
      <c r="D86" s="4" t="s">
        <v>544</v>
      </c>
      <c r="E86" s="4" t="s">
        <v>545</v>
      </c>
      <c r="F86" s="4" t="s">
        <v>616</v>
      </c>
      <c r="G86" s="14">
        <v>118.81</v>
      </c>
      <c r="H86" s="10">
        <v>18.167111999999999</v>
      </c>
      <c r="I86" s="10">
        <v>33.373595000000002</v>
      </c>
      <c r="J86" s="10" t="s">
        <v>534</v>
      </c>
      <c r="K86" s="15">
        <v>1.6327999999999999E-2</v>
      </c>
      <c r="L86" s="17">
        <v>13820.592259999999</v>
      </c>
      <c r="M86" s="4" t="s">
        <v>773</v>
      </c>
      <c r="N86" s="19">
        <v>3.56</v>
      </c>
      <c r="O86" s="19">
        <v>4.66167</v>
      </c>
      <c r="P86" s="19">
        <v>3.119675</v>
      </c>
      <c r="Q86" s="19">
        <v>3.7469999999999999</v>
      </c>
      <c r="R86" s="19">
        <v>2.4420839999999999</v>
      </c>
      <c r="S86" s="19">
        <v>3.2098</v>
      </c>
      <c r="T86" s="19">
        <v>2.4420839999999999</v>
      </c>
      <c r="U86" s="19">
        <v>2.8180999999999998</v>
      </c>
      <c r="V86" s="19">
        <v>2.0777489999999998</v>
      </c>
      <c r="W86" s="19">
        <v>2.5493000000000001</v>
      </c>
      <c r="X86" s="19">
        <v>2.0777489999999998</v>
      </c>
      <c r="Y86" s="19">
        <v>2.5493000000000001</v>
      </c>
      <c r="Z86" s="4"/>
      <c r="AA86" s="4"/>
      <c r="AB86" s="4" t="e">
        <f ca="1">_xll.ciqfunctions.udf.CIQ("^SPX", "IQ_PRICEDATE", "4/25/2014")</f>
        <v>#NAME?</v>
      </c>
      <c r="AC86" s="16">
        <v>1863.4006714401</v>
      </c>
    </row>
    <row r="87" spans="1:29" x14ac:dyDescent="0.35">
      <c r="A87" s="2" t="s">
        <v>97</v>
      </c>
      <c r="B87" s="4" t="s">
        <v>774</v>
      </c>
      <c r="C87" s="4" t="s">
        <v>626</v>
      </c>
      <c r="D87" s="4" t="s">
        <v>627</v>
      </c>
      <c r="E87" s="4" t="s">
        <v>775</v>
      </c>
      <c r="F87" s="4" t="s">
        <v>776</v>
      </c>
      <c r="G87" s="14">
        <v>47.9</v>
      </c>
      <c r="H87" s="10">
        <v>22.599243000000001</v>
      </c>
      <c r="I87" s="10">
        <v>31.513468</v>
      </c>
      <c r="J87" s="10" t="s">
        <v>534</v>
      </c>
      <c r="K87" s="15">
        <v>1.3193999999999999E-2</v>
      </c>
      <c r="L87" s="17">
        <v>23081.351655999999</v>
      </c>
      <c r="M87" s="4" t="s">
        <v>777</v>
      </c>
      <c r="N87" s="19">
        <v>1.5199849999999999</v>
      </c>
      <c r="O87" s="19">
        <v>1.7033</v>
      </c>
      <c r="P87" s="19">
        <v>1.5397130000000001</v>
      </c>
      <c r="Q87" s="19">
        <v>1.6486000000000001</v>
      </c>
      <c r="R87" s="19">
        <v>2.1137489999999999</v>
      </c>
      <c r="S87" s="19">
        <v>1.4413</v>
      </c>
      <c r="T87" s="19">
        <v>2.1137489999999999</v>
      </c>
      <c r="U87" s="19">
        <v>1.4343999999999999</v>
      </c>
      <c r="V87" s="19">
        <v>1.2437910000000001</v>
      </c>
      <c r="W87" s="19">
        <v>1.3714999999999999</v>
      </c>
      <c r="X87" s="19">
        <v>1.2437910000000001</v>
      </c>
      <c r="Y87" s="19">
        <v>1.3714999999999999</v>
      </c>
      <c r="Z87" s="4"/>
      <c r="AA87" s="4"/>
      <c r="AB87" s="4" t="e">
        <f ca="1">_xll.ciqfunctions.udf.CIQ("^SPX", "IQ_PRICEDATE", "4/28/2014")</f>
        <v>#NAME?</v>
      </c>
      <c r="AC87" s="16">
        <v>1869.4252355353999</v>
      </c>
    </row>
    <row r="88" spans="1:29" x14ac:dyDescent="0.35">
      <c r="A88" s="2" t="s">
        <v>98</v>
      </c>
      <c r="B88" s="4" t="s">
        <v>778</v>
      </c>
      <c r="C88" s="4" t="s">
        <v>525</v>
      </c>
      <c r="D88" s="4" t="s">
        <v>594</v>
      </c>
      <c r="E88" s="4" t="s">
        <v>779</v>
      </c>
      <c r="F88" s="4" t="s">
        <v>779</v>
      </c>
      <c r="G88" s="14">
        <v>93.68</v>
      </c>
      <c r="H88" s="10">
        <v>15.520675000000001</v>
      </c>
      <c r="I88" s="10">
        <v>23.070698</v>
      </c>
      <c r="J88" s="10">
        <v>106.42648699999999</v>
      </c>
      <c r="K88" s="15">
        <v>1.9640999999999999E-2</v>
      </c>
      <c r="L88" s="17">
        <v>12978.848666</v>
      </c>
      <c r="M88" s="4" t="s">
        <v>780</v>
      </c>
      <c r="N88" s="19">
        <v>4.060562</v>
      </c>
      <c r="O88" s="19">
        <v>4.6940999999999997</v>
      </c>
      <c r="P88" s="19">
        <v>3.57</v>
      </c>
      <c r="Q88" s="19">
        <v>3.5849000000000002</v>
      </c>
      <c r="R88" s="19">
        <v>3.59</v>
      </c>
      <c r="S88" s="19">
        <v>3.6333000000000002</v>
      </c>
      <c r="T88" s="19">
        <v>3.59</v>
      </c>
      <c r="U88" s="19">
        <v>3.6848000000000001</v>
      </c>
      <c r="V88" s="19">
        <v>3.05</v>
      </c>
      <c r="W88" s="19">
        <v>3.3041999999999998</v>
      </c>
      <c r="X88" s="19">
        <v>3.05</v>
      </c>
      <c r="Y88" s="19">
        <v>3.3041999999999998</v>
      </c>
      <c r="Z88" s="4"/>
      <c r="AA88" s="4"/>
      <c r="AB88" s="4" t="e">
        <f ca="1">_xll.ciqfunctions.udf.CIQ("^SPX", "IQ_PRICEDATE", "4/29/2014")</f>
        <v>#NAME?</v>
      </c>
      <c r="AC88" s="16">
        <v>1878.3300711029999</v>
      </c>
    </row>
    <row r="89" spans="1:29" x14ac:dyDescent="0.35">
      <c r="A89" s="2" t="s">
        <v>99</v>
      </c>
      <c r="B89" s="4" t="s">
        <v>781</v>
      </c>
      <c r="C89" s="4" t="s">
        <v>543</v>
      </c>
      <c r="D89" s="4" t="s">
        <v>544</v>
      </c>
      <c r="E89" s="4" t="s">
        <v>555</v>
      </c>
      <c r="F89" s="4" t="s">
        <v>782</v>
      </c>
      <c r="G89" s="14">
        <v>43.98</v>
      </c>
      <c r="H89" s="10">
        <v>14.339661</v>
      </c>
      <c r="I89" s="10">
        <v>39.706865999999998</v>
      </c>
      <c r="J89" s="10" t="s">
        <v>534</v>
      </c>
      <c r="K89" s="15">
        <v>2.3192000000000001E-2</v>
      </c>
      <c r="L89" s="17">
        <v>18390.935578000001</v>
      </c>
      <c r="M89" s="4" t="s">
        <v>783</v>
      </c>
      <c r="N89" s="19">
        <v>1.1076170000000001</v>
      </c>
      <c r="O89" s="19">
        <v>2.8094000000000001</v>
      </c>
      <c r="P89" s="19">
        <v>1.0120769999999999</v>
      </c>
      <c r="Q89" s="19">
        <v>2.4868999999999999</v>
      </c>
      <c r="R89" s="19">
        <v>1.878744</v>
      </c>
      <c r="S89" s="19">
        <v>2.5095999999999998</v>
      </c>
      <c r="T89" s="19">
        <v>1.878744</v>
      </c>
      <c r="U89" s="19">
        <v>2.4708999999999999</v>
      </c>
      <c r="V89" s="19">
        <v>1.7158370000000001</v>
      </c>
      <c r="W89" s="19">
        <v>2.4104000000000001</v>
      </c>
      <c r="X89" s="19">
        <v>1.7158370000000001</v>
      </c>
      <c r="Y89" s="19">
        <v>2.4104000000000001</v>
      </c>
      <c r="Z89" s="4"/>
      <c r="AA89" s="4"/>
      <c r="AB89" s="4" t="e">
        <f ca="1">_xll.ciqfunctions.udf.CIQ("^SPX", "IQ_PRICEDATE", "4/30/2014")</f>
        <v>#NAME?</v>
      </c>
      <c r="AC89" s="16">
        <v>1883.9501304206001</v>
      </c>
    </row>
    <row r="90" spans="1:29" x14ac:dyDescent="0.35">
      <c r="A90" s="2" t="s">
        <v>100</v>
      </c>
      <c r="B90" s="4" t="s">
        <v>784</v>
      </c>
      <c r="C90" s="4" t="s">
        <v>669</v>
      </c>
      <c r="D90" s="4" t="s">
        <v>669</v>
      </c>
      <c r="E90" s="4" t="s">
        <v>670</v>
      </c>
      <c r="F90" s="4" t="s">
        <v>671</v>
      </c>
      <c r="G90" s="14">
        <v>23.8</v>
      </c>
      <c r="H90" s="10">
        <v>14.452731</v>
      </c>
      <c r="I90" s="10">
        <v>82.235421000000002</v>
      </c>
      <c r="J90" s="10">
        <v>4.8742570000000001</v>
      </c>
      <c r="K90" s="15">
        <v>1.0083999999999999E-2</v>
      </c>
      <c r="L90" s="17">
        <v>10500.021739</v>
      </c>
      <c r="M90" s="4" t="s">
        <v>785</v>
      </c>
      <c r="N90" s="19">
        <v>0.28941299999999998</v>
      </c>
      <c r="O90" s="19">
        <v>1.4618</v>
      </c>
      <c r="P90" s="19">
        <v>0.21648700000000001</v>
      </c>
      <c r="Q90" s="19">
        <v>0.84609999999999996</v>
      </c>
      <c r="R90" s="19">
        <v>-0.913049</v>
      </c>
      <c r="S90" s="19">
        <v>0.32229999999999998</v>
      </c>
      <c r="T90" s="19">
        <v>-0.913049</v>
      </c>
      <c r="U90" s="19">
        <v>-0.10050000000000001</v>
      </c>
      <c r="V90" s="19">
        <v>0.25</v>
      </c>
      <c r="W90" s="19">
        <v>0.85319999999999996</v>
      </c>
      <c r="X90" s="19">
        <v>0.25</v>
      </c>
      <c r="Y90" s="19">
        <v>0.85319999999999996</v>
      </c>
      <c r="Z90" s="4"/>
      <c r="AA90" s="4"/>
      <c r="AB90" s="4" t="e">
        <f ca="1">_xll.ciqfunctions.udf.CIQ("^SPX", "IQ_PRICEDATE", "5/1/2014")</f>
        <v>#NAME?</v>
      </c>
      <c r="AC90" s="16">
        <v>1883.6834685870001</v>
      </c>
    </row>
    <row r="91" spans="1:29" x14ac:dyDescent="0.35">
      <c r="A91" s="2" t="s">
        <v>101</v>
      </c>
      <c r="B91" s="4" t="s">
        <v>786</v>
      </c>
      <c r="C91" s="4" t="s">
        <v>543</v>
      </c>
      <c r="D91" s="4" t="s">
        <v>544</v>
      </c>
      <c r="E91" s="4" t="s">
        <v>555</v>
      </c>
      <c r="F91" s="4" t="s">
        <v>556</v>
      </c>
      <c r="G91" s="14">
        <v>40.4</v>
      </c>
      <c r="H91" s="10">
        <v>24.092434999999998</v>
      </c>
      <c r="I91" s="10">
        <v>52.391258000000001</v>
      </c>
      <c r="J91" s="10">
        <v>41.808138999999997</v>
      </c>
      <c r="K91" s="15">
        <v>0</v>
      </c>
      <c r="L91" s="17">
        <v>11425.4432</v>
      </c>
      <c r="M91" s="4" t="s">
        <v>787</v>
      </c>
      <c r="N91" s="19">
        <v>0.77112099999999995</v>
      </c>
      <c r="O91" s="19">
        <v>1.7259</v>
      </c>
      <c r="P91" s="19">
        <v>0.73</v>
      </c>
      <c r="Q91" s="19">
        <v>1.4874000000000001</v>
      </c>
      <c r="R91" s="19">
        <v>0.7</v>
      </c>
      <c r="S91" s="19">
        <v>1.3187</v>
      </c>
      <c r="T91" s="19">
        <v>0.7</v>
      </c>
      <c r="U91" s="19">
        <v>1.1363000000000001</v>
      </c>
      <c r="V91" s="19">
        <v>0.43928200000000001</v>
      </c>
      <c r="W91" s="19">
        <v>1.0418000000000001</v>
      </c>
      <c r="X91" s="19">
        <v>0.43928200000000001</v>
      </c>
      <c r="Y91" s="19">
        <v>1.0418000000000001</v>
      </c>
      <c r="Z91" s="4"/>
      <c r="AA91" s="4"/>
      <c r="AB91" s="4" t="e">
        <f ca="1">_xll.ciqfunctions.udf.CIQ("^SPX", "IQ_PRICEDATE", "5/2/2014")</f>
        <v>#NAME?</v>
      </c>
      <c r="AC91" s="16">
        <v>1881.1381375353999</v>
      </c>
    </row>
    <row r="92" spans="1:29" x14ac:dyDescent="0.35">
      <c r="A92" s="2" t="s">
        <v>102</v>
      </c>
      <c r="B92" s="4" t="s">
        <v>788</v>
      </c>
      <c r="C92" s="4" t="s">
        <v>626</v>
      </c>
      <c r="D92" s="4" t="s">
        <v>627</v>
      </c>
      <c r="E92" s="4" t="s">
        <v>699</v>
      </c>
      <c r="F92" s="4" t="s">
        <v>789</v>
      </c>
      <c r="G92" s="14">
        <v>36.32</v>
      </c>
      <c r="H92" s="10">
        <v>10.58963</v>
      </c>
      <c r="I92" s="10">
        <v>42.232557999999997</v>
      </c>
      <c r="J92" s="10" t="s">
        <v>534</v>
      </c>
      <c r="K92" s="15">
        <v>3.8545999999999997E-2</v>
      </c>
      <c r="L92" s="17">
        <v>10919.830604999999</v>
      </c>
      <c r="M92" s="4" t="s">
        <v>790</v>
      </c>
      <c r="N92" s="19">
        <v>0.86</v>
      </c>
      <c r="O92" s="19">
        <v>2.4372699999999998</v>
      </c>
      <c r="P92" s="19">
        <v>2.85459</v>
      </c>
      <c r="Q92" s="19">
        <v>2.9523000000000001</v>
      </c>
      <c r="R92" s="19">
        <v>2.1284049999999999</v>
      </c>
      <c r="S92" s="19">
        <v>3.1292</v>
      </c>
      <c r="T92" s="19">
        <v>2.1284049999999999</v>
      </c>
      <c r="U92" s="19">
        <v>2.8235000000000001</v>
      </c>
      <c r="V92" s="19">
        <v>2.5402049999999998</v>
      </c>
      <c r="W92" s="19">
        <v>2.4777999999999998</v>
      </c>
      <c r="X92" s="19">
        <v>2.5402049999999998</v>
      </c>
      <c r="Y92" s="19">
        <v>2.4777999999999998</v>
      </c>
      <c r="Z92" s="4"/>
      <c r="AA92" s="4"/>
      <c r="AB92" s="4" t="e">
        <f ca="1">_xll.ciqfunctions.udf.CIQ("^SPX", "IQ_PRICEDATE", "5/5/2014")</f>
        <v>#NAME?</v>
      </c>
      <c r="AC92" s="16">
        <v>1884.6557347001001</v>
      </c>
    </row>
    <row r="93" spans="1:29" x14ac:dyDescent="0.35">
      <c r="A93" s="2" t="s">
        <v>103</v>
      </c>
      <c r="B93" s="4" t="s">
        <v>791</v>
      </c>
      <c r="C93" s="4" t="s">
        <v>573</v>
      </c>
      <c r="D93" s="4" t="s">
        <v>574</v>
      </c>
      <c r="E93" s="4" t="s">
        <v>641</v>
      </c>
      <c r="F93" s="4" t="s">
        <v>641</v>
      </c>
      <c r="G93" s="14">
        <v>91.48</v>
      </c>
      <c r="H93" s="10">
        <v>0</v>
      </c>
      <c r="I93" s="10">
        <v>13.784369999999999</v>
      </c>
      <c r="J93" s="10">
        <v>1.4454560000000001</v>
      </c>
      <c r="K93" s="15">
        <v>1.7490000000000002E-2</v>
      </c>
      <c r="L93" s="17">
        <v>43766.776400000002</v>
      </c>
      <c r="M93" s="4" t="s">
        <v>792</v>
      </c>
      <c r="N93" s="19">
        <v>6.6365020000000001</v>
      </c>
      <c r="O93" s="19">
        <v>10.9521</v>
      </c>
      <c r="P93" s="19">
        <v>3.76</v>
      </c>
      <c r="Q93" s="19">
        <v>8.5507000000000009</v>
      </c>
      <c r="R93" s="19">
        <v>6.93</v>
      </c>
      <c r="S93" s="19">
        <v>7.8623000000000003</v>
      </c>
      <c r="T93" s="19">
        <v>6.93</v>
      </c>
      <c r="U93" s="19">
        <v>7.6513999999999998</v>
      </c>
      <c r="V93" s="19">
        <v>7.58</v>
      </c>
      <c r="W93" s="19">
        <v>7.6684999999999999</v>
      </c>
      <c r="X93" s="19">
        <v>7.58</v>
      </c>
      <c r="Y93" s="19">
        <v>7.6684999999999999</v>
      </c>
      <c r="Z93" s="4"/>
      <c r="AA93" s="4"/>
      <c r="AB93" s="4" t="e">
        <f ca="1">_xll.ciqfunctions.udf.CIQ("^SPX", "IQ_PRICEDATE", "5/6/2014")</f>
        <v>#NAME?</v>
      </c>
      <c r="AC93" s="16">
        <v>1867.7191073542999</v>
      </c>
    </row>
    <row r="94" spans="1:29" x14ac:dyDescent="0.35">
      <c r="A94" s="2" t="s">
        <v>104</v>
      </c>
      <c r="B94" s="4" t="s">
        <v>793</v>
      </c>
      <c r="C94" s="4" t="s">
        <v>530</v>
      </c>
      <c r="D94" s="4" t="s">
        <v>531</v>
      </c>
      <c r="E94" s="4" t="s">
        <v>569</v>
      </c>
      <c r="F94" s="4" t="s">
        <v>655</v>
      </c>
      <c r="G94" s="14">
        <v>53.52</v>
      </c>
      <c r="H94" s="10">
        <v>7.7523270000000002</v>
      </c>
      <c r="I94" s="10">
        <v>66.074073999999996</v>
      </c>
      <c r="J94" s="10" t="s">
        <v>534</v>
      </c>
      <c r="K94" s="15">
        <v>3.5596999999999997E-2</v>
      </c>
      <c r="L94" s="17">
        <v>16048.772070000001</v>
      </c>
      <c r="M94" s="4" t="s">
        <v>794</v>
      </c>
      <c r="N94" s="19">
        <v>0.81</v>
      </c>
      <c r="O94" s="19">
        <v>5.0192600000000001</v>
      </c>
      <c r="P94" s="19">
        <v>5.735188</v>
      </c>
      <c r="Q94" s="19">
        <v>5.1148999999999996</v>
      </c>
      <c r="R94" s="19">
        <v>4.1525109999999996</v>
      </c>
      <c r="S94" s="19">
        <v>5.609</v>
      </c>
      <c r="T94" s="19">
        <v>4.1525109999999996</v>
      </c>
      <c r="U94" s="19">
        <v>5.3914999999999997</v>
      </c>
      <c r="V94" s="19">
        <v>3.239296</v>
      </c>
      <c r="W94" s="19">
        <v>4.4118000000000004</v>
      </c>
      <c r="X94" s="19">
        <v>3.239296</v>
      </c>
      <c r="Y94" s="19">
        <v>4.4118000000000004</v>
      </c>
      <c r="Z94" s="4"/>
      <c r="AA94" s="4"/>
      <c r="AB94" s="4" t="e">
        <f ca="1">_xll.ciqfunctions.udf.CIQ("^SPX", "IQ_PRICEDATE", "5/7/2014")</f>
        <v>#NAME?</v>
      </c>
      <c r="AC94" s="16">
        <v>1878.2077180358999</v>
      </c>
    </row>
    <row r="95" spans="1:29" x14ac:dyDescent="0.35">
      <c r="A95" s="2" t="s">
        <v>105</v>
      </c>
      <c r="B95" s="4" t="s">
        <v>795</v>
      </c>
      <c r="C95" s="4" t="s">
        <v>559</v>
      </c>
      <c r="D95" s="4" t="s">
        <v>560</v>
      </c>
      <c r="E95" s="4" t="s">
        <v>561</v>
      </c>
      <c r="F95" s="4" t="s">
        <v>562</v>
      </c>
      <c r="G95" s="14">
        <v>69.92</v>
      </c>
      <c r="H95" s="10">
        <v>19.832695999999999</v>
      </c>
      <c r="I95" s="10">
        <v>17.3401</v>
      </c>
      <c r="J95" s="10">
        <v>3.5197690000000001</v>
      </c>
      <c r="K95" s="15">
        <v>0</v>
      </c>
      <c r="L95" s="17">
        <v>12209.517311</v>
      </c>
      <c r="M95" s="4" t="s">
        <v>796</v>
      </c>
      <c r="N95" s="19">
        <v>4.0322719999999999</v>
      </c>
      <c r="O95" s="19">
        <v>4.8364000000000003</v>
      </c>
      <c r="P95" s="19">
        <v>3.7372429999999999</v>
      </c>
      <c r="Q95" s="19">
        <v>4.0983999999999998</v>
      </c>
      <c r="R95" s="19">
        <v>3.1556299999999999</v>
      </c>
      <c r="S95" s="19">
        <v>3.5223</v>
      </c>
      <c r="T95" s="19">
        <v>3.1556299999999999</v>
      </c>
      <c r="U95" s="19">
        <v>3.2806999999999999</v>
      </c>
      <c r="V95" s="19">
        <v>2.484111</v>
      </c>
      <c r="W95" s="19">
        <v>2.8491</v>
      </c>
      <c r="X95" s="19">
        <v>2.484111</v>
      </c>
      <c r="Y95" s="19">
        <v>2.8491</v>
      </c>
      <c r="Z95" s="4"/>
      <c r="AA95" s="4"/>
      <c r="AB95" s="4" t="e">
        <f ca="1">_xll.ciqfunctions.udf.CIQ("^SPX", "IQ_PRICEDATE", "5/8/2014")</f>
        <v>#NAME?</v>
      </c>
      <c r="AC95" s="16">
        <v>1875.6291590243</v>
      </c>
    </row>
    <row r="96" spans="1:29" x14ac:dyDescent="0.35">
      <c r="A96" s="2" t="s">
        <v>106</v>
      </c>
      <c r="B96" s="4" t="s">
        <v>797</v>
      </c>
      <c r="C96" s="4" t="s">
        <v>559</v>
      </c>
      <c r="D96" s="4" t="s">
        <v>798</v>
      </c>
      <c r="E96" s="4" t="s">
        <v>799</v>
      </c>
      <c r="F96" s="4" t="s">
        <v>800</v>
      </c>
      <c r="G96" s="14">
        <v>59</v>
      </c>
      <c r="H96" s="10">
        <v>9.2766710000000003</v>
      </c>
      <c r="I96" s="10">
        <v>13.211574000000001</v>
      </c>
      <c r="J96" s="10">
        <v>2.0123760000000002</v>
      </c>
      <c r="K96" s="15">
        <v>3.3898000000000005E-2</v>
      </c>
      <c r="L96" s="17">
        <v>41204.667092000003</v>
      </c>
      <c r="M96" s="4" t="s">
        <v>801</v>
      </c>
      <c r="N96" s="19">
        <v>4.4657809999999998</v>
      </c>
      <c r="O96" s="19">
        <v>4.5016999999999996</v>
      </c>
      <c r="P96" s="19">
        <v>3.59</v>
      </c>
      <c r="Q96" s="19">
        <v>4.2590700000000004</v>
      </c>
      <c r="R96" s="19">
        <v>3.72</v>
      </c>
      <c r="S96" s="19">
        <v>3.5720100000000001</v>
      </c>
      <c r="T96" s="19">
        <v>3.72</v>
      </c>
      <c r="U96" s="19">
        <v>3.3593199999999999</v>
      </c>
      <c r="V96" s="19">
        <v>1.56</v>
      </c>
      <c r="W96" s="19">
        <v>2.5376300000000001</v>
      </c>
      <c r="X96" s="19">
        <v>1.56</v>
      </c>
      <c r="Y96" s="19">
        <v>2.5376300000000001</v>
      </c>
      <c r="Z96" s="4"/>
      <c r="AA96" s="4"/>
      <c r="AB96" s="4" t="e">
        <f ca="1">_xll.ciqfunctions.udf.CIQ("^SPX", "IQ_PRICEDATE", "5/9/2014")</f>
        <v>#NAME?</v>
      </c>
      <c r="AC96" s="16">
        <v>1878.4756878404</v>
      </c>
    </row>
    <row r="97" spans="1:29" x14ac:dyDescent="0.35">
      <c r="A97" s="2" t="s">
        <v>107</v>
      </c>
      <c r="B97" s="4" t="s">
        <v>802</v>
      </c>
      <c r="C97" s="4" t="s">
        <v>525</v>
      </c>
      <c r="D97" s="4" t="s">
        <v>526</v>
      </c>
      <c r="E97" s="4" t="s">
        <v>803</v>
      </c>
      <c r="F97" s="4" t="s">
        <v>804</v>
      </c>
      <c r="G97" s="14">
        <v>141.34</v>
      </c>
      <c r="H97" s="10">
        <v>10.774259000000001</v>
      </c>
      <c r="I97" s="10">
        <v>27.305671</v>
      </c>
      <c r="J97" s="10">
        <v>12.744948000000001</v>
      </c>
      <c r="K97" s="15">
        <v>2.4338000000000002E-2</v>
      </c>
      <c r="L97" s="17">
        <v>84001.950339999996</v>
      </c>
      <c r="M97" s="4" t="s">
        <v>805</v>
      </c>
      <c r="N97" s="19">
        <v>5.1762139999999999</v>
      </c>
      <c r="O97" s="19">
        <v>12.0632</v>
      </c>
      <c r="P97" s="19">
        <v>1.26</v>
      </c>
      <c r="Q97" s="19">
        <v>7.7234999999999996</v>
      </c>
      <c r="R97" s="19">
        <v>-0.11466700000000001</v>
      </c>
      <c r="S97" s="19">
        <v>3.0388000000000002</v>
      </c>
      <c r="T97" s="19">
        <v>-0.11466700000000001</v>
      </c>
      <c r="U97" s="19">
        <v>3.3948</v>
      </c>
      <c r="V97" s="19">
        <v>3.9</v>
      </c>
      <c r="W97" s="19">
        <v>6.7378</v>
      </c>
      <c r="X97" s="19">
        <v>3.9</v>
      </c>
      <c r="Y97" s="19">
        <v>6.7378</v>
      </c>
      <c r="Z97" s="4"/>
      <c r="AA97" s="4"/>
      <c r="AB97" s="4" t="e">
        <f ca="1">_xll.ciqfunctions.udf.CIQ("^SPX", "IQ_PRICEDATE", "5/12/2014")</f>
        <v>#NAME?</v>
      </c>
      <c r="AC97" s="16">
        <v>1896.6543225495</v>
      </c>
    </row>
    <row r="98" spans="1:29" x14ac:dyDescent="0.35">
      <c r="A98" s="2" t="s">
        <v>108</v>
      </c>
      <c r="B98" s="4" t="s">
        <v>806</v>
      </c>
      <c r="C98" s="4" t="s">
        <v>573</v>
      </c>
      <c r="D98" s="4" t="s">
        <v>574</v>
      </c>
      <c r="E98" s="4" t="s">
        <v>575</v>
      </c>
      <c r="F98" s="4" t="s">
        <v>807</v>
      </c>
      <c r="G98" s="14">
        <v>102.64</v>
      </c>
      <c r="H98" s="10">
        <v>15.851008999999999</v>
      </c>
      <c r="I98" s="10">
        <v>22.533776</v>
      </c>
      <c r="J98" s="10" t="s">
        <v>534</v>
      </c>
      <c r="K98" s="15">
        <v>1.2081E-2</v>
      </c>
      <c r="L98" s="17">
        <v>11477.076499999999</v>
      </c>
      <c r="M98" s="4" t="s">
        <v>808</v>
      </c>
      <c r="N98" s="19">
        <v>4.5549400000000002</v>
      </c>
      <c r="O98" s="19">
        <v>4.5174000000000003</v>
      </c>
      <c r="P98" s="19">
        <v>3.69</v>
      </c>
      <c r="Q98" s="19">
        <v>3.8010000000000002</v>
      </c>
      <c r="R98" s="19">
        <v>2.27</v>
      </c>
      <c r="S98" s="19">
        <v>2.4192999999999998</v>
      </c>
      <c r="T98" s="19">
        <v>2.27</v>
      </c>
      <c r="U98" s="19">
        <v>2.5352000000000001</v>
      </c>
      <c r="V98" s="19">
        <v>2.2058399999999998</v>
      </c>
      <c r="W98" s="19">
        <v>2.5146000000000002</v>
      </c>
      <c r="X98" s="19">
        <v>2.2058399999999998</v>
      </c>
      <c r="Y98" s="19">
        <v>2.5146000000000002</v>
      </c>
      <c r="Z98" s="4"/>
      <c r="AA98" s="4"/>
      <c r="AB98" s="4" t="e">
        <f ca="1">_xll.ciqfunctions.udf.CIQ("^SPX", "IQ_PRICEDATE", "5/13/2014")</f>
        <v>#NAME?</v>
      </c>
      <c r="AC98" s="16">
        <v>1897.4458157632</v>
      </c>
    </row>
    <row r="99" spans="1:29" x14ac:dyDescent="0.35">
      <c r="A99" s="2" t="s">
        <v>109</v>
      </c>
      <c r="B99" s="4" t="s">
        <v>809</v>
      </c>
      <c r="C99" s="4" t="s">
        <v>601</v>
      </c>
      <c r="D99" s="4" t="s">
        <v>601</v>
      </c>
      <c r="E99" s="4" t="s">
        <v>810</v>
      </c>
      <c r="F99" s="4" t="s">
        <v>811</v>
      </c>
      <c r="G99" s="14">
        <v>39.659999999999997</v>
      </c>
      <c r="H99" s="10">
        <v>9.3254260000000002</v>
      </c>
      <c r="I99" s="10">
        <v>18.618659999999998</v>
      </c>
      <c r="J99" s="10" t="s">
        <v>534</v>
      </c>
      <c r="K99" s="15">
        <v>0</v>
      </c>
      <c r="L99" s="17">
        <v>13169.513559999999</v>
      </c>
      <c r="M99" s="4" t="s">
        <v>812</v>
      </c>
      <c r="N99" s="19">
        <v>2.1301209999999999</v>
      </c>
      <c r="O99" s="19">
        <v>3.2469000000000001</v>
      </c>
      <c r="P99" s="19">
        <v>2.0299999999999998</v>
      </c>
      <c r="Q99" s="19">
        <v>2.6916000000000002</v>
      </c>
      <c r="R99" s="19">
        <v>1.689999</v>
      </c>
      <c r="S99" s="19">
        <v>2.2982</v>
      </c>
      <c r="T99" s="19">
        <v>1.689999</v>
      </c>
      <c r="U99" s="19">
        <v>2.2416999999999998</v>
      </c>
      <c r="V99" s="19">
        <v>1.449999</v>
      </c>
      <c r="W99" s="19">
        <v>1.8380000000000001</v>
      </c>
      <c r="X99" s="19">
        <v>1.449999</v>
      </c>
      <c r="Y99" s="19">
        <v>1.8380000000000001</v>
      </c>
      <c r="Z99" s="4"/>
      <c r="AA99" s="4"/>
      <c r="AB99" s="4" t="e">
        <f ca="1">_xll.ciqfunctions.udf.CIQ("^SPX", "IQ_PRICEDATE", "5/14/2014")</f>
        <v>#NAME?</v>
      </c>
      <c r="AC99" s="16">
        <v>1888.5257205712001</v>
      </c>
    </row>
    <row r="100" spans="1:29" x14ac:dyDescent="0.35">
      <c r="A100" s="2" t="s">
        <v>110</v>
      </c>
      <c r="B100" s="4" t="s">
        <v>813</v>
      </c>
      <c r="C100" s="4" t="s">
        <v>549</v>
      </c>
      <c r="D100" s="4" t="s">
        <v>550</v>
      </c>
      <c r="E100" s="4" t="s">
        <v>814</v>
      </c>
      <c r="F100" s="4" t="s">
        <v>815</v>
      </c>
      <c r="G100" s="14">
        <v>55.86</v>
      </c>
      <c r="H100" s="10">
        <v>9.9723369999999996</v>
      </c>
      <c r="I100" s="10">
        <v>15.968147999999999</v>
      </c>
      <c r="J100" s="10" t="s">
        <v>534</v>
      </c>
      <c r="K100" s="15">
        <v>1.2888999999999999E-2</v>
      </c>
      <c r="L100" s="17">
        <v>21017.076614000001</v>
      </c>
      <c r="M100" s="4" t="s">
        <v>816</v>
      </c>
      <c r="N100" s="19">
        <v>3.4982139999999999</v>
      </c>
      <c r="O100" s="19">
        <v>5.7276999999999996</v>
      </c>
      <c r="P100" s="19">
        <v>3.22</v>
      </c>
      <c r="Q100" s="19">
        <v>4.7521000000000004</v>
      </c>
      <c r="R100" s="19">
        <v>3.46</v>
      </c>
      <c r="S100" s="19">
        <v>4.3316999999999997</v>
      </c>
      <c r="T100" s="19">
        <v>3.46</v>
      </c>
      <c r="U100" s="19">
        <v>3.7648000000000001</v>
      </c>
      <c r="V100" s="19">
        <v>2.0499999999999998</v>
      </c>
      <c r="W100" s="19">
        <v>3.4969999999999999</v>
      </c>
      <c r="X100" s="19">
        <v>2.0499999999999998</v>
      </c>
      <c r="Y100" s="19">
        <v>3.4969999999999999</v>
      </c>
      <c r="Z100" s="4"/>
      <c r="AA100" s="4"/>
      <c r="AB100" s="4" t="e">
        <f ca="1">_xll.ciqfunctions.udf.CIQ("^SPX", "IQ_PRICEDATE", "5/15/2014")</f>
        <v>#NAME?</v>
      </c>
      <c r="AC100" s="16">
        <v>1870.8486363597001</v>
      </c>
    </row>
    <row r="101" spans="1:29" x14ac:dyDescent="0.35">
      <c r="A101" s="2" t="s">
        <v>111</v>
      </c>
      <c r="B101" s="4" t="s">
        <v>817</v>
      </c>
      <c r="C101" s="4" t="s">
        <v>530</v>
      </c>
      <c r="D101" s="4" t="s">
        <v>537</v>
      </c>
      <c r="E101" s="4" t="s">
        <v>538</v>
      </c>
      <c r="F101" s="4" t="s">
        <v>538</v>
      </c>
      <c r="G101" s="14">
        <v>84.28</v>
      </c>
      <c r="H101" s="10">
        <v>15.243911000000001</v>
      </c>
      <c r="I101" s="10">
        <v>23.439433000000001</v>
      </c>
      <c r="J101" s="10" t="s">
        <v>534</v>
      </c>
      <c r="K101" s="15">
        <v>0</v>
      </c>
      <c r="L101" s="17">
        <v>59279.434482999997</v>
      </c>
      <c r="M101" s="4" t="s">
        <v>818</v>
      </c>
      <c r="N101" s="19">
        <v>3.59565</v>
      </c>
      <c r="O101" s="19">
        <v>9.6285000000000007</v>
      </c>
      <c r="P101" s="19">
        <v>3.64</v>
      </c>
      <c r="Q101" s="19">
        <v>8.2898999999999994</v>
      </c>
      <c r="R101" s="19">
        <v>2.4900000000000002</v>
      </c>
      <c r="S101" s="19">
        <v>6.7851999999999997</v>
      </c>
      <c r="T101" s="19">
        <v>2.4900000000000002</v>
      </c>
      <c r="U101" s="19">
        <v>5.4412000000000003</v>
      </c>
      <c r="V101" s="19">
        <v>2.39</v>
      </c>
      <c r="W101" s="19">
        <v>4.4302000000000001</v>
      </c>
      <c r="X101" s="19">
        <v>2.39</v>
      </c>
      <c r="Y101" s="19">
        <v>4.4302000000000001</v>
      </c>
      <c r="Z101" s="4"/>
      <c r="AA101" s="4"/>
      <c r="AB101" s="4" t="e">
        <f ca="1">_xll.ciqfunctions.udf.CIQ("^SPX", "IQ_PRICEDATE", "5/16/2014")</f>
        <v>#NAME?</v>
      </c>
      <c r="AC101" s="16">
        <v>1877.8552731881</v>
      </c>
    </row>
    <row r="102" spans="1:29" x14ac:dyDescent="0.35">
      <c r="A102" s="2" t="s">
        <v>112</v>
      </c>
      <c r="B102" s="4" t="s">
        <v>819</v>
      </c>
      <c r="C102" s="4" t="s">
        <v>530</v>
      </c>
      <c r="D102" s="4" t="s">
        <v>531</v>
      </c>
      <c r="E102" s="4" t="s">
        <v>569</v>
      </c>
      <c r="F102" s="4" t="s">
        <v>570</v>
      </c>
      <c r="G102" s="14">
        <v>145.36000000000001</v>
      </c>
      <c r="H102" s="10">
        <v>13.104380000000001</v>
      </c>
      <c r="I102" s="10">
        <v>24.729672000000001</v>
      </c>
      <c r="J102" s="10">
        <v>7.9284350000000003</v>
      </c>
      <c r="K102" s="15">
        <v>0</v>
      </c>
      <c r="L102" s="17">
        <v>29836.109697</v>
      </c>
      <c r="M102" s="4" t="s">
        <v>820</v>
      </c>
      <c r="N102" s="19">
        <v>5.8779589999999997</v>
      </c>
      <c r="O102" s="19">
        <v>7.8372000000000002</v>
      </c>
      <c r="P102" s="19">
        <v>4.6900000000000004</v>
      </c>
      <c r="Q102" s="19">
        <v>5.3230000000000004</v>
      </c>
      <c r="R102" s="19">
        <v>3.41</v>
      </c>
      <c r="S102" s="19">
        <v>4.6642999999999999</v>
      </c>
      <c r="T102" s="19">
        <v>3.41</v>
      </c>
      <c r="U102" s="19">
        <v>3.5289000000000001</v>
      </c>
      <c r="V102" s="19">
        <v>2.23</v>
      </c>
      <c r="W102" s="19">
        <v>2.6775000000000002</v>
      </c>
      <c r="X102" s="19">
        <v>2.23</v>
      </c>
      <c r="Y102" s="19">
        <v>2.6775000000000002</v>
      </c>
      <c r="Z102" s="4"/>
      <c r="AA102" s="4"/>
      <c r="AB102" s="4" t="e">
        <f ca="1">_xll.ciqfunctions.udf.CIQ("^SPX", "IQ_PRICEDATE", "5/19/2014")</f>
        <v>#NAME?</v>
      </c>
      <c r="AC102" s="16">
        <v>1885.0848808167</v>
      </c>
    </row>
    <row r="103" spans="1:29" x14ac:dyDescent="0.35">
      <c r="A103" s="2" t="s">
        <v>113</v>
      </c>
      <c r="B103" s="4" t="s">
        <v>821</v>
      </c>
      <c r="C103" s="4" t="s">
        <v>619</v>
      </c>
      <c r="D103" s="4" t="s">
        <v>619</v>
      </c>
      <c r="E103" s="4" t="s">
        <v>634</v>
      </c>
      <c r="F103" s="4" t="s">
        <v>634</v>
      </c>
      <c r="G103" s="14">
        <v>27.56</v>
      </c>
      <c r="H103" s="10">
        <v>8.565016</v>
      </c>
      <c r="I103" s="10">
        <v>7.6807949999999998</v>
      </c>
      <c r="J103" s="10">
        <v>3.1851780000000001</v>
      </c>
      <c r="K103" s="15">
        <v>4.0274999999999998E-2</v>
      </c>
      <c r="L103" s="17">
        <v>13812.765533</v>
      </c>
      <c r="M103" s="4" t="s">
        <v>822</v>
      </c>
      <c r="N103" s="19">
        <v>3.5881699999999999</v>
      </c>
      <c r="O103" s="19">
        <v>1.6241000000000001</v>
      </c>
      <c r="P103" s="19">
        <v>4.13</v>
      </c>
      <c r="Q103" s="19">
        <v>1.4000999999999999</v>
      </c>
      <c r="R103" s="19">
        <v>1</v>
      </c>
      <c r="S103" s="19">
        <v>1.2421</v>
      </c>
      <c r="T103" s="19">
        <v>1</v>
      </c>
      <c r="U103" s="19">
        <v>1.0885</v>
      </c>
      <c r="V103" s="19">
        <v>1.42</v>
      </c>
      <c r="W103" s="19">
        <v>1.1583000000000001</v>
      </c>
      <c r="X103" s="19">
        <v>1.42</v>
      </c>
      <c r="Y103" s="19">
        <v>1.1583000000000001</v>
      </c>
      <c r="Z103" s="4"/>
      <c r="AA103" s="4"/>
      <c r="AB103" s="4" t="e">
        <f ca="1">_xll.ciqfunctions.udf.CIQ("^SPX", "IQ_PRICEDATE", "5/20/2014")</f>
        <v>#NAME?</v>
      </c>
      <c r="AC103" s="16">
        <v>1872.834226359</v>
      </c>
    </row>
    <row r="104" spans="1:29" x14ac:dyDescent="0.35">
      <c r="A104" s="2" t="s">
        <v>114</v>
      </c>
      <c r="B104" s="4" t="s">
        <v>823</v>
      </c>
      <c r="C104" s="4" t="s">
        <v>549</v>
      </c>
      <c r="D104" s="4" t="s">
        <v>713</v>
      </c>
      <c r="E104" s="4" t="s">
        <v>714</v>
      </c>
      <c r="F104" s="4" t="s">
        <v>824</v>
      </c>
      <c r="G104" s="14">
        <v>21.15</v>
      </c>
      <c r="H104" s="10">
        <v>7.876487</v>
      </c>
      <c r="I104" s="10">
        <v>11.669796</v>
      </c>
      <c r="J104" s="10" t="s">
        <v>534</v>
      </c>
      <c r="K104" s="15">
        <v>0.102127</v>
      </c>
      <c r="L104" s="17">
        <v>22844.607350999999</v>
      </c>
      <c r="M104" s="4" t="s">
        <v>825</v>
      </c>
      <c r="N104" s="19">
        <v>1.812371</v>
      </c>
      <c r="O104" s="19">
        <v>1.1889000000000001</v>
      </c>
      <c r="P104" s="19">
        <v>2.21</v>
      </c>
      <c r="Q104" s="19">
        <v>1.4044000000000001</v>
      </c>
      <c r="R104" s="19">
        <v>1.1599999999999999</v>
      </c>
      <c r="S104" s="19">
        <v>2.2555000000000001</v>
      </c>
      <c r="T104" s="19">
        <v>1.1599999999999999</v>
      </c>
      <c r="U104" s="19">
        <v>2.4289999999999998</v>
      </c>
      <c r="V104" s="19">
        <v>1.358114</v>
      </c>
      <c r="W104" s="19">
        <v>2.5156999999999998</v>
      </c>
      <c r="X104" s="19">
        <v>1.358114</v>
      </c>
      <c r="Y104" s="19">
        <v>2.5156999999999998</v>
      </c>
      <c r="Z104" s="4"/>
      <c r="AA104" s="4"/>
      <c r="AB104" s="4" t="e">
        <f ca="1">_xll.ciqfunctions.udf.CIQ("^SPX", "IQ_PRICEDATE", "5/21/2014")</f>
        <v>#NAME?</v>
      </c>
      <c r="AC104" s="16">
        <v>1888.0302964502</v>
      </c>
    </row>
    <row r="105" spans="1:29" x14ac:dyDescent="0.35">
      <c r="A105" s="2" t="s">
        <v>115</v>
      </c>
      <c r="B105" s="4" t="s">
        <v>826</v>
      </c>
      <c r="C105" s="4" t="s">
        <v>530</v>
      </c>
      <c r="D105" s="4" t="s">
        <v>531</v>
      </c>
      <c r="E105" s="4" t="s">
        <v>827</v>
      </c>
      <c r="F105" s="4" t="s">
        <v>827</v>
      </c>
      <c r="G105" s="14">
        <v>64.23</v>
      </c>
      <c r="H105" s="10">
        <v>16.017620000000001</v>
      </c>
      <c r="I105" s="10">
        <v>25.674551000000001</v>
      </c>
      <c r="J105" s="10">
        <v>7.7621149999999997</v>
      </c>
      <c r="K105" s="15">
        <v>0</v>
      </c>
      <c r="L105" s="17">
        <v>21131.950749</v>
      </c>
      <c r="M105" s="4" t="s">
        <v>828</v>
      </c>
      <c r="N105" s="19">
        <v>2.5016989999999999</v>
      </c>
      <c r="O105" s="19">
        <v>2.6396000000000002</v>
      </c>
      <c r="P105" s="19">
        <v>2.57</v>
      </c>
      <c r="Q105" s="19">
        <v>2.5301999999999998</v>
      </c>
      <c r="R105" s="19">
        <v>1.85</v>
      </c>
      <c r="S105" s="19">
        <v>2.4882</v>
      </c>
      <c r="T105" s="19">
        <v>1.85</v>
      </c>
      <c r="U105" s="19">
        <v>2.286</v>
      </c>
      <c r="V105" s="19">
        <v>1.24926</v>
      </c>
      <c r="W105" s="19">
        <v>1.94</v>
      </c>
      <c r="X105" s="19">
        <v>1.24926</v>
      </c>
      <c r="Y105" s="19">
        <v>1.94</v>
      </c>
      <c r="Z105" s="4"/>
      <c r="AA105" s="4"/>
      <c r="AB105" s="4" t="e">
        <f ca="1">_xll.ciqfunctions.udf.CIQ("^SPX", "IQ_PRICEDATE", "5/22/2014")</f>
        <v>#NAME?</v>
      </c>
      <c r="AC105" s="16">
        <v>1892.4936293646999</v>
      </c>
    </row>
    <row r="106" spans="1:29" x14ac:dyDescent="0.35">
      <c r="A106" s="2" t="s">
        <v>116</v>
      </c>
      <c r="B106" s="4" t="s">
        <v>829</v>
      </c>
      <c r="C106" s="4" t="s">
        <v>586</v>
      </c>
      <c r="D106" s="4" t="s">
        <v>586</v>
      </c>
      <c r="E106" s="4" t="s">
        <v>587</v>
      </c>
      <c r="F106" s="4" t="s">
        <v>830</v>
      </c>
      <c r="G106" s="14">
        <v>51.5</v>
      </c>
      <c r="H106" s="10">
        <v>13.435985000000001</v>
      </c>
      <c r="I106" s="10">
        <v>20.480450999999999</v>
      </c>
      <c r="J106" s="10">
        <v>11.226429</v>
      </c>
      <c r="K106" s="15">
        <v>2.3300000000000001E-2</v>
      </c>
      <c r="L106" s="17">
        <v>12023.636145</v>
      </c>
      <c r="M106" s="4" t="s">
        <v>831</v>
      </c>
      <c r="N106" s="19">
        <v>2.5145930000000001</v>
      </c>
      <c r="O106" s="19">
        <v>2.0055000000000001</v>
      </c>
      <c r="P106" s="19">
        <v>1.53</v>
      </c>
      <c r="Q106" s="19">
        <v>0.20280000000000001</v>
      </c>
      <c r="R106" s="19">
        <v>-1.19</v>
      </c>
      <c r="S106" s="19">
        <v>0.26919999999999999</v>
      </c>
      <c r="T106" s="19">
        <v>-1.19</v>
      </c>
      <c r="U106" s="19">
        <v>4.0796000000000001</v>
      </c>
      <c r="V106" s="19">
        <v>5.42</v>
      </c>
      <c r="W106" s="19">
        <v>4.0696000000000003</v>
      </c>
      <c r="X106" s="19">
        <v>5.42</v>
      </c>
      <c r="Y106" s="19">
        <v>4.0696000000000003</v>
      </c>
      <c r="Z106" s="4"/>
      <c r="AA106" s="4"/>
      <c r="AB106" s="4" t="e">
        <f ca="1">_xll.ciqfunctions.udf.CIQ("^SPX", "IQ_PRICEDATE", "5/23/2014")</f>
        <v>#NAME?</v>
      </c>
      <c r="AC106" s="16">
        <v>1900.5332285925999</v>
      </c>
    </row>
    <row r="107" spans="1:29" x14ac:dyDescent="0.35">
      <c r="A107" s="2" t="s">
        <v>117</v>
      </c>
      <c r="B107" s="4" t="s">
        <v>832</v>
      </c>
      <c r="C107" s="4" t="s">
        <v>549</v>
      </c>
      <c r="D107" s="4" t="s">
        <v>550</v>
      </c>
      <c r="E107" s="4" t="s">
        <v>814</v>
      </c>
      <c r="F107" s="4" t="s">
        <v>833</v>
      </c>
      <c r="G107" s="14">
        <v>319.83</v>
      </c>
      <c r="H107" s="10">
        <v>9.9014389999999999</v>
      </c>
      <c r="I107" s="10">
        <v>8.7660979999999995</v>
      </c>
      <c r="J107" s="10" t="s">
        <v>534</v>
      </c>
      <c r="K107" s="15">
        <v>0</v>
      </c>
      <c r="L107" s="17">
        <v>74157.041372000007</v>
      </c>
      <c r="M107" s="4" t="s">
        <v>834</v>
      </c>
      <c r="N107" s="19">
        <v>36.484875000000002</v>
      </c>
      <c r="O107" s="19">
        <v>5.9424999999999999</v>
      </c>
      <c r="P107" s="19">
        <v>34.087850000000003</v>
      </c>
      <c r="Q107" s="19">
        <v>3.9973999999999998</v>
      </c>
      <c r="R107" s="19">
        <v>15.946066</v>
      </c>
      <c r="S107" s="19">
        <v>4.7812999999999999</v>
      </c>
      <c r="T107" s="19">
        <v>15.946066</v>
      </c>
      <c r="U107" s="19">
        <v>0</v>
      </c>
      <c r="V107" s="19">
        <v>-1.879999</v>
      </c>
      <c r="W107" s="19">
        <v>0</v>
      </c>
      <c r="X107" s="19">
        <v>-1.879999</v>
      </c>
      <c r="Y107" s="19">
        <v>0</v>
      </c>
      <c r="Z107" s="4"/>
      <c r="AA107" s="4"/>
      <c r="AB107" s="4" t="e">
        <f ca="1">_xll.ciqfunctions.udf.CIQ("^SPX", "IQ_PRICEDATE", "5/27/2014")</f>
        <v>#NAME?</v>
      </c>
      <c r="AC107" s="16">
        <v>1911.9106246526001</v>
      </c>
    </row>
    <row r="108" spans="1:29" x14ac:dyDescent="0.35">
      <c r="A108" s="2" t="s">
        <v>118</v>
      </c>
      <c r="B108" s="4" t="s">
        <v>835</v>
      </c>
      <c r="C108" s="4" t="s">
        <v>669</v>
      </c>
      <c r="D108" s="4" t="s">
        <v>669</v>
      </c>
      <c r="E108" s="4" t="s">
        <v>670</v>
      </c>
      <c r="F108" s="4" t="s">
        <v>836</v>
      </c>
      <c r="G108" s="14">
        <v>117.29</v>
      </c>
      <c r="H108" s="10">
        <v>8.180911</v>
      </c>
      <c r="I108" s="10">
        <v>18.462710000000001</v>
      </c>
      <c r="J108" s="10">
        <v>1.5218370000000001</v>
      </c>
      <c r="K108" s="15">
        <v>3.8195E-2</v>
      </c>
      <c r="L108" s="17">
        <v>224744.89335900001</v>
      </c>
      <c r="M108" s="4" t="s">
        <v>837</v>
      </c>
      <c r="N108" s="19">
        <v>6.352805</v>
      </c>
      <c r="O108" s="19">
        <v>9.1348000000000003</v>
      </c>
      <c r="P108" s="19">
        <v>4.8499999999999996</v>
      </c>
      <c r="Q108" s="19">
        <v>5.5984999999999996</v>
      </c>
      <c r="R108" s="19">
        <v>-0.27</v>
      </c>
      <c r="S108" s="19">
        <v>3.8411</v>
      </c>
      <c r="T108" s="19">
        <v>-0.27</v>
      </c>
      <c r="U108" s="19">
        <v>3.4708999999999999</v>
      </c>
      <c r="V108" s="19">
        <v>10.14</v>
      </c>
      <c r="W108" s="19">
        <v>6.7920999999999996</v>
      </c>
      <c r="X108" s="19">
        <v>10.14</v>
      </c>
      <c r="Y108" s="19">
        <v>6.7920999999999996</v>
      </c>
      <c r="Z108" s="4"/>
      <c r="AA108" s="4"/>
      <c r="AB108" s="4" t="e">
        <f ca="1">_xll.ciqfunctions.udf.CIQ("^SPX", "IQ_PRICEDATE", "5/28/2014")</f>
        <v>#NAME?</v>
      </c>
      <c r="AC108" s="16">
        <v>1909.7819247730999</v>
      </c>
    </row>
    <row r="109" spans="1:29" x14ac:dyDescent="0.35">
      <c r="A109" s="2" t="s">
        <v>119</v>
      </c>
      <c r="B109" s="4" t="s">
        <v>838</v>
      </c>
      <c r="C109" s="4" t="s">
        <v>559</v>
      </c>
      <c r="D109" s="4" t="s">
        <v>798</v>
      </c>
      <c r="E109" s="4" t="s">
        <v>799</v>
      </c>
      <c r="F109" s="4" t="s">
        <v>839</v>
      </c>
      <c r="G109" s="14">
        <v>429.85</v>
      </c>
      <c r="H109" s="10">
        <v>21.943809000000002</v>
      </c>
      <c r="I109" s="10">
        <v>71.232399999999998</v>
      </c>
      <c r="J109" s="10">
        <v>8.725835</v>
      </c>
      <c r="K109" s="15">
        <v>0</v>
      </c>
      <c r="L109" s="17">
        <v>11951.594534</v>
      </c>
      <c r="M109" s="4" t="s">
        <v>840</v>
      </c>
      <c r="N109" s="19">
        <v>6.0344730000000002</v>
      </c>
      <c r="O109" s="19">
        <v>10.248100000000001</v>
      </c>
      <c r="P109" s="19">
        <v>6.17</v>
      </c>
      <c r="Q109" s="19">
        <v>8.5454000000000008</v>
      </c>
      <c r="R109" s="19">
        <v>0.77</v>
      </c>
      <c r="S109" s="19">
        <v>7.6215000000000002</v>
      </c>
      <c r="T109" s="19">
        <v>0.77</v>
      </c>
      <c r="U109" s="19">
        <v>14.9651</v>
      </c>
      <c r="V109" s="19">
        <v>14.13</v>
      </c>
      <c r="W109" s="19">
        <v>16.701000000000001</v>
      </c>
      <c r="X109" s="19">
        <v>14.13</v>
      </c>
      <c r="Y109" s="19">
        <v>16.701000000000001</v>
      </c>
      <c r="Z109" s="4"/>
      <c r="AA109" s="4"/>
      <c r="AB109" s="4" t="e">
        <f ca="1">_xll.ciqfunctions.udf.CIQ("^SPX", "IQ_PRICEDATE", "5/29/2014")</f>
        <v>#NAME?</v>
      </c>
      <c r="AC109" s="16">
        <v>1920.0268444223</v>
      </c>
    </row>
    <row r="110" spans="1:29" x14ac:dyDescent="0.35">
      <c r="A110" s="2" t="s">
        <v>120</v>
      </c>
      <c r="B110" s="4" t="s">
        <v>841</v>
      </c>
      <c r="C110" s="4" t="s">
        <v>573</v>
      </c>
      <c r="D110" s="4" t="s">
        <v>579</v>
      </c>
      <c r="E110" s="4" t="s">
        <v>579</v>
      </c>
      <c r="F110" s="4" t="s">
        <v>842</v>
      </c>
      <c r="G110" s="14">
        <v>127.13</v>
      </c>
      <c r="H110" s="10">
        <v>15.337028</v>
      </c>
      <c r="I110" s="10">
        <v>15.554173</v>
      </c>
      <c r="J110" s="10">
        <v>2.0171510000000001</v>
      </c>
      <c r="K110" s="15">
        <v>2.2968000000000002E-2</v>
      </c>
      <c r="L110" s="17">
        <v>58616.60828</v>
      </c>
      <c r="M110" s="4" t="s">
        <v>843</v>
      </c>
      <c r="N110" s="19">
        <v>8.1733689999999992</v>
      </c>
      <c r="O110" s="19">
        <v>10.541700000000001</v>
      </c>
      <c r="P110" s="19">
        <v>8.1899990000000003</v>
      </c>
      <c r="Q110" s="19">
        <v>10.3453</v>
      </c>
      <c r="R110" s="19">
        <v>8.869999</v>
      </c>
      <c r="S110" s="19">
        <v>10.172700000000001</v>
      </c>
      <c r="T110" s="19">
        <v>8.869999</v>
      </c>
      <c r="U110" s="19">
        <v>9.4906000000000006</v>
      </c>
      <c r="V110" s="19">
        <v>8.42</v>
      </c>
      <c r="W110" s="19">
        <v>9.2250999999999994</v>
      </c>
      <c r="X110" s="19">
        <v>8.42</v>
      </c>
      <c r="Y110" s="19">
        <v>9.2250999999999994</v>
      </c>
      <c r="Z110" s="4"/>
      <c r="AA110" s="4"/>
      <c r="AB110" s="4" t="e">
        <f ca="1">_xll.ciqfunctions.udf.CIQ("^SPX", "IQ_PRICEDATE", "5/30/2014")</f>
        <v>#NAME?</v>
      </c>
      <c r="AC110" s="16">
        <v>1923.5726606584001</v>
      </c>
    </row>
    <row r="111" spans="1:29" x14ac:dyDescent="0.35">
      <c r="A111" s="2" t="s">
        <v>121</v>
      </c>
      <c r="B111" s="4" t="s">
        <v>844</v>
      </c>
      <c r="C111" s="4" t="s">
        <v>626</v>
      </c>
      <c r="D111" s="4" t="s">
        <v>845</v>
      </c>
      <c r="E111" s="4" t="s">
        <v>846</v>
      </c>
      <c r="F111" s="4" t="s">
        <v>846</v>
      </c>
      <c r="G111" s="14">
        <v>58.51</v>
      </c>
      <c r="H111" s="10">
        <v>17.282603999999999</v>
      </c>
      <c r="I111" s="10">
        <v>18.015260000000001</v>
      </c>
      <c r="J111" s="10" t="s">
        <v>534</v>
      </c>
      <c r="K111" s="15">
        <v>1.4869E-2</v>
      </c>
      <c r="L111" s="17">
        <v>14358.819563999999</v>
      </c>
      <c r="M111" s="4" t="s">
        <v>847</v>
      </c>
      <c r="N111" s="19">
        <v>3.2478020000000001</v>
      </c>
      <c r="O111" s="19">
        <v>2.3222</v>
      </c>
      <c r="P111" s="19">
        <v>2.9</v>
      </c>
      <c r="Q111" s="19">
        <v>2.0617999999999999</v>
      </c>
      <c r="R111" s="19">
        <v>1.75</v>
      </c>
      <c r="S111" s="19">
        <v>1.8452999999999999</v>
      </c>
      <c r="T111" s="19">
        <v>1.75</v>
      </c>
      <c r="U111" s="19">
        <v>1.7171000000000001</v>
      </c>
      <c r="V111" s="19">
        <v>1.51</v>
      </c>
      <c r="W111" s="19">
        <v>1.6175999999999999</v>
      </c>
      <c r="X111" s="19">
        <v>1.51</v>
      </c>
      <c r="Y111" s="19">
        <v>1.6175999999999999</v>
      </c>
      <c r="Z111" s="4"/>
      <c r="AA111" s="4"/>
      <c r="AB111" s="4" t="e">
        <f ca="1">_xll.ciqfunctions.udf.CIQ("^SPX", "IQ_PRICEDATE", "6/2/2014")</f>
        <v>#NAME?</v>
      </c>
      <c r="AC111" s="16">
        <v>1924.9653923408</v>
      </c>
    </row>
    <row r="112" spans="1:29" x14ac:dyDescent="0.35">
      <c r="A112" s="2" t="s">
        <v>122</v>
      </c>
      <c r="B112" s="4" t="s">
        <v>848</v>
      </c>
      <c r="C112" s="4" t="s">
        <v>530</v>
      </c>
      <c r="D112" s="4" t="s">
        <v>531</v>
      </c>
      <c r="E112" s="4" t="s">
        <v>569</v>
      </c>
      <c r="F112" s="4" t="s">
        <v>570</v>
      </c>
      <c r="G112" s="14">
        <v>211.2</v>
      </c>
      <c r="H112" s="10">
        <v>10.692087000000001</v>
      </c>
      <c r="I112" s="10">
        <v>20.594889999999999</v>
      </c>
      <c r="J112" s="10">
        <v>5.9753179999999997</v>
      </c>
      <c r="K112" s="15">
        <v>1.8900000000000001E-4</v>
      </c>
      <c r="L112" s="17">
        <v>51398.599085000002</v>
      </c>
      <c r="M112" s="4" t="s">
        <v>849</v>
      </c>
      <c r="N112" s="19">
        <v>10.254970999999999</v>
      </c>
      <c r="O112" s="19">
        <v>14.3537</v>
      </c>
      <c r="P112" s="19">
        <v>8.77</v>
      </c>
      <c r="Q112" s="19">
        <v>10.8766</v>
      </c>
      <c r="R112" s="19">
        <v>7.19</v>
      </c>
      <c r="S112" s="19">
        <v>9.0960999999999999</v>
      </c>
      <c r="T112" s="19">
        <v>7.19</v>
      </c>
      <c r="U112" s="19">
        <v>9.0611999999999995</v>
      </c>
      <c r="V112" s="19">
        <v>7.83</v>
      </c>
      <c r="W112" s="19">
        <v>7.9344999999999999</v>
      </c>
      <c r="X112" s="19">
        <v>7.83</v>
      </c>
      <c r="Y112" s="19">
        <v>7.9344999999999999</v>
      </c>
      <c r="Z112" s="4"/>
      <c r="AA112" s="4"/>
      <c r="AB112" s="4" t="e">
        <f ca="1">_xll.ciqfunctions.udf.CIQ("^SPX", "IQ_PRICEDATE", "6/3/2014")</f>
        <v>#NAME?</v>
      </c>
      <c r="AC112" s="16">
        <v>1924.2447476350001</v>
      </c>
    </row>
    <row r="113" spans="1:29" x14ac:dyDescent="0.35">
      <c r="A113" s="2" t="s">
        <v>123</v>
      </c>
      <c r="B113" s="4" t="s">
        <v>850</v>
      </c>
      <c r="C113" s="4" t="s">
        <v>669</v>
      </c>
      <c r="D113" s="4" t="s">
        <v>669</v>
      </c>
      <c r="E113" s="4" t="s">
        <v>670</v>
      </c>
      <c r="F113" s="4" t="s">
        <v>671</v>
      </c>
      <c r="G113" s="14">
        <v>92.25</v>
      </c>
      <c r="H113" s="10">
        <v>7.5562699999999996</v>
      </c>
      <c r="I113" s="10">
        <v>14.790518</v>
      </c>
      <c r="J113" s="10">
        <v>3.8152659999999998</v>
      </c>
      <c r="K113" s="15">
        <v>7.8040000000000002E-3</v>
      </c>
      <c r="L113" s="17">
        <v>8796.5978269999996</v>
      </c>
      <c r="M113" s="4" t="s">
        <v>851</v>
      </c>
      <c r="N113" s="19">
        <v>6.2371040000000004</v>
      </c>
      <c r="O113" s="19">
        <v>7.1073000000000004</v>
      </c>
      <c r="P113" s="19">
        <v>5.1950180000000001</v>
      </c>
      <c r="Q113" s="19">
        <v>5.6308999999999996</v>
      </c>
      <c r="R113" s="19">
        <v>-4.38</v>
      </c>
      <c r="S113" s="19">
        <v>3.3431000000000002</v>
      </c>
      <c r="T113" s="19">
        <v>-4.38</v>
      </c>
      <c r="U113" s="19">
        <v>2.5700000000000001E-2</v>
      </c>
      <c r="V113" s="19">
        <v>6.0154290000000001</v>
      </c>
      <c r="W113" s="19">
        <v>3.4388000000000001</v>
      </c>
      <c r="X113" s="19">
        <v>6.0154290000000001</v>
      </c>
      <c r="Y113" s="19">
        <v>3.4388000000000001</v>
      </c>
      <c r="Z113" s="4"/>
      <c r="AA113" s="4"/>
      <c r="AB113" s="4" t="e">
        <f ca="1">_xll.ciqfunctions.udf.CIQ("^SPX", "IQ_PRICEDATE", "6/4/2014")</f>
        <v>#NAME?</v>
      </c>
      <c r="AC113" s="16">
        <v>1927.8750457919</v>
      </c>
    </row>
    <row r="114" spans="1:29" x14ac:dyDescent="0.35">
      <c r="A114" s="2" t="s">
        <v>124</v>
      </c>
      <c r="B114" s="4" t="s">
        <v>852</v>
      </c>
      <c r="C114" s="4" t="s">
        <v>573</v>
      </c>
      <c r="D114" s="4" t="s">
        <v>579</v>
      </c>
      <c r="E114" s="4" t="s">
        <v>579</v>
      </c>
      <c r="F114" s="4" t="s">
        <v>842</v>
      </c>
      <c r="G114" s="14">
        <v>75.75</v>
      </c>
      <c r="H114" s="10">
        <v>19.431715000000001</v>
      </c>
      <c r="I114" s="10">
        <v>13.499415000000001</v>
      </c>
      <c r="J114" s="10">
        <v>1.5559559999999999</v>
      </c>
      <c r="K114" s="15">
        <v>2.7986E-2</v>
      </c>
      <c r="L114" s="17">
        <v>12320.910286</v>
      </c>
      <c r="M114" s="4" t="s">
        <v>853</v>
      </c>
      <c r="N114" s="19">
        <v>5.6113540000000004</v>
      </c>
      <c r="O114" s="19">
        <v>3.1537000000000002</v>
      </c>
      <c r="P114" s="19">
        <v>6.29</v>
      </c>
      <c r="Q114" s="19">
        <v>3.0217000000000001</v>
      </c>
      <c r="R114" s="19">
        <v>3.55</v>
      </c>
      <c r="S114" s="19">
        <v>2.8711000000000002</v>
      </c>
      <c r="T114" s="19">
        <v>3.55</v>
      </c>
      <c r="U114" s="19">
        <v>2.669</v>
      </c>
      <c r="V114" s="19">
        <v>3.18</v>
      </c>
      <c r="W114" s="19">
        <v>2.6869999999999998</v>
      </c>
      <c r="X114" s="19">
        <v>3.18</v>
      </c>
      <c r="Y114" s="19">
        <v>2.6869999999999998</v>
      </c>
      <c r="Z114" s="4"/>
      <c r="AA114" s="4"/>
      <c r="AB114" s="4" t="e">
        <f ca="1">_xll.ciqfunctions.udf.CIQ("^SPX", "IQ_PRICEDATE", "6/5/2014")</f>
        <v>#NAME?</v>
      </c>
      <c r="AC114" s="16">
        <v>1940.4579108554001</v>
      </c>
    </row>
    <row r="115" spans="1:29" x14ac:dyDescent="0.35">
      <c r="A115" s="2" t="s">
        <v>125</v>
      </c>
      <c r="B115" s="4" t="s">
        <v>854</v>
      </c>
      <c r="C115" s="4" t="s">
        <v>525</v>
      </c>
      <c r="D115" s="4" t="s">
        <v>855</v>
      </c>
      <c r="E115" s="4" t="s">
        <v>856</v>
      </c>
      <c r="F115" s="4" t="s">
        <v>857</v>
      </c>
      <c r="G115" s="14">
        <v>186.2</v>
      </c>
      <c r="H115" s="10">
        <v>17.053842</v>
      </c>
      <c r="I115" s="10">
        <v>24.941884000000002</v>
      </c>
      <c r="J115" s="10" t="s">
        <v>534</v>
      </c>
      <c r="K115" s="15">
        <v>8.6999999999999994E-3</v>
      </c>
      <c r="L115" s="17">
        <v>20239.729965999999</v>
      </c>
      <c r="M115" s="4" t="s">
        <v>858</v>
      </c>
      <c r="N115" s="19">
        <v>7.4653539999999996</v>
      </c>
      <c r="O115" s="19">
        <v>7.2948000000000004</v>
      </c>
      <c r="P115" s="19">
        <v>4.5051899999999998</v>
      </c>
      <c r="Q115" s="19">
        <v>6.0221</v>
      </c>
      <c r="R115" s="19">
        <v>4.4190209999999999</v>
      </c>
      <c r="S115" s="19">
        <v>4.6477000000000004</v>
      </c>
      <c r="T115" s="19">
        <v>4.4190209999999999</v>
      </c>
      <c r="U115" s="19">
        <v>4.1696999999999997</v>
      </c>
      <c r="V115" s="19">
        <v>3.481042</v>
      </c>
      <c r="W115" s="19">
        <v>3.4535999999999998</v>
      </c>
      <c r="X115" s="19">
        <v>3.481042</v>
      </c>
      <c r="Y115" s="19">
        <v>3.4535999999999998</v>
      </c>
      <c r="Z115" s="4"/>
      <c r="AA115" s="4"/>
      <c r="AB115" s="4" t="e">
        <f ca="1">_xll.ciqfunctions.udf.CIQ("^SPX", "IQ_PRICEDATE", "6/6/2014")</f>
        <v>#NAME?</v>
      </c>
      <c r="AC115" s="16">
        <v>1949.4407261495001</v>
      </c>
    </row>
    <row r="116" spans="1:29" x14ac:dyDescent="0.35">
      <c r="A116" s="2" t="s">
        <v>126</v>
      </c>
      <c r="B116" s="4" t="s">
        <v>859</v>
      </c>
      <c r="C116" s="4" t="s">
        <v>543</v>
      </c>
      <c r="D116" s="4" t="s">
        <v>664</v>
      </c>
      <c r="E116" s="4" t="s">
        <v>706</v>
      </c>
      <c r="F116" s="4" t="s">
        <v>706</v>
      </c>
      <c r="G116" s="14">
        <v>45.94</v>
      </c>
      <c r="H116" s="10">
        <v>12.831654</v>
      </c>
      <c r="I116" s="10" t="s">
        <v>534</v>
      </c>
      <c r="J116" s="10">
        <v>23.694078999999999</v>
      </c>
      <c r="K116" s="15">
        <v>2.8732999999999998E-2</v>
      </c>
      <c r="L116" s="17">
        <v>210007.09020800001</v>
      </c>
      <c r="M116" s="4" t="s">
        <v>860</v>
      </c>
      <c r="N116" s="19">
        <v>0.02</v>
      </c>
      <c r="O116" s="19">
        <v>2.9945499999999998</v>
      </c>
      <c r="P116" s="19">
        <v>1.920067</v>
      </c>
      <c r="Q116" s="19">
        <v>2.4861</v>
      </c>
      <c r="R116" s="19">
        <v>2.0904799999999999</v>
      </c>
      <c r="S116" s="19">
        <v>2.3752</v>
      </c>
      <c r="T116" s="19">
        <v>2.0904799999999999</v>
      </c>
      <c r="U116" s="19">
        <v>2.2746</v>
      </c>
      <c r="V116" s="19">
        <v>1.470348</v>
      </c>
      <c r="W116" s="19">
        <v>2.1516000000000002</v>
      </c>
      <c r="X116" s="19">
        <v>1.470348</v>
      </c>
      <c r="Y116" s="19">
        <v>2.1516000000000002</v>
      </c>
      <c r="Z116" s="4"/>
      <c r="AA116" s="4"/>
      <c r="AB116" s="4" t="e">
        <f ca="1">_xll.ciqfunctions.udf.CIQ("^SPX", "IQ_PRICEDATE", "6/9/2014")</f>
        <v>#NAME?</v>
      </c>
      <c r="AC116" s="16">
        <v>1951.2725755604999</v>
      </c>
    </row>
    <row r="117" spans="1:29" x14ac:dyDescent="0.35">
      <c r="A117" s="2" t="s">
        <v>127</v>
      </c>
      <c r="B117" s="4" t="s">
        <v>861</v>
      </c>
      <c r="C117" s="4" t="s">
        <v>573</v>
      </c>
      <c r="D117" s="4" t="s">
        <v>737</v>
      </c>
      <c r="E117" s="4" t="s">
        <v>737</v>
      </c>
      <c r="F117" s="4" t="s">
        <v>738</v>
      </c>
      <c r="G117" s="14">
        <v>69.84</v>
      </c>
      <c r="H117" s="10">
        <v>0</v>
      </c>
      <c r="I117" s="10" t="s">
        <v>534</v>
      </c>
      <c r="J117" s="10">
        <v>1.1281369999999999</v>
      </c>
      <c r="K117" s="15">
        <v>2.5773000000000001E-2</v>
      </c>
      <c r="L117" s="17">
        <v>170556.264</v>
      </c>
      <c r="M117" s="4" t="s">
        <v>862</v>
      </c>
      <c r="N117" s="19">
        <v>-2.4616829999999998</v>
      </c>
      <c r="O117" s="19">
        <v>7.3517999999999999</v>
      </c>
      <c r="P117" s="19">
        <v>-2.9412630000000002</v>
      </c>
      <c r="Q117" s="19">
        <v>5.7472000000000003</v>
      </c>
      <c r="R117" s="19">
        <v>4.74</v>
      </c>
      <c r="S117" s="19">
        <v>5.0576999999999996</v>
      </c>
      <c r="T117" s="19">
        <v>4.74</v>
      </c>
      <c r="U117" s="19">
        <v>5.5250000000000004</v>
      </c>
      <c r="V117" s="19">
        <v>2.2031610000000001</v>
      </c>
      <c r="W117" s="19">
        <v>5.2234999999999996</v>
      </c>
      <c r="X117" s="19">
        <v>2.2031610000000001</v>
      </c>
      <c r="Y117" s="19">
        <v>5.2234999999999996</v>
      </c>
      <c r="Z117" s="4"/>
      <c r="AA117" s="4"/>
      <c r="AB117" s="4" t="e">
        <f ca="1">_xll.ciqfunctions.udf.CIQ("^SPX", "IQ_PRICEDATE", "6/10/2014")</f>
        <v>#NAME?</v>
      </c>
      <c r="AC117" s="16">
        <v>1950.7944545133</v>
      </c>
    </row>
    <row r="118" spans="1:29" x14ac:dyDescent="0.35">
      <c r="A118" s="2" t="s">
        <v>128</v>
      </c>
      <c r="B118" s="4" t="s">
        <v>863</v>
      </c>
      <c r="C118" s="4" t="s">
        <v>573</v>
      </c>
      <c r="D118" s="4" t="s">
        <v>737</v>
      </c>
      <c r="E118" s="4" t="s">
        <v>737</v>
      </c>
      <c r="F118" s="4" t="s">
        <v>743</v>
      </c>
      <c r="G118" s="14">
        <v>35.89</v>
      </c>
      <c r="H118" s="10">
        <v>0</v>
      </c>
      <c r="I118" s="10">
        <v>9.7722610000000003</v>
      </c>
      <c r="J118" s="10">
        <v>1.3325709999999999</v>
      </c>
      <c r="K118" s="15">
        <v>3.0091E-2</v>
      </c>
      <c r="L118" s="17">
        <v>17081.717766999998</v>
      </c>
      <c r="M118" s="4" t="s">
        <v>864</v>
      </c>
      <c r="N118" s="19">
        <v>3.6726399999999999</v>
      </c>
      <c r="O118" s="19">
        <v>3.6179000000000001</v>
      </c>
      <c r="P118" s="19">
        <v>3.25</v>
      </c>
      <c r="Q118" s="19">
        <v>2.7635000000000001</v>
      </c>
      <c r="R118" s="19">
        <v>1.9699990000000001</v>
      </c>
      <c r="S118" s="19">
        <v>2.1251000000000002</v>
      </c>
      <c r="T118" s="19">
        <v>1.9699990000000001</v>
      </c>
      <c r="U118" s="19">
        <v>1.788</v>
      </c>
      <c r="V118" s="19">
        <v>1.55</v>
      </c>
      <c r="W118" s="19">
        <v>1.538</v>
      </c>
      <c r="X118" s="19">
        <v>1.55</v>
      </c>
      <c r="Y118" s="19">
        <v>1.538</v>
      </c>
      <c r="Z118" s="4"/>
      <c r="AA118" s="4"/>
      <c r="AB118" s="4" t="e">
        <f ca="1">_xll.ciqfunctions.udf.CIQ("^SPX", "IQ_PRICEDATE", "6/11/2014")</f>
        <v>#NAME?</v>
      </c>
      <c r="AC118" s="16">
        <v>1943.8902085838999</v>
      </c>
    </row>
    <row r="119" spans="1:29" x14ac:dyDescent="0.35">
      <c r="A119" s="2" t="s">
        <v>129</v>
      </c>
      <c r="B119" s="4" t="s">
        <v>865</v>
      </c>
      <c r="C119" s="4" t="s">
        <v>543</v>
      </c>
      <c r="D119" s="4" t="s">
        <v>544</v>
      </c>
      <c r="E119" s="4" t="s">
        <v>555</v>
      </c>
      <c r="F119" s="4" t="s">
        <v>556</v>
      </c>
      <c r="G119" s="14">
        <v>105.12</v>
      </c>
      <c r="H119" s="10">
        <v>16.721952000000002</v>
      </c>
      <c r="I119" s="10">
        <v>169.00267199999999</v>
      </c>
      <c r="J119" s="10" t="s">
        <v>534</v>
      </c>
      <c r="K119" s="15">
        <v>0</v>
      </c>
      <c r="L119" s="17">
        <v>14260.415843999999</v>
      </c>
      <c r="M119" s="4" t="s">
        <v>866</v>
      </c>
      <c r="N119" s="19">
        <v>0.62200200000000005</v>
      </c>
      <c r="O119" s="19">
        <v>5.6304999999999996</v>
      </c>
      <c r="P119" s="19">
        <v>0.14000000000000001</v>
      </c>
      <c r="Q119" s="19">
        <v>4.8891999999999998</v>
      </c>
      <c r="R119" s="19">
        <v>2.99</v>
      </c>
      <c r="S119" s="19">
        <v>5.2575000000000003</v>
      </c>
      <c r="T119" s="19">
        <v>2.99</v>
      </c>
      <c r="U119" s="19">
        <v>4.3033999999999999</v>
      </c>
      <c r="V119" s="19">
        <v>1.47</v>
      </c>
      <c r="W119" s="19">
        <v>3.5560999999999998</v>
      </c>
      <c r="X119" s="19">
        <v>1.47</v>
      </c>
      <c r="Y119" s="19">
        <v>3.5560999999999998</v>
      </c>
      <c r="Z119" s="4"/>
      <c r="AA119" s="4"/>
      <c r="AB119" s="4" t="e">
        <f ca="1">_xll.ciqfunctions.udf.CIQ("^SPX", "IQ_PRICEDATE", "6/12/2014")</f>
        <v>#NAME?</v>
      </c>
      <c r="AC119" s="16">
        <v>1930.1146012465999</v>
      </c>
    </row>
    <row r="120" spans="1:29" x14ac:dyDescent="0.35">
      <c r="A120" s="2" t="s">
        <v>130</v>
      </c>
      <c r="B120" s="4" t="s">
        <v>867</v>
      </c>
      <c r="C120" s="4" t="s">
        <v>573</v>
      </c>
      <c r="D120" s="4" t="s">
        <v>574</v>
      </c>
      <c r="E120" s="4" t="s">
        <v>575</v>
      </c>
      <c r="F120" s="4" t="s">
        <v>807</v>
      </c>
      <c r="G120" s="14">
        <v>181.32</v>
      </c>
      <c r="H120" s="10">
        <v>22.435179000000002</v>
      </c>
      <c r="I120" s="10">
        <v>13.99994</v>
      </c>
      <c r="J120" s="10" t="s">
        <v>534</v>
      </c>
      <c r="K120" s="15">
        <v>3.4744999999999998E-2</v>
      </c>
      <c r="L120" s="17">
        <v>61759.392326000001</v>
      </c>
      <c r="M120" s="4" t="s">
        <v>868</v>
      </c>
      <c r="N120" s="19">
        <v>12.951484000000001</v>
      </c>
      <c r="O120" s="19">
        <v>6.6123000000000003</v>
      </c>
      <c r="P120" s="19">
        <v>11.94</v>
      </c>
      <c r="Q120" s="19">
        <v>5.1109999999999998</v>
      </c>
      <c r="R120" s="19">
        <v>4.53</v>
      </c>
      <c r="S120" s="19">
        <v>4.6337000000000002</v>
      </c>
      <c r="T120" s="19">
        <v>4.53</v>
      </c>
      <c r="U120" s="19">
        <v>4.1345999999999998</v>
      </c>
      <c r="V120" s="19">
        <v>3.35</v>
      </c>
      <c r="W120" s="19">
        <v>3.7172000000000001</v>
      </c>
      <c r="X120" s="19">
        <v>3.35</v>
      </c>
      <c r="Y120" s="19">
        <v>3.7172000000000001</v>
      </c>
      <c r="Z120" s="4"/>
      <c r="AA120" s="4"/>
      <c r="AB120" s="4" t="e">
        <f ca="1">_xll.ciqfunctions.udf.CIQ("^SPX", "IQ_PRICEDATE", "6/13/2014")</f>
        <v>#NAME?</v>
      </c>
      <c r="AC120" s="16">
        <v>1936.1593523250999</v>
      </c>
    </row>
    <row r="121" spans="1:29" x14ac:dyDescent="0.35">
      <c r="A121" s="2" t="s">
        <v>131</v>
      </c>
      <c r="B121" s="4" t="s">
        <v>869</v>
      </c>
      <c r="C121" s="4" t="s">
        <v>619</v>
      </c>
      <c r="D121" s="4" t="s">
        <v>619</v>
      </c>
      <c r="E121" s="4" t="s">
        <v>634</v>
      </c>
      <c r="F121" s="4" t="s">
        <v>634</v>
      </c>
      <c r="G121" s="14">
        <v>49.87</v>
      </c>
      <c r="H121" s="10">
        <v>11.172008999999999</v>
      </c>
      <c r="I121" s="10">
        <v>25.554976</v>
      </c>
      <c r="J121" s="10">
        <v>3.0229409999999999</v>
      </c>
      <c r="K121" s="15">
        <v>2.8673999999999998E-2</v>
      </c>
      <c r="L121" s="17">
        <v>14125.433686</v>
      </c>
      <c r="M121" s="4" t="s">
        <v>870</v>
      </c>
      <c r="N121" s="19">
        <v>1.951479</v>
      </c>
      <c r="O121" s="19">
        <v>2.2949000000000002</v>
      </c>
      <c r="P121" s="19">
        <v>1.64</v>
      </c>
      <c r="Q121" s="19">
        <v>2.327</v>
      </c>
      <c r="R121" s="19">
        <v>1.98</v>
      </c>
      <c r="S121" s="19">
        <v>1.9267000000000001</v>
      </c>
      <c r="T121" s="19">
        <v>1.98</v>
      </c>
      <c r="U121" s="19">
        <v>2.0087000000000002</v>
      </c>
      <c r="V121" s="19">
        <v>1.74</v>
      </c>
      <c r="W121" s="19">
        <v>1.9068000000000001</v>
      </c>
      <c r="X121" s="19">
        <v>1.74</v>
      </c>
      <c r="Y121" s="19">
        <v>1.9068000000000001</v>
      </c>
      <c r="Z121" s="4"/>
      <c r="AA121" s="4"/>
      <c r="AB121" s="4" t="e">
        <f ca="1">_xll.ciqfunctions.udf.CIQ("^SPX", "IQ_PRICEDATE", "6/16/2014")</f>
        <v>#NAME?</v>
      </c>
      <c r="AC121" s="16">
        <v>1937.7839112977999</v>
      </c>
    </row>
    <row r="122" spans="1:29" x14ac:dyDescent="0.35">
      <c r="A122" s="2" t="s">
        <v>132</v>
      </c>
      <c r="B122" s="4" t="s">
        <v>871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14">
        <v>73.989999999999995</v>
      </c>
      <c r="H122" s="10">
        <v>12.299906</v>
      </c>
      <c r="I122" s="10">
        <v>29.942094000000001</v>
      </c>
      <c r="J122" s="10">
        <v>6.5497860000000001</v>
      </c>
      <c r="K122" s="15">
        <v>1.0811999999999999E-2</v>
      </c>
      <c r="L122" s="17">
        <v>42931.501378000001</v>
      </c>
      <c r="M122" s="4" t="s">
        <v>872</v>
      </c>
      <c r="N122" s="19">
        <v>2.4711029999999998</v>
      </c>
      <c r="O122" s="19">
        <v>4.7278000000000002</v>
      </c>
      <c r="P122" s="19">
        <v>2.5299999999999998</v>
      </c>
      <c r="Q122" s="19">
        <v>4.1723999999999997</v>
      </c>
      <c r="R122" s="19">
        <v>2.5499999999999998</v>
      </c>
      <c r="S122" s="19">
        <v>3.5716999999999999</v>
      </c>
      <c r="T122" s="19">
        <v>2.5499999999999998</v>
      </c>
      <c r="U122" s="19">
        <v>3.3288000000000002</v>
      </c>
      <c r="V122" s="19">
        <v>2.35</v>
      </c>
      <c r="W122" s="19">
        <v>2.8256000000000001</v>
      </c>
      <c r="X122" s="19">
        <v>2.35</v>
      </c>
      <c r="Y122" s="19">
        <v>2.8256000000000001</v>
      </c>
      <c r="Z122" s="4"/>
      <c r="AA122" s="4"/>
      <c r="AB122" s="4" t="e">
        <f ca="1">_xll.ciqfunctions.udf.CIQ("^SPX", "IQ_PRICEDATE", "6/17/2014")</f>
        <v>#NAME?</v>
      </c>
      <c r="AC122" s="16">
        <v>1941.9916494408999</v>
      </c>
    </row>
    <row r="123" spans="1:29" x14ac:dyDescent="0.35">
      <c r="A123" s="2" t="s">
        <v>133</v>
      </c>
      <c r="B123" s="4" t="s">
        <v>873</v>
      </c>
      <c r="C123" s="4" t="s">
        <v>626</v>
      </c>
      <c r="D123" s="4" t="s">
        <v>845</v>
      </c>
      <c r="E123" s="4" t="s">
        <v>846</v>
      </c>
      <c r="F123" s="4" t="s">
        <v>846</v>
      </c>
      <c r="G123" s="14">
        <v>63.13</v>
      </c>
      <c r="H123" s="10">
        <v>13.737043</v>
      </c>
      <c r="I123" s="10">
        <v>25.444243</v>
      </c>
      <c r="J123" s="10" t="s">
        <v>534</v>
      </c>
      <c r="K123" s="15">
        <v>2.6435E-2</v>
      </c>
      <c r="L123" s="17">
        <v>55144.794131000002</v>
      </c>
      <c r="M123" s="4" t="s">
        <v>874</v>
      </c>
      <c r="N123" s="19">
        <v>2.4976180000000001</v>
      </c>
      <c r="O123" s="19">
        <v>3.0533000000000001</v>
      </c>
      <c r="P123" s="19">
        <v>2.2799999999999998</v>
      </c>
      <c r="Q123" s="19">
        <v>3.0268999999999999</v>
      </c>
      <c r="R123" s="19">
        <v>2.72</v>
      </c>
      <c r="S123" s="19">
        <v>2.9862000000000002</v>
      </c>
      <c r="T123" s="19">
        <v>2.72</v>
      </c>
      <c r="U123" s="19">
        <v>2.8849</v>
      </c>
      <c r="V123" s="19">
        <v>2.36</v>
      </c>
      <c r="W123" s="19">
        <v>3.0089999999999999</v>
      </c>
      <c r="X123" s="19">
        <v>2.36</v>
      </c>
      <c r="Y123" s="19">
        <v>3.0089999999999999</v>
      </c>
      <c r="Z123" s="4"/>
      <c r="AA123" s="4"/>
      <c r="AB123" s="4" t="e">
        <f ca="1">_xll.ciqfunctions.udf.CIQ("^SPX", "IQ_PRICEDATE", "6/18/2014")</f>
        <v>#NAME?</v>
      </c>
      <c r="AC123" s="16">
        <v>1956.9841140414001</v>
      </c>
    </row>
    <row r="124" spans="1:29" x14ac:dyDescent="0.35">
      <c r="A124" s="2" t="s">
        <v>134</v>
      </c>
      <c r="B124" s="4" t="s">
        <v>875</v>
      </c>
      <c r="C124" s="4" t="s">
        <v>549</v>
      </c>
      <c r="D124" s="4" t="s">
        <v>550</v>
      </c>
      <c r="E124" s="4" t="s">
        <v>814</v>
      </c>
      <c r="F124" s="4" t="s">
        <v>833</v>
      </c>
      <c r="G124" s="14">
        <v>36.4</v>
      </c>
      <c r="H124" s="10">
        <v>8.0111139999999992</v>
      </c>
      <c r="I124" s="10">
        <v>7.1537319999999998</v>
      </c>
      <c r="J124" s="10" t="s">
        <v>534</v>
      </c>
      <c r="K124" s="15">
        <v>2.0878999999999998E-2</v>
      </c>
      <c r="L124" s="17">
        <v>166782.37510500001</v>
      </c>
      <c r="M124" s="4" t="s">
        <v>876</v>
      </c>
      <c r="N124" s="19">
        <v>5.0882529999999999</v>
      </c>
      <c r="O124" s="19">
        <v>2.5960000000000001</v>
      </c>
      <c r="P124" s="19">
        <v>4.75</v>
      </c>
      <c r="Q124" s="19">
        <v>2.1341999999999999</v>
      </c>
      <c r="R124" s="19">
        <v>1.78</v>
      </c>
      <c r="S124" s="19">
        <v>1.827</v>
      </c>
      <c r="T124" s="19">
        <v>1.78</v>
      </c>
      <c r="U124" s="19">
        <v>1.7591000000000001</v>
      </c>
      <c r="V124" s="19">
        <v>1.6</v>
      </c>
      <c r="W124" s="19">
        <v>1.5855999999999999</v>
      </c>
      <c r="X124" s="19">
        <v>1.6</v>
      </c>
      <c r="Y124" s="19">
        <v>1.5855999999999999</v>
      </c>
      <c r="Z124" s="4"/>
      <c r="AA124" s="4"/>
      <c r="AB124" s="4" t="e">
        <f ca="1">_xll.ciqfunctions.udf.CIQ("^SPX", "IQ_PRICEDATE", "6/19/2014")</f>
        <v>#NAME?</v>
      </c>
      <c r="AC124" s="16">
        <v>1959.4843523509001</v>
      </c>
    </row>
    <row r="125" spans="1:29" x14ac:dyDescent="0.35">
      <c r="A125" s="2" t="s">
        <v>135</v>
      </c>
      <c r="B125" s="4" t="s">
        <v>877</v>
      </c>
      <c r="C125" s="4" t="s">
        <v>573</v>
      </c>
      <c r="D125" s="4" t="s">
        <v>737</v>
      </c>
      <c r="E125" s="4" t="s">
        <v>737</v>
      </c>
      <c r="F125" s="4" t="s">
        <v>743</v>
      </c>
      <c r="G125" s="14">
        <v>85.08</v>
      </c>
      <c r="H125" s="10">
        <v>0</v>
      </c>
      <c r="I125" s="10">
        <v>14.323591</v>
      </c>
      <c r="J125" s="10">
        <v>1.975959</v>
      </c>
      <c r="K125" s="15">
        <v>2.8208E-2</v>
      </c>
      <c r="L125" s="17">
        <v>14118.22846</v>
      </c>
      <c r="M125" s="4" t="s">
        <v>878</v>
      </c>
      <c r="N125" s="19">
        <v>5.939851</v>
      </c>
      <c r="O125" s="19">
        <v>7.4924999999999997</v>
      </c>
      <c r="P125" s="19">
        <v>4.1399999999999997</v>
      </c>
      <c r="Q125" s="19">
        <v>5.2862999999999998</v>
      </c>
      <c r="R125" s="19">
        <v>2.68</v>
      </c>
      <c r="S125" s="19">
        <v>3.9453</v>
      </c>
      <c r="T125" s="19">
        <v>2.68</v>
      </c>
      <c r="U125" s="19">
        <v>2.9983</v>
      </c>
      <c r="V125" s="19">
        <v>3.16</v>
      </c>
      <c r="W125" s="19">
        <v>3.1105999999999998</v>
      </c>
      <c r="X125" s="19">
        <v>3.16</v>
      </c>
      <c r="Y125" s="19">
        <v>3.1105999999999998</v>
      </c>
      <c r="Z125" s="4"/>
      <c r="AA125" s="4"/>
      <c r="AB125" s="4" t="e">
        <f ca="1">_xll.ciqfunctions.udf.CIQ("^SPX", "IQ_PRICEDATE", "6/20/2014")</f>
        <v>#NAME?</v>
      </c>
      <c r="AC125" s="16">
        <v>1962.8734464996</v>
      </c>
    </row>
    <row r="126" spans="1:29" x14ac:dyDescent="0.35">
      <c r="A126" s="2" t="s">
        <v>136</v>
      </c>
      <c r="B126" s="4" t="s">
        <v>879</v>
      </c>
      <c r="C126" s="4" t="s">
        <v>626</v>
      </c>
      <c r="D126" s="4" t="s">
        <v>627</v>
      </c>
      <c r="E126" s="4" t="s">
        <v>699</v>
      </c>
      <c r="F126" s="4" t="s">
        <v>789</v>
      </c>
      <c r="G126" s="14">
        <v>35.299999999999997</v>
      </c>
      <c r="H126" s="10">
        <v>11.613946</v>
      </c>
      <c r="I126" s="10">
        <v>17.249796</v>
      </c>
      <c r="J126" s="10" t="s">
        <v>534</v>
      </c>
      <c r="K126" s="15">
        <v>2.4079000000000003E-2</v>
      </c>
      <c r="L126" s="17">
        <v>14408.123683</v>
      </c>
      <c r="M126" s="4" t="s">
        <v>880</v>
      </c>
      <c r="N126" s="19">
        <v>2.0464009999999999</v>
      </c>
      <c r="O126" s="19">
        <v>2.2486000000000002</v>
      </c>
      <c r="P126" s="19">
        <v>1.6588560000000001</v>
      </c>
      <c r="Q126" s="19">
        <v>1.9602999999999999</v>
      </c>
      <c r="R126" s="19">
        <v>0.34010099999999999</v>
      </c>
      <c r="S126" s="19">
        <v>1.8038000000000001</v>
      </c>
      <c r="T126" s="19">
        <v>0.34010099999999999</v>
      </c>
      <c r="U126" s="19">
        <v>2.3411</v>
      </c>
      <c r="V126" s="19">
        <v>0.29288700000000001</v>
      </c>
      <c r="W126" s="19">
        <v>2.4066000000000001</v>
      </c>
      <c r="X126" s="19">
        <v>0.29288700000000001</v>
      </c>
      <c r="Y126" s="19">
        <v>2.4066000000000001</v>
      </c>
      <c r="Z126" s="4"/>
      <c r="AA126" s="4"/>
      <c r="AB126" s="4" t="e">
        <f ca="1">_xll.ciqfunctions.udf.CIQ("^SPX", "IQ_PRICEDATE", "6/23/2014")</f>
        <v>#NAME?</v>
      </c>
      <c r="AC126" s="16">
        <v>1962.6107536819</v>
      </c>
    </row>
    <row r="127" spans="1:29" x14ac:dyDescent="0.35">
      <c r="A127" s="2" t="s">
        <v>137</v>
      </c>
      <c r="B127" s="4" t="s">
        <v>881</v>
      </c>
      <c r="C127" s="4" t="s">
        <v>669</v>
      </c>
      <c r="D127" s="4" t="s">
        <v>669</v>
      </c>
      <c r="E127" s="4" t="s">
        <v>670</v>
      </c>
      <c r="F127" s="4" t="s">
        <v>671</v>
      </c>
      <c r="G127" s="14">
        <v>150.44999999999999</v>
      </c>
      <c r="H127" s="10">
        <v>21.944783999999999</v>
      </c>
      <c r="I127" s="10">
        <v>19.981642000000001</v>
      </c>
      <c r="J127" s="10">
        <v>2.258543</v>
      </c>
      <c r="K127" s="15">
        <v>0</v>
      </c>
      <c r="L127" s="17">
        <v>29964.77866</v>
      </c>
      <c r="M127" s="4" t="s">
        <v>882</v>
      </c>
      <c r="N127" s="19">
        <v>7.5294109999999996</v>
      </c>
      <c r="O127" s="19">
        <v>5.1081000000000003</v>
      </c>
      <c r="P127" s="19">
        <v>6.41</v>
      </c>
      <c r="Q127" s="19">
        <v>2.1577999999999999</v>
      </c>
      <c r="R127" s="19">
        <v>-10.85</v>
      </c>
      <c r="S127" s="19">
        <v>-0.1091</v>
      </c>
      <c r="T127" s="19">
        <v>-10.85</v>
      </c>
      <c r="U127" s="19">
        <v>0.61660000000000004</v>
      </c>
      <c r="V127" s="19">
        <v>4.876938</v>
      </c>
      <c r="W127" s="19">
        <v>2.9695</v>
      </c>
      <c r="X127" s="19">
        <v>4.876938</v>
      </c>
      <c r="Y127" s="19">
        <v>2.9695</v>
      </c>
      <c r="Z127" s="4"/>
      <c r="AA127" s="4"/>
      <c r="AB127" s="4" t="e">
        <f ca="1">_xll.ciqfunctions.udf.CIQ("^SPX", "IQ_PRICEDATE", "6/24/2014")</f>
        <v>#NAME?</v>
      </c>
      <c r="AC127" s="16">
        <v>1949.9824017625001</v>
      </c>
    </row>
    <row r="128" spans="1:29" x14ac:dyDescent="0.35">
      <c r="A128" s="2" t="s">
        <v>138</v>
      </c>
      <c r="B128" s="4" t="s">
        <v>883</v>
      </c>
      <c r="C128" s="4" t="s">
        <v>669</v>
      </c>
      <c r="D128" s="4" t="s">
        <v>669</v>
      </c>
      <c r="E128" s="4" t="s">
        <v>670</v>
      </c>
      <c r="F128" s="4" t="s">
        <v>671</v>
      </c>
      <c r="G128" s="14">
        <v>72.48</v>
      </c>
      <c r="H128" s="10">
        <v>7.4660320000000002</v>
      </c>
      <c r="I128" s="10">
        <v>19.133102000000001</v>
      </c>
      <c r="J128" s="10">
        <v>2.7133769999999999</v>
      </c>
      <c r="K128" s="15">
        <v>1.6832E-2</v>
      </c>
      <c r="L128" s="17">
        <v>84228.667923999994</v>
      </c>
      <c r="M128" s="4" t="s">
        <v>884</v>
      </c>
      <c r="N128" s="19">
        <v>3.7881990000000001</v>
      </c>
      <c r="O128" s="19">
        <v>5.0327999999999999</v>
      </c>
      <c r="P128" s="19">
        <v>-0.70022300000000004</v>
      </c>
      <c r="Q128" s="19">
        <v>1.5112000000000001</v>
      </c>
      <c r="R128" s="19">
        <v>-2.91</v>
      </c>
      <c r="S128" s="19">
        <v>-0.65049999999999997</v>
      </c>
      <c r="T128" s="19">
        <v>-2.91</v>
      </c>
      <c r="U128" s="19">
        <v>-0.83240000000000003</v>
      </c>
      <c r="V128" s="19">
        <v>4.5999999999999996</v>
      </c>
      <c r="W128" s="19">
        <v>3.4333</v>
      </c>
      <c r="X128" s="19">
        <v>4.5999999999999996</v>
      </c>
      <c r="Y128" s="19">
        <v>3.4333</v>
      </c>
      <c r="Z128" s="4"/>
      <c r="AA128" s="4"/>
      <c r="AB128" s="4" t="e">
        <f ca="1">_xll.ciqfunctions.udf.CIQ("^SPX", "IQ_PRICEDATE", "6/25/2014")</f>
        <v>#NAME?</v>
      </c>
      <c r="AC128" s="16">
        <v>1959.5311112085001</v>
      </c>
    </row>
    <row r="129" spans="1:29" x14ac:dyDescent="0.35">
      <c r="A129" s="2" t="s">
        <v>139</v>
      </c>
      <c r="B129" s="4" t="s">
        <v>885</v>
      </c>
      <c r="C129" s="4" t="s">
        <v>619</v>
      </c>
      <c r="D129" s="4" t="s">
        <v>619</v>
      </c>
      <c r="E129" s="4" t="s">
        <v>634</v>
      </c>
      <c r="F129" s="4" t="s">
        <v>634</v>
      </c>
      <c r="G129" s="14">
        <v>76.11</v>
      </c>
      <c r="H129" s="10">
        <v>10.453811</v>
      </c>
      <c r="I129" s="10">
        <v>15.011653000000001</v>
      </c>
      <c r="J129" s="10">
        <v>1.56829</v>
      </c>
      <c r="K129" s="15">
        <v>3.7576999999999999E-2</v>
      </c>
      <c r="L129" s="17">
        <v>23678.048492999998</v>
      </c>
      <c r="M129" s="4" t="s">
        <v>886</v>
      </c>
      <c r="N129" s="19">
        <v>5.0700609999999999</v>
      </c>
      <c r="O129" s="19">
        <v>4.4249999999999998</v>
      </c>
      <c r="P129" s="19">
        <v>4.9400000000000004</v>
      </c>
      <c r="Q129" s="19">
        <v>4.2163000000000004</v>
      </c>
      <c r="R129" s="19">
        <v>4.12</v>
      </c>
      <c r="S129" s="19">
        <v>4.0926999999999998</v>
      </c>
      <c r="T129" s="19">
        <v>4.12</v>
      </c>
      <c r="U129" s="19">
        <v>4.0667</v>
      </c>
      <c r="V129" s="19">
        <v>3.71</v>
      </c>
      <c r="W129" s="19">
        <v>3.8935</v>
      </c>
      <c r="X129" s="19">
        <v>3.71</v>
      </c>
      <c r="Y129" s="19">
        <v>3.8935</v>
      </c>
      <c r="Z129" s="4"/>
      <c r="AA129" s="4"/>
      <c r="AB129" s="4" t="e">
        <f ca="1">_xll.ciqfunctions.udf.CIQ("^SPX", "IQ_PRICEDATE", "6/26/2014")</f>
        <v>#NAME?</v>
      </c>
      <c r="AC129" s="16">
        <v>1957.2197789147001</v>
      </c>
    </row>
    <row r="130" spans="1:29" x14ac:dyDescent="0.35">
      <c r="A130" s="2" t="s">
        <v>140</v>
      </c>
      <c r="B130" s="4" t="s">
        <v>887</v>
      </c>
      <c r="C130" s="4" t="s">
        <v>626</v>
      </c>
      <c r="D130" s="4" t="s">
        <v>627</v>
      </c>
      <c r="E130" s="4" t="s">
        <v>775</v>
      </c>
      <c r="F130" s="4" t="s">
        <v>776</v>
      </c>
      <c r="G130" s="14">
        <v>227.2</v>
      </c>
      <c r="H130" s="10">
        <v>11.984292</v>
      </c>
      <c r="I130" s="10">
        <v>13.603726</v>
      </c>
      <c r="J130" s="10" t="s">
        <v>534</v>
      </c>
      <c r="K130" s="15">
        <v>1.3028E-2</v>
      </c>
      <c r="L130" s="17">
        <v>43070.365850000002</v>
      </c>
      <c r="M130" s="4" t="s">
        <v>888</v>
      </c>
      <c r="N130" s="19">
        <v>16.701305999999999</v>
      </c>
      <c r="O130" s="19">
        <v>9.9064999999999994</v>
      </c>
      <c r="P130" s="19">
        <v>9.1704439999999998</v>
      </c>
      <c r="Q130" s="19">
        <v>8.7951999999999995</v>
      </c>
      <c r="R130" s="19">
        <v>6.4615049999999998</v>
      </c>
      <c r="S130" s="19">
        <v>7.1273</v>
      </c>
      <c r="T130" s="19">
        <v>6.4615049999999998</v>
      </c>
      <c r="U130" s="19">
        <v>5.4321000000000002</v>
      </c>
      <c r="V130" s="19">
        <v>3.8944220000000001</v>
      </c>
      <c r="W130" s="19">
        <v>4.5663999999999998</v>
      </c>
      <c r="X130" s="19">
        <v>3.8944220000000001</v>
      </c>
      <c r="Y130" s="19">
        <v>4.5663999999999998</v>
      </c>
      <c r="Z130" s="4"/>
      <c r="AA130" s="4"/>
      <c r="AB130" s="4" t="e">
        <f ca="1">_xll.ciqfunctions.udf.CIQ("^SPX", "IQ_PRICEDATE", "6/27/2014")</f>
        <v>#NAME?</v>
      </c>
      <c r="AC130" s="16">
        <v>1960.9605158347999</v>
      </c>
    </row>
    <row r="131" spans="1:29" x14ac:dyDescent="0.35">
      <c r="A131" s="2" t="s">
        <v>141</v>
      </c>
      <c r="B131" s="4" t="s">
        <v>889</v>
      </c>
      <c r="C131" s="4" t="s">
        <v>525</v>
      </c>
      <c r="D131" s="4" t="s">
        <v>855</v>
      </c>
      <c r="E131" s="4" t="s">
        <v>856</v>
      </c>
      <c r="F131" s="4" t="s">
        <v>857</v>
      </c>
      <c r="G131" s="14">
        <v>50.99</v>
      </c>
      <c r="H131" s="10">
        <v>16.596482999999999</v>
      </c>
      <c r="I131" s="10">
        <v>29.473987999999999</v>
      </c>
      <c r="J131" s="10">
        <v>10.243567000000001</v>
      </c>
      <c r="K131" s="15">
        <v>0</v>
      </c>
      <c r="L131" s="17">
        <v>11927.386528000001</v>
      </c>
      <c r="M131" s="4" t="s">
        <v>890</v>
      </c>
      <c r="N131" s="19">
        <v>1.73</v>
      </c>
      <c r="O131" s="19">
        <v>2.1323099999999999</v>
      </c>
      <c r="P131" s="19">
        <v>1.278816</v>
      </c>
      <c r="Q131" s="19">
        <v>1.6492</v>
      </c>
      <c r="R131" s="19">
        <v>1.6050340000000001</v>
      </c>
      <c r="S131" s="19">
        <v>1.2623</v>
      </c>
      <c r="T131" s="19">
        <v>1.6050340000000001</v>
      </c>
      <c r="U131" s="19">
        <v>0.97319999999999995</v>
      </c>
      <c r="V131" s="19">
        <v>0.71996300000000002</v>
      </c>
      <c r="W131" s="19">
        <v>0.88519999999999999</v>
      </c>
      <c r="X131" s="19">
        <v>0.71996300000000002</v>
      </c>
      <c r="Y131" s="19">
        <v>0.88519999999999999</v>
      </c>
      <c r="Z131" s="4"/>
      <c r="AA131" s="4"/>
      <c r="AB131" s="4" t="e">
        <f ca="1">_xll.ciqfunctions.udf.CIQ("^SPX", "IQ_PRICEDATE", "6/30/2014")</f>
        <v>#NAME?</v>
      </c>
      <c r="AC131" s="16">
        <v>1960.2312403638</v>
      </c>
    </row>
    <row r="132" spans="1:29" x14ac:dyDescent="0.35">
      <c r="A132" s="2" t="s">
        <v>142</v>
      </c>
      <c r="B132" s="4" t="s">
        <v>891</v>
      </c>
      <c r="C132" s="4" t="s">
        <v>543</v>
      </c>
      <c r="D132" s="4" t="s">
        <v>664</v>
      </c>
      <c r="E132" s="4" t="s">
        <v>665</v>
      </c>
      <c r="F132" s="4" t="s">
        <v>666</v>
      </c>
      <c r="G132" s="14">
        <v>32.39</v>
      </c>
      <c r="H132" s="10">
        <v>10.17916</v>
      </c>
      <c r="I132" s="10" t="s">
        <v>534</v>
      </c>
      <c r="J132" s="10">
        <v>3.1468120000000002</v>
      </c>
      <c r="K132" s="15">
        <v>2.2229000000000002E-2</v>
      </c>
      <c r="L132" s="17">
        <v>26236.386011999999</v>
      </c>
      <c r="M132" s="4" t="s">
        <v>892</v>
      </c>
      <c r="N132" s="19">
        <v>-1.189378</v>
      </c>
      <c r="O132" s="19">
        <v>1.9618</v>
      </c>
      <c r="P132" s="19">
        <v>-0.66480399999999995</v>
      </c>
      <c r="Q132" s="19">
        <v>1.7302999999999999</v>
      </c>
      <c r="R132" s="19">
        <v>3.229895</v>
      </c>
      <c r="S132" s="19">
        <v>1.6541999999999999</v>
      </c>
      <c r="T132" s="19">
        <v>3.229895</v>
      </c>
      <c r="U132" s="19">
        <v>1.3842000000000001</v>
      </c>
      <c r="V132" s="19">
        <v>1.732305</v>
      </c>
      <c r="W132" s="19">
        <v>1.5363</v>
      </c>
      <c r="X132" s="19">
        <v>1.732305</v>
      </c>
      <c r="Y132" s="19">
        <v>1.5363</v>
      </c>
      <c r="Z132" s="4"/>
      <c r="AA132" s="4"/>
      <c r="AB132" s="4" t="e">
        <f ca="1">_xll.ciqfunctions.udf.CIQ("^SPX", "IQ_PRICEDATE", "7/1/2014")</f>
        <v>#NAME?</v>
      </c>
      <c r="AC132" s="16">
        <v>1973.3185916340999</v>
      </c>
    </row>
    <row r="133" spans="1:29" x14ac:dyDescent="0.35">
      <c r="A133" s="2" t="s">
        <v>143</v>
      </c>
      <c r="B133" s="4" t="s">
        <v>893</v>
      </c>
      <c r="C133" s="4" t="s">
        <v>626</v>
      </c>
      <c r="D133" s="4" t="s">
        <v>894</v>
      </c>
      <c r="E133" s="4" t="s">
        <v>894</v>
      </c>
      <c r="F133" s="4" t="s">
        <v>895</v>
      </c>
      <c r="G133" s="14">
        <v>228.49</v>
      </c>
      <c r="H133" s="10">
        <v>17.118725999999999</v>
      </c>
      <c r="I133" s="10">
        <v>32.227080000000001</v>
      </c>
      <c r="J133" s="10">
        <v>7.8226269999999998</v>
      </c>
      <c r="K133" s="15">
        <v>9.9780000000000008E-3</v>
      </c>
      <c r="L133" s="17">
        <v>100121.80461000001</v>
      </c>
      <c r="M133" s="4" t="s">
        <v>896</v>
      </c>
      <c r="N133" s="19">
        <v>7.09</v>
      </c>
      <c r="O133" s="19">
        <v>7.73529</v>
      </c>
      <c r="P133" s="19">
        <v>6.2897129999999999</v>
      </c>
      <c r="Q133" s="19">
        <v>6.6566000000000001</v>
      </c>
      <c r="R133" s="19">
        <v>5.4802949999999999</v>
      </c>
      <c r="S133" s="19">
        <v>6.0366999999999997</v>
      </c>
      <c r="T133" s="19">
        <v>5.4802949999999999</v>
      </c>
      <c r="U133" s="19">
        <v>5.6771000000000003</v>
      </c>
      <c r="V133" s="19">
        <v>4.8100149999999999</v>
      </c>
      <c r="W133" s="19">
        <v>5.2817999999999996</v>
      </c>
      <c r="X133" s="19">
        <v>4.8100149999999999</v>
      </c>
      <c r="Y133" s="19">
        <v>5.2817999999999996</v>
      </c>
      <c r="Z133" s="4"/>
      <c r="AA133" s="4"/>
      <c r="AB133" s="4" t="e">
        <f ca="1">_xll.ciqfunctions.udf.CIQ("^SPX", "IQ_PRICEDATE", "7/2/2014")</f>
        <v>#NAME?</v>
      </c>
      <c r="AC133" s="16">
        <v>1974.6180479468001</v>
      </c>
    </row>
    <row r="134" spans="1:29" x14ac:dyDescent="0.35">
      <c r="A134" s="2" t="s">
        <v>144</v>
      </c>
      <c r="B134" s="4" t="s">
        <v>897</v>
      </c>
      <c r="C134" s="4" t="s">
        <v>626</v>
      </c>
      <c r="D134" s="4" t="s">
        <v>845</v>
      </c>
      <c r="E134" s="4" t="s">
        <v>898</v>
      </c>
      <c r="F134" s="4" t="s">
        <v>898</v>
      </c>
      <c r="G134" s="14">
        <v>11.21</v>
      </c>
      <c r="H134" s="10">
        <v>11.760125</v>
      </c>
      <c r="I134" s="10" t="s">
        <v>534</v>
      </c>
      <c r="J134" s="10" t="s">
        <v>534</v>
      </c>
      <c r="K134" s="15">
        <v>4.4603000000000004E-2</v>
      </c>
      <c r="L134" s="17">
        <v>8416.5130869999994</v>
      </c>
      <c r="M134" s="4" t="s">
        <v>899</v>
      </c>
      <c r="N134" s="19">
        <v>-0.23</v>
      </c>
      <c r="O134" s="19">
        <v>0.74741000000000002</v>
      </c>
      <c r="P134" s="19">
        <v>-0.51250200000000001</v>
      </c>
      <c r="Q134" s="19">
        <v>0.73409999999999997</v>
      </c>
      <c r="R134" s="19">
        <v>-2.5048000000000001E-2</v>
      </c>
      <c r="S134" s="19">
        <v>0.96250000000000002</v>
      </c>
      <c r="T134" s="19">
        <v>-2.5048000000000001E-2</v>
      </c>
      <c r="U134" s="19">
        <v>0.9214</v>
      </c>
      <c r="V134" s="19">
        <v>-0.386963</v>
      </c>
      <c r="W134" s="19">
        <v>0.88639999999999997</v>
      </c>
      <c r="X134" s="19">
        <v>-0.386963</v>
      </c>
      <c r="Y134" s="19">
        <v>0.88639999999999997</v>
      </c>
      <c r="Z134" s="4"/>
      <c r="AA134" s="4"/>
      <c r="AB134" s="4" t="e">
        <f ca="1">_xll.ciqfunctions.udf.CIQ("^SPX", "IQ_PRICEDATE", "7/3/2014")</f>
        <v>#NAME?</v>
      </c>
      <c r="AC134" s="16">
        <v>1985.4371180636999</v>
      </c>
    </row>
    <row r="135" spans="1:29" x14ac:dyDescent="0.35">
      <c r="A135" s="2" t="s">
        <v>145</v>
      </c>
      <c r="B135" s="4" t="s">
        <v>900</v>
      </c>
      <c r="C135" s="4" t="s">
        <v>601</v>
      </c>
      <c r="D135" s="4" t="s">
        <v>601</v>
      </c>
      <c r="E135" s="4" t="s">
        <v>602</v>
      </c>
      <c r="F135" s="4" t="s">
        <v>647</v>
      </c>
      <c r="G135" s="14">
        <v>106.79</v>
      </c>
      <c r="H135" s="10">
        <v>21.127037999999999</v>
      </c>
      <c r="I135" s="10">
        <v>99.061058000000003</v>
      </c>
      <c r="J135" s="10" t="s">
        <v>534</v>
      </c>
      <c r="K135" s="15">
        <v>3.9329000000000003E-2</v>
      </c>
      <c r="L135" s="17">
        <v>44300.758901000001</v>
      </c>
      <c r="M135" s="4" t="s">
        <v>901</v>
      </c>
      <c r="N135" s="19">
        <v>1.078022</v>
      </c>
      <c r="O135" s="19">
        <v>1.4679</v>
      </c>
      <c r="P135" s="19">
        <v>1.01</v>
      </c>
      <c r="Q135" s="19">
        <v>1.083</v>
      </c>
      <c r="R135" s="19">
        <v>0.95</v>
      </c>
      <c r="S135" s="19">
        <v>1.1644000000000001</v>
      </c>
      <c r="T135" s="19">
        <v>0.95</v>
      </c>
      <c r="U135" s="19">
        <v>1.2323999999999999</v>
      </c>
      <c r="V135" s="19">
        <v>0.88258700000000001</v>
      </c>
      <c r="W135" s="19">
        <v>1.2907</v>
      </c>
      <c r="X135" s="19">
        <v>0.88258700000000001</v>
      </c>
      <c r="Y135" s="19">
        <v>1.2907</v>
      </c>
      <c r="Z135" s="4"/>
      <c r="AA135" s="4"/>
      <c r="AB135" s="4" t="e">
        <f ca="1">_xll.ciqfunctions.udf.CIQ("^SPX", "IQ_PRICEDATE", "7/7/2014")</f>
        <v>#NAME?</v>
      </c>
      <c r="AC135" s="16">
        <v>1977.6508625317999</v>
      </c>
    </row>
    <row r="136" spans="1:29" x14ac:dyDescent="0.35">
      <c r="A136" s="2" t="s">
        <v>146</v>
      </c>
      <c r="B136" s="4" t="s">
        <v>902</v>
      </c>
      <c r="C136" s="4" t="s">
        <v>525</v>
      </c>
      <c r="D136" s="4" t="s">
        <v>594</v>
      </c>
      <c r="E136" s="4" t="s">
        <v>903</v>
      </c>
      <c r="F136" s="4" t="s">
        <v>904</v>
      </c>
      <c r="G136" s="14">
        <v>70.709999999999994</v>
      </c>
      <c r="H136" s="10">
        <v>11.6145</v>
      </c>
      <c r="I136" s="10">
        <v>9.3922609999999995</v>
      </c>
      <c r="J136" s="10">
        <v>4.3522819999999998</v>
      </c>
      <c r="K136" s="15">
        <v>1.2444999999999999E-2</v>
      </c>
      <c r="L136" s="17">
        <v>59708.963726000002</v>
      </c>
      <c r="M136" s="4" t="s">
        <v>905</v>
      </c>
      <c r="N136" s="19">
        <v>7.5285380000000002</v>
      </c>
      <c r="O136" s="19">
        <v>3.8658999999999999</v>
      </c>
      <c r="P136" s="19">
        <v>5.99</v>
      </c>
      <c r="Q136" s="19">
        <v>2.5162</v>
      </c>
      <c r="R136" s="19">
        <v>1.80887</v>
      </c>
      <c r="S136" s="19">
        <v>1.9392</v>
      </c>
      <c r="T136" s="19">
        <v>1.80887</v>
      </c>
      <c r="U136" s="19">
        <v>1.9983</v>
      </c>
      <c r="V136" s="19">
        <v>1.92</v>
      </c>
      <c r="W136" s="19">
        <v>2.1070000000000002</v>
      </c>
      <c r="X136" s="19">
        <v>1.92</v>
      </c>
      <c r="Y136" s="19">
        <v>2.1070000000000002</v>
      </c>
      <c r="Z136" s="4"/>
      <c r="AA136" s="4"/>
      <c r="AB136" s="4" t="e">
        <f ca="1">_xll.ciqfunctions.udf.CIQ("^SPX", "IQ_PRICEDATE", "7/8/2014")</f>
        <v>#NAME?</v>
      </c>
      <c r="AC136" s="16">
        <v>1963.7114770538999</v>
      </c>
    </row>
    <row r="137" spans="1:29" x14ac:dyDescent="0.35">
      <c r="A137" s="2" t="s">
        <v>147</v>
      </c>
      <c r="B137" s="4" t="s">
        <v>906</v>
      </c>
      <c r="C137" s="4" t="s">
        <v>525</v>
      </c>
      <c r="D137" s="4" t="s">
        <v>526</v>
      </c>
      <c r="E137" s="4" t="s">
        <v>803</v>
      </c>
      <c r="F137" s="4" t="s">
        <v>804</v>
      </c>
      <c r="G137" s="14">
        <v>146.19</v>
      </c>
      <c r="H137" s="10">
        <v>8.2986369999999994</v>
      </c>
      <c r="I137" s="10">
        <v>23.113306000000001</v>
      </c>
      <c r="J137" s="10">
        <v>4.5075250000000002</v>
      </c>
      <c r="K137" s="15">
        <v>3.1192000000000001E-2</v>
      </c>
      <c r="L137" s="17">
        <v>23801.193899999998</v>
      </c>
      <c r="M137" s="4" t="s">
        <v>907</v>
      </c>
      <c r="N137" s="19">
        <v>6.3249279999999999</v>
      </c>
      <c r="O137" s="19">
        <v>14.9735</v>
      </c>
      <c r="P137" s="19">
        <v>5.9699989999999996</v>
      </c>
      <c r="Q137" s="19">
        <v>11.3878</v>
      </c>
      <c r="R137" s="19">
        <v>8.23</v>
      </c>
      <c r="S137" s="19">
        <v>7.9602000000000004</v>
      </c>
      <c r="T137" s="19">
        <v>8.23</v>
      </c>
      <c r="U137" s="19">
        <v>8.3613</v>
      </c>
      <c r="V137" s="19">
        <v>9.02</v>
      </c>
      <c r="W137" s="19">
        <v>10.5555</v>
      </c>
      <c r="X137" s="19">
        <v>9.02</v>
      </c>
      <c r="Y137" s="19">
        <v>10.5555</v>
      </c>
      <c r="Z137" s="4"/>
      <c r="AA137" s="4"/>
      <c r="AB137" s="4" t="e">
        <f ca="1">_xll.ciqfunctions.udf.CIQ("^SPX", "IQ_PRICEDATE", "7/9/2014")</f>
        <v>#NAME?</v>
      </c>
      <c r="AC137" s="16">
        <v>1972.8330923594999</v>
      </c>
    </row>
    <row r="138" spans="1:29" x14ac:dyDescent="0.35">
      <c r="A138" s="2" t="s">
        <v>148</v>
      </c>
      <c r="B138" s="4" t="s">
        <v>908</v>
      </c>
      <c r="C138" s="4" t="s">
        <v>530</v>
      </c>
      <c r="D138" s="4" t="s">
        <v>531</v>
      </c>
      <c r="E138" s="4" t="s">
        <v>569</v>
      </c>
      <c r="F138" s="4" t="s">
        <v>909</v>
      </c>
      <c r="G138" s="14">
        <v>74.36</v>
      </c>
      <c r="H138" s="10">
        <v>7.6016019999999997</v>
      </c>
      <c r="I138" s="10">
        <v>25.309519000000002</v>
      </c>
      <c r="J138" s="10" t="s">
        <v>534</v>
      </c>
      <c r="K138" s="15">
        <v>2.6896E-2</v>
      </c>
      <c r="L138" s="17">
        <v>75703.223052999994</v>
      </c>
      <c r="M138" s="4" t="s">
        <v>910</v>
      </c>
      <c r="N138" s="19">
        <v>2.9380250000000001</v>
      </c>
      <c r="O138" s="19">
        <v>7.1859000000000002</v>
      </c>
      <c r="P138" s="19">
        <v>6.45</v>
      </c>
      <c r="Q138" s="19">
        <v>6.1665999999999999</v>
      </c>
      <c r="R138" s="19">
        <v>4.91</v>
      </c>
      <c r="S138" s="19">
        <v>5.7864000000000004</v>
      </c>
      <c r="T138" s="19">
        <v>4.91</v>
      </c>
      <c r="U138" s="19">
        <v>5.5949999999999998</v>
      </c>
      <c r="V138" s="19">
        <v>3.96</v>
      </c>
      <c r="W138" s="19">
        <v>4.899</v>
      </c>
      <c r="X138" s="19">
        <v>3.96</v>
      </c>
      <c r="Y138" s="19">
        <v>4.899</v>
      </c>
      <c r="Z138" s="4"/>
      <c r="AA138" s="4"/>
      <c r="AB138" s="4" t="e">
        <f ca="1">_xll.ciqfunctions.udf.CIQ("^SPX", "IQ_PRICEDATE", "7/10/2014")</f>
        <v>#NAME?</v>
      </c>
      <c r="AC138" s="16">
        <v>1964.6766176333001</v>
      </c>
    </row>
    <row r="139" spans="1:29" x14ac:dyDescent="0.35">
      <c r="A139" s="2" t="s">
        <v>149</v>
      </c>
      <c r="B139" s="4" t="s">
        <v>911</v>
      </c>
      <c r="C139" s="4" t="s">
        <v>559</v>
      </c>
      <c r="D139" s="4" t="s">
        <v>912</v>
      </c>
      <c r="E139" s="4" t="s">
        <v>913</v>
      </c>
      <c r="F139" s="4" t="s">
        <v>914</v>
      </c>
      <c r="G139" s="14">
        <v>37.78</v>
      </c>
      <c r="H139" s="10">
        <v>8.130979</v>
      </c>
      <c r="I139" s="10">
        <v>11.080049000000001</v>
      </c>
      <c r="J139" s="10">
        <v>1.677972</v>
      </c>
      <c r="K139" s="15">
        <v>1.3233999999999999E-2</v>
      </c>
      <c r="L139" s="17">
        <v>14220.299212</v>
      </c>
      <c r="M139" s="4" t="s">
        <v>915</v>
      </c>
      <c r="N139" s="19">
        <v>3.409732</v>
      </c>
      <c r="O139" s="19">
        <v>4.4203999999999999</v>
      </c>
      <c r="P139" s="19">
        <v>2.6772079999999998</v>
      </c>
      <c r="Q139" s="19">
        <v>3.2790699999999999</v>
      </c>
      <c r="R139" s="19">
        <v>2.4886949999999999</v>
      </c>
      <c r="S139" s="19">
        <v>2.67048</v>
      </c>
      <c r="T139" s="19">
        <v>2.4886949999999999</v>
      </c>
      <c r="U139" s="19">
        <v>2.3214000000000001</v>
      </c>
      <c r="V139" s="19">
        <v>1.5333889999999999</v>
      </c>
      <c r="W139" s="19">
        <v>1.84293</v>
      </c>
      <c r="X139" s="19">
        <v>1.5333889999999999</v>
      </c>
      <c r="Y139" s="19">
        <v>1.84293</v>
      </c>
      <c r="Z139" s="4"/>
      <c r="AA139" s="4"/>
      <c r="AB139" s="4" t="e">
        <f ca="1">_xll.ciqfunctions.udf.CIQ("^SPX", "IQ_PRICEDATE", "7/11/2014")</f>
        <v>#NAME?</v>
      </c>
      <c r="AC139" s="16">
        <v>1967.5691612269</v>
      </c>
    </row>
    <row r="140" spans="1:29" x14ac:dyDescent="0.35">
      <c r="A140" s="2" t="s">
        <v>150</v>
      </c>
      <c r="B140" s="4" t="s">
        <v>916</v>
      </c>
      <c r="C140" s="4" t="s">
        <v>530</v>
      </c>
      <c r="D140" s="4" t="s">
        <v>531</v>
      </c>
      <c r="E140" s="4" t="s">
        <v>532</v>
      </c>
      <c r="F140" s="4" t="s">
        <v>533</v>
      </c>
      <c r="G140" s="14">
        <v>104.96</v>
      </c>
      <c r="H140" s="10">
        <v>17.27495</v>
      </c>
      <c r="I140" s="10">
        <v>26.980429999999998</v>
      </c>
      <c r="J140" s="10" t="s">
        <v>534</v>
      </c>
      <c r="K140" s="15">
        <v>6.097E-3</v>
      </c>
      <c r="L140" s="17">
        <v>73446.268320999996</v>
      </c>
      <c r="M140" s="4" t="s">
        <v>917</v>
      </c>
      <c r="N140" s="19">
        <v>3.8902269999999999</v>
      </c>
      <c r="O140" s="19">
        <v>4.6703999999999999</v>
      </c>
      <c r="P140" s="19">
        <v>3.5007779999999999</v>
      </c>
      <c r="Q140" s="19">
        <v>4.2243000000000004</v>
      </c>
      <c r="R140" s="19">
        <v>3.0797370000000002</v>
      </c>
      <c r="S140" s="19">
        <v>3.8018999999999998</v>
      </c>
      <c r="T140" s="19">
        <v>3.0797370000000002</v>
      </c>
      <c r="U140" s="19">
        <v>4.7882999999999996</v>
      </c>
      <c r="V140" s="19">
        <v>2.2929750000000002</v>
      </c>
      <c r="W140" s="19">
        <v>4.0403000000000002</v>
      </c>
      <c r="X140" s="19">
        <v>2.2929750000000002</v>
      </c>
      <c r="Y140" s="19">
        <v>4.0403000000000002</v>
      </c>
      <c r="Z140" s="4"/>
      <c r="AA140" s="4"/>
      <c r="AB140" s="4" t="e">
        <f ca="1">_xll.ciqfunctions.udf.CIQ("^SPX", "IQ_PRICEDATE", "7/14/2014")</f>
        <v>#NAME?</v>
      </c>
      <c r="AC140" s="16">
        <v>1977.0993235454</v>
      </c>
    </row>
    <row r="141" spans="1:29" x14ac:dyDescent="0.35">
      <c r="A141" s="2" t="s">
        <v>151</v>
      </c>
      <c r="B141" s="4" t="s">
        <v>918</v>
      </c>
      <c r="C141" s="4" t="s">
        <v>559</v>
      </c>
      <c r="D141" s="4" t="s">
        <v>798</v>
      </c>
      <c r="E141" s="4" t="s">
        <v>799</v>
      </c>
      <c r="F141" s="4" t="s">
        <v>839</v>
      </c>
      <c r="G141" s="14">
        <v>109.94</v>
      </c>
      <c r="H141" s="10">
        <v>13.100484</v>
      </c>
      <c r="I141" s="10">
        <v>21.209614999999999</v>
      </c>
      <c r="J141" s="10">
        <v>96.977331000000007</v>
      </c>
      <c r="K141" s="15">
        <v>2.7286999999999999E-2</v>
      </c>
      <c r="L141" s="17">
        <v>13644.703533</v>
      </c>
      <c r="M141" s="4" t="s">
        <v>919</v>
      </c>
      <c r="N141" s="19">
        <v>5.1834980000000002</v>
      </c>
      <c r="O141" s="19">
        <v>5.6837</v>
      </c>
      <c r="P141" s="19">
        <v>3.9699439999999999</v>
      </c>
      <c r="Q141" s="19">
        <v>4.7085999999999997</v>
      </c>
      <c r="R141" s="19">
        <v>3.448197</v>
      </c>
      <c r="S141" s="19">
        <v>4.0773000000000001</v>
      </c>
      <c r="T141" s="19">
        <v>3.448197</v>
      </c>
      <c r="U141" s="19">
        <v>3.5392999999999999</v>
      </c>
      <c r="V141" s="19">
        <v>0.647281</v>
      </c>
      <c r="W141" s="19">
        <v>2.5777000000000001</v>
      </c>
      <c r="X141" s="19">
        <v>0.647281</v>
      </c>
      <c r="Y141" s="19">
        <v>2.5777000000000001</v>
      </c>
      <c r="Z141" s="4"/>
      <c r="AA141" s="4"/>
      <c r="AB141" s="4" t="e">
        <f ca="1">_xll.ciqfunctions.udf.CIQ("^SPX", "IQ_PRICEDATE", "7/15/2014")</f>
        <v>#NAME?</v>
      </c>
      <c r="AC141" s="16">
        <v>1973.2820561929</v>
      </c>
    </row>
    <row r="142" spans="1:29" x14ac:dyDescent="0.35">
      <c r="A142" s="2" t="s">
        <v>152</v>
      </c>
      <c r="B142" s="4" t="s">
        <v>920</v>
      </c>
      <c r="C142" s="4" t="s">
        <v>530</v>
      </c>
      <c r="D142" s="4" t="s">
        <v>531</v>
      </c>
      <c r="E142" s="4" t="s">
        <v>569</v>
      </c>
      <c r="F142" s="4" t="s">
        <v>909</v>
      </c>
      <c r="G142" s="14">
        <v>68.36</v>
      </c>
      <c r="H142" s="10">
        <v>9.4707399999999993</v>
      </c>
      <c r="I142" s="10">
        <v>17.875937</v>
      </c>
      <c r="J142" s="10" t="s">
        <v>534</v>
      </c>
      <c r="K142" s="15">
        <v>0</v>
      </c>
      <c r="L142" s="17">
        <v>11409.284</v>
      </c>
      <c r="M142" s="4" t="s">
        <v>921</v>
      </c>
      <c r="N142" s="19">
        <v>3.8241350000000001</v>
      </c>
      <c r="O142" s="19">
        <v>4.2111000000000001</v>
      </c>
      <c r="P142" s="19">
        <v>4.7523299999999997</v>
      </c>
      <c r="Q142" s="19">
        <v>3.5078</v>
      </c>
      <c r="R142" s="19">
        <v>5.0623680000000002</v>
      </c>
      <c r="S142" s="19">
        <v>3.6593</v>
      </c>
      <c r="T142" s="19">
        <v>5.0623680000000002</v>
      </c>
      <c r="U142" s="19">
        <v>3.9411999999999998</v>
      </c>
      <c r="V142" s="19">
        <v>3.33</v>
      </c>
      <c r="W142" s="19">
        <v>3.6556999999999999</v>
      </c>
      <c r="X142" s="19">
        <v>3.33</v>
      </c>
      <c r="Y142" s="19">
        <v>3.6556999999999999</v>
      </c>
      <c r="Z142" s="4"/>
      <c r="AA142" s="4"/>
      <c r="AB142" s="4" t="e">
        <f ca="1">_xll.ciqfunctions.udf.CIQ("^SPX", "IQ_PRICEDATE", "7/16/2014")</f>
        <v>#NAME?</v>
      </c>
      <c r="AC142" s="16">
        <v>1981.5672192156001</v>
      </c>
    </row>
    <row r="143" spans="1:29" x14ac:dyDescent="0.35">
      <c r="A143" s="2" t="s">
        <v>153</v>
      </c>
      <c r="B143" s="4" t="s">
        <v>922</v>
      </c>
      <c r="C143" s="4" t="s">
        <v>525</v>
      </c>
      <c r="D143" s="4" t="s">
        <v>526</v>
      </c>
      <c r="E143" s="4" t="s">
        <v>803</v>
      </c>
      <c r="F143" s="4" t="s">
        <v>923</v>
      </c>
      <c r="G143" s="14">
        <v>151.63999999999999</v>
      </c>
      <c r="H143" s="10">
        <v>16.285527999999999</v>
      </c>
      <c r="I143" s="10">
        <v>23.726424999999999</v>
      </c>
      <c r="J143" s="10">
        <v>8.5143249999999995</v>
      </c>
      <c r="K143" s="15">
        <v>1.8201000000000002E-2</v>
      </c>
      <c r="L143" s="17">
        <v>48778.573027999999</v>
      </c>
      <c r="M143" s="4" t="s">
        <v>924</v>
      </c>
      <c r="N143" s="19">
        <v>6.3911860000000003</v>
      </c>
      <c r="O143" s="19">
        <v>11.091900000000001</v>
      </c>
      <c r="P143" s="19">
        <v>6.68</v>
      </c>
      <c r="Q143" s="19">
        <v>8.0858899999999991</v>
      </c>
      <c r="R143" s="19">
        <v>4.8099999999999996</v>
      </c>
      <c r="S143" s="19">
        <v>4.4488899999999996</v>
      </c>
      <c r="T143" s="19">
        <v>4.8099999999999996</v>
      </c>
      <c r="U143" s="19">
        <v>4.2333299999999996</v>
      </c>
      <c r="V143" s="19">
        <v>8.6300000000000008</v>
      </c>
      <c r="W143" s="19">
        <v>5.5261899999999997</v>
      </c>
      <c r="X143" s="19">
        <v>8.6300000000000008</v>
      </c>
      <c r="Y143" s="19">
        <v>5.5261899999999997</v>
      </c>
      <c r="Z143" s="4"/>
      <c r="AA143" s="4"/>
      <c r="AB143" s="4" t="e">
        <f ca="1">_xll.ciqfunctions.udf.CIQ("^SPX", "IQ_PRICEDATE", "7/17/2014")</f>
        <v>#NAME?</v>
      </c>
      <c r="AC143" s="16">
        <v>1958.1194331985</v>
      </c>
    </row>
    <row r="144" spans="1:29" x14ac:dyDescent="0.35">
      <c r="A144" s="2" t="s">
        <v>154</v>
      </c>
      <c r="B144" s="4" t="s">
        <v>925</v>
      </c>
      <c r="C144" s="4" t="s">
        <v>525</v>
      </c>
      <c r="D144" s="4" t="s">
        <v>594</v>
      </c>
      <c r="E144" s="4" t="s">
        <v>595</v>
      </c>
      <c r="F144" s="4" t="s">
        <v>595</v>
      </c>
      <c r="G144" s="14">
        <v>54.3</v>
      </c>
      <c r="H144" s="10">
        <v>6.0119920000000002</v>
      </c>
      <c r="I144" s="10">
        <v>10.695319</v>
      </c>
      <c r="J144" s="10" t="s">
        <v>534</v>
      </c>
      <c r="K144" s="15">
        <v>2.5781999999999999E-2</v>
      </c>
      <c r="L144" s="17">
        <v>37088.012497999996</v>
      </c>
      <c r="M144" s="4" t="s">
        <v>926</v>
      </c>
      <c r="N144" s="19">
        <v>5.0769869999999999</v>
      </c>
      <c r="O144" s="19">
        <v>5.9714</v>
      </c>
      <c r="P144" s="19">
        <v>4.95</v>
      </c>
      <c r="Q144" s="19">
        <v>5.1833</v>
      </c>
      <c r="R144" s="19">
        <v>5.79</v>
      </c>
      <c r="S144" s="19">
        <v>4.9169</v>
      </c>
      <c r="T144" s="19">
        <v>5.79</v>
      </c>
      <c r="U144" s="19">
        <v>6.2106000000000003</v>
      </c>
      <c r="V144" s="19">
        <v>0.78</v>
      </c>
      <c r="W144" s="19">
        <v>4.3926999999999996</v>
      </c>
      <c r="X144" s="19">
        <v>0.78</v>
      </c>
      <c r="Y144" s="19">
        <v>4.3926999999999996</v>
      </c>
      <c r="Z144" s="4"/>
      <c r="AA144" s="4"/>
      <c r="AB144" s="4" t="e">
        <f ca="1">_xll.ciqfunctions.udf.CIQ("^SPX", "IQ_PRICEDATE", "7/18/2014")</f>
        <v>#NAME?</v>
      </c>
      <c r="AC144" s="16">
        <v>1978.2183536964001</v>
      </c>
    </row>
    <row r="145" spans="1:29" x14ac:dyDescent="0.35">
      <c r="A145" s="2" t="s">
        <v>155</v>
      </c>
      <c r="B145" s="4" t="s">
        <v>927</v>
      </c>
      <c r="C145" s="4" t="s">
        <v>530</v>
      </c>
      <c r="D145" s="4" t="s">
        <v>531</v>
      </c>
      <c r="E145" s="4" t="s">
        <v>532</v>
      </c>
      <c r="F145" s="4" t="s">
        <v>608</v>
      </c>
      <c r="G145" s="14">
        <v>37.07</v>
      </c>
      <c r="H145" s="10">
        <v>11.934528999999999</v>
      </c>
      <c r="I145" s="10" t="s">
        <v>534</v>
      </c>
      <c r="J145" s="10" t="s">
        <v>534</v>
      </c>
      <c r="K145" s="15">
        <v>9.4409999999999997E-3</v>
      </c>
      <c r="L145" s="17">
        <v>8242.3244790000008</v>
      </c>
      <c r="M145" s="4" t="s">
        <v>928</v>
      </c>
      <c r="N145" s="19">
        <v>-7.0338539999999998</v>
      </c>
      <c r="O145" s="19">
        <v>2.1023999999999998</v>
      </c>
      <c r="P145" s="19">
        <v>-6.76</v>
      </c>
      <c r="Q145" s="19">
        <v>2.8889999999999998</v>
      </c>
      <c r="R145" s="19">
        <v>1.94</v>
      </c>
      <c r="S145" s="19">
        <v>2.9278</v>
      </c>
      <c r="T145" s="19">
        <v>1.94</v>
      </c>
      <c r="U145" s="19">
        <v>2.7517999999999998</v>
      </c>
      <c r="V145" s="19">
        <v>2.2400000000000002</v>
      </c>
      <c r="W145" s="19">
        <v>2.6354000000000002</v>
      </c>
      <c r="X145" s="19">
        <v>2.2400000000000002</v>
      </c>
      <c r="Y145" s="19">
        <v>2.6354000000000002</v>
      </c>
      <c r="Z145" s="4"/>
      <c r="AA145" s="4"/>
      <c r="AB145" s="4" t="e">
        <f ca="1">_xll.ciqfunctions.udf.CIQ("^SPX", "IQ_PRICEDATE", "7/21/2014")</f>
        <v>#NAME?</v>
      </c>
      <c r="AC145" s="16">
        <v>1973.6278558585</v>
      </c>
    </row>
    <row r="146" spans="1:29" x14ac:dyDescent="0.35">
      <c r="A146" s="2" t="s">
        <v>156</v>
      </c>
      <c r="B146" s="4" t="s">
        <v>929</v>
      </c>
      <c r="C146" s="4" t="s">
        <v>669</v>
      </c>
      <c r="D146" s="4" t="s">
        <v>669</v>
      </c>
      <c r="E146" s="4" t="s">
        <v>670</v>
      </c>
      <c r="F146" s="4" t="s">
        <v>671</v>
      </c>
      <c r="G146" s="14">
        <v>36</v>
      </c>
      <c r="H146" s="10">
        <v>9.4382180000000009</v>
      </c>
      <c r="I146" s="10" t="s">
        <v>534</v>
      </c>
      <c r="J146" s="10">
        <v>2.5821830000000001</v>
      </c>
      <c r="K146" s="15">
        <v>8.8880000000000001E-3</v>
      </c>
      <c r="L146" s="17">
        <v>18316.8</v>
      </c>
      <c r="M146" s="4" t="s">
        <v>930</v>
      </c>
      <c r="N146" s="19">
        <v>-0.78151999999999999</v>
      </c>
      <c r="O146" s="19">
        <v>2.3226</v>
      </c>
      <c r="P146" s="19">
        <v>1.7</v>
      </c>
      <c r="Q146" s="19">
        <v>2.3673999999999999</v>
      </c>
      <c r="R146" s="19">
        <v>-2.09</v>
      </c>
      <c r="S146" s="19">
        <v>1.2303999999999999</v>
      </c>
      <c r="T146" s="19">
        <v>-2.09</v>
      </c>
      <c r="U146" s="19">
        <v>0.6623</v>
      </c>
      <c r="V146" s="19">
        <v>3.91</v>
      </c>
      <c r="W146" s="19">
        <v>4.4607999999999999</v>
      </c>
      <c r="X146" s="19">
        <v>3.91</v>
      </c>
      <c r="Y146" s="19">
        <v>4.4607999999999999</v>
      </c>
      <c r="Z146" s="4"/>
      <c r="AA146" s="4"/>
      <c r="AB146" s="4" t="e">
        <f ca="1">_xll.ciqfunctions.udf.CIQ("^SPX", "IQ_PRICEDATE", "7/22/2014")</f>
        <v>#NAME?</v>
      </c>
      <c r="AC146" s="16">
        <v>1983.5281525706</v>
      </c>
    </row>
    <row r="147" spans="1:29" x14ac:dyDescent="0.35">
      <c r="A147" s="2" t="s">
        <v>157</v>
      </c>
      <c r="B147" s="4" t="s">
        <v>931</v>
      </c>
      <c r="C147" s="4" t="s">
        <v>601</v>
      </c>
      <c r="D147" s="4" t="s">
        <v>601</v>
      </c>
      <c r="E147" s="4" t="s">
        <v>602</v>
      </c>
      <c r="F147" s="4" t="s">
        <v>647</v>
      </c>
      <c r="G147" s="14">
        <v>110.93</v>
      </c>
      <c r="H147" s="10">
        <v>21.229939000000002</v>
      </c>
      <c r="I147" s="10">
        <v>109.680627</v>
      </c>
      <c r="J147" s="10">
        <v>7.973274</v>
      </c>
      <c r="K147" s="15">
        <v>3.6419E-2</v>
      </c>
      <c r="L147" s="17">
        <v>22868.219499999999</v>
      </c>
      <c r="M147" s="4" t="s">
        <v>932</v>
      </c>
      <c r="N147" s="19">
        <v>1.0113909999999999</v>
      </c>
      <c r="O147" s="19">
        <v>1.3041</v>
      </c>
      <c r="P147" s="19">
        <v>0.98999899999999996</v>
      </c>
      <c r="Q147" s="19">
        <v>1.6814</v>
      </c>
      <c r="R147" s="19">
        <v>2.2000000000000002</v>
      </c>
      <c r="S147" s="19">
        <v>1.4057999999999999</v>
      </c>
      <c r="T147" s="19">
        <v>2.2000000000000002</v>
      </c>
      <c r="U147" s="19">
        <v>1.1819999999999999</v>
      </c>
      <c r="V147" s="19">
        <v>0.99</v>
      </c>
      <c r="W147" s="19">
        <v>1.0226</v>
      </c>
      <c r="X147" s="19">
        <v>0.99</v>
      </c>
      <c r="Y147" s="19">
        <v>1.0226</v>
      </c>
      <c r="Z147" s="4"/>
      <c r="AA147" s="4"/>
      <c r="AB147" s="4" t="e">
        <f ca="1">_xll.ciqfunctions.udf.CIQ("^SPX", "IQ_PRICEDATE", "7/23/2014")</f>
        <v>#NAME?</v>
      </c>
      <c r="AC147" s="16">
        <v>1987.0051750061</v>
      </c>
    </row>
    <row r="148" spans="1:29" x14ac:dyDescent="0.35">
      <c r="A148" s="2" t="s">
        <v>158</v>
      </c>
      <c r="B148" s="4" t="s">
        <v>933</v>
      </c>
      <c r="C148" s="4" t="s">
        <v>573</v>
      </c>
      <c r="D148" s="4" t="s">
        <v>574</v>
      </c>
      <c r="E148" s="4" t="s">
        <v>641</v>
      </c>
      <c r="F148" s="4" t="s">
        <v>641</v>
      </c>
      <c r="G148" s="14">
        <v>75.89</v>
      </c>
      <c r="H148" s="10">
        <v>0</v>
      </c>
      <c r="I148" s="10">
        <v>12.084429</v>
      </c>
      <c r="J148" s="10">
        <v>2.6338300000000001</v>
      </c>
      <c r="K148" s="15">
        <v>2.1082999999999998E-2</v>
      </c>
      <c r="L148" s="17">
        <v>26004.33611</v>
      </c>
      <c r="M148" s="4" t="s">
        <v>934</v>
      </c>
      <c r="N148" s="19">
        <v>6.2799820000000004</v>
      </c>
      <c r="O148" s="19">
        <v>8.2516999999999996</v>
      </c>
      <c r="P148" s="19">
        <v>5.42</v>
      </c>
      <c r="Q148" s="19">
        <v>6.4844999999999997</v>
      </c>
      <c r="R148" s="19">
        <v>5.77</v>
      </c>
      <c r="S148" s="19">
        <v>6.0126999999999997</v>
      </c>
      <c r="T148" s="19">
        <v>5.77</v>
      </c>
      <c r="U148" s="19">
        <v>5.5625</v>
      </c>
      <c r="V148" s="19">
        <v>4.9000000000000004</v>
      </c>
      <c r="W148" s="19">
        <v>5.3948</v>
      </c>
      <c r="X148" s="19">
        <v>4.9000000000000004</v>
      </c>
      <c r="Y148" s="19">
        <v>5.3948</v>
      </c>
      <c r="Z148" s="4"/>
      <c r="AA148" s="4"/>
      <c r="AB148" s="4" t="e">
        <f ca="1">_xll.ciqfunctions.udf.CIQ("^SPX", "IQ_PRICEDATE", "7/24/2014")</f>
        <v>#NAME?</v>
      </c>
      <c r="AC148" s="16">
        <v>1987.980474964</v>
      </c>
    </row>
    <row r="149" spans="1:29" x14ac:dyDescent="0.35">
      <c r="A149" s="2" t="s">
        <v>159</v>
      </c>
      <c r="B149" s="4" t="s">
        <v>935</v>
      </c>
      <c r="C149" s="4" t="s">
        <v>549</v>
      </c>
      <c r="D149" s="4" t="s">
        <v>550</v>
      </c>
      <c r="E149" s="4" t="s">
        <v>814</v>
      </c>
      <c r="F149" s="4" t="s">
        <v>815</v>
      </c>
      <c r="G149" s="14">
        <v>33.049999999999997</v>
      </c>
      <c r="H149" s="10">
        <v>15.319791</v>
      </c>
      <c r="I149" s="10" t="s">
        <v>534</v>
      </c>
      <c r="J149" s="10" t="s">
        <v>534</v>
      </c>
      <c r="K149" s="15">
        <v>0</v>
      </c>
      <c r="L149" s="17">
        <v>22389.863355000001</v>
      </c>
      <c r="M149" s="4" t="s">
        <v>936</v>
      </c>
      <c r="N149" s="19">
        <v>-1.2573890000000001</v>
      </c>
      <c r="O149" s="19">
        <v>3.1124000000000001</v>
      </c>
      <c r="P149" s="19">
        <v>-0.59177599999999997</v>
      </c>
      <c r="Q149" s="19">
        <v>2.2099000000000002</v>
      </c>
      <c r="R149" s="19">
        <v>1.601494</v>
      </c>
      <c r="S149" s="19">
        <v>2.2747000000000002</v>
      </c>
      <c r="T149" s="19">
        <v>1.601494</v>
      </c>
      <c r="U149" s="19">
        <v>2.0402999999999998</v>
      </c>
      <c r="V149" s="19">
        <v>1.472186</v>
      </c>
      <c r="W149" s="19">
        <v>1.9071</v>
      </c>
      <c r="X149" s="19">
        <v>1.472186</v>
      </c>
      <c r="Y149" s="19">
        <v>1.9071</v>
      </c>
      <c r="Z149" s="4"/>
      <c r="AA149" s="4"/>
      <c r="AB149" s="4" t="e">
        <f ca="1">_xll.ciqfunctions.udf.CIQ("^SPX", "IQ_PRICEDATE", "7/25/2014")</f>
        <v>#NAME?</v>
      </c>
      <c r="AC149" s="16">
        <v>1978.3388878225001</v>
      </c>
    </row>
    <row r="150" spans="1:29" x14ac:dyDescent="0.35">
      <c r="A150" s="2" t="s">
        <v>160</v>
      </c>
      <c r="B150" s="4" t="s">
        <v>935</v>
      </c>
      <c r="C150" s="4" t="s">
        <v>549</v>
      </c>
      <c r="D150" s="4" t="s">
        <v>550</v>
      </c>
      <c r="E150" s="4" t="s">
        <v>814</v>
      </c>
      <c r="F150" s="4" t="s">
        <v>815</v>
      </c>
      <c r="G150" s="14">
        <v>30.1</v>
      </c>
      <c r="H150" s="10">
        <v>15.319791</v>
      </c>
      <c r="I150" s="10">
        <v>0</v>
      </c>
      <c r="J150" s="10">
        <v>0</v>
      </c>
      <c r="K150" s="15">
        <v>0</v>
      </c>
      <c r="L150" s="17">
        <v>22389.863355000001</v>
      </c>
      <c r="M150" s="4" t="s">
        <v>936</v>
      </c>
      <c r="N150" s="19">
        <v>-1.2573890000000001</v>
      </c>
      <c r="O150" s="19">
        <v>3.1095999999999999</v>
      </c>
      <c r="P150" s="19">
        <v>-0.59177599999999997</v>
      </c>
      <c r="Q150" s="19">
        <v>2.2099000000000002</v>
      </c>
      <c r="R150" s="19">
        <v>1.601494</v>
      </c>
      <c r="S150" s="19">
        <v>2.2747000000000002</v>
      </c>
      <c r="T150" s="19">
        <v>1.601494</v>
      </c>
      <c r="U150" s="19">
        <v>2.0402999999999998</v>
      </c>
      <c r="V150" s="19">
        <v>1.472186</v>
      </c>
      <c r="W150" s="19">
        <v>1.905</v>
      </c>
      <c r="X150" s="19">
        <v>1.472186</v>
      </c>
      <c r="Y150" s="19">
        <v>1.905</v>
      </c>
      <c r="Z150" s="4"/>
      <c r="AA150" s="4"/>
      <c r="AB150" s="4" t="e">
        <f ca="1">_xll.ciqfunctions.udf.CIQ("^SPX", "IQ_PRICEDATE", "7/28/2014")</f>
        <v>#NAME?</v>
      </c>
      <c r="AC150" s="16">
        <v>1978.9113478934</v>
      </c>
    </row>
    <row r="151" spans="1:29" x14ac:dyDescent="0.35">
      <c r="A151" s="2" t="s">
        <v>161</v>
      </c>
      <c r="B151" s="4" t="s">
        <v>937</v>
      </c>
      <c r="C151" s="4" t="s">
        <v>549</v>
      </c>
      <c r="D151" s="4" t="s">
        <v>550</v>
      </c>
      <c r="E151" s="4" t="s">
        <v>814</v>
      </c>
      <c r="F151" s="4" t="s">
        <v>833</v>
      </c>
      <c r="G151" s="14">
        <v>34.44</v>
      </c>
      <c r="H151" s="10">
        <v>11.009216</v>
      </c>
      <c r="I151" s="10">
        <v>7.2768759999999997</v>
      </c>
      <c r="J151" s="10" t="s">
        <v>534</v>
      </c>
      <c r="K151" s="15">
        <v>0</v>
      </c>
      <c r="L151" s="17">
        <v>16101.261406</v>
      </c>
      <c r="M151" s="4" t="s">
        <v>938</v>
      </c>
      <c r="N151" s="19">
        <v>4.7328000000000001</v>
      </c>
      <c r="O151" s="19">
        <v>2.6312000000000002</v>
      </c>
      <c r="P151" s="19">
        <v>4.0733509999999997</v>
      </c>
      <c r="Q151" s="19">
        <v>2.1316999999999999</v>
      </c>
      <c r="R151" s="19">
        <v>3.150709</v>
      </c>
      <c r="S151" s="19">
        <v>2.7755000000000001</v>
      </c>
      <c r="T151" s="19">
        <v>3.150709</v>
      </c>
      <c r="U151" s="19">
        <v>1.4694</v>
      </c>
      <c r="V151" s="19">
        <v>2.04</v>
      </c>
      <c r="W151" s="19">
        <v>1.7709999999999999</v>
      </c>
      <c r="X151" s="19">
        <v>2.04</v>
      </c>
      <c r="Y151" s="19">
        <v>1.7709999999999999</v>
      </c>
      <c r="Z151" s="4"/>
      <c r="AA151" s="4"/>
      <c r="AB151" s="4" t="e">
        <f ca="1">_xll.ciqfunctions.udf.CIQ("^SPX", "IQ_PRICEDATE", "7/29/2014")</f>
        <v>#NAME?</v>
      </c>
      <c r="AC151" s="16">
        <v>1969.9523243767001</v>
      </c>
    </row>
    <row r="152" spans="1:29" x14ac:dyDescent="0.35">
      <c r="A152" s="2" t="s">
        <v>162</v>
      </c>
      <c r="B152" s="4" t="s">
        <v>939</v>
      </c>
      <c r="C152" s="4" t="s">
        <v>559</v>
      </c>
      <c r="D152" s="4" t="s">
        <v>560</v>
      </c>
      <c r="E152" s="4" t="s">
        <v>940</v>
      </c>
      <c r="F152" s="4" t="s">
        <v>941</v>
      </c>
      <c r="G152" s="14">
        <v>109.77</v>
      </c>
      <c r="H152" s="10">
        <v>12.601635</v>
      </c>
      <c r="I152" s="10">
        <v>17.066841</v>
      </c>
      <c r="J152" s="10">
        <v>34.698382000000002</v>
      </c>
      <c r="K152" s="15">
        <v>1.0567E-2</v>
      </c>
      <c r="L152" s="17">
        <v>29147.711198000001</v>
      </c>
      <c r="M152" s="4" t="s">
        <v>942</v>
      </c>
      <c r="N152" s="19">
        <v>6.4317700000000002</v>
      </c>
      <c r="O152" s="19">
        <v>6.4134000000000002</v>
      </c>
      <c r="P152" s="19">
        <v>4.5134610000000004</v>
      </c>
      <c r="Q152" s="19">
        <v>4.8853999999999997</v>
      </c>
      <c r="R152" s="19">
        <v>4.2629200000000003</v>
      </c>
      <c r="S152" s="19">
        <v>4.6322000000000001</v>
      </c>
      <c r="T152" s="19">
        <v>4.2629200000000003</v>
      </c>
      <c r="U152" s="19">
        <v>4.327</v>
      </c>
      <c r="V152" s="19">
        <v>3.3419159999999999</v>
      </c>
      <c r="W152" s="19">
        <v>3.8633999999999999</v>
      </c>
      <c r="X152" s="19">
        <v>3.3419159999999999</v>
      </c>
      <c r="Y152" s="19">
        <v>3.8633999999999999</v>
      </c>
      <c r="Z152" s="4"/>
      <c r="AA152" s="4"/>
      <c r="AB152" s="4" t="e">
        <f ca="1">_xll.ciqfunctions.udf.CIQ("^SPX", "IQ_PRICEDATE", "7/30/2014")</f>
        <v>#NAME?</v>
      </c>
      <c r="AC152" s="16">
        <v>1970.0681100864999</v>
      </c>
    </row>
    <row r="153" spans="1:29" x14ac:dyDescent="0.35">
      <c r="A153" s="2" t="s">
        <v>163</v>
      </c>
      <c r="B153" s="4" t="s">
        <v>943</v>
      </c>
      <c r="C153" s="4" t="s">
        <v>559</v>
      </c>
      <c r="D153" s="4" t="s">
        <v>560</v>
      </c>
      <c r="E153" s="4" t="s">
        <v>940</v>
      </c>
      <c r="F153" s="4" t="s">
        <v>941</v>
      </c>
      <c r="G153" s="14">
        <v>85.3</v>
      </c>
      <c r="H153" s="10">
        <v>9.3989650000000005</v>
      </c>
      <c r="I153" s="10">
        <v>11.86074</v>
      </c>
      <c r="J153" s="10" t="s">
        <v>534</v>
      </c>
      <c r="K153" s="15">
        <v>0</v>
      </c>
      <c r="L153" s="17">
        <v>20291.883676000001</v>
      </c>
      <c r="M153" s="4" t="s">
        <v>944</v>
      </c>
      <c r="N153" s="19">
        <v>7.1917939999999998</v>
      </c>
      <c r="O153" s="19">
        <v>5.7887000000000004</v>
      </c>
      <c r="P153" s="19">
        <v>4.1888069999999997</v>
      </c>
      <c r="Q153" s="19">
        <v>5.2915999999999999</v>
      </c>
      <c r="R153" s="19">
        <v>3.4005070000000002</v>
      </c>
      <c r="S153" s="19">
        <v>4.2846000000000002</v>
      </c>
      <c r="T153" s="19">
        <v>3.4005070000000002</v>
      </c>
      <c r="U153" s="19">
        <v>3.4607000000000001</v>
      </c>
      <c r="V153" s="19">
        <v>2.9125510000000001</v>
      </c>
      <c r="W153" s="19">
        <v>3.3856999999999999</v>
      </c>
      <c r="X153" s="19">
        <v>2.9125510000000001</v>
      </c>
      <c r="Y153" s="19">
        <v>3.3856999999999999</v>
      </c>
      <c r="Z153" s="4"/>
      <c r="AA153" s="4"/>
      <c r="AB153" s="4" t="e">
        <f ca="1">_xll.ciqfunctions.udf.CIQ("^SPX", "IQ_PRICEDATE", "7/31/2014")</f>
        <v>#NAME?</v>
      </c>
      <c r="AC153" s="16">
        <v>1930.6738707454999</v>
      </c>
    </row>
    <row r="154" spans="1:29" x14ac:dyDescent="0.35">
      <c r="A154" s="2" t="s">
        <v>164</v>
      </c>
      <c r="B154" s="4" t="s">
        <v>945</v>
      </c>
      <c r="C154" s="4" t="s">
        <v>619</v>
      </c>
      <c r="D154" s="4" t="s">
        <v>619</v>
      </c>
      <c r="E154" s="4" t="s">
        <v>634</v>
      </c>
      <c r="F154" s="4" t="s">
        <v>634</v>
      </c>
      <c r="G154" s="14">
        <v>72.3</v>
      </c>
      <c r="H154" s="10">
        <v>13.939857999999999</v>
      </c>
      <c r="I154" s="10">
        <v>16.009725</v>
      </c>
      <c r="J154" s="10">
        <v>4.0555960000000004</v>
      </c>
      <c r="K154" s="15">
        <v>4.6196000000000001E-2</v>
      </c>
      <c r="L154" s="17">
        <v>47267.258012999999</v>
      </c>
      <c r="M154" s="4" t="s">
        <v>946</v>
      </c>
      <c r="N154" s="19">
        <v>4.5160049999999998</v>
      </c>
      <c r="O154" s="19">
        <v>4.0656999999999996</v>
      </c>
      <c r="P154" s="19">
        <v>4.715408</v>
      </c>
      <c r="Q154" s="19">
        <v>4.0162000000000004</v>
      </c>
      <c r="R154" s="19">
        <v>3.44</v>
      </c>
      <c r="S154" s="19">
        <v>3.8892000000000002</v>
      </c>
      <c r="T154" s="19">
        <v>3.44</v>
      </c>
      <c r="U154" s="19">
        <v>3.76</v>
      </c>
      <c r="V154" s="19">
        <v>2.2400000000000002</v>
      </c>
      <c r="W154" s="19">
        <v>3.6734</v>
      </c>
      <c r="X154" s="19">
        <v>2.2400000000000002</v>
      </c>
      <c r="Y154" s="19">
        <v>3.6734</v>
      </c>
      <c r="Z154" s="4"/>
      <c r="AA154" s="4"/>
      <c r="AB154" s="4" t="e">
        <f ca="1">_xll.ciqfunctions.udf.CIQ("^SPX", "IQ_PRICEDATE", "8/1/2014")</f>
        <v>#NAME?</v>
      </c>
      <c r="AC154" s="16">
        <v>1925.1518001969</v>
      </c>
    </row>
    <row r="155" spans="1:29" x14ac:dyDescent="0.35">
      <c r="A155" s="2" t="s">
        <v>165</v>
      </c>
      <c r="B155" s="4" t="s">
        <v>947</v>
      </c>
      <c r="C155" s="4" t="s">
        <v>525</v>
      </c>
      <c r="D155" s="4" t="s">
        <v>526</v>
      </c>
      <c r="E155" s="4" t="s">
        <v>803</v>
      </c>
      <c r="F155" s="4" t="s">
        <v>948</v>
      </c>
      <c r="G155" s="14">
        <v>82.23</v>
      </c>
      <c r="H155" s="10">
        <v>10.735773999999999</v>
      </c>
      <c r="I155" s="10">
        <v>16.318162999999998</v>
      </c>
      <c r="J155" s="10" t="s">
        <v>534</v>
      </c>
      <c r="K155" s="15">
        <v>2.3349000000000002E-2</v>
      </c>
      <c r="L155" s="17">
        <v>12145.668755000001</v>
      </c>
      <c r="M155" s="4" t="s">
        <v>949</v>
      </c>
      <c r="N155" s="19">
        <v>5.0391700000000004</v>
      </c>
      <c r="O155" s="19">
        <v>5.2138999999999998</v>
      </c>
      <c r="P155" s="19">
        <v>5.15</v>
      </c>
      <c r="Q155" s="19">
        <v>4.3601000000000001</v>
      </c>
      <c r="R155" s="19">
        <v>3.25</v>
      </c>
      <c r="S155" s="19">
        <v>3.4489000000000001</v>
      </c>
      <c r="T155" s="19">
        <v>3.25</v>
      </c>
      <c r="U155" s="19">
        <v>3.7324999999999999</v>
      </c>
      <c r="V155" s="19">
        <v>4.6100000000000003</v>
      </c>
      <c r="W155" s="19">
        <v>4.9080000000000004</v>
      </c>
      <c r="X155" s="19">
        <v>4.6100000000000003</v>
      </c>
      <c r="Y155" s="19">
        <v>4.9080000000000004</v>
      </c>
      <c r="Z155" s="4"/>
      <c r="AA155" s="4"/>
      <c r="AB155" s="4" t="e">
        <f ca="1">_xll.ciqfunctions.udf.CIQ("^SPX", "IQ_PRICEDATE", "8/4/2014")</f>
        <v>#NAME?</v>
      </c>
      <c r="AC155" s="16">
        <v>1938.9861642804001</v>
      </c>
    </row>
    <row r="156" spans="1:29" x14ac:dyDescent="0.35">
      <c r="A156" s="2" t="s">
        <v>166</v>
      </c>
      <c r="B156" s="4" t="s">
        <v>950</v>
      </c>
      <c r="C156" s="4" t="s">
        <v>586</v>
      </c>
      <c r="D156" s="4" t="s">
        <v>586</v>
      </c>
      <c r="E156" s="4" t="s">
        <v>587</v>
      </c>
      <c r="F156" s="4" t="s">
        <v>951</v>
      </c>
      <c r="G156" s="14">
        <v>59.57</v>
      </c>
      <c r="H156" s="10">
        <v>9.7027640000000002</v>
      </c>
      <c r="I156" s="10">
        <v>58.49877</v>
      </c>
      <c r="J156" s="10">
        <v>20.342451000000001</v>
      </c>
      <c r="K156" s="15">
        <v>2.5516E-2</v>
      </c>
      <c r="L156" s="17">
        <v>137450.44044400001</v>
      </c>
      <c r="M156" s="4" t="s">
        <v>952</v>
      </c>
      <c r="N156" s="19">
        <v>1.0183120000000001</v>
      </c>
      <c r="O156" s="19">
        <v>4.4066999999999998</v>
      </c>
      <c r="P156" s="19">
        <v>0.95</v>
      </c>
      <c r="Q156" s="19">
        <v>3.8010999999999999</v>
      </c>
      <c r="R156" s="19">
        <v>3.52</v>
      </c>
      <c r="S156" s="19">
        <v>0</v>
      </c>
      <c r="T156" s="19">
        <v>3.52</v>
      </c>
      <c r="U156" s="19">
        <v>0</v>
      </c>
      <c r="V156" s="19">
        <v>2.87</v>
      </c>
      <c r="W156" s="19">
        <v>0</v>
      </c>
      <c r="X156" s="19">
        <v>2.87</v>
      </c>
      <c r="Y156" s="19">
        <v>0</v>
      </c>
      <c r="Z156" s="4"/>
      <c r="AA156" s="4"/>
      <c r="AB156" s="4" t="e">
        <f ca="1">_xll.ciqfunctions.udf.CIQ("^SPX", "IQ_PRICEDATE", "8/5/2014")</f>
        <v>#NAME?</v>
      </c>
      <c r="AC156" s="16">
        <v>1920.2111643633</v>
      </c>
    </row>
    <row r="157" spans="1:29" x14ac:dyDescent="0.35">
      <c r="A157" s="2" t="s">
        <v>167</v>
      </c>
      <c r="B157" s="4" t="s">
        <v>953</v>
      </c>
      <c r="C157" s="4" t="s">
        <v>619</v>
      </c>
      <c r="D157" s="4" t="s">
        <v>619</v>
      </c>
      <c r="E157" s="4" t="s">
        <v>634</v>
      </c>
      <c r="F157" s="4" t="s">
        <v>634</v>
      </c>
      <c r="G157" s="14">
        <v>111.29</v>
      </c>
      <c r="H157" s="10">
        <v>12.954603000000001</v>
      </c>
      <c r="I157" s="10">
        <v>17.387701</v>
      </c>
      <c r="J157" s="10">
        <v>3.024289</v>
      </c>
      <c r="K157" s="15">
        <v>3.1718000000000003E-2</v>
      </c>
      <c r="L157" s="17">
        <v>20229.46976</v>
      </c>
      <c r="M157" s="4" t="s">
        <v>954</v>
      </c>
      <c r="N157" s="19">
        <v>6.4005010000000002</v>
      </c>
      <c r="O157" s="19">
        <v>5.9055999999999997</v>
      </c>
      <c r="P157" s="19">
        <v>6.32</v>
      </c>
      <c r="Q157" s="19">
        <v>5.4972000000000003</v>
      </c>
      <c r="R157" s="19">
        <v>4.83</v>
      </c>
      <c r="S157" s="19">
        <v>5.1742999999999997</v>
      </c>
      <c r="T157" s="19">
        <v>4.83</v>
      </c>
      <c r="U157" s="19">
        <v>5.2446000000000002</v>
      </c>
      <c r="V157" s="19">
        <v>5.0999999999999996</v>
      </c>
      <c r="W157" s="19">
        <v>4.8289999999999997</v>
      </c>
      <c r="X157" s="19">
        <v>5.0999999999999996</v>
      </c>
      <c r="Y157" s="19">
        <v>4.8289999999999997</v>
      </c>
      <c r="Z157" s="4"/>
      <c r="AA157" s="4"/>
      <c r="AB157" s="4" t="e">
        <f ca="1">_xll.ciqfunctions.udf.CIQ("^SPX", "IQ_PRICEDATE", "8/6/2014")</f>
        <v>#NAME?</v>
      </c>
      <c r="AC157" s="16">
        <v>1920.2360031712999</v>
      </c>
    </row>
    <row r="158" spans="1:29" x14ac:dyDescent="0.35">
      <c r="A158" s="2" t="s">
        <v>168</v>
      </c>
      <c r="B158" s="4" t="s">
        <v>955</v>
      </c>
      <c r="C158" s="4" t="s">
        <v>619</v>
      </c>
      <c r="D158" s="4" t="s">
        <v>619</v>
      </c>
      <c r="E158" s="4" t="s">
        <v>620</v>
      </c>
      <c r="F158" s="4" t="s">
        <v>620</v>
      </c>
      <c r="G158" s="14">
        <v>80.77</v>
      </c>
      <c r="H158" s="10">
        <v>10.986605000000001</v>
      </c>
      <c r="I158" s="10">
        <v>20.366824000000001</v>
      </c>
      <c r="J158" s="10">
        <v>2.4883489999999999</v>
      </c>
      <c r="K158" s="15">
        <v>4.5932000000000001E-2</v>
      </c>
      <c r="L158" s="17">
        <v>57536.891057000001</v>
      </c>
      <c r="M158" s="4" t="s">
        <v>956</v>
      </c>
      <c r="N158" s="19">
        <v>3.9657629999999999</v>
      </c>
      <c r="O158" s="19">
        <v>4.8086000000000002</v>
      </c>
      <c r="P158" s="19">
        <v>4.37</v>
      </c>
      <c r="Q158" s="19">
        <v>4.6947999999999999</v>
      </c>
      <c r="R158" s="19">
        <v>3.71</v>
      </c>
      <c r="S158" s="19">
        <v>4.6501000000000001</v>
      </c>
      <c r="T158" s="19">
        <v>3.71</v>
      </c>
      <c r="U158" s="19">
        <v>4.5971000000000002</v>
      </c>
      <c r="V158" s="19">
        <v>3.577086</v>
      </c>
      <c r="W158" s="19">
        <v>4.6863999999999999</v>
      </c>
      <c r="X158" s="19">
        <v>3.577086</v>
      </c>
      <c r="Y158" s="19">
        <v>4.6863999999999999</v>
      </c>
      <c r="Z158" s="4"/>
      <c r="AA158" s="4"/>
      <c r="AB158" s="4" t="e">
        <f ca="1">_xll.ciqfunctions.udf.CIQ("^SPX", "IQ_PRICEDATE", "8/7/2014")</f>
        <v>#NAME?</v>
      </c>
      <c r="AC158" s="16">
        <v>1909.5707789905</v>
      </c>
    </row>
    <row r="159" spans="1:29" x14ac:dyDescent="0.35">
      <c r="A159" s="2" t="s">
        <v>169</v>
      </c>
      <c r="B159" s="4" t="s">
        <v>957</v>
      </c>
      <c r="C159" s="4" t="s">
        <v>601</v>
      </c>
      <c r="D159" s="4" t="s">
        <v>601</v>
      </c>
      <c r="E159" s="4" t="s">
        <v>602</v>
      </c>
      <c r="F159" s="4" t="s">
        <v>958</v>
      </c>
      <c r="G159" s="14">
        <v>27.43</v>
      </c>
      <c r="H159" s="10">
        <v>27.522023999999998</v>
      </c>
      <c r="I159" s="10">
        <v>27.700271000000001</v>
      </c>
      <c r="J159" s="10">
        <v>2.1021519999999998</v>
      </c>
      <c r="K159" s="15">
        <v>2.9165E-2</v>
      </c>
      <c r="L159" s="17">
        <v>9799.9187330000004</v>
      </c>
      <c r="M159" s="4" t="s">
        <v>959</v>
      </c>
      <c r="N159" s="19">
        <v>0.99024299999999998</v>
      </c>
      <c r="O159" s="19">
        <v>0.43330000000000002</v>
      </c>
      <c r="P159" s="19">
        <v>0.74966100000000002</v>
      </c>
      <c r="Q159" s="19">
        <v>0.39989999999999998</v>
      </c>
      <c r="R159" s="19">
        <v>0.83560599999999996</v>
      </c>
      <c r="S159" s="19">
        <v>0.30209999999999998</v>
      </c>
      <c r="T159" s="19">
        <v>0.83560599999999996</v>
      </c>
      <c r="U159" s="19">
        <v>0.19550000000000001</v>
      </c>
      <c r="V159" s="19">
        <v>0.51057600000000003</v>
      </c>
      <c r="W159" s="19">
        <v>5.9799999999999999E-2</v>
      </c>
      <c r="X159" s="19">
        <v>0.51057600000000003</v>
      </c>
      <c r="Y159" s="19">
        <v>5.9799999999999999E-2</v>
      </c>
      <c r="Z159" s="4"/>
      <c r="AA159" s="4"/>
      <c r="AB159" s="4" t="e">
        <f ca="1">_xll.ciqfunctions.udf.CIQ("^SPX", "IQ_PRICEDATE", "8/8/2014")</f>
        <v>#NAME?</v>
      </c>
      <c r="AC159" s="16">
        <v>1931.5931512780001</v>
      </c>
    </row>
    <row r="160" spans="1:29" x14ac:dyDescent="0.35">
      <c r="A160" s="2" t="s">
        <v>170</v>
      </c>
      <c r="B160" s="4" t="s">
        <v>960</v>
      </c>
      <c r="C160" s="4" t="s">
        <v>543</v>
      </c>
      <c r="D160" s="4" t="s">
        <v>544</v>
      </c>
      <c r="E160" s="4" t="s">
        <v>545</v>
      </c>
      <c r="F160" s="4" t="s">
        <v>546</v>
      </c>
      <c r="G160" s="14">
        <v>89.47</v>
      </c>
      <c r="H160" s="10">
        <v>5.5289520000000003</v>
      </c>
      <c r="I160" s="10">
        <v>13.785764</v>
      </c>
      <c r="J160" s="10" t="s">
        <v>534</v>
      </c>
      <c r="K160" s="15">
        <v>8.4939999999999998E-3</v>
      </c>
      <c r="L160" s="17">
        <v>25155.450513</v>
      </c>
      <c r="M160" s="4" t="s">
        <v>961</v>
      </c>
      <c r="N160" s="19">
        <v>6.4900279999999997</v>
      </c>
      <c r="O160" s="19">
        <v>8.3515999999999995</v>
      </c>
      <c r="P160" s="19">
        <v>3.9199169999999999</v>
      </c>
      <c r="Q160" s="19">
        <v>8.0617000000000001</v>
      </c>
      <c r="R160" s="19">
        <v>-0.59858800000000001</v>
      </c>
      <c r="S160" s="19">
        <v>0</v>
      </c>
      <c r="T160" s="19">
        <v>-0.59858800000000001</v>
      </c>
      <c r="U160" s="19">
        <v>0</v>
      </c>
      <c r="V160" s="19">
        <v>4.3897409999999999</v>
      </c>
      <c r="W160" s="19">
        <v>0</v>
      </c>
      <c r="X160" s="19">
        <v>4.3897409999999999</v>
      </c>
      <c r="Y160" s="19">
        <v>0</v>
      </c>
      <c r="Z160" s="4"/>
      <c r="AA160" s="4"/>
      <c r="AB160" s="4" t="e">
        <f ca="1">_xll.ciqfunctions.udf.CIQ("^SPX", "IQ_PRICEDATE", "8/11/2014")</f>
        <v>#NAME?</v>
      </c>
      <c r="AC160" s="16">
        <v>1936.9155999371001</v>
      </c>
    </row>
    <row r="161" spans="1:29" x14ac:dyDescent="0.35">
      <c r="A161" s="2" t="s">
        <v>171</v>
      </c>
      <c r="B161" s="4" t="s">
        <v>962</v>
      </c>
      <c r="C161" s="4" t="s">
        <v>573</v>
      </c>
      <c r="D161" s="4" t="s">
        <v>574</v>
      </c>
      <c r="E161" s="4" t="s">
        <v>575</v>
      </c>
      <c r="F161" s="4" t="s">
        <v>963</v>
      </c>
      <c r="G161" s="14">
        <v>50.57</v>
      </c>
      <c r="H161" s="10">
        <v>0</v>
      </c>
      <c r="I161" s="10">
        <v>18.130347</v>
      </c>
      <c r="J161" s="10">
        <v>4.0110700000000001</v>
      </c>
      <c r="K161" s="15">
        <v>0</v>
      </c>
      <c r="L161" s="17">
        <v>13128.831690000001</v>
      </c>
      <c r="M161" s="4" t="s">
        <v>964</v>
      </c>
      <c r="N161" s="19">
        <v>2.7892459999999999</v>
      </c>
      <c r="O161" s="19">
        <v>3.7160000000000002</v>
      </c>
      <c r="P161" s="19">
        <v>2.15</v>
      </c>
      <c r="Q161" s="19">
        <v>2.4701</v>
      </c>
      <c r="R161" s="19">
        <v>1.98</v>
      </c>
      <c r="S161" s="19">
        <v>1.7403</v>
      </c>
      <c r="T161" s="19">
        <v>1.98</v>
      </c>
      <c r="U161" s="19">
        <v>1.4527000000000001</v>
      </c>
      <c r="V161" s="19">
        <v>1</v>
      </c>
      <c r="W161" s="19">
        <v>1.0808</v>
      </c>
      <c r="X161" s="19">
        <v>1</v>
      </c>
      <c r="Y161" s="19">
        <v>1.0808</v>
      </c>
      <c r="Z161" s="4"/>
      <c r="AA161" s="4"/>
      <c r="AB161" s="4" t="e">
        <f ca="1">_xll.ciqfunctions.udf.CIQ("^SPX", "IQ_PRICEDATE", "8/12/2014")</f>
        <v>#NAME?</v>
      </c>
      <c r="AC161" s="16">
        <v>1933.7466377295</v>
      </c>
    </row>
    <row r="162" spans="1:29" x14ac:dyDescent="0.35">
      <c r="A162" s="2" t="s">
        <v>172</v>
      </c>
      <c r="B162" s="4" t="s">
        <v>965</v>
      </c>
      <c r="C162" s="4" t="s">
        <v>586</v>
      </c>
      <c r="D162" s="4" t="s">
        <v>586</v>
      </c>
      <c r="E162" s="4" t="s">
        <v>587</v>
      </c>
      <c r="F162" s="4" t="s">
        <v>951</v>
      </c>
      <c r="G162" s="14">
        <v>83.33</v>
      </c>
      <c r="H162" s="10">
        <v>7.8055570000000003</v>
      </c>
      <c r="I162" s="10">
        <v>8.3477999999999994</v>
      </c>
      <c r="J162" s="10" t="s">
        <v>534</v>
      </c>
      <c r="K162" s="15">
        <v>2.6880999999999999E-2</v>
      </c>
      <c r="L162" s="17">
        <v>11772.866233000001</v>
      </c>
      <c r="M162" s="4" t="s">
        <v>966</v>
      </c>
      <c r="N162" s="19">
        <v>9.9822699999999998</v>
      </c>
      <c r="O162" s="19">
        <v>8.8890999999999991</v>
      </c>
      <c r="P162" s="19">
        <v>9.4700000000000006</v>
      </c>
      <c r="Q162" s="19">
        <v>7.6932999999999998</v>
      </c>
      <c r="R162" s="19">
        <v>5.75</v>
      </c>
      <c r="S162" s="19">
        <v>7.2042999999999999</v>
      </c>
      <c r="T162" s="19">
        <v>5.75</v>
      </c>
      <c r="U162" s="19">
        <v>7.4515000000000002</v>
      </c>
      <c r="V162" s="19">
        <v>4.95</v>
      </c>
      <c r="W162" s="19">
        <v>7.5366</v>
      </c>
      <c r="X162" s="19">
        <v>4.95</v>
      </c>
      <c r="Y162" s="19">
        <v>7.5366</v>
      </c>
      <c r="Z162" s="4"/>
      <c r="AA162" s="4"/>
      <c r="AB162" s="4" t="e">
        <f ca="1">_xll.ciqfunctions.udf.CIQ("^SPX", "IQ_PRICEDATE", "8/13/2014")</f>
        <v>#NAME?</v>
      </c>
      <c r="AC162" s="16">
        <v>1946.7220009985001</v>
      </c>
    </row>
    <row r="163" spans="1:29" x14ac:dyDescent="0.35">
      <c r="A163" s="2" t="s">
        <v>173</v>
      </c>
      <c r="B163" s="4" t="s">
        <v>967</v>
      </c>
      <c r="C163" s="4" t="s">
        <v>525</v>
      </c>
      <c r="D163" s="4" t="s">
        <v>526</v>
      </c>
      <c r="E163" s="4" t="s">
        <v>658</v>
      </c>
      <c r="F163" s="4" t="s">
        <v>659</v>
      </c>
      <c r="G163" s="14">
        <v>79.81</v>
      </c>
      <c r="H163" s="10">
        <v>11.446998000000001</v>
      </c>
      <c r="I163" s="10">
        <v>11.246233</v>
      </c>
      <c r="J163" s="10" t="s">
        <v>534</v>
      </c>
      <c r="K163" s="15">
        <v>3.3077999999999996E-2</v>
      </c>
      <c r="L163" s="17">
        <v>34581.673000000003</v>
      </c>
      <c r="M163" s="4" t="s">
        <v>968</v>
      </c>
      <c r="N163" s="19">
        <v>7.0965980000000002</v>
      </c>
      <c r="O163" s="19">
        <v>5.6635999999999997</v>
      </c>
      <c r="P163" s="19">
        <v>6.68</v>
      </c>
      <c r="Q163" s="19">
        <v>4.9957000000000003</v>
      </c>
      <c r="R163" s="19">
        <v>4.2</v>
      </c>
      <c r="S163" s="19">
        <v>4.2914000000000003</v>
      </c>
      <c r="T163" s="19">
        <v>4.2</v>
      </c>
      <c r="U163" s="19">
        <v>4.2538</v>
      </c>
      <c r="V163" s="19">
        <v>3.76</v>
      </c>
      <c r="W163" s="19">
        <v>4.9215</v>
      </c>
      <c r="X163" s="19">
        <v>3.76</v>
      </c>
      <c r="Y163" s="19">
        <v>4.9215</v>
      </c>
      <c r="Z163" s="4"/>
      <c r="AA163" s="4"/>
      <c r="AB163" s="4" t="e">
        <f ca="1">_xll.ciqfunctions.udf.CIQ("^SPX", "IQ_PRICEDATE", "8/14/2014")</f>
        <v>#NAME?</v>
      </c>
      <c r="AC163" s="16">
        <v>1955.1824066605</v>
      </c>
    </row>
    <row r="164" spans="1:29" x14ac:dyDescent="0.35">
      <c r="A164" s="2" t="s">
        <v>174</v>
      </c>
      <c r="B164" s="4" t="s">
        <v>969</v>
      </c>
      <c r="C164" s="4" t="s">
        <v>559</v>
      </c>
      <c r="D164" s="4" t="s">
        <v>560</v>
      </c>
      <c r="E164" s="4" t="s">
        <v>631</v>
      </c>
      <c r="F164" s="4" t="s">
        <v>631</v>
      </c>
      <c r="G164" s="14">
        <v>32.020000000000003</v>
      </c>
      <c r="H164" s="10">
        <v>12.302358</v>
      </c>
      <c r="I164" s="10" t="s">
        <v>534</v>
      </c>
      <c r="J164" s="10">
        <v>17.361722</v>
      </c>
      <c r="K164" s="15">
        <v>0</v>
      </c>
      <c r="L164" s="17">
        <v>31685.378543999999</v>
      </c>
      <c r="M164" s="4" t="s">
        <v>970</v>
      </c>
      <c r="N164" s="19">
        <v>-1.0063439999999999</v>
      </c>
      <c r="O164" s="19">
        <v>2.4251</v>
      </c>
      <c r="P164" s="19">
        <v>-0.95112699999999994</v>
      </c>
      <c r="Q164" s="19">
        <v>2.1625000000000001</v>
      </c>
      <c r="R164" s="19">
        <v>6.37</v>
      </c>
      <c r="S164" s="19">
        <v>2.0257999999999998</v>
      </c>
      <c r="T164" s="19">
        <v>6.37</v>
      </c>
      <c r="U164" s="19">
        <v>1.9221999999999999</v>
      </c>
      <c r="V164" s="19">
        <v>-0.69144600000000001</v>
      </c>
      <c r="W164" s="19">
        <v>3.1837</v>
      </c>
      <c r="X164" s="19">
        <v>-0.69144600000000001</v>
      </c>
      <c r="Y164" s="19">
        <v>3.1837</v>
      </c>
      <c r="Z164" s="4"/>
      <c r="AA164" s="4"/>
      <c r="AB164" s="4" t="e">
        <f ca="1">_xll.ciqfunctions.udf.CIQ("^SPX", "IQ_PRICEDATE", "8/15/2014")</f>
        <v>#NAME?</v>
      </c>
      <c r="AC164" s="16">
        <v>1955.0626293536</v>
      </c>
    </row>
    <row r="165" spans="1:29" x14ac:dyDescent="0.35">
      <c r="A165" s="2" t="s">
        <v>175</v>
      </c>
      <c r="B165" s="4" t="s">
        <v>971</v>
      </c>
      <c r="C165" s="4" t="s">
        <v>586</v>
      </c>
      <c r="D165" s="4" t="s">
        <v>586</v>
      </c>
      <c r="E165" s="4" t="s">
        <v>587</v>
      </c>
      <c r="F165" s="4" t="s">
        <v>598</v>
      </c>
      <c r="G165" s="14">
        <v>148.52000000000001</v>
      </c>
      <c r="H165" s="10">
        <v>16.581890000000001</v>
      </c>
      <c r="I165" s="10">
        <v>27.950265999999999</v>
      </c>
      <c r="J165" s="10" t="s">
        <v>534</v>
      </c>
      <c r="K165" s="15">
        <v>1.1042000000000001E-2</v>
      </c>
      <c r="L165" s="17">
        <v>42907.971879999997</v>
      </c>
      <c r="M165" s="4" t="s">
        <v>972</v>
      </c>
      <c r="N165" s="19">
        <v>5.3137239999999997</v>
      </c>
      <c r="O165" s="19">
        <v>5.7054</v>
      </c>
      <c r="P165" s="19">
        <v>5.13</v>
      </c>
      <c r="Q165" s="19">
        <v>5.1037999999999997</v>
      </c>
      <c r="R165" s="19">
        <v>4.1399999999999997</v>
      </c>
      <c r="S165" s="19">
        <v>4.7667999999999999</v>
      </c>
      <c r="T165" s="19">
        <v>4.1399999999999997</v>
      </c>
      <c r="U165" s="19">
        <v>4.7922000000000002</v>
      </c>
      <c r="V165" s="19">
        <v>3.93</v>
      </c>
      <c r="W165" s="19">
        <v>4.6219000000000001</v>
      </c>
      <c r="X165" s="19">
        <v>3.93</v>
      </c>
      <c r="Y165" s="19">
        <v>4.6219000000000001</v>
      </c>
      <c r="Z165" s="4"/>
      <c r="AA165" s="4"/>
      <c r="AB165" s="4" t="e">
        <f ca="1">_xll.ciqfunctions.udf.CIQ("^SPX", "IQ_PRICEDATE", "8/18/2014")</f>
        <v>#NAME?</v>
      </c>
      <c r="AC165" s="16">
        <v>1971.7400377105</v>
      </c>
    </row>
    <row r="166" spans="1:29" x14ac:dyDescent="0.35">
      <c r="A166" s="2" t="s">
        <v>176</v>
      </c>
      <c r="B166" s="4" t="s">
        <v>973</v>
      </c>
      <c r="C166" s="4" t="s">
        <v>619</v>
      </c>
      <c r="D166" s="4" t="s">
        <v>619</v>
      </c>
      <c r="E166" s="4" t="s">
        <v>620</v>
      </c>
      <c r="F166" s="4" t="s">
        <v>620</v>
      </c>
      <c r="G166" s="14">
        <v>69.58</v>
      </c>
      <c r="H166" s="10">
        <v>9.8519109999999994</v>
      </c>
      <c r="I166" s="10">
        <v>54.643993000000002</v>
      </c>
      <c r="J166" s="10">
        <v>1.924606</v>
      </c>
      <c r="K166" s="15">
        <v>3.4780000000000005E-2</v>
      </c>
      <c r="L166" s="17">
        <v>22669.943713000001</v>
      </c>
      <c r="M166" s="4" t="s">
        <v>974</v>
      </c>
      <c r="N166" s="19">
        <v>1.273333</v>
      </c>
      <c r="O166" s="19">
        <v>4.3735999999999997</v>
      </c>
      <c r="P166" s="19">
        <v>1.72</v>
      </c>
      <c r="Q166" s="19">
        <v>4.4199000000000002</v>
      </c>
      <c r="R166" s="19">
        <v>3.9393929999999999</v>
      </c>
      <c r="S166" s="19">
        <v>4.1204000000000001</v>
      </c>
      <c r="T166" s="19">
        <v>3.9393929999999999</v>
      </c>
      <c r="U166" s="19">
        <v>3.6566000000000001</v>
      </c>
      <c r="V166" s="19">
        <v>4.3373860000000004</v>
      </c>
      <c r="W166" s="19">
        <v>3.7683</v>
      </c>
      <c r="X166" s="19">
        <v>4.3373860000000004</v>
      </c>
      <c r="Y166" s="19">
        <v>3.7683</v>
      </c>
      <c r="Z166" s="4"/>
      <c r="AA166" s="4"/>
      <c r="AB166" s="4" t="e">
        <f ca="1">_xll.ciqfunctions.udf.CIQ("^SPX", "IQ_PRICEDATE", "8/19/2014")</f>
        <v>#NAME?</v>
      </c>
      <c r="AC166" s="16">
        <v>1981.6009829652</v>
      </c>
    </row>
    <row r="167" spans="1:29" x14ac:dyDescent="0.35">
      <c r="A167" s="2" t="s">
        <v>177</v>
      </c>
      <c r="B167" s="4" t="s">
        <v>975</v>
      </c>
      <c r="C167" s="4" t="s">
        <v>530</v>
      </c>
      <c r="D167" s="4" t="s">
        <v>531</v>
      </c>
      <c r="E167" s="4" t="s">
        <v>532</v>
      </c>
      <c r="F167" s="4" t="s">
        <v>533</v>
      </c>
      <c r="G167" s="14">
        <v>148.63</v>
      </c>
      <c r="H167" s="10">
        <v>28.791409999999999</v>
      </c>
      <c r="I167" s="10">
        <v>48.815831000000003</v>
      </c>
      <c r="J167" s="10">
        <v>19.684348</v>
      </c>
      <c r="K167" s="15">
        <v>0</v>
      </c>
      <c r="L167" s="17">
        <v>31121.037909999999</v>
      </c>
      <c r="M167" s="4" t="s">
        <v>976</v>
      </c>
      <c r="N167" s="19">
        <v>3.0447090000000001</v>
      </c>
      <c r="O167" s="19">
        <v>4.8441000000000001</v>
      </c>
      <c r="P167" s="19">
        <v>2.7</v>
      </c>
      <c r="Q167" s="19">
        <v>4.0354000000000001</v>
      </c>
      <c r="R167" s="19">
        <v>2.61</v>
      </c>
      <c r="S167" s="19">
        <v>3.2158000000000002</v>
      </c>
      <c r="T167" s="19">
        <v>2.61</v>
      </c>
      <c r="U167" s="19">
        <v>2.3344</v>
      </c>
      <c r="V167" s="19">
        <v>3.74</v>
      </c>
      <c r="W167" s="19">
        <v>1.9337</v>
      </c>
      <c r="X167" s="19">
        <v>3.74</v>
      </c>
      <c r="Y167" s="19">
        <v>1.9337</v>
      </c>
      <c r="Z167" s="4"/>
      <c r="AA167" s="4"/>
      <c r="AB167" s="4" t="e">
        <f ca="1">_xll.ciqfunctions.udf.CIQ("^SPX", "IQ_PRICEDATE", "8/20/2014")</f>
        <v>#NAME?</v>
      </c>
      <c r="AC167" s="16">
        <v>1986.5059612120999</v>
      </c>
    </row>
    <row r="168" spans="1:29" x14ac:dyDescent="0.35">
      <c r="A168" s="2" t="s">
        <v>178</v>
      </c>
      <c r="B168" s="4" t="s">
        <v>977</v>
      </c>
      <c r="C168" s="4" t="s">
        <v>549</v>
      </c>
      <c r="D168" s="4" t="s">
        <v>550</v>
      </c>
      <c r="E168" s="4" t="s">
        <v>551</v>
      </c>
      <c r="F168" s="4" t="s">
        <v>552</v>
      </c>
      <c r="G168" s="14">
        <v>108.79</v>
      </c>
      <c r="H168" s="10">
        <v>25.780193000000001</v>
      </c>
      <c r="I168" s="10">
        <v>48.946077000000002</v>
      </c>
      <c r="J168" s="10">
        <v>10.156397</v>
      </c>
      <c r="K168" s="15">
        <v>0</v>
      </c>
      <c r="L168" s="17">
        <v>33161.178505000003</v>
      </c>
      <c r="M168" s="4" t="s">
        <v>978</v>
      </c>
      <c r="N168" s="19">
        <v>2.2226499999999998</v>
      </c>
      <c r="O168" s="19">
        <v>4.9043000000000001</v>
      </c>
      <c r="P168" s="19">
        <v>3.2063999999999999</v>
      </c>
      <c r="Q168" s="19">
        <v>4.4755000000000003</v>
      </c>
      <c r="R168" s="19">
        <v>4.1187959999999997</v>
      </c>
      <c r="S168" s="19">
        <v>4.0602999999999998</v>
      </c>
      <c r="T168" s="19">
        <v>4.1187959999999997</v>
      </c>
      <c r="U168" s="19">
        <v>3.3176999999999999</v>
      </c>
      <c r="V168" s="19">
        <v>2.5926659999999999</v>
      </c>
      <c r="W168" s="19">
        <v>2.0335999999999999</v>
      </c>
      <c r="X168" s="19">
        <v>2.5926659999999999</v>
      </c>
      <c r="Y168" s="19">
        <v>2.0335999999999999</v>
      </c>
      <c r="Z168" s="4"/>
      <c r="AA168" s="4"/>
      <c r="AB168" s="4" t="e">
        <f ca="1">_xll.ciqfunctions.udf.CIQ("^SPX", "IQ_PRICEDATE", "8/21/2014")</f>
        <v>#NAME?</v>
      </c>
      <c r="AC168" s="16">
        <v>1992.3660382058999</v>
      </c>
    </row>
    <row r="169" spans="1:29" x14ac:dyDescent="0.35">
      <c r="A169" s="2" t="s">
        <v>179</v>
      </c>
      <c r="B169" s="4" t="s">
        <v>979</v>
      </c>
      <c r="C169" s="4" t="s">
        <v>530</v>
      </c>
      <c r="D169" s="4" t="s">
        <v>537</v>
      </c>
      <c r="E169" s="4" t="s">
        <v>613</v>
      </c>
      <c r="F169" s="4" t="s">
        <v>613</v>
      </c>
      <c r="G169" s="14">
        <v>113.59</v>
      </c>
      <c r="H169" s="10">
        <v>16.094757999999999</v>
      </c>
      <c r="I169" s="10" t="s">
        <v>534</v>
      </c>
      <c r="J169" s="10">
        <v>33.918964000000003</v>
      </c>
      <c r="K169" s="15">
        <v>1.9807999999999999E-2</v>
      </c>
      <c r="L169" s="17">
        <v>113306.331693</v>
      </c>
      <c r="M169" s="4" t="s">
        <v>980</v>
      </c>
      <c r="N169" s="19">
        <v>-0.137736</v>
      </c>
      <c r="O169" s="19">
        <v>5.5380000000000003</v>
      </c>
      <c r="P169" s="19">
        <v>-0.19400700000000001</v>
      </c>
      <c r="Q169" s="19">
        <v>4.5490000000000004</v>
      </c>
      <c r="R169" s="19">
        <v>2.58</v>
      </c>
      <c r="S169" s="19">
        <v>3.9485999999999999</v>
      </c>
      <c r="T169" s="19">
        <v>2.58</v>
      </c>
      <c r="U169" s="19">
        <v>3.448</v>
      </c>
      <c r="V169" s="19">
        <v>2.23</v>
      </c>
      <c r="W169" s="19">
        <v>3.0585</v>
      </c>
      <c r="X169" s="19">
        <v>2.23</v>
      </c>
      <c r="Y169" s="19">
        <v>3.0585</v>
      </c>
      <c r="Z169" s="4"/>
      <c r="AA169" s="4"/>
      <c r="AB169" s="4" t="e">
        <f ca="1">_xll.ciqfunctions.udf.CIQ("^SPX", "IQ_PRICEDATE", "8/22/2014")</f>
        <v>#NAME?</v>
      </c>
      <c r="AC169" s="16">
        <v>1988.4024349268</v>
      </c>
    </row>
    <row r="170" spans="1:29" x14ac:dyDescent="0.35">
      <c r="A170" s="2" t="s">
        <v>180</v>
      </c>
      <c r="B170" s="4" t="s">
        <v>981</v>
      </c>
      <c r="C170" s="4" t="s">
        <v>525</v>
      </c>
      <c r="D170" s="4" t="s">
        <v>526</v>
      </c>
      <c r="E170" s="4" t="s">
        <v>658</v>
      </c>
      <c r="F170" s="4" t="s">
        <v>659</v>
      </c>
      <c r="G170" s="14">
        <v>74</v>
      </c>
      <c r="H170" s="10">
        <v>13.781332000000001</v>
      </c>
      <c r="I170" s="10">
        <v>22.696148999999998</v>
      </c>
      <c r="J170" s="10">
        <v>91.002887999999999</v>
      </c>
      <c r="K170" s="15">
        <v>2.6216E-2</v>
      </c>
      <c r="L170" s="17">
        <v>46506.450773999997</v>
      </c>
      <c r="M170" s="4" t="s">
        <v>982</v>
      </c>
      <c r="N170" s="19">
        <v>3.2604649999999999</v>
      </c>
      <c r="O170" s="19">
        <v>3.5472999999999999</v>
      </c>
      <c r="P170" s="19">
        <v>2.5902910000000001</v>
      </c>
      <c r="Q170" s="19">
        <v>2.95017</v>
      </c>
      <c r="R170" s="19">
        <v>2.5518689999999999</v>
      </c>
      <c r="S170" s="19">
        <v>2.40157</v>
      </c>
      <c r="T170" s="19">
        <v>2.5518689999999999</v>
      </c>
      <c r="U170" s="19">
        <v>3.0723799999999999</v>
      </c>
      <c r="V170" s="19">
        <v>3.131192</v>
      </c>
      <c r="W170" s="19">
        <v>3.9719000000000002</v>
      </c>
      <c r="X170" s="19">
        <v>3.131192</v>
      </c>
      <c r="Y170" s="19">
        <v>3.9719000000000002</v>
      </c>
      <c r="Z170" s="4"/>
      <c r="AA170" s="4"/>
      <c r="AB170" s="4" t="e">
        <f ca="1">_xll.ciqfunctions.udf.CIQ("^SPX", "IQ_PRICEDATE", "8/25/2014")</f>
        <v>#NAME?</v>
      </c>
      <c r="AC170" s="16">
        <v>1997.9218098548999</v>
      </c>
    </row>
    <row r="171" spans="1:29" x14ac:dyDescent="0.35">
      <c r="A171" s="2" t="s">
        <v>181</v>
      </c>
      <c r="B171" s="4" t="s">
        <v>983</v>
      </c>
      <c r="C171" s="4" t="s">
        <v>619</v>
      </c>
      <c r="D171" s="4" t="s">
        <v>619</v>
      </c>
      <c r="E171" s="4" t="s">
        <v>620</v>
      </c>
      <c r="F171" s="4" t="s">
        <v>620</v>
      </c>
      <c r="G171" s="14">
        <v>82.63</v>
      </c>
      <c r="H171" s="10">
        <v>9.4988519999999994</v>
      </c>
      <c r="I171" s="10">
        <v>50.475062999999999</v>
      </c>
      <c r="J171" s="10">
        <v>1.954523</v>
      </c>
      <c r="K171" s="15">
        <v>4.3083000000000003E-2</v>
      </c>
      <c r="L171" s="17">
        <v>14944.051294000001</v>
      </c>
      <c r="M171" s="4" t="s">
        <v>984</v>
      </c>
      <c r="N171" s="19">
        <v>1.637046</v>
      </c>
      <c r="O171" s="19">
        <v>6.2205000000000004</v>
      </c>
      <c r="P171" s="19">
        <v>2.2799990000000001</v>
      </c>
      <c r="Q171" s="19">
        <v>5.3472</v>
      </c>
      <c r="R171" s="19">
        <v>-3.2625190000000002</v>
      </c>
      <c r="S171" s="19">
        <v>4.5500999999999996</v>
      </c>
      <c r="T171" s="19">
        <v>-3.2625190000000002</v>
      </c>
      <c r="U171" s="19">
        <v>5.7759</v>
      </c>
      <c r="V171" s="19">
        <v>5.22</v>
      </c>
      <c r="W171" s="19">
        <v>5.6532999999999998</v>
      </c>
      <c r="X171" s="19">
        <v>5.22</v>
      </c>
      <c r="Y171" s="19">
        <v>5.6532999999999998</v>
      </c>
      <c r="Z171" s="4"/>
      <c r="AA171" s="4"/>
      <c r="AB171" s="4" t="e">
        <f ca="1">_xll.ciqfunctions.udf.CIQ("^SPX", "IQ_PRICEDATE", "8/26/2014")</f>
        <v>#NAME?</v>
      </c>
      <c r="AC171" s="16">
        <v>2000.0200490082</v>
      </c>
    </row>
    <row r="172" spans="1:29" x14ac:dyDescent="0.35">
      <c r="A172" s="2" t="s">
        <v>182</v>
      </c>
      <c r="B172" s="4" t="s">
        <v>985</v>
      </c>
      <c r="C172" s="4" t="s">
        <v>669</v>
      </c>
      <c r="D172" s="4" t="s">
        <v>669</v>
      </c>
      <c r="E172" s="4" t="s">
        <v>670</v>
      </c>
      <c r="F172" s="4" t="s">
        <v>671</v>
      </c>
      <c r="G172" s="14">
        <v>120.14</v>
      </c>
      <c r="H172" s="10">
        <v>11.950936</v>
      </c>
      <c r="I172" s="10">
        <v>18.020153000000001</v>
      </c>
      <c r="J172" s="10">
        <v>3.987047</v>
      </c>
      <c r="K172" s="15">
        <v>7.3240000000000006E-3</v>
      </c>
      <c r="L172" s="17">
        <v>69585.182190000007</v>
      </c>
      <c r="M172" s="4" t="s">
        <v>986</v>
      </c>
      <c r="N172" s="19">
        <v>6.6669799999999997</v>
      </c>
      <c r="O172" s="19">
        <v>6.6513</v>
      </c>
      <c r="P172" s="19">
        <v>4.46</v>
      </c>
      <c r="Q172" s="19">
        <v>1.89</v>
      </c>
      <c r="R172" s="19">
        <v>-1.981781</v>
      </c>
      <c r="S172" s="19">
        <v>7.17E-2</v>
      </c>
      <c r="T172" s="19">
        <v>-1.981781</v>
      </c>
      <c r="U172" s="19">
        <v>-0.29499999999999998</v>
      </c>
      <c r="V172" s="19">
        <v>5.32</v>
      </c>
      <c r="W172" s="19">
        <v>3.0949</v>
      </c>
      <c r="X172" s="19">
        <v>5.32</v>
      </c>
      <c r="Y172" s="19">
        <v>3.0949</v>
      </c>
      <c r="Z172" s="4"/>
      <c r="AA172" s="4"/>
      <c r="AB172" s="4" t="e">
        <f ca="1">_xll.ciqfunctions.udf.CIQ("^SPX", "IQ_PRICEDATE", "8/27/2014")</f>
        <v>#NAME?</v>
      </c>
      <c r="AC172" s="16">
        <v>2000.1177053447</v>
      </c>
    </row>
    <row r="173" spans="1:29" x14ac:dyDescent="0.35">
      <c r="A173" s="2" t="s">
        <v>183</v>
      </c>
      <c r="B173" s="4" t="s">
        <v>987</v>
      </c>
      <c r="C173" s="4" t="s">
        <v>669</v>
      </c>
      <c r="D173" s="4" t="s">
        <v>669</v>
      </c>
      <c r="E173" s="4" t="s">
        <v>670</v>
      </c>
      <c r="F173" s="4" t="s">
        <v>671</v>
      </c>
      <c r="G173" s="14">
        <v>47.36</v>
      </c>
      <c r="H173" s="10">
        <v>8.3941149999999993</v>
      </c>
      <c r="I173" s="10" t="s">
        <v>534</v>
      </c>
      <c r="J173" s="10">
        <v>1.393189</v>
      </c>
      <c r="K173" s="15">
        <v>2.5330000000000001E-3</v>
      </c>
      <c r="L173" s="17">
        <v>12518.71616</v>
      </c>
      <c r="M173" s="4" t="s">
        <v>988</v>
      </c>
      <c r="N173" s="19">
        <v>-1.1355040000000001</v>
      </c>
      <c r="O173" s="19">
        <v>2.0722</v>
      </c>
      <c r="P173" s="19">
        <v>8.0399999999999991</v>
      </c>
      <c r="Q173" s="19">
        <v>1.4916</v>
      </c>
      <c r="R173" s="19">
        <v>-2.7128299999999999</v>
      </c>
      <c r="S173" s="19">
        <v>0.21540000000000001</v>
      </c>
      <c r="T173" s="19">
        <v>-2.7128299999999999</v>
      </c>
      <c r="U173" s="19">
        <v>-0.4002</v>
      </c>
      <c r="V173" s="19">
        <v>2.5299999999999998</v>
      </c>
      <c r="W173" s="19">
        <v>2.6046</v>
      </c>
      <c r="X173" s="19">
        <v>2.5299999999999998</v>
      </c>
      <c r="Y173" s="19">
        <v>2.6046</v>
      </c>
      <c r="Z173" s="4"/>
      <c r="AA173" s="4"/>
      <c r="AB173" s="4" t="e">
        <f ca="1">_xll.ciqfunctions.udf.CIQ("^SPX", "IQ_PRICEDATE", "8/28/2014")</f>
        <v>#NAME?</v>
      </c>
      <c r="AC173" s="16">
        <v>1996.740450988</v>
      </c>
    </row>
    <row r="174" spans="1:29" x14ac:dyDescent="0.35">
      <c r="A174" s="2" t="s">
        <v>184</v>
      </c>
      <c r="B174" s="4" t="s">
        <v>989</v>
      </c>
      <c r="C174" s="4" t="s">
        <v>525</v>
      </c>
      <c r="D174" s="4" t="s">
        <v>855</v>
      </c>
      <c r="E174" s="4" t="s">
        <v>990</v>
      </c>
      <c r="F174" s="4" t="s">
        <v>991</v>
      </c>
      <c r="G174" s="14">
        <v>124.27</v>
      </c>
      <c r="H174" s="10">
        <v>17.628937000000001</v>
      </c>
      <c r="I174" s="10">
        <v>29.884326999999999</v>
      </c>
      <c r="J174" s="10" t="s">
        <v>534</v>
      </c>
      <c r="K174" s="15">
        <v>1.2553000000000002E-2</v>
      </c>
      <c r="L174" s="17">
        <v>14963.620117</v>
      </c>
      <c r="M174" s="4" t="s">
        <v>992</v>
      </c>
      <c r="N174" s="19">
        <v>4.1583670000000001</v>
      </c>
      <c r="O174" s="19">
        <v>5.9768999999999997</v>
      </c>
      <c r="P174" s="19">
        <v>4.83</v>
      </c>
      <c r="Q174" s="19">
        <v>5.7621000000000002</v>
      </c>
      <c r="R174" s="19">
        <v>4.04</v>
      </c>
      <c r="S174" s="19">
        <v>5.8643999999999998</v>
      </c>
      <c r="T174" s="19">
        <v>4.04</v>
      </c>
      <c r="U174" s="19">
        <v>4.8018999999999998</v>
      </c>
      <c r="V174" s="19">
        <v>2.97</v>
      </c>
      <c r="W174" s="19">
        <v>4.1630000000000003</v>
      </c>
      <c r="X174" s="19">
        <v>2.97</v>
      </c>
      <c r="Y174" s="19">
        <v>4.1630000000000003</v>
      </c>
      <c r="Z174" s="4"/>
      <c r="AA174" s="4"/>
      <c r="AB174" s="4" t="e">
        <f ca="1">_xll.ciqfunctions.udf.CIQ("^SPX", "IQ_PRICEDATE", "8/29/2014")</f>
        <v>#NAME?</v>
      </c>
      <c r="AC174" s="16">
        <v>2003.3676954513001</v>
      </c>
    </row>
    <row r="175" spans="1:29" x14ac:dyDescent="0.35">
      <c r="A175" s="2" t="s">
        <v>185</v>
      </c>
      <c r="B175" s="4" t="s">
        <v>993</v>
      </c>
      <c r="C175" s="4" t="s">
        <v>601</v>
      </c>
      <c r="D175" s="4" t="s">
        <v>601</v>
      </c>
      <c r="E175" s="4" t="s">
        <v>602</v>
      </c>
      <c r="F175" s="4" t="s">
        <v>647</v>
      </c>
      <c r="G175" s="14">
        <v>410.44</v>
      </c>
      <c r="H175" s="10">
        <v>20.167192</v>
      </c>
      <c r="I175" s="10">
        <v>118.416842</v>
      </c>
      <c r="J175" s="10" t="s">
        <v>534</v>
      </c>
      <c r="K175" s="15">
        <v>2.222E-2</v>
      </c>
      <c r="L175" s="17">
        <v>32633.279116999998</v>
      </c>
      <c r="M175" s="4" t="s">
        <v>994</v>
      </c>
      <c r="N175" s="19">
        <v>3.4660609999999998</v>
      </c>
      <c r="O175" s="19">
        <v>5.2591000000000001</v>
      </c>
      <c r="P175" s="19">
        <v>3</v>
      </c>
      <c r="Q175" s="19">
        <v>5.9145000000000003</v>
      </c>
      <c r="R175" s="19">
        <v>1.62</v>
      </c>
      <c r="S175" s="19">
        <v>4.3853999999999997</v>
      </c>
      <c r="T175" s="19">
        <v>1.62</v>
      </c>
      <c r="U175" s="19">
        <v>5.8022</v>
      </c>
      <c r="V175" s="19">
        <v>-4.9570650000000001</v>
      </c>
      <c r="W175" s="19">
        <v>5.0716999999999999</v>
      </c>
      <c r="X175" s="19">
        <v>-4.9570650000000001</v>
      </c>
      <c r="Y175" s="19">
        <v>5.0716999999999999</v>
      </c>
      <c r="Z175" s="4"/>
      <c r="AA175" s="4"/>
      <c r="AB175" s="4" t="e">
        <f ca="1">_xll.ciqfunctions.udf.CIQ("^SPX", "IQ_PRICEDATE", "9/2/2014")</f>
        <v>#NAME?</v>
      </c>
      <c r="AC175" s="16">
        <v>2002.2844031136001</v>
      </c>
    </row>
    <row r="176" spans="1:29" x14ac:dyDescent="0.35">
      <c r="A176" s="2" t="s">
        <v>186</v>
      </c>
      <c r="B176" s="4" t="s">
        <v>995</v>
      </c>
      <c r="C176" s="4" t="s">
        <v>601</v>
      </c>
      <c r="D176" s="4" t="s">
        <v>601</v>
      </c>
      <c r="E176" s="4" t="s">
        <v>602</v>
      </c>
      <c r="F176" s="4" t="s">
        <v>685</v>
      </c>
      <c r="G176" s="14">
        <v>64.069999999999993</v>
      </c>
      <c r="H176" s="10">
        <v>20.299168999999999</v>
      </c>
      <c r="I176" s="10">
        <v>40.351301999999997</v>
      </c>
      <c r="J176" s="10">
        <v>2.3589289999999998</v>
      </c>
      <c r="K176" s="15">
        <v>3.3713E-2</v>
      </c>
      <c r="L176" s="17">
        <v>23595.826138</v>
      </c>
      <c r="M176" s="4" t="s">
        <v>996</v>
      </c>
      <c r="N176" s="19">
        <v>1.5878049999999999</v>
      </c>
      <c r="O176" s="19">
        <v>1.5105999999999999</v>
      </c>
      <c r="P176" s="19">
        <v>1.6279140000000001</v>
      </c>
      <c r="Q176" s="19">
        <v>1.3</v>
      </c>
      <c r="R176" s="19">
        <v>11.675807000000001</v>
      </c>
      <c r="S176" s="19">
        <v>1.2935000000000001</v>
      </c>
      <c r="T176" s="19">
        <v>11.675807000000001</v>
      </c>
      <c r="U176" s="19">
        <v>1.4645999999999999</v>
      </c>
      <c r="V176" s="19">
        <v>1.721873</v>
      </c>
      <c r="W176" s="19">
        <v>1.1733</v>
      </c>
      <c r="X176" s="19">
        <v>1.721873</v>
      </c>
      <c r="Y176" s="19">
        <v>1.1733</v>
      </c>
      <c r="Z176" s="4"/>
      <c r="AA176" s="4"/>
      <c r="AB176" s="4" t="e">
        <f ca="1">_xll.ciqfunctions.udf.CIQ("^SPX", "IQ_PRICEDATE", "9/3/2014")</f>
        <v>#NAME?</v>
      </c>
      <c r="AC176" s="16">
        <v>2000.7236315149</v>
      </c>
    </row>
    <row r="177" spans="1:29" x14ac:dyDescent="0.35">
      <c r="A177" s="2" t="s">
        <v>187</v>
      </c>
      <c r="B177" s="4" t="s">
        <v>997</v>
      </c>
      <c r="C177" s="4" t="s">
        <v>601</v>
      </c>
      <c r="D177" s="4" t="s">
        <v>601</v>
      </c>
      <c r="E177" s="4" t="s">
        <v>602</v>
      </c>
      <c r="F177" s="4" t="s">
        <v>685</v>
      </c>
      <c r="G177" s="14">
        <v>242.8</v>
      </c>
      <c r="H177" s="10">
        <v>22.115749000000001</v>
      </c>
      <c r="I177" s="10">
        <v>42.851011</v>
      </c>
      <c r="J177" s="10">
        <v>2.5238239999999998</v>
      </c>
      <c r="K177" s="15">
        <v>3.0641999999999999E-2</v>
      </c>
      <c r="L177" s="17">
        <v>16036.964523000001</v>
      </c>
      <c r="M177" s="4" t="s">
        <v>998</v>
      </c>
      <c r="N177" s="19">
        <v>5.6661440000000001</v>
      </c>
      <c r="O177" s="19">
        <v>5.0091000000000001</v>
      </c>
      <c r="P177" s="19">
        <v>6.5699990000000001</v>
      </c>
      <c r="Q177" s="19">
        <v>4.6839000000000004</v>
      </c>
      <c r="R177" s="19">
        <v>6.2699990000000003</v>
      </c>
      <c r="S177" s="19">
        <v>4.2704000000000004</v>
      </c>
      <c r="T177" s="19">
        <v>6.2699990000000003</v>
      </c>
      <c r="U177" s="19">
        <v>2.9306999999999999</v>
      </c>
      <c r="V177" s="19">
        <v>2.06</v>
      </c>
      <c r="W177" s="19">
        <v>2.1476000000000002</v>
      </c>
      <c r="X177" s="19">
        <v>2.06</v>
      </c>
      <c r="Y177" s="19">
        <v>2.1476000000000002</v>
      </c>
      <c r="Z177" s="4"/>
      <c r="AA177" s="4"/>
      <c r="AB177" s="4" t="e">
        <f ca="1">_xll.ciqfunctions.udf.CIQ("^SPX", "IQ_PRICEDATE", "9/4/2014")</f>
        <v>#NAME?</v>
      </c>
      <c r="AC177" s="16">
        <v>1997.6509320497</v>
      </c>
    </row>
    <row r="178" spans="1:29" x14ac:dyDescent="0.35">
      <c r="A178" s="2" t="s">
        <v>188</v>
      </c>
      <c r="B178" s="4" t="s">
        <v>999</v>
      </c>
      <c r="C178" s="4" t="s">
        <v>573</v>
      </c>
      <c r="D178" s="4" t="s">
        <v>579</v>
      </c>
      <c r="E178" s="4" t="s">
        <v>579</v>
      </c>
      <c r="F178" s="4" t="s">
        <v>1000</v>
      </c>
      <c r="G178" s="14">
        <v>216.01</v>
      </c>
      <c r="H178" s="10">
        <v>0</v>
      </c>
      <c r="I178" s="10">
        <v>42.051177000000003</v>
      </c>
      <c r="J178" s="10">
        <v>1.0709660000000001</v>
      </c>
      <c r="K178" s="15">
        <v>2.4072E-2</v>
      </c>
      <c r="L178" s="17">
        <v>8825.1840260000008</v>
      </c>
      <c r="M178" s="4" t="s">
        <v>1001</v>
      </c>
      <c r="N178" s="19">
        <v>5.1368359999999997</v>
      </c>
      <c r="O178" s="19">
        <v>23.686399999999999</v>
      </c>
      <c r="P178" s="19">
        <v>11.36</v>
      </c>
      <c r="Q178" s="19">
        <v>19.404699999999998</v>
      </c>
      <c r="R178" s="19">
        <v>23.68</v>
      </c>
      <c r="S178" s="19">
        <v>16.449300000000001</v>
      </c>
      <c r="T178" s="19">
        <v>23.68</v>
      </c>
      <c r="U178" s="19">
        <v>18.015499999999999</v>
      </c>
      <c r="V178" s="19">
        <v>25.91</v>
      </c>
      <c r="W178" s="19">
        <v>17.809699999999999</v>
      </c>
      <c r="X178" s="19">
        <v>25.91</v>
      </c>
      <c r="Y178" s="19">
        <v>17.809699999999999</v>
      </c>
      <c r="Z178" s="4"/>
      <c r="AA178" s="4"/>
      <c r="AB178" s="4" t="e">
        <f ca="1">_xll.ciqfunctions.udf.CIQ("^SPX", "IQ_PRICEDATE", "9/5/2014")</f>
        <v>#NAME?</v>
      </c>
      <c r="AC178" s="16">
        <v>2007.7119082391</v>
      </c>
    </row>
    <row r="179" spans="1:29" x14ac:dyDescent="0.35">
      <c r="A179" s="2" t="s">
        <v>189</v>
      </c>
      <c r="B179" s="4" t="s">
        <v>1002</v>
      </c>
      <c r="C179" s="4" t="s">
        <v>619</v>
      </c>
      <c r="D179" s="4" t="s">
        <v>619</v>
      </c>
      <c r="E179" s="4" t="s">
        <v>620</v>
      </c>
      <c r="F179" s="4" t="s">
        <v>620</v>
      </c>
      <c r="G179" s="14">
        <v>56.01</v>
      </c>
      <c r="H179" s="10">
        <v>20.242328000000001</v>
      </c>
      <c r="I179" s="10">
        <v>24.079768000000001</v>
      </c>
      <c r="J179" s="10">
        <v>1.76854</v>
      </c>
      <c r="K179" s="15">
        <v>2.8565999999999998E-2</v>
      </c>
      <c r="L179" s="17">
        <v>15217.236422</v>
      </c>
      <c r="M179" s="4" t="s">
        <v>1003</v>
      </c>
      <c r="N179" s="19">
        <v>2.3260190000000001</v>
      </c>
      <c r="O179" s="19">
        <v>2.7218</v>
      </c>
      <c r="P179" s="19">
        <v>2.2696000000000001</v>
      </c>
      <c r="Q179" s="19">
        <v>0</v>
      </c>
      <c r="R179" s="19">
        <v>2.4300000000000002</v>
      </c>
      <c r="S179" s="19">
        <v>0</v>
      </c>
      <c r="T179" s="19">
        <v>2.4300000000000002</v>
      </c>
      <c r="U179" s="19">
        <v>0</v>
      </c>
      <c r="V179" s="19">
        <v>2.35</v>
      </c>
      <c r="W179" s="19">
        <v>0</v>
      </c>
      <c r="X179" s="19">
        <v>2.35</v>
      </c>
      <c r="Y179" s="19">
        <v>0</v>
      </c>
      <c r="Z179" s="4"/>
      <c r="AA179" s="4"/>
      <c r="AB179" s="4" t="e">
        <f ca="1">_xll.ciqfunctions.udf.CIQ("^SPX", "IQ_PRICEDATE", "9/8/2014")</f>
        <v>#NAME?</v>
      </c>
      <c r="AC179" s="16">
        <v>2001.5407326029001</v>
      </c>
    </row>
    <row r="180" spans="1:29" x14ac:dyDescent="0.35">
      <c r="A180" s="2" t="s">
        <v>190</v>
      </c>
      <c r="B180" s="4" t="s">
        <v>1004</v>
      </c>
      <c r="C180" s="4" t="s">
        <v>619</v>
      </c>
      <c r="D180" s="4" t="s">
        <v>619</v>
      </c>
      <c r="E180" s="4" t="s">
        <v>620</v>
      </c>
      <c r="F180" s="4" t="s">
        <v>620</v>
      </c>
      <c r="G180" s="14">
        <v>62.49</v>
      </c>
      <c r="H180" s="10">
        <v>12.843249999999999</v>
      </c>
      <c r="I180" s="10">
        <v>19.650980000000001</v>
      </c>
      <c r="J180" s="10">
        <v>2.8925380000000001</v>
      </c>
      <c r="K180" s="15">
        <v>3.2325E-2</v>
      </c>
      <c r="L180" s="17">
        <v>19802.194142</v>
      </c>
      <c r="M180" s="4" t="s">
        <v>1005</v>
      </c>
      <c r="N180" s="19">
        <v>3.1799940000000002</v>
      </c>
      <c r="O180" s="19">
        <v>3.3603000000000001</v>
      </c>
      <c r="P180" s="19">
        <v>3.11</v>
      </c>
      <c r="Q180" s="19">
        <v>3.3008000000000002</v>
      </c>
      <c r="R180" s="19">
        <v>2.9599989999999998</v>
      </c>
      <c r="S180" s="19">
        <v>3.1556000000000002</v>
      </c>
      <c r="T180" s="19">
        <v>2.9599989999999998</v>
      </c>
      <c r="U180" s="19">
        <v>2.9214000000000002</v>
      </c>
      <c r="V180" s="19">
        <v>2.5799989999999999</v>
      </c>
      <c r="W180" s="19">
        <v>2.8431000000000002</v>
      </c>
      <c r="X180" s="19">
        <v>2.5799989999999999</v>
      </c>
      <c r="Y180" s="19">
        <v>2.8431000000000002</v>
      </c>
      <c r="Z180" s="4"/>
      <c r="AA180" s="4"/>
      <c r="AB180" s="4" t="e">
        <f ca="1">_xll.ciqfunctions.udf.CIQ("^SPX", "IQ_PRICEDATE", "9/9/2014")</f>
        <v>#NAME?</v>
      </c>
      <c r="AC180" s="16">
        <v>1988.4448927521</v>
      </c>
    </row>
    <row r="181" spans="1:29" x14ac:dyDescent="0.35">
      <c r="A181" s="2" t="s">
        <v>191</v>
      </c>
      <c r="B181" s="4" t="s">
        <v>1006</v>
      </c>
      <c r="C181" s="4" t="s">
        <v>619</v>
      </c>
      <c r="D181" s="4" t="s">
        <v>619</v>
      </c>
      <c r="E181" s="4" t="s">
        <v>620</v>
      </c>
      <c r="F181" s="4" t="s">
        <v>620</v>
      </c>
      <c r="G181" s="14">
        <v>42.99</v>
      </c>
      <c r="H181" s="10">
        <v>7.7756040000000004</v>
      </c>
      <c r="I181" s="10">
        <v>10.939911</v>
      </c>
      <c r="J181" s="10">
        <v>1.741938</v>
      </c>
      <c r="K181" s="15">
        <v>3.2099999999999997E-2</v>
      </c>
      <c r="L181" s="17">
        <v>41524.329076000002</v>
      </c>
      <c r="M181" s="4" t="s">
        <v>1007</v>
      </c>
      <c r="N181" s="19">
        <v>3.9296479999999998</v>
      </c>
      <c r="O181" s="19">
        <v>3.0278</v>
      </c>
      <c r="P181" s="19">
        <v>3.97</v>
      </c>
      <c r="Q181" s="19">
        <v>2.9451000000000001</v>
      </c>
      <c r="R181" s="19">
        <v>1.22</v>
      </c>
      <c r="S181" s="19">
        <v>2.5779000000000001</v>
      </c>
      <c r="T181" s="19">
        <v>1.22</v>
      </c>
      <c r="U181" s="19">
        <v>2.3527</v>
      </c>
      <c r="V181" s="19">
        <v>1.88</v>
      </c>
      <c r="W181" s="19">
        <v>2.4390000000000001</v>
      </c>
      <c r="X181" s="19">
        <v>1.88</v>
      </c>
      <c r="Y181" s="19">
        <v>2.4390000000000001</v>
      </c>
      <c r="Z181" s="4"/>
      <c r="AA181" s="4"/>
      <c r="AB181" s="4" t="e">
        <f ca="1">_xll.ciqfunctions.udf.CIQ("^SPX", "IQ_PRICEDATE", "9/10/2014")</f>
        <v>#NAME?</v>
      </c>
      <c r="AC181" s="16">
        <v>1995.6923062226001</v>
      </c>
    </row>
    <row r="182" spans="1:29" x14ac:dyDescent="0.35">
      <c r="A182" s="2" t="s">
        <v>192</v>
      </c>
      <c r="B182" s="4" t="s">
        <v>1008</v>
      </c>
      <c r="C182" s="4" t="s">
        <v>559</v>
      </c>
      <c r="D182" s="4" t="s">
        <v>560</v>
      </c>
      <c r="E182" s="4" t="s">
        <v>631</v>
      </c>
      <c r="F182" s="4" t="s">
        <v>631</v>
      </c>
      <c r="G182" s="14">
        <v>120.55</v>
      </c>
      <c r="H182" s="10">
        <v>16.656531999999999</v>
      </c>
      <c r="I182" s="10">
        <v>69.460890000000006</v>
      </c>
      <c r="J182" s="10" t="s">
        <v>534</v>
      </c>
      <c r="K182" s="15">
        <v>1.0618000000000001E-2</v>
      </c>
      <c r="L182" s="17">
        <v>18016.330587</v>
      </c>
      <c r="M182" s="4" t="s">
        <v>1009</v>
      </c>
      <c r="N182" s="19">
        <v>1.735509</v>
      </c>
      <c r="O182" s="19">
        <v>5.5917000000000003</v>
      </c>
      <c r="P182" s="19">
        <v>2.42</v>
      </c>
      <c r="Q182" s="19">
        <v>5.1760999999999999</v>
      </c>
      <c r="R182" s="19">
        <v>1.82</v>
      </c>
      <c r="S182" s="19">
        <v>6.0576999999999996</v>
      </c>
      <c r="T182" s="19">
        <v>1.82</v>
      </c>
      <c r="U182" s="19">
        <v>5.4242999999999997</v>
      </c>
      <c r="V182" s="19">
        <v>2.99</v>
      </c>
      <c r="W182" s="19">
        <v>4.4554</v>
      </c>
      <c r="X182" s="19">
        <v>2.99</v>
      </c>
      <c r="Y182" s="19">
        <v>4.4554</v>
      </c>
      <c r="Z182" s="4"/>
      <c r="AA182" s="4"/>
      <c r="AB182" s="4" t="e">
        <f ca="1">_xll.ciqfunctions.udf.CIQ("^SPX", "IQ_PRICEDATE", "9/11/2014")</f>
        <v>#NAME?</v>
      </c>
      <c r="AC182" s="16">
        <v>1997.4459678967</v>
      </c>
    </row>
    <row r="183" spans="1:29" x14ac:dyDescent="0.35">
      <c r="A183" s="2" t="s">
        <v>193</v>
      </c>
      <c r="B183" s="4" t="s">
        <v>1010</v>
      </c>
      <c r="C183" s="4" t="s">
        <v>525</v>
      </c>
      <c r="D183" s="4" t="s">
        <v>594</v>
      </c>
      <c r="E183" s="4" t="s">
        <v>779</v>
      </c>
      <c r="F183" s="4" t="s">
        <v>779</v>
      </c>
      <c r="G183" s="14">
        <v>68.8</v>
      </c>
      <c r="H183" s="10">
        <v>13.531746</v>
      </c>
      <c r="I183" s="10">
        <v>22.041786999999999</v>
      </c>
      <c r="J183" s="10">
        <v>6.3460190000000001</v>
      </c>
      <c r="K183" s="15">
        <v>1.3081000000000001E-2</v>
      </c>
      <c r="L183" s="17">
        <v>11994.282469</v>
      </c>
      <c r="M183" s="4" t="s">
        <v>1011</v>
      </c>
      <c r="N183" s="19">
        <v>3.1213440000000001</v>
      </c>
      <c r="O183" s="19">
        <v>3.1850999999999998</v>
      </c>
      <c r="P183" s="19">
        <v>2.69</v>
      </c>
      <c r="Q183" s="19">
        <v>2.5196000000000001</v>
      </c>
      <c r="R183" s="19">
        <v>2.36</v>
      </c>
      <c r="S183" s="19">
        <v>2.4504999999999999</v>
      </c>
      <c r="T183" s="19">
        <v>2.36</v>
      </c>
      <c r="U183" s="19">
        <v>2.4470000000000001</v>
      </c>
      <c r="V183" s="19">
        <v>1.92</v>
      </c>
      <c r="W183" s="19">
        <v>2.0312999999999999</v>
      </c>
      <c r="X183" s="19">
        <v>1.92</v>
      </c>
      <c r="Y183" s="19">
        <v>2.0312999999999999</v>
      </c>
      <c r="Z183" s="4"/>
      <c r="AA183" s="4"/>
      <c r="AB183" s="4" t="e">
        <f ca="1">_xll.ciqfunctions.udf.CIQ("^SPX", "IQ_PRICEDATE", "9/12/2014")</f>
        <v>#NAME?</v>
      </c>
      <c r="AC183" s="16">
        <v>1985.5362909214</v>
      </c>
    </row>
    <row r="184" spans="1:29" x14ac:dyDescent="0.35">
      <c r="A184" s="2" t="s">
        <v>194</v>
      </c>
      <c r="B184" s="4" t="s">
        <v>1012</v>
      </c>
      <c r="C184" s="4" t="s">
        <v>530</v>
      </c>
      <c r="D184" s="4" t="s">
        <v>531</v>
      </c>
      <c r="E184" s="4" t="s">
        <v>569</v>
      </c>
      <c r="F184" s="4" t="s">
        <v>909</v>
      </c>
      <c r="G184" s="14">
        <v>95.77</v>
      </c>
      <c r="H184" s="10">
        <v>9.1142730000000007</v>
      </c>
      <c r="I184" s="10">
        <v>11.664173</v>
      </c>
      <c r="J184" s="10" t="s">
        <v>534</v>
      </c>
      <c r="K184" s="15">
        <v>0</v>
      </c>
      <c r="L184" s="17">
        <v>53834.2958</v>
      </c>
      <c r="M184" s="4" t="s">
        <v>1013</v>
      </c>
      <c r="N184" s="19">
        <v>8.2106119999999994</v>
      </c>
      <c r="O184" s="19">
        <v>9.2988</v>
      </c>
      <c r="P184" s="19">
        <v>7.74</v>
      </c>
      <c r="Q184" s="19">
        <v>7.5823</v>
      </c>
      <c r="R184" s="19">
        <v>5.39</v>
      </c>
      <c r="S184" s="19">
        <v>6.8129</v>
      </c>
      <c r="T184" s="19">
        <v>5.39</v>
      </c>
      <c r="U184" s="19">
        <v>5.9778000000000002</v>
      </c>
      <c r="V184" s="19">
        <v>2.64</v>
      </c>
      <c r="W184" s="19">
        <v>5.3201999999999998</v>
      </c>
      <c r="X184" s="19">
        <v>2.64</v>
      </c>
      <c r="Y184" s="19">
        <v>5.3201999999999998</v>
      </c>
      <c r="Z184" s="4"/>
      <c r="AA184" s="4"/>
      <c r="AB184" s="4" t="e">
        <f ca="1">_xll.ciqfunctions.udf.CIQ("^SPX", "IQ_PRICEDATE", "9/15/2014")</f>
        <v>#NAME?</v>
      </c>
      <c r="AC184" s="16">
        <v>1984.1323104619</v>
      </c>
    </row>
    <row r="185" spans="1:29" x14ac:dyDescent="0.35">
      <c r="A185" s="2" t="s">
        <v>195</v>
      </c>
      <c r="B185" s="4" t="s">
        <v>1014</v>
      </c>
      <c r="C185" s="4" t="s">
        <v>601</v>
      </c>
      <c r="D185" s="4" t="s">
        <v>601</v>
      </c>
      <c r="E185" s="4" t="s">
        <v>602</v>
      </c>
      <c r="F185" s="4" t="s">
        <v>647</v>
      </c>
      <c r="G185" s="14">
        <v>86.06</v>
      </c>
      <c r="H185" s="10">
        <v>20.517057999999999</v>
      </c>
      <c r="I185" s="10">
        <v>22.209793999999999</v>
      </c>
      <c r="J185" s="10">
        <v>4.6355079999999997</v>
      </c>
      <c r="K185" s="15">
        <v>3.9972000000000001E-2</v>
      </c>
      <c r="L185" s="17">
        <v>10886.770726000001</v>
      </c>
      <c r="M185" s="4" t="s">
        <v>1015</v>
      </c>
      <c r="N185" s="19">
        <v>3.8748670000000001</v>
      </c>
      <c r="O185" s="19">
        <v>2.9083000000000001</v>
      </c>
      <c r="P185" s="19">
        <v>3.7643330000000002</v>
      </c>
      <c r="Q185" s="19">
        <v>2.8325999999999998</v>
      </c>
      <c r="R185" s="19">
        <v>2.9069669999999999</v>
      </c>
      <c r="S185" s="19">
        <v>2.3908999999999998</v>
      </c>
      <c r="T185" s="19">
        <v>2.9069669999999999</v>
      </c>
      <c r="U185" s="19">
        <v>1.633</v>
      </c>
      <c r="V185" s="19">
        <v>1.5304770000000001</v>
      </c>
      <c r="W185" s="19">
        <v>1.9904999999999999</v>
      </c>
      <c r="X185" s="19">
        <v>1.5304770000000001</v>
      </c>
      <c r="Y185" s="19">
        <v>1.9904999999999999</v>
      </c>
      <c r="Z185" s="4"/>
      <c r="AA185" s="4"/>
      <c r="AB185" s="4" t="e">
        <f ca="1">_xll.ciqfunctions.udf.CIQ("^SPX", "IQ_PRICEDATE", "9/16/2014")</f>
        <v>#NAME?</v>
      </c>
      <c r="AC185" s="16">
        <v>1998.9814103547001</v>
      </c>
    </row>
    <row r="186" spans="1:29" x14ac:dyDescent="0.35">
      <c r="A186" s="2" t="s">
        <v>196</v>
      </c>
      <c r="B186" s="4" t="s">
        <v>1016</v>
      </c>
      <c r="C186" s="4" t="s">
        <v>669</v>
      </c>
      <c r="D186" s="4" t="s">
        <v>669</v>
      </c>
      <c r="E186" s="4" t="s">
        <v>670</v>
      </c>
      <c r="F186" s="4" t="s">
        <v>836</v>
      </c>
      <c r="G186" s="14">
        <v>81.5</v>
      </c>
      <c r="H186" s="10">
        <v>9.1280590000000004</v>
      </c>
      <c r="I186" s="10">
        <v>16.610835000000002</v>
      </c>
      <c r="J186" s="10">
        <v>1.8430280000000001</v>
      </c>
      <c r="K186" s="15">
        <v>4.0244999999999996E-2</v>
      </c>
      <c r="L186" s="17">
        <v>345055.54336200003</v>
      </c>
      <c r="M186" s="4" t="s">
        <v>1017</v>
      </c>
      <c r="N186" s="19">
        <v>4.9064360000000002</v>
      </c>
      <c r="O186" s="19">
        <v>5.3441999999999998</v>
      </c>
      <c r="P186" s="19">
        <v>4.63</v>
      </c>
      <c r="Q186" s="19">
        <v>4.1340000000000003</v>
      </c>
      <c r="R186" s="19">
        <v>1.8769450000000001</v>
      </c>
      <c r="S186" s="19">
        <v>4.0216000000000003</v>
      </c>
      <c r="T186" s="19">
        <v>1.8769450000000001</v>
      </c>
      <c r="U186" s="19">
        <v>3.4946000000000002</v>
      </c>
      <c r="V186" s="19">
        <v>7.5945809999999998</v>
      </c>
      <c r="W186" s="19">
        <v>5.2165999999999997</v>
      </c>
      <c r="X186" s="19">
        <v>7.5945809999999998</v>
      </c>
      <c r="Y186" s="19">
        <v>5.2165999999999997</v>
      </c>
      <c r="Z186" s="4"/>
      <c r="AA186" s="4"/>
      <c r="AB186" s="4" t="e">
        <f ca="1">_xll.ciqfunctions.udf.CIQ("^SPX", "IQ_PRICEDATE", "9/17/2014")</f>
        <v>#NAME?</v>
      </c>
      <c r="AC186" s="16">
        <v>2001.5651818327999</v>
      </c>
    </row>
    <row r="187" spans="1:29" x14ac:dyDescent="0.35">
      <c r="A187" s="2" t="s">
        <v>197</v>
      </c>
      <c r="B187" s="4" t="s">
        <v>1018</v>
      </c>
      <c r="C187" s="4" t="s">
        <v>543</v>
      </c>
      <c r="D187" s="4" t="s">
        <v>664</v>
      </c>
      <c r="E187" s="4" t="s">
        <v>706</v>
      </c>
      <c r="F187" s="4" t="s">
        <v>706</v>
      </c>
      <c r="G187" s="14">
        <v>170.54</v>
      </c>
      <c r="H187" s="10">
        <v>14.283758000000001</v>
      </c>
      <c r="I187" s="10">
        <v>23.367546000000001</v>
      </c>
      <c r="J187" s="10">
        <v>14.608107</v>
      </c>
      <c r="K187" s="15">
        <v>0</v>
      </c>
      <c r="L187" s="17">
        <v>10371.956803999999</v>
      </c>
      <c r="M187" s="4" t="s">
        <v>1019</v>
      </c>
      <c r="N187" s="19">
        <v>7.2981559999999996</v>
      </c>
      <c r="O187" s="19">
        <v>10.2645</v>
      </c>
      <c r="P187" s="19">
        <v>6.4796259999999997</v>
      </c>
      <c r="Q187" s="19">
        <v>8.6733399999999996</v>
      </c>
      <c r="R187" s="19">
        <v>5.5410490000000001</v>
      </c>
      <c r="S187" s="19">
        <v>8.2807499999999994</v>
      </c>
      <c r="T187" s="19">
        <v>5.5410490000000001</v>
      </c>
      <c r="U187" s="19">
        <v>7.0302199999999999</v>
      </c>
      <c r="V187" s="19">
        <v>4.4324199999999996</v>
      </c>
      <c r="W187" s="19">
        <v>6.3712600000000004</v>
      </c>
      <c r="X187" s="19">
        <v>4.4324199999999996</v>
      </c>
      <c r="Y187" s="19">
        <v>6.3712600000000004</v>
      </c>
      <c r="Z187" s="4"/>
      <c r="AA187" s="4"/>
      <c r="AB187" s="4" t="e">
        <f ca="1">_xll.ciqfunctions.udf.CIQ("^SPX", "IQ_PRICEDATE", "9/18/2014")</f>
        <v>#NAME?</v>
      </c>
      <c r="AC187" s="16">
        <v>2011.3638145702</v>
      </c>
    </row>
    <row r="188" spans="1:29" x14ac:dyDescent="0.35">
      <c r="A188" s="2" t="s">
        <v>198</v>
      </c>
      <c r="B188" s="4" t="s">
        <v>1020</v>
      </c>
      <c r="C188" s="4" t="s">
        <v>549</v>
      </c>
      <c r="D188" s="4" t="s">
        <v>550</v>
      </c>
      <c r="E188" s="4" t="s">
        <v>623</v>
      </c>
      <c r="F188" s="4" t="s">
        <v>623</v>
      </c>
      <c r="G188" s="14">
        <v>159.41999999999999</v>
      </c>
      <c r="H188" s="10">
        <v>15.261631</v>
      </c>
      <c r="I188" s="10">
        <v>24.667964000000001</v>
      </c>
      <c r="J188" s="10">
        <v>7.7399519999999997</v>
      </c>
      <c r="K188" s="15">
        <v>0</v>
      </c>
      <c r="L188" s="17">
        <v>460280.39941499999</v>
      </c>
      <c r="M188" s="4" t="s">
        <v>1021</v>
      </c>
      <c r="N188" s="19">
        <v>6.4626330000000003</v>
      </c>
      <c r="O188" s="19">
        <v>7.3093000000000004</v>
      </c>
      <c r="P188" s="19">
        <v>5.3903920000000003</v>
      </c>
      <c r="Q188" s="19">
        <v>6.3734999999999999</v>
      </c>
      <c r="R188" s="19">
        <v>3.492991</v>
      </c>
      <c r="S188" s="19">
        <v>4.9748999999999999</v>
      </c>
      <c r="T188" s="19">
        <v>3.492991</v>
      </c>
      <c r="U188" s="19">
        <v>2.6558999999999999</v>
      </c>
      <c r="V188" s="19">
        <v>1.1036029999999999</v>
      </c>
      <c r="W188" s="19">
        <v>1.8602000000000001</v>
      </c>
      <c r="X188" s="19">
        <v>1.1036029999999999</v>
      </c>
      <c r="Y188" s="19">
        <v>1.8602000000000001</v>
      </c>
      <c r="Z188" s="4"/>
      <c r="AA188" s="4"/>
      <c r="AB188" s="4" t="e">
        <f ca="1">_xll.ciqfunctions.udf.CIQ("^SPX", "IQ_PRICEDATE", "9/19/2014")</f>
        <v>#NAME?</v>
      </c>
      <c r="AC188" s="16">
        <v>2010.3967236043</v>
      </c>
    </row>
    <row r="189" spans="1:29" x14ac:dyDescent="0.35">
      <c r="A189" s="2" t="s">
        <v>199</v>
      </c>
      <c r="B189" s="4" t="s">
        <v>1022</v>
      </c>
      <c r="C189" s="4" t="s">
        <v>525</v>
      </c>
      <c r="D189" s="4" t="s">
        <v>526</v>
      </c>
      <c r="E189" s="4" t="s">
        <v>1023</v>
      </c>
      <c r="F189" s="4" t="s">
        <v>1023</v>
      </c>
      <c r="G189" s="14">
        <v>52.65</v>
      </c>
      <c r="H189" s="10">
        <v>13.934405999999999</v>
      </c>
      <c r="I189" s="10">
        <v>20.566711000000002</v>
      </c>
      <c r="J189" s="10">
        <v>6.5268309999999996</v>
      </c>
      <c r="K189" s="15">
        <v>3.0388999999999999E-2</v>
      </c>
      <c r="L189" s="17">
        <v>15113.530938</v>
      </c>
      <c r="M189" s="4" t="s">
        <v>1024</v>
      </c>
      <c r="N189" s="19">
        <v>2.5599620000000001</v>
      </c>
      <c r="O189" s="19">
        <v>2.7456999999999998</v>
      </c>
      <c r="P189" s="19">
        <v>2.0076329999999998</v>
      </c>
      <c r="Q189" s="19">
        <v>2.0848</v>
      </c>
      <c r="R189" s="19">
        <v>1.7286250000000001</v>
      </c>
      <c r="S189" s="19">
        <v>1.7639</v>
      </c>
      <c r="T189" s="19">
        <v>1.7286250000000001</v>
      </c>
      <c r="U189" s="19">
        <v>1.8460000000000001</v>
      </c>
      <c r="V189" s="19">
        <v>1.659999</v>
      </c>
      <c r="W189" s="19">
        <v>1.8540000000000001</v>
      </c>
      <c r="X189" s="19">
        <v>1.659999</v>
      </c>
      <c r="Y189" s="19">
        <v>1.8540000000000001</v>
      </c>
      <c r="Z189" s="4"/>
      <c r="AA189" s="4"/>
      <c r="AB189" s="4" t="e">
        <f ca="1">_xll.ciqfunctions.udf.CIQ("^SPX", "IQ_PRICEDATE", "9/22/2014")</f>
        <v>#NAME?</v>
      </c>
      <c r="AC189" s="16">
        <v>1994.2887580788999</v>
      </c>
    </row>
    <row r="190" spans="1:29" x14ac:dyDescent="0.35">
      <c r="A190" s="2" t="s">
        <v>200</v>
      </c>
      <c r="B190" s="4" t="s">
        <v>1025</v>
      </c>
      <c r="C190" s="4" t="s">
        <v>601</v>
      </c>
      <c r="D190" s="4" t="s">
        <v>601</v>
      </c>
      <c r="E190" s="4" t="s">
        <v>602</v>
      </c>
      <c r="F190" s="4" t="s">
        <v>1026</v>
      </c>
      <c r="G190" s="14">
        <v>122</v>
      </c>
      <c r="H190" s="10">
        <v>22.317208000000001</v>
      </c>
      <c r="I190" s="10">
        <v>32.213168000000003</v>
      </c>
      <c r="J190" s="10">
        <v>4.2561939999999998</v>
      </c>
      <c r="K190" s="15">
        <v>3.2786000000000003E-2</v>
      </c>
      <c r="L190" s="17">
        <v>8965.9389659999997</v>
      </c>
      <c r="M190" s="4" t="s">
        <v>1027</v>
      </c>
      <c r="N190" s="19">
        <v>3.7872710000000001</v>
      </c>
      <c r="O190" s="19">
        <v>3.3325</v>
      </c>
      <c r="P190" s="19">
        <v>3.97</v>
      </c>
      <c r="Q190" s="19">
        <v>3.1652999999999998</v>
      </c>
      <c r="R190" s="19">
        <v>3.5</v>
      </c>
      <c r="S190" s="19">
        <v>3.2105000000000001</v>
      </c>
      <c r="T190" s="19">
        <v>3.5</v>
      </c>
      <c r="U190" s="19">
        <v>3.1619999999999999</v>
      </c>
      <c r="V190" s="19">
        <v>2.41</v>
      </c>
      <c r="W190" s="19">
        <v>3.1360000000000001</v>
      </c>
      <c r="X190" s="19">
        <v>2.41</v>
      </c>
      <c r="Y190" s="19">
        <v>3.1360000000000001</v>
      </c>
      <c r="Z190" s="4"/>
      <c r="AA190" s="4"/>
      <c r="AB190" s="4" t="e">
        <f ca="1">_xll.ciqfunctions.udf.CIQ("^SPX", "IQ_PRICEDATE", "9/23/2014")</f>
        <v>#NAME?</v>
      </c>
      <c r="AC190" s="16">
        <v>1982.7654266515999</v>
      </c>
    </row>
    <row r="191" spans="1:29" x14ac:dyDescent="0.35">
      <c r="A191" s="2" t="s">
        <v>201</v>
      </c>
      <c r="B191" s="4" t="s">
        <v>1028</v>
      </c>
      <c r="C191" s="4" t="s">
        <v>525</v>
      </c>
      <c r="D191" s="4" t="s">
        <v>594</v>
      </c>
      <c r="E191" s="4" t="s">
        <v>779</v>
      </c>
      <c r="F191" s="4" t="s">
        <v>779</v>
      </c>
      <c r="G191" s="14">
        <v>223.46</v>
      </c>
      <c r="H191" s="10">
        <v>8.630198</v>
      </c>
      <c r="I191" s="10">
        <v>12.614414999999999</v>
      </c>
      <c r="J191" s="10">
        <v>4.7858619999999998</v>
      </c>
      <c r="K191" s="15">
        <v>1.1635E-2</v>
      </c>
      <c r="L191" s="17">
        <v>58885.253405000003</v>
      </c>
      <c r="M191" s="4" t="s">
        <v>1029</v>
      </c>
      <c r="N191" s="19">
        <v>17.714653999999999</v>
      </c>
      <c r="O191" s="19">
        <v>18.309899999999999</v>
      </c>
      <c r="P191" s="19">
        <v>10.857047</v>
      </c>
      <c r="Q191" s="19">
        <v>14.5974</v>
      </c>
      <c r="R191" s="19">
        <v>6.8045949999999999</v>
      </c>
      <c r="S191" s="19">
        <v>12.7448</v>
      </c>
      <c r="T191" s="19">
        <v>6.8045949999999999</v>
      </c>
      <c r="U191" s="19">
        <v>11.2727</v>
      </c>
      <c r="V191" s="19">
        <v>8.9849230000000002</v>
      </c>
      <c r="W191" s="19">
        <v>10.058999999999999</v>
      </c>
      <c r="X191" s="19">
        <v>8.9849230000000002</v>
      </c>
      <c r="Y191" s="19">
        <v>10.058999999999999</v>
      </c>
      <c r="Z191" s="4"/>
      <c r="AA191" s="4"/>
      <c r="AB191" s="4" t="e">
        <f ca="1">_xll.ciqfunctions.udf.CIQ("^SPX", "IQ_PRICEDATE", "9/24/2014")</f>
        <v>#NAME?</v>
      </c>
      <c r="AC191" s="16">
        <v>1998.3021538749999</v>
      </c>
    </row>
    <row r="192" spans="1:29" x14ac:dyDescent="0.35">
      <c r="A192" s="2" t="s">
        <v>202</v>
      </c>
      <c r="B192" s="4" t="s">
        <v>1030</v>
      </c>
      <c r="C192" s="4" t="s">
        <v>543</v>
      </c>
      <c r="D192" s="4" t="s">
        <v>544</v>
      </c>
      <c r="E192" s="4" t="s">
        <v>545</v>
      </c>
      <c r="F192" s="4" t="s">
        <v>616</v>
      </c>
      <c r="G192" s="14">
        <v>104.87</v>
      </c>
      <c r="H192" s="10">
        <v>16.803070999999999</v>
      </c>
      <c r="I192" s="10">
        <v>24.400873000000001</v>
      </c>
      <c r="J192" s="10" t="s">
        <v>534</v>
      </c>
      <c r="K192" s="15">
        <v>1.2204999999999999E-2</v>
      </c>
      <c r="L192" s="17">
        <v>34483.424081999998</v>
      </c>
      <c r="M192" s="4" t="s">
        <v>1031</v>
      </c>
      <c r="N192" s="19">
        <v>4.2977970000000001</v>
      </c>
      <c r="O192" s="19">
        <v>5.5087999999999999</v>
      </c>
      <c r="P192" s="19">
        <v>3.93</v>
      </c>
      <c r="Q192" s="19">
        <v>4.7202999999999999</v>
      </c>
      <c r="R192" s="19">
        <v>1.72</v>
      </c>
      <c r="S192" s="19">
        <v>4.1878000000000002</v>
      </c>
      <c r="T192" s="19">
        <v>1.72</v>
      </c>
      <c r="U192" s="19">
        <v>3.6000999999999999</v>
      </c>
      <c r="V192" s="19">
        <v>2.39</v>
      </c>
      <c r="W192" s="19">
        <v>3.3702999999999999</v>
      </c>
      <c r="X192" s="19">
        <v>2.39</v>
      </c>
      <c r="Y192" s="19">
        <v>3.3702999999999999</v>
      </c>
      <c r="Z192" s="4"/>
      <c r="AA192" s="4"/>
      <c r="AB192" s="4" t="e">
        <f ca="1">_xll.ciqfunctions.udf.CIQ("^SPX", "IQ_PRICEDATE", "9/25/2014")</f>
        <v>#NAME?</v>
      </c>
      <c r="AC192" s="16">
        <v>1965.9897033397999</v>
      </c>
    </row>
    <row r="193" spans="1:29" x14ac:dyDescent="0.35">
      <c r="A193" s="2" t="s">
        <v>203</v>
      </c>
      <c r="B193" s="4" t="s">
        <v>1032</v>
      </c>
      <c r="C193" s="4" t="s">
        <v>573</v>
      </c>
      <c r="D193" s="4" t="s">
        <v>737</v>
      </c>
      <c r="E193" s="4" t="s">
        <v>737</v>
      </c>
      <c r="F193" s="4" t="s">
        <v>743</v>
      </c>
      <c r="G193" s="14">
        <v>27.03</v>
      </c>
      <c r="H193" s="10">
        <v>0</v>
      </c>
      <c r="I193" s="10">
        <v>7.1141519999999998</v>
      </c>
      <c r="J193" s="10">
        <v>1.4772110000000001</v>
      </c>
      <c r="K193" s="15">
        <v>2.6637000000000001E-2</v>
      </c>
      <c r="L193" s="17">
        <v>18011.1702</v>
      </c>
      <c r="M193" s="4" t="s">
        <v>1033</v>
      </c>
      <c r="N193" s="19">
        <v>3.7994690000000002</v>
      </c>
      <c r="O193" s="19">
        <v>2.5295999999999998</v>
      </c>
      <c r="P193" s="19">
        <v>2.8311380000000002</v>
      </c>
      <c r="Q193" s="19">
        <v>1.9758</v>
      </c>
      <c r="R193" s="19">
        <v>1.929999</v>
      </c>
      <c r="S193" s="19">
        <v>1.7267999999999999</v>
      </c>
      <c r="T193" s="19">
        <v>1.929999</v>
      </c>
      <c r="U193" s="19">
        <v>1.6577999999999999</v>
      </c>
      <c r="V193" s="19">
        <v>1.66</v>
      </c>
      <c r="W193" s="19">
        <v>1.7027000000000001</v>
      </c>
      <c r="X193" s="19">
        <v>1.66</v>
      </c>
      <c r="Y193" s="19">
        <v>1.7027000000000001</v>
      </c>
      <c r="Z193" s="4"/>
      <c r="AA193" s="4"/>
      <c r="AB193" s="4" t="e">
        <f ca="1">_xll.ciqfunctions.udf.CIQ("^SPX", "IQ_PRICEDATE", "9/26/2014")</f>
        <v>#NAME?</v>
      </c>
      <c r="AC193" s="16">
        <v>1982.8459381288999</v>
      </c>
    </row>
    <row r="194" spans="1:29" x14ac:dyDescent="0.35">
      <c r="A194" s="2" t="s">
        <v>204</v>
      </c>
      <c r="B194" s="4" t="s">
        <v>1034</v>
      </c>
      <c r="C194" s="4" t="s">
        <v>619</v>
      </c>
      <c r="D194" s="4" t="s">
        <v>619</v>
      </c>
      <c r="E194" s="4" t="s">
        <v>620</v>
      </c>
      <c r="F194" s="4" t="s">
        <v>620</v>
      </c>
      <c r="G194" s="14">
        <v>37.92</v>
      </c>
      <c r="H194" s="10">
        <v>8.8599890000000006</v>
      </c>
      <c r="I194" s="10" t="s">
        <v>534</v>
      </c>
      <c r="J194" s="10">
        <v>9.4358120000000003</v>
      </c>
      <c r="K194" s="15">
        <v>3.7974000000000001E-2</v>
      </c>
      <c r="L194" s="17">
        <v>18429.935242</v>
      </c>
      <c r="M194" s="4" t="s">
        <v>1035</v>
      </c>
      <c r="N194" s="19">
        <v>-4.4685459999999999</v>
      </c>
      <c r="O194" s="19">
        <v>2.4723999999999999</v>
      </c>
      <c r="P194" s="19">
        <v>-3.8828819999999999</v>
      </c>
      <c r="Q194" s="19">
        <v>2.6896</v>
      </c>
      <c r="R194" s="19">
        <v>-14.5</v>
      </c>
      <c r="S194" s="19">
        <v>2.5583</v>
      </c>
      <c r="T194" s="19">
        <v>-14.5</v>
      </c>
      <c r="U194" s="19">
        <v>2.9411</v>
      </c>
      <c r="V194" s="19">
        <v>0.50714199999999998</v>
      </c>
      <c r="W194" s="19">
        <v>2.8877000000000002</v>
      </c>
      <c r="X194" s="19">
        <v>0.50714199999999998</v>
      </c>
      <c r="Y194" s="19">
        <v>2.8877000000000002</v>
      </c>
      <c r="Z194" s="4"/>
      <c r="AA194" s="4"/>
      <c r="AB194" s="4" t="e">
        <f ca="1">_xll.ciqfunctions.udf.CIQ("^SPX", "IQ_PRICEDATE", "9/29/2014")</f>
        <v>#NAME?</v>
      </c>
      <c r="AC194" s="16">
        <v>1977.8010672518999</v>
      </c>
    </row>
    <row r="195" spans="1:29" x14ac:dyDescent="0.35">
      <c r="A195" s="2" t="s">
        <v>205</v>
      </c>
      <c r="B195" s="4" t="s">
        <v>1036</v>
      </c>
      <c r="C195" s="4" t="s">
        <v>543</v>
      </c>
      <c r="D195" s="4" t="s">
        <v>544</v>
      </c>
      <c r="E195" s="4" t="s">
        <v>545</v>
      </c>
      <c r="F195" s="4" t="s">
        <v>616</v>
      </c>
      <c r="G195" s="14">
        <v>79.06</v>
      </c>
      <c r="H195" s="10">
        <v>19.587291</v>
      </c>
      <c r="I195" s="10">
        <v>23.296752000000001</v>
      </c>
      <c r="J195" s="10" t="s">
        <v>534</v>
      </c>
      <c r="K195" s="15">
        <v>0</v>
      </c>
      <c r="L195" s="17">
        <v>32013.536051999999</v>
      </c>
      <c r="M195" s="4" t="s">
        <v>1037</v>
      </c>
      <c r="N195" s="19">
        <v>3.3936060000000001</v>
      </c>
      <c r="O195" s="19">
        <v>3.3001999999999998</v>
      </c>
      <c r="P195" s="19">
        <v>2.855</v>
      </c>
      <c r="Q195" s="19">
        <v>2.7753000000000001</v>
      </c>
      <c r="R195" s="19">
        <v>2.0750000000000002</v>
      </c>
      <c r="S195" s="19">
        <v>2.4135</v>
      </c>
      <c r="T195" s="19">
        <v>2.0750000000000002</v>
      </c>
      <c r="U195" s="19">
        <v>2.0950000000000002</v>
      </c>
      <c r="V195" s="19">
        <v>1.4950000000000001</v>
      </c>
      <c r="W195" s="19">
        <v>1.8223</v>
      </c>
      <c r="X195" s="19">
        <v>1.4950000000000001</v>
      </c>
      <c r="Y195" s="19">
        <v>1.8223</v>
      </c>
      <c r="Z195" s="4"/>
      <c r="AA195" s="4"/>
      <c r="AB195" s="4" t="e">
        <f ca="1">_xll.ciqfunctions.udf.CIQ("^SPX", "IQ_PRICEDATE", "9/30/2014")</f>
        <v>#NAME?</v>
      </c>
      <c r="AC195" s="16">
        <v>1972.28514505</v>
      </c>
    </row>
    <row r="196" spans="1:29" x14ac:dyDescent="0.35">
      <c r="A196" s="2" t="s">
        <v>206</v>
      </c>
      <c r="B196" s="4" t="s">
        <v>1038</v>
      </c>
      <c r="C196" s="4" t="s">
        <v>543</v>
      </c>
      <c r="D196" s="4" t="s">
        <v>544</v>
      </c>
      <c r="E196" s="4" t="s">
        <v>545</v>
      </c>
      <c r="F196" s="4" t="s">
        <v>616</v>
      </c>
      <c r="G196" s="14">
        <v>212.89</v>
      </c>
      <c r="H196" s="10">
        <v>18.159928000000001</v>
      </c>
      <c r="I196" s="10">
        <v>23.627600000000001</v>
      </c>
      <c r="J196" s="10" t="s">
        <v>534</v>
      </c>
      <c r="K196" s="15">
        <v>0</v>
      </c>
      <c r="L196" s="17">
        <v>18817.037345000001</v>
      </c>
      <c r="M196" s="4" t="s">
        <v>1039</v>
      </c>
      <c r="N196" s="19">
        <v>9.0102250000000002</v>
      </c>
      <c r="O196" s="19">
        <v>11.138</v>
      </c>
      <c r="P196" s="19">
        <v>7.91</v>
      </c>
      <c r="Q196" s="19">
        <v>9.4730000000000008</v>
      </c>
      <c r="R196" s="19">
        <v>4.75</v>
      </c>
      <c r="S196" s="19">
        <v>7.8821000000000003</v>
      </c>
      <c r="T196" s="19">
        <v>4.75</v>
      </c>
      <c r="U196" s="19">
        <v>6.8907999999999996</v>
      </c>
      <c r="V196" s="19">
        <v>4.24</v>
      </c>
      <c r="W196" s="19">
        <v>6.0678999999999998</v>
      </c>
      <c r="X196" s="19">
        <v>4.24</v>
      </c>
      <c r="Y196" s="19">
        <v>6.0678999999999998</v>
      </c>
      <c r="Z196" s="4"/>
      <c r="AA196" s="4"/>
      <c r="AB196" s="4" t="e">
        <f ca="1">_xll.ciqfunctions.udf.CIQ("^SPX", "IQ_PRICEDATE", "10/1/2014")</f>
        <v>#NAME?</v>
      </c>
      <c r="AC196" s="16">
        <v>1946.1608292694</v>
      </c>
    </row>
    <row r="197" spans="1:29" x14ac:dyDescent="0.35">
      <c r="A197" s="2" t="s">
        <v>207</v>
      </c>
      <c r="B197" s="4" t="s">
        <v>1040</v>
      </c>
      <c r="C197" s="4" t="s">
        <v>543</v>
      </c>
      <c r="D197" s="4" t="s">
        <v>664</v>
      </c>
      <c r="E197" s="4" t="s">
        <v>665</v>
      </c>
      <c r="F197" s="4" t="s">
        <v>1041</v>
      </c>
      <c r="G197" s="14">
        <v>57.38</v>
      </c>
      <c r="H197" s="10">
        <v>19.104572000000001</v>
      </c>
      <c r="I197" s="10">
        <v>64.862982000000002</v>
      </c>
      <c r="J197" s="10">
        <v>10.855072</v>
      </c>
      <c r="K197" s="15">
        <v>1.1153E-2</v>
      </c>
      <c r="L197" s="17">
        <v>7919.563099</v>
      </c>
      <c r="M197" s="4" t="s">
        <v>1042</v>
      </c>
      <c r="N197" s="19">
        <v>0.88463400000000003</v>
      </c>
      <c r="O197" s="19">
        <v>2.3037999999999998</v>
      </c>
      <c r="P197" s="19">
        <v>0.77</v>
      </c>
      <c r="Q197" s="19">
        <v>2.0055999999999998</v>
      </c>
      <c r="R197" s="19">
        <v>1.2</v>
      </c>
      <c r="S197" s="19">
        <v>1.7371000000000001</v>
      </c>
      <c r="T197" s="19">
        <v>1.2</v>
      </c>
      <c r="U197" s="19">
        <v>1.6857</v>
      </c>
      <c r="V197" s="19">
        <v>1.39</v>
      </c>
      <c r="W197" s="19">
        <v>1.619</v>
      </c>
      <c r="X197" s="19">
        <v>1.39</v>
      </c>
      <c r="Y197" s="19">
        <v>1.619</v>
      </c>
      <c r="Z197" s="4"/>
      <c r="AA197" s="4"/>
      <c r="AB197" s="4" t="e">
        <f ca="1">_xll.ciqfunctions.udf.CIQ("^SPX", "IQ_PRICEDATE", "10/2/2014")</f>
        <v>#NAME?</v>
      </c>
      <c r="AC197" s="16">
        <v>1946.1668289931999</v>
      </c>
    </row>
    <row r="198" spans="1:29" x14ac:dyDescent="0.35">
      <c r="A198" s="2" t="s">
        <v>208</v>
      </c>
      <c r="B198" s="4" t="s">
        <v>1043</v>
      </c>
      <c r="C198" s="4" t="s">
        <v>525</v>
      </c>
      <c r="D198" s="4" t="s">
        <v>526</v>
      </c>
      <c r="E198" s="4" t="s">
        <v>803</v>
      </c>
      <c r="F198" s="4" t="s">
        <v>948</v>
      </c>
      <c r="G198" s="14">
        <v>51.52</v>
      </c>
      <c r="H198" s="10">
        <v>18.082388000000002</v>
      </c>
      <c r="I198" s="10" t="s">
        <v>534</v>
      </c>
      <c r="J198" s="10">
        <v>31.352444999999999</v>
      </c>
      <c r="K198" s="15">
        <v>1.4751E-2</v>
      </c>
      <c r="L198" s="17">
        <v>6741.525952</v>
      </c>
      <c r="M198" s="4" t="s">
        <v>1044</v>
      </c>
      <c r="N198" s="19">
        <v>-0.22873299999999999</v>
      </c>
      <c r="O198" s="19">
        <v>1.9103000000000001</v>
      </c>
      <c r="P198" s="19">
        <v>0.02</v>
      </c>
      <c r="Q198" s="19">
        <v>1.7213000000000001</v>
      </c>
      <c r="R198" s="19">
        <v>1.01</v>
      </c>
      <c r="S198" s="19">
        <v>2.1114000000000002</v>
      </c>
      <c r="T198" s="19">
        <v>1.01</v>
      </c>
      <c r="U198" s="19">
        <v>3.0177</v>
      </c>
      <c r="V198" s="19">
        <v>3.72</v>
      </c>
      <c r="W198" s="19">
        <v>3.9249999999999998</v>
      </c>
      <c r="X198" s="19">
        <v>3.72</v>
      </c>
      <c r="Y198" s="19">
        <v>3.9249999999999998</v>
      </c>
      <c r="Z198" s="4"/>
      <c r="AA198" s="4"/>
      <c r="AB198" s="4" t="e">
        <f ca="1">_xll.ciqfunctions.udf.CIQ("^SPX", "IQ_PRICEDATE", "10/3/2014")</f>
        <v>#NAME?</v>
      </c>
      <c r="AC198" s="16">
        <v>1967.9020787575</v>
      </c>
    </row>
    <row r="199" spans="1:29" x14ac:dyDescent="0.35">
      <c r="A199" s="2" t="s">
        <v>209</v>
      </c>
      <c r="B199" s="4" t="s">
        <v>1045</v>
      </c>
      <c r="C199" s="4" t="s">
        <v>525</v>
      </c>
      <c r="D199" s="4" t="s">
        <v>526</v>
      </c>
      <c r="E199" s="4" t="s">
        <v>1046</v>
      </c>
      <c r="F199" s="4" t="s">
        <v>1046</v>
      </c>
      <c r="G199" s="14">
        <v>46.74</v>
      </c>
      <c r="H199" s="10">
        <v>8.4956359999999993</v>
      </c>
      <c r="I199" s="10">
        <v>26.122253000000001</v>
      </c>
      <c r="J199" s="10">
        <v>2.6463519999999998</v>
      </c>
      <c r="K199" s="15">
        <v>1.7971000000000001E-2</v>
      </c>
      <c r="L199" s="17">
        <v>6572.5307050000001</v>
      </c>
      <c r="M199" s="4" t="s">
        <v>1047</v>
      </c>
      <c r="N199" s="19">
        <v>1.7892790000000001</v>
      </c>
      <c r="O199" s="19">
        <v>2.7768000000000002</v>
      </c>
      <c r="P199" s="19">
        <v>1.36</v>
      </c>
      <c r="Q199" s="19">
        <v>2.4192</v>
      </c>
      <c r="R199" s="19">
        <v>2</v>
      </c>
      <c r="S199" s="19">
        <v>3.0295999999999998</v>
      </c>
      <c r="T199" s="19">
        <v>2</v>
      </c>
      <c r="U199" s="19">
        <v>3.7012999999999998</v>
      </c>
      <c r="V199" s="19">
        <v>4.4800000000000004</v>
      </c>
      <c r="W199" s="19">
        <v>4.5789999999999997</v>
      </c>
      <c r="X199" s="19">
        <v>4.4800000000000004</v>
      </c>
      <c r="Y199" s="19">
        <v>4.5789999999999997</v>
      </c>
      <c r="Z199" s="4"/>
      <c r="AA199" s="4"/>
      <c r="AB199" s="4" t="e">
        <f ca="1">_xll.ciqfunctions.udf.CIQ("^SPX", "IQ_PRICEDATE", "10/6/2014")</f>
        <v>#NAME?</v>
      </c>
      <c r="AC199" s="16">
        <v>1964.8246437980999</v>
      </c>
    </row>
    <row r="200" spans="1:29" x14ac:dyDescent="0.35">
      <c r="A200" s="2" t="s">
        <v>210</v>
      </c>
      <c r="B200" s="4" t="s">
        <v>1048</v>
      </c>
      <c r="C200" s="4" t="s">
        <v>586</v>
      </c>
      <c r="D200" s="4" t="s">
        <v>586</v>
      </c>
      <c r="E200" s="4" t="s">
        <v>587</v>
      </c>
      <c r="F200" s="4" t="s">
        <v>830</v>
      </c>
      <c r="G200" s="14">
        <v>83.62</v>
      </c>
      <c r="H200" s="10">
        <v>12.268874</v>
      </c>
      <c r="I200" s="10">
        <v>51.965871999999997</v>
      </c>
      <c r="J200" s="10" t="s">
        <v>534</v>
      </c>
      <c r="K200" s="15">
        <v>7.8919999999999997E-3</v>
      </c>
      <c r="L200" s="17">
        <v>11257.731333</v>
      </c>
      <c r="M200" s="4" t="s">
        <v>1049</v>
      </c>
      <c r="N200" s="19">
        <v>1.6091329999999999</v>
      </c>
      <c r="O200" s="19">
        <v>6.4019000000000004</v>
      </c>
      <c r="P200" s="19">
        <v>-0.64</v>
      </c>
      <c r="Q200" s="19">
        <v>4.6971999999999996</v>
      </c>
      <c r="R200" s="19">
        <v>0.95376799999999995</v>
      </c>
      <c r="S200" s="19">
        <v>3.2039</v>
      </c>
      <c r="T200" s="19">
        <v>0.95376799999999995</v>
      </c>
      <c r="U200" s="19">
        <v>2.8307000000000002</v>
      </c>
      <c r="V200" s="19">
        <v>2.1820179999999998</v>
      </c>
      <c r="W200" s="19">
        <v>4.1289999999999996</v>
      </c>
      <c r="X200" s="19">
        <v>2.1820179999999998</v>
      </c>
      <c r="Y200" s="19">
        <v>4.1289999999999996</v>
      </c>
      <c r="Z200" s="4"/>
      <c r="AA200" s="4"/>
      <c r="AB200" s="4" t="e">
        <f ca="1">_xll.ciqfunctions.udf.CIQ("^SPX", "IQ_PRICEDATE", "10/7/2014")</f>
        <v>#NAME?</v>
      </c>
      <c r="AC200" s="16">
        <v>1935.0991107952</v>
      </c>
    </row>
    <row r="201" spans="1:29" x14ac:dyDescent="0.35">
      <c r="A201" s="2" t="s">
        <v>211</v>
      </c>
      <c r="B201" s="4" t="s">
        <v>1050</v>
      </c>
      <c r="C201" s="4" t="s">
        <v>559</v>
      </c>
      <c r="D201" s="4" t="s">
        <v>560</v>
      </c>
      <c r="E201" s="4" t="s">
        <v>561</v>
      </c>
      <c r="F201" s="4" t="s">
        <v>1051</v>
      </c>
      <c r="G201" s="14">
        <v>48.984999999999999</v>
      </c>
      <c r="H201" s="10">
        <v>5.2743140000000004</v>
      </c>
      <c r="I201" s="10">
        <v>19.444202000000001</v>
      </c>
      <c r="J201" s="10">
        <v>2.4875470000000002</v>
      </c>
      <c r="K201" s="15">
        <v>2.7974000000000002E-2</v>
      </c>
      <c r="L201" s="17">
        <v>5667.8208640000003</v>
      </c>
      <c r="M201" s="4" t="s">
        <v>1052</v>
      </c>
      <c r="N201" s="19">
        <v>2.5370029999999999</v>
      </c>
      <c r="O201" s="19">
        <v>4.6399999999999997</v>
      </c>
      <c r="P201" s="19">
        <v>3.9729559999999999</v>
      </c>
      <c r="Q201" s="19">
        <v>4.0750999999999999</v>
      </c>
      <c r="R201" s="19">
        <v>4.6323230000000004</v>
      </c>
      <c r="S201" s="19">
        <v>5.0991999999999997</v>
      </c>
      <c r="T201" s="19">
        <v>4.6323230000000004</v>
      </c>
      <c r="U201" s="19">
        <v>4.6013000000000002</v>
      </c>
      <c r="V201" s="19">
        <v>3.3614890000000002</v>
      </c>
      <c r="W201" s="19">
        <v>3.8348</v>
      </c>
      <c r="X201" s="19">
        <v>3.3614890000000002</v>
      </c>
      <c r="Y201" s="19">
        <v>3.8348</v>
      </c>
      <c r="Z201" s="4"/>
      <c r="AA201" s="4"/>
      <c r="AB201" s="4" t="e">
        <f ca="1">_xll.ciqfunctions.udf.CIQ("^SPX", "IQ_PRICEDATE", "10/8/2014")</f>
        <v>#NAME?</v>
      </c>
      <c r="AC201" s="16">
        <v>1968.8892822498999</v>
      </c>
    </row>
    <row r="202" spans="1:29" x14ac:dyDescent="0.35">
      <c r="A202" s="2" t="s">
        <v>212</v>
      </c>
      <c r="B202" s="4" t="s">
        <v>1053</v>
      </c>
      <c r="C202" s="4" t="s">
        <v>559</v>
      </c>
      <c r="D202" s="4" t="s">
        <v>694</v>
      </c>
      <c r="E202" s="4" t="s">
        <v>1054</v>
      </c>
      <c r="F202" s="4" t="s">
        <v>1055</v>
      </c>
      <c r="G202" s="14">
        <v>8.76</v>
      </c>
      <c r="H202" s="10">
        <v>11.090411</v>
      </c>
      <c r="I202" s="10">
        <v>5.1834309999999997</v>
      </c>
      <c r="J202" s="10">
        <v>0.95812299999999995</v>
      </c>
      <c r="K202" s="15">
        <v>6.8492999999999998E-2</v>
      </c>
      <c r="L202" s="17">
        <v>34914.964473</v>
      </c>
      <c r="M202" s="4" t="s">
        <v>1056</v>
      </c>
      <c r="N202" s="19">
        <v>1.69</v>
      </c>
      <c r="O202" s="19">
        <v>1.3078000000000001</v>
      </c>
      <c r="P202" s="19">
        <v>1.9</v>
      </c>
      <c r="Q202" s="19">
        <v>1.6795</v>
      </c>
      <c r="R202" s="19">
        <v>1.1499999999999999</v>
      </c>
      <c r="S202" s="19">
        <v>1.6519999999999999</v>
      </c>
      <c r="T202" s="19">
        <v>1.1499999999999999</v>
      </c>
      <c r="U202" s="19">
        <v>1.9735</v>
      </c>
      <c r="V202" s="19">
        <v>0.31</v>
      </c>
      <c r="W202" s="19">
        <v>1.5533999999999999</v>
      </c>
      <c r="X202" s="19">
        <v>0.31</v>
      </c>
      <c r="Y202" s="19">
        <v>1.5533999999999999</v>
      </c>
      <c r="Z202" s="4"/>
      <c r="AA202" s="4"/>
      <c r="AB202" s="4" t="e">
        <f ca="1">_xll.ciqfunctions.udf.CIQ("^SPX", "IQ_PRICEDATE", "10/9/2014")</f>
        <v>#NAME?</v>
      </c>
      <c r="AC202" s="16">
        <v>1928.2076767870001</v>
      </c>
    </row>
    <row r="203" spans="1:29" x14ac:dyDescent="0.35">
      <c r="A203" s="2" t="s">
        <v>213</v>
      </c>
      <c r="B203" s="4" t="s">
        <v>1057</v>
      </c>
      <c r="C203" s="4" t="s">
        <v>543</v>
      </c>
      <c r="D203" s="4" t="s">
        <v>544</v>
      </c>
      <c r="E203" s="4" t="s">
        <v>555</v>
      </c>
      <c r="F203" s="4" t="s">
        <v>782</v>
      </c>
      <c r="G203" s="14">
        <v>81.66</v>
      </c>
      <c r="H203" s="10">
        <v>57.406658999999998</v>
      </c>
      <c r="I203" s="10">
        <v>159.52053900000001</v>
      </c>
      <c r="J203" s="10">
        <v>18.809512999999999</v>
      </c>
      <c r="K203" s="15">
        <v>0</v>
      </c>
      <c r="L203" s="17">
        <v>13811.72399</v>
      </c>
      <c r="M203" s="4" t="s">
        <v>1058</v>
      </c>
      <c r="N203" s="19">
        <v>0.51190899999999995</v>
      </c>
      <c r="O203" s="19">
        <v>1.7788999999999999</v>
      </c>
      <c r="P203" s="19">
        <v>0.18</v>
      </c>
      <c r="Q203" s="19">
        <v>1.1189</v>
      </c>
      <c r="R203" s="19">
        <v>0.18</v>
      </c>
      <c r="S203" s="19">
        <v>0.74650000000000005</v>
      </c>
      <c r="T203" s="19">
        <v>0.18</v>
      </c>
      <c r="U203" s="19">
        <v>0.63109999999999999</v>
      </c>
      <c r="V203" s="19">
        <v>0.15</v>
      </c>
      <c r="W203" s="19">
        <v>0.54530000000000001</v>
      </c>
      <c r="X203" s="19">
        <v>0.15</v>
      </c>
      <c r="Y203" s="19">
        <v>0.54530000000000001</v>
      </c>
      <c r="Z203" s="4"/>
      <c r="AA203" s="4"/>
      <c r="AB203" s="4" t="e">
        <f ca="1">_xll.ciqfunctions.udf.CIQ("^SPX", "IQ_PRICEDATE", "10/10/2014")</f>
        <v>#NAME?</v>
      </c>
      <c r="AC203" s="16">
        <v>1906.1296827210001</v>
      </c>
    </row>
    <row r="204" spans="1:29" x14ac:dyDescent="0.35">
      <c r="A204" s="2" t="s">
        <v>214</v>
      </c>
      <c r="B204" s="4" t="s">
        <v>1059</v>
      </c>
      <c r="C204" s="4" t="s">
        <v>525</v>
      </c>
      <c r="D204" s="4" t="s">
        <v>526</v>
      </c>
      <c r="E204" s="4" t="s">
        <v>803</v>
      </c>
      <c r="F204" s="4" t="s">
        <v>948</v>
      </c>
      <c r="G204" s="14">
        <v>80.22</v>
      </c>
      <c r="H204" s="10">
        <v>16.869975</v>
      </c>
      <c r="I204" s="10">
        <v>24.466991</v>
      </c>
      <c r="J204" s="10" t="s">
        <v>534</v>
      </c>
      <c r="K204" s="15">
        <v>3.4899999999999996E-3</v>
      </c>
      <c r="L204" s="17">
        <v>26768.379402999999</v>
      </c>
      <c r="M204" s="4" t="s">
        <v>1060</v>
      </c>
      <c r="N204" s="19">
        <v>3.2787030000000001</v>
      </c>
      <c r="O204" s="19">
        <v>3.5583</v>
      </c>
      <c r="P204" s="19">
        <v>2.96</v>
      </c>
      <c r="Q204" s="19">
        <v>3.1240000000000001</v>
      </c>
      <c r="R204" s="19">
        <v>2.5099999999999998</v>
      </c>
      <c r="S204" s="19">
        <v>2.6353</v>
      </c>
      <c r="T204" s="19">
        <v>2.5099999999999998</v>
      </c>
      <c r="U204" s="19">
        <v>0</v>
      </c>
      <c r="V204" s="19">
        <v>2.5590959999999998</v>
      </c>
      <c r="W204" s="19">
        <v>0</v>
      </c>
      <c r="X204" s="19">
        <v>2.5590959999999998</v>
      </c>
      <c r="Y204" s="19">
        <v>0</v>
      </c>
      <c r="Z204" s="4"/>
      <c r="AA204" s="4"/>
      <c r="AB204" s="4" t="e">
        <f ca="1">_xll.ciqfunctions.udf.CIQ("^SPX", "IQ_PRICEDATE", "10/13/2014")</f>
        <v>#NAME?</v>
      </c>
      <c r="AC204" s="16">
        <v>1874.7355245566</v>
      </c>
    </row>
    <row r="205" spans="1:29" x14ac:dyDescent="0.35">
      <c r="A205" s="2" t="s">
        <v>215</v>
      </c>
      <c r="B205" s="4" t="s">
        <v>1061</v>
      </c>
      <c r="C205" s="4" t="s">
        <v>525</v>
      </c>
      <c r="D205" s="4" t="s">
        <v>526</v>
      </c>
      <c r="E205" s="4" t="s">
        <v>527</v>
      </c>
      <c r="F205" s="4" t="s">
        <v>527</v>
      </c>
      <c r="G205" s="14">
        <v>48.06</v>
      </c>
      <c r="H205" s="10">
        <v>10.173107</v>
      </c>
      <c r="I205" s="10">
        <v>15.826988999999999</v>
      </c>
      <c r="J205" s="10" t="s">
        <v>534</v>
      </c>
      <c r="K205" s="15">
        <v>1.6645E-2</v>
      </c>
      <c r="L205" s="17">
        <v>6844.689292</v>
      </c>
      <c r="M205" s="4" t="s">
        <v>1062</v>
      </c>
      <c r="N205" s="19">
        <v>3.0365850000000001</v>
      </c>
      <c r="O205" s="19">
        <v>3.9361999999999999</v>
      </c>
      <c r="P205" s="19">
        <v>3.05</v>
      </c>
      <c r="Q205" s="19">
        <v>3.3161999999999998</v>
      </c>
      <c r="R205" s="19">
        <v>2.61</v>
      </c>
      <c r="S205" s="19">
        <v>2.9676999999999998</v>
      </c>
      <c r="T205" s="19">
        <v>2.61</v>
      </c>
      <c r="U205" s="19">
        <v>2.4134000000000002</v>
      </c>
      <c r="V205" s="19">
        <v>1.64</v>
      </c>
      <c r="W205" s="19">
        <v>2.2147999999999999</v>
      </c>
      <c r="X205" s="19">
        <v>1.64</v>
      </c>
      <c r="Y205" s="19">
        <v>2.2147999999999999</v>
      </c>
      <c r="Z205" s="4"/>
      <c r="AA205" s="4"/>
      <c r="AB205" s="4" t="e">
        <f ca="1">_xll.ciqfunctions.udf.CIQ("^SPX", "IQ_PRICEDATE", "10/14/2014")</f>
        <v>#NAME?</v>
      </c>
      <c r="AC205" s="16">
        <v>1877.6980893514001</v>
      </c>
    </row>
    <row r="206" spans="1:29" x14ac:dyDescent="0.35">
      <c r="A206" s="2" t="s">
        <v>216</v>
      </c>
      <c r="B206" s="4" t="s">
        <v>1063</v>
      </c>
      <c r="C206" s="4" t="s">
        <v>573</v>
      </c>
      <c r="D206" s="4" t="s">
        <v>574</v>
      </c>
      <c r="E206" s="4" t="s">
        <v>575</v>
      </c>
      <c r="F206" s="4" t="s">
        <v>576</v>
      </c>
      <c r="G206" s="14">
        <v>29.89</v>
      </c>
      <c r="H206" s="10">
        <v>3.8271169999999999</v>
      </c>
      <c r="I206" s="10">
        <v>24.524041</v>
      </c>
      <c r="J206" s="10">
        <v>2.1056889999999999</v>
      </c>
      <c r="K206" s="15">
        <v>3.0779000000000001E-2</v>
      </c>
      <c r="L206" s="17">
        <v>15753.771182</v>
      </c>
      <c r="M206" s="4" t="s">
        <v>1064</v>
      </c>
      <c r="N206" s="19">
        <v>1.218804</v>
      </c>
      <c r="O206" s="19">
        <v>2.9811000000000001</v>
      </c>
      <c r="P206" s="19">
        <v>1.1938040000000001</v>
      </c>
      <c r="Q206" s="19">
        <v>2.9167000000000001</v>
      </c>
      <c r="R206" s="19">
        <v>2.9667780000000001</v>
      </c>
      <c r="S206" s="19">
        <v>2.68207</v>
      </c>
      <c r="T206" s="19">
        <v>2.9667780000000001</v>
      </c>
      <c r="U206" s="19">
        <v>3.0409700000000002</v>
      </c>
      <c r="V206" s="19">
        <v>3.7400679999999999</v>
      </c>
      <c r="W206" s="19">
        <v>3.8366699999999998</v>
      </c>
      <c r="X206" s="19">
        <v>3.7400679999999999</v>
      </c>
      <c r="Y206" s="19">
        <v>3.8366699999999998</v>
      </c>
      <c r="Z206" s="4"/>
      <c r="AA206" s="4"/>
      <c r="AB206" s="4" t="e">
        <f ca="1">_xll.ciqfunctions.udf.CIQ("^SPX", "IQ_PRICEDATE", "10/15/2014")</f>
        <v>#NAME?</v>
      </c>
      <c r="AC206" s="16">
        <v>1862.4911375250001</v>
      </c>
    </row>
    <row r="207" spans="1:29" x14ac:dyDescent="0.35">
      <c r="A207" s="2" t="s">
        <v>217</v>
      </c>
      <c r="B207" s="4" t="s">
        <v>1065</v>
      </c>
      <c r="C207" s="4" t="s">
        <v>586</v>
      </c>
      <c r="D207" s="4" t="s">
        <v>586</v>
      </c>
      <c r="E207" s="4" t="s">
        <v>1066</v>
      </c>
      <c r="F207" s="4" t="s">
        <v>1067</v>
      </c>
      <c r="G207" s="14">
        <v>12.4</v>
      </c>
      <c r="H207" s="10">
        <v>3.7355580000000002</v>
      </c>
      <c r="I207" s="10">
        <v>6.2633219999999996</v>
      </c>
      <c r="J207" s="10">
        <v>1.8965160000000001</v>
      </c>
      <c r="K207" s="15">
        <v>1.6129000000000001E-2</v>
      </c>
      <c r="L207" s="17">
        <v>17967.634905999999</v>
      </c>
      <c r="M207" s="4" t="s">
        <v>1068</v>
      </c>
      <c r="N207" s="19">
        <v>1.9797800000000001</v>
      </c>
      <c r="O207" s="19">
        <v>1.0989</v>
      </c>
      <c r="P207" s="19">
        <v>1.21</v>
      </c>
      <c r="Q207" s="19">
        <v>1.7296</v>
      </c>
      <c r="R207" s="19">
        <v>-2.96</v>
      </c>
      <c r="S207" s="19">
        <v>1.327</v>
      </c>
      <c r="T207" s="19">
        <v>-2.96</v>
      </c>
      <c r="U207" s="19">
        <v>0.66510000000000002</v>
      </c>
      <c r="V207" s="19">
        <v>-1.37</v>
      </c>
      <c r="W207" s="19">
        <v>1.8766</v>
      </c>
      <c r="X207" s="19">
        <v>-1.37</v>
      </c>
      <c r="Y207" s="19">
        <v>1.8766</v>
      </c>
      <c r="Z207" s="4"/>
      <c r="AA207" s="4"/>
      <c r="AB207" s="4" t="e">
        <f ca="1">_xll.ciqfunctions.udf.CIQ("^SPX", "IQ_PRICEDATE", "10/16/2014")</f>
        <v>#NAME?</v>
      </c>
      <c r="AC207" s="16">
        <v>1862.7640764024</v>
      </c>
    </row>
    <row r="208" spans="1:29" x14ac:dyDescent="0.35">
      <c r="A208" s="2" t="s">
        <v>218</v>
      </c>
      <c r="B208" s="4" t="s">
        <v>1069</v>
      </c>
      <c r="C208" s="4" t="s">
        <v>559</v>
      </c>
      <c r="D208" s="4" t="s">
        <v>912</v>
      </c>
      <c r="E208" s="4" t="s">
        <v>913</v>
      </c>
      <c r="F208" s="4" t="s">
        <v>1070</v>
      </c>
      <c r="G208" s="14">
        <v>63.05</v>
      </c>
      <c r="H208" s="10">
        <v>13.58897</v>
      </c>
      <c r="I208" s="10">
        <v>19.886509</v>
      </c>
      <c r="J208" s="10">
        <v>3.553941</v>
      </c>
      <c r="K208" s="15">
        <v>3.3624000000000001E-2</v>
      </c>
      <c r="L208" s="17">
        <v>11903.65085</v>
      </c>
      <c r="M208" s="4" t="s">
        <v>1071</v>
      </c>
      <c r="N208" s="19">
        <v>3.1704910000000002</v>
      </c>
      <c r="O208" s="19">
        <v>3.3020999999999998</v>
      </c>
      <c r="P208" s="19">
        <v>3.68</v>
      </c>
      <c r="Q208" s="19">
        <v>2.9405999999999999</v>
      </c>
      <c r="R208" s="19">
        <v>2.7</v>
      </c>
      <c r="S208" s="19">
        <v>2.5659999999999998</v>
      </c>
      <c r="T208" s="19">
        <v>2.7</v>
      </c>
      <c r="U208" s="19">
        <v>2.1513</v>
      </c>
      <c r="V208" s="19">
        <v>1.88</v>
      </c>
      <c r="W208" s="19">
        <v>3.1324999999999998</v>
      </c>
      <c r="X208" s="19">
        <v>1.88</v>
      </c>
      <c r="Y208" s="19">
        <v>3.1324999999999998</v>
      </c>
      <c r="Z208" s="4"/>
      <c r="AA208" s="4"/>
      <c r="AB208" s="4" t="e">
        <f ca="1">_xll.ciqfunctions.udf.CIQ("^SPX", "IQ_PRICEDATE", "10/17/2014")</f>
        <v>#NAME?</v>
      </c>
      <c r="AC208" s="16">
        <v>1886.7640399166</v>
      </c>
    </row>
    <row r="209" spans="1:29" x14ac:dyDescent="0.35">
      <c r="A209" s="2" t="s">
        <v>219</v>
      </c>
      <c r="B209" s="4" t="s">
        <v>1072</v>
      </c>
      <c r="C209" s="4" t="s">
        <v>543</v>
      </c>
      <c r="D209" s="4" t="s">
        <v>544</v>
      </c>
      <c r="E209" s="4" t="s">
        <v>545</v>
      </c>
      <c r="F209" s="4" t="s">
        <v>546</v>
      </c>
      <c r="G209" s="14">
        <v>149.31</v>
      </c>
      <c r="H209" s="10">
        <v>31.25545</v>
      </c>
      <c r="I209" s="10">
        <v>160.722589</v>
      </c>
      <c r="J209" s="10" t="s">
        <v>534</v>
      </c>
      <c r="K209" s="15">
        <v>0</v>
      </c>
      <c r="L209" s="17">
        <v>13560.043195</v>
      </c>
      <c r="M209" s="4" t="s">
        <v>1073</v>
      </c>
      <c r="N209" s="19">
        <v>0.92899200000000004</v>
      </c>
      <c r="O209" s="19">
        <v>3.9851000000000001</v>
      </c>
      <c r="P209" s="19">
        <v>3.7065000000000001E-2</v>
      </c>
      <c r="Q209" s="19">
        <v>3.8176000000000001</v>
      </c>
      <c r="R209" s="19">
        <v>2.31</v>
      </c>
      <c r="S209" s="19">
        <v>3.0979000000000001</v>
      </c>
      <c r="T209" s="19">
        <v>2.31</v>
      </c>
      <c r="U209" s="19">
        <v>2.6688000000000001</v>
      </c>
      <c r="V209" s="19">
        <v>2.0299999999999998</v>
      </c>
      <c r="W209" s="19">
        <v>2.6522000000000001</v>
      </c>
      <c r="X209" s="19">
        <v>2.0299999999999998</v>
      </c>
      <c r="Y209" s="19">
        <v>2.6522000000000001</v>
      </c>
      <c r="Z209" s="4"/>
      <c r="AA209" s="4"/>
      <c r="AB209" s="4" t="e">
        <f ca="1">_xll.ciqfunctions.udf.CIQ("^SPX", "IQ_PRICEDATE", "10/20/2014")</f>
        <v>#NAME?</v>
      </c>
      <c r="AC209" s="16">
        <v>1904.0114248211</v>
      </c>
    </row>
    <row r="210" spans="1:29" x14ac:dyDescent="0.35">
      <c r="A210" s="2" t="s">
        <v>220</v>
      </c>
      <c r="B210" s="4" t="s">
        <v>1074</v>
      </c>
      <c r="C210" s="4" t="s">
        <v>525</v>
      </c>
      <c r="D210" s="4" t="s">
        <v>526</v>
      </c>
      <c r="E210" s="4" t="s">
        <v>703</v>
      </c>
      <c r="F210" s="4" t="s">
        <v>703</v>
      </c>
      <c r="G210" s="14">
        <v>193.84</v>
      </c>
      <c r="H210" s="10">
        <v>14.835851999999999</v>
      </c>
      <c r="I210" s="10">
        <v>19.608174000000002</v>
      </c>
      <c r="J210" s="10" t="s">
        <v>534</v>
      </c>
      <c r="K210" s="15">
        <v>1.9191E-2</v>
      </c>
      <c r="L210" s="17">
        <v>57431.192778999997</v>
      </c>
      <c r="M210" s="4" t="s">
        <v>1075</v>
      </c>
      <c r="N210" s="19">
        <v>9.8856730000000006</v>
      </c>
      <c r="O210" s="19">
        <v>11.714399999999999</v>
      </c>
      <c r="P210" s="19">
        <v>9.56</v>
      </c>
      <c r="Q210" s="19">
        <v>10.0091</v>
      </c>
      <c r="R210" s="19">
        <v>8.64</v>
      </c>
      <c r="S210" s="19">
        <v>9.9268000000000001</v>
      </c>
      <c r="T210" s="19">
        <v>8.64</v>
      </c>
      <c r="U210" s="19">
        <v>9.2800999999999991</v>
      </c>
      <c r="V210" s="19">
        <v>7.83</v>
      </c>
      <c r="W210" s="19">
        <v>8.1577999999999999</v>
      </c>
      <c r="X210" s="19">
        <v>7.83</v>
      </c>
      <c r="Y210" s="19">
        <v>8.1577999999999999</v>
      </c>
      <c r="Z210" s="4"/>
      <c r="AA210" s="4"/>
      <c r="AB210" s="4" t="e">
        <f ca="1">_xll.ciqfunctions.udf.CIQ("^SPX", "IQ_PRICEDATE", "10/21/2014")</f>
        <v>#NAME?</v>
      </c>
      <c r="AC210" s="16">
        <v>1941.2824878514</v>
      </c>
    </row>
    <row r="211" spans="1:29" x14ac:dyDescent="0.35">
      <c r="A211" s="2" t="s">
        <v>221</v>
      </c>
      <c r="B211" s="4" t="s">
        <v>1076</v>
      </c>
      <c r="C211" s="4" t="s">
        <v>525</v>
      </c>
      <c r="D211" s="4" t="s">
        <v>526</v>
      </c>
      <c r="E211" s="4" t="s">
        <v>1077</v>
      </c>
      <c r="F211" s="4" t="s">
        <v>1077</v>
      </c>
      <c r="G211" s="14">
        <v>12.19</v>
      </c>
      <c r="H211" s="10">
        <v>40.009340999999999</v>
      </c>
      <c r="I211" s="10" t="s">
        <v>534</v>
      </c>
      <c r="J211" s="10" t="s">
        <v>534</v>
      </c>
      <c r="K211" s="15">
        <v>3.9376000000000001E-2</v>
      </c>
      <c r="L211" s="17">
        <v>105944.27739</v>
      </c>
      <c r="M211" s="4" t="s">
        <v>1078</v>
      </c>
      <c r="N211" s="19">
        <v>-0.68674400000000002</v>
      </c>
      <c r="O211" s="19">
        <v>0.95369999999999999</v>
      </c>
      <c r="P211" s="19">
        <v>-0.68270500000000001</v>
      </c>
      <c r="Q211" s="19">
        <v>1.0002</v>
      </c>
      <c r="R211" s="19">
        <v>0.99780899999999995</v>
      </c>
      <c r="S211" s="19">
        <v>1.5349999999999999</v>
      </c>
      <c r="T211" s="19">
        <v>0.99780899999999995</v>
      </c>
      <c r="U211" s="19">
        <v>1.4945999999999999</v>
      </c>
      <c r="V211" s="19">
        <v>0.93993800000000005</v>
      </c>
      <c r="W211" s="19">
        <v>1.7267999999999999</v>
      </c>
      <c r="X211" s="19">
        <v>0.93993800000000005</v>
      </c>
      <c r="Y211" s="19">
        <v>1.7267999999999999</v>
      </c>
      <c r="Z211" s="4"/>
      <c r="AA211" s="4"/>
      <c r="AB211" s="4" t="e">
        <f ca="1">_xll.ciqfunctions.udf.CIQ("^SPX", "IQ_PRICEDATE", "10/22/2014")</f>
        <v>#NAME?</v>
      </c>
      <c r="AC211" s="16">
        <v>1927.1103570503999</v>
      </c>
    </row>
    <row r="212" spans="1:29" x14ac:dyDescent="0.35">
      <c r="A212" s="2" t="s">
        <v>222</v>
      </c>
      <c r="B212" s="4" t="s">
        <v>1079</v>
      </c>
      <c r="C212" s="4" t="s">
        <v>626</v>
      </c>
      <c r="D212" s="4" t="s">
        <v>627</v>
      </c>
      <c r="E212" s="4" t="s">
        <v>699</v>
      </c>
      <c r="F212" s="4" t="s">
        <v>789</v>
      </c>
      <c r="G212" s="14">
        <v>44.06</v>
      </c>
      <c r="H212" s="10">
        <v>12.273471000000001</v>
      </c>
      <c r="I212" s="10">
        <v>12.262845</v>
      </c>
      <c r="J212" s="10" t="s">
        <v>534</v>
      </c>
      <c r="K212" s="15">
        <v>4.4484000000000003E-2</v>
      </c>
      <c r="L212" s="17">
        <v>26269.890803999999</v>
      </c>
      <c r="M212" s="4" t="s">
        <v>1080</v>
      </c>
      <c r="N212" s="19">
        <v>3.5929669999999998</v>
      </c>
      <c r="O212" s="19">
        <v>3.1387</v>
      </c>
      <c r="P212" s="19">
        <v>2.7266919999999999</v>
      </c>
      <c r="Q212" s="19">
        <v>3.2000999999999999</v>
      </c>
      <c r="R212" s="19">
        <v>2.6779410000000001</v>
      </c>
      <c r="S212" s="19">
        <v>3.2629999999999999</v>
      </c>
      <c r="T212" s="19">
        <v>2.6779410000000001</v>
      </c>
      <c r="U212" s="19">
        <v>2.9365000000000001</v>
      </c>
      <c r="V212" s="19">
        <v>2.3980549999999998</v>
      </c>
      <c r="W212" s="19">
        <v>3.0118999999999998</v>
      </c>
      <c r="X212" s="19">
        <v>2.3980549999999998</v>
      </c>
      <c r="Y212" s="19">
        <v>3.0118999999999998</v>
      </c>
      <c r="Z212" s="4"/>
      <c r="AA212" s="4"/>
      <c r="AB212" s="4" t="e">
        <f ca="1">_xll.ciqfunctions.udf.CIQ("^SPX", "IQ_PRICEDATE", "10/23/2014")</f>
        <v>#NAME?</v>
      </c>
      <c r="AC212" s="16">
        <v>1950.8220801912</v>
      </c>
    </row>
    <row r="213" spans="1:29" x14ac:dyDescent="0.35">
      <c r="A213" s="2" t="s">
        <v>223</v>
      </c>
      <c r="B213" s="4" t="s">
        <v>1081</v>
      </c>
      <c r="C213" s="4" t="s">
        <v>559</v>
      </c>
      <c r="D213" s="4" t="s">
        <v>694</v>
      </c>
      <c r="E213" s="4" t="s">
        <v>1054</v>
      </c>
      <c r="F213" s="4" t="s">
        <v>1055</v>
      </c>
      <c r="G213" s="14">
        <v>31.93</v>
      </c>
      <c r="H213" s="10">
        <v>5.803058</v>
      </c>
      <c r="I213" s="10" t="s">
        <v>534</v>
      </c>
      <c r="J213" s="10">
        <v>1.4675149999999999</v>
      </c>
      <c r="K213" s="15">
        <v>4.7604E-2</v>
      </c>
      <c r="L213" s="17">
        <v>45049.663930000002</v>
      </c>
      <c r="M213" s="4" t="s">
        <v>1082</v>
      </c>
      <c r="N213" s="19">
        <v>-0.92009099999999999</v>
      </c>
      <c r="O213" s="19">
        <v>5.6577999999999999</v>
      </c>
      <c r="P213" s="19">
        <v>0.22</v>
      </c>
      <c r="Q213" s="19">
        <v>5.9486999999999997</v>
      </c>
      <c r="R213" s="19">
        <v>6</v>
      </c>
      <c r="S213" s="19">
        <v>5.6923000000000004</v>
      </c>
      <c r="T213" s="19">
        <v>6</v>
      </c>
      <c r="U213" s="19">
        <v>5.3997000000000002</v>
      </c>
      <c r="V213" s="19">
        <v>1.6514519999999999</v>
      </c>
      <c r="W213" s="19">
        <v>4.0961999999999996</v>
      </c>
      <c r="X213" s="19">
        <v>1.6514519999999999</v>
      </c>
      <c r="Y213" s="19">
        <v>4.0961999999999996</v>
      </c>
      <c r="Z213" s="4"/>
      <c r="AA213" s="4"/>
      <c r="AB213" s="4" t="e">
        <f ca="1">_xll.ciqfunctions.udf.CIQ("^SPX", "IQ_PRICEDATE", "10/24/2014")</f>
        <v>#NAME?</v>
      </c>
      <c r="AC213" s="16">
        <v>1964.5802966315</v>
      </c>
    </row>
    <row r="214" spans="1:29" x14ac:dyDescent="0.35">
      <c r="A214" s="2" t="s">
        <v>224</v>
      </c>
      <c r="B214" s="4" t="s">
        <v>1083</v>
      </c>
      <c r="C214" s="4" t="s">
        <v>559</v>
      </c>
      <c r="D214" s="4" t="s">
        <v>560</v>
      </c>
      <c r="E214" s="4" t="s">
        <v>1084</v>
      </c>
      <c r="F214" s="4" t="s">
        <v>1084</v>
      </c>
      <c r="G214" s="14">
        <v>95.14</v>
      </c>
      <c r="H214" s="10">
        <v>12.949332</v>
      </c>
      <c r="I214" s="10">
        <v>20.871238999999999</v>
      </c>
      <c r="J214" s="10" t="s">
        <v>534</v>
      </c>
      <c r="K214" s="15">
        <v>3.0270999999999999E-2</v>
      </c>
      <c r="L214" s="17">
        <v>13962.054921999999</v>
      </c>
      <c r="M214" s="4" t="s">
        <v>1085</v>
      </c>
      <c r="N214" s="19">
        <v>4.5584259999999999</v>
      </c>
      <c r="O214" s="19">
        <v>5.7378999999999998</v>
      </c>
      <c r="P214" s="19">
        <v>4.18</v>
      </c>
      <c r="Q214" s="19">
        <v>5.1786000000000003</v>
      </c>
      <c r="R214" s="19">
        <v>4.59</v>
      </c>
      <c r="S214" s="19">
        <v>4.7808999999999999</v>
      </c>
      <c r="T214" s="19">
        <v>4.59</v>
      </c>
      <c r="U214" s="19">
        <v>4.7839</v>
      </c>
      <c r="V214" s="19">
        <v>4.6100000000000003</v>
      </c>
      <c r="W214" s="19">
        <v>4.9005999999999998</v>
      </c>
      <c r="X214" s="19">
        <v>4.6100000000000003</v>
      </c>
      <c r="Y214" s="19">
        <v>4.9005999999999998</v>
      </c>
      <c r="Z214" s="4"/>
      <c r="AA214" s="4"/>
      <c r="AB214" s="4" t="e">
        <f ca="1">_xll.ciqfunctions.udf.CIQ("^SPX", "IQ_PRICEDATE", "10/27/2014")</f>
        <v>#NAME?</v>
      </c>
      <c r="AC214" s="16">
        <v>1961.6305392728</v>
      </c>
    </row>
    <row r="215" spans="1:29" x14ac:dyDescent="0.35">
      <c r="A215" s="2" t="s">
        <v>225</v>
      </c>
      <c r="B215" s="4" t="s">
        <v>1086</v>
      </c>
      <c r="C215" s="4" t="s">
        <v>530</v>
      </c>
      <c r="D215" s="4" t="s">
        <v>537</v>
      </c>
      <c r="E215" s="4" t="s">
        <v>538</v>
      </c>
      <c r="F215" s="4" t="s">
        <v>538</v>
      </c>
      <c r="G215" s="14">
        <v>75.62</v>
      </c>
      <c r="H215" s="10">
        <v>8.1812310000000004</v>
      </c>
      <c r="I215" s="10">
        <v>45.186599000000001</v>
      </c>
      <c r="J215" s="10">
        <v>93.159284</v>
      </c>
      <c r="K215" s="15">
        <v>3.015E-2</v>
      </c>
      <c r="L215" s="17">
        <v>98029.275643000001</v>
      </c>
      <c r="M215" s="4" t="s">
        <v>1087</v>
      </c>
      <c r="N215" s="19">
        <v>1.673505</v>
      </c>
      <c r="O215" s="19">
        <v>6.55</v>
      </c>
      <c r="P215" s="19">
        <v>3.51</v>
      </c>
      <c r="Q215" s="19">
        <v>6.9237000000000002</v>
      </c>
      <c r="R215" s="19">
        <v>9.94</v>
      </c>
      <c r="S215" s="19">
        <v>10.435600000000001</v>
      </c>
      <c r="T215" s="19">
        <v>9.94</v>
      </c>
      <c r="U215" s="19">
        <v>11.6534</v>
      </c>
      <c r="V215" s="19">
        <v>7.35</v>
      </c>
      <c r="W215" s="19">
        <v>9.9133999999999993</v>
      </c>
      <c r="X215" s="19">
        <v>7.35</v>
      </c>
      <c r="Y215" s="19">
        <v>9.9133999999999993</v>
      </c>
      <c r="Z215" s="4"/>
      <c r="AA215" s="4"/>
      <c r="AB215" s="4" t="e">
        <f ca="1">_xll.ciqfunctions.udf.CIQ("^SPX", "IQ_PRICEDATE", "10/28/2014")</f>
        <v>#NAME?</v>
      </c>
      <c r="AC215" s="16">
        <v>1985.0456261344</v>
      </c>
    </row>
    <row r="216" spans="1:29" x14ac:dyDescent="0.35">
      <c r="A216" s="2" t="s">
        <v>226</v>
      </c>
      <c r="B216" s="4" t="s">
        <v>1088</v>
      </c>
      <c r="C216" s="4" t="s">
        <v>543</v>
      </c>
      <c r="D216" s="4" t="s">
        <v>544</v>
      </c>
      <c r="E216" s="4" t="s">
        <v>545</v>
      </c>
      <c r="F216" s="4" t="s">
        <v>616</v>
      </c>
      <c r="G216" s="14">
        <v>119.89</v>
      </c>
      <c r="H216" s="10">
        <v>18.757956</v>
      </c>
      <c r="I216" s="10">
        <v>34.423037000000001</v>
      </c>
      <c r="J216" s="10" t="s">
        <v>534</v>
      </c>
      <c r="K216" s="15">
        <v>3.3300000000000002E-4</v>
      </c>
      <c r="L216" s="17">
        <v>18964.856838</v>
      </c>
      <c r="M216" s="4" t="s">
        <v>1089</v>
      </c>
      <c r="N216" s="19">
        <v>3.4828420000000002</v>
      </c>
      <c r="O216" s="19">
        <v>5.5202</v>
      </c>
      <c r="P216" s="19">
        <v>3.01</v>
      </c>
      <c r="Q216" s="19">
        <v>4.5354999999999999</v>
      </c>
      <c r="R216" s="19">
        <v>1.388571</v>
      </c>
      <c r="S216" s="19">
        <v>0</v>
      </c>
      <c r="T216" s="19">
        <v>1.388571</v>
      </c>
      <c r="U216" s="19">
        <v>3.1545999999999998</v>
      </c>
      <c r="V216" s="19">
        <v>1.8333660000000001</v>
      </c>
      <c r="W216" s="19">
        <v>2.4312999999999998</v>
      </c>
      <c r="X216" s="19">
        <v>1.8333660000000001</v>
      </c>
      <c r="Y216" s="19">
        <v>2.4312999999999998</v>
      </c>
      <c r="Z216" s="4"/>
      <c r="AA216" s="4"/>
      <c r="AB216" s="4" t="e">
        <f ca="1">_xll.ciqfunctions.udf.CIQ("^SPX", "IQ_PRICEDATE", "10/29/2014")</f>
        <v>#NAME?</v>
      </c>
      <c r="AC216" s="16">
        <v>1982.3030206704</v>
      </c>
    </row>
    <row r="217" spans="1:29" x14ac:dyDescent="0.35">
      <c r="A217" s="2" t="s">
        <v>227</v>
      </c>
      <c r="B217" s="4" t="s">
        <v>1090</v>
      </c>
      <c r="C217" s="4" t="s">
        <v>559</v>
      </c>
      <c r="D217" s="4" t="s">
        <v>798</v>
      </c>
      <c r="E217" s="4" t="s">
        <v>1091</v>
      </c>
      <c r="F217" s="4" t="s">
        <v>1092</v>
      </c>
      <c r="G217" s="14">
        <v>26.52</v>
      </c>
      <c r="H217" s="10">
        <v>6.3305619999999996</v>
      </c>
      <c r="I217" s="10">
        <v>9.1991370000000003</v>
      </c>
      <c r="J217" s="10" t="s">
        <v>534</v>
      </c>
      <c r="K217" s="15">
        <v>3.7707000000000004E-2</v>
      </c>
      <c r="L217" s="17">
        <v>5450.4121459999997</v>
      </c>
      <c r="M217" s="4" t="s">
        <v>1093</v>
      </c>
      <c r="N217" s="19">
        <v>2.882879</v>
      </c>
      <c r="O217" s="19">
        <v>1.8934</v>
      </c>
      <c r="P217" s="19">
        <v>1.939716</v>
      </c>
      <c r="Q217" s="19">
        <v>1.9441999999999999</v>
      </c>
      <c r="R217" s="19">
        <v>1.5980000000000001</v>
      </c>
      <c r="S217" s="19">
        <v>1.5812999999999999</v>
      </c>
      <c r="T217" s="19">
        <v>1.5980000000000001</v>
      </c>
      <c r="U217" s="19">
        <v>1.9351</v>
      </c>
      <c r="V217" s="19">
        <v>1.7818830000000001</v>
      </c>
      <c r="W217" s="19">
        <v>1.841</v>
      </c>
      <c r="X217" s="19">
        <v>1.7818830000000001</v>
      </c>
      <c r="Y217" s="19">
        <v>1.841</v>
      </c>
      <c r="Z217" s="4"/>
      <c r="AA217" s="4"/>
      <c r="AB217" s="4" t="e">
        <f ca="1">_xll.ciqfunctions.udf.CIQ("^SPX", "IQ_PRICEDATE", "10/30/2014")</f>
        <v>#NAME?</v>
      </c>
      <c r="AC217" s="16">
        <v>1994.6546509021</v>
      </c>
    </row>
    <row r="218" spans="1:29" x14ac:dyDescent="0.35">
      <c r="A218" s="2" t="s">
        <v>228</v>
      </c>
      <c r="B218" s="4" t="s">
        <v>1094</v>
      </c>
      <c r="C218" s="4" t="s">
        <v>669</v>
      </c>
      <c r="D218" s="4" t="s">
        <v>669</v>
      </c>
      <c r="E218" s="4" t="s">
        <v>730</v>
      </c>
      <c r="F218" s="4" t="s">
        <v>731</v>
      </c>
      <c r="G218" s="14">
        <v>39.56</v>
      </c>
      <c r="H218" s="10">
        <v>9.8760949999999994</v>
      </c>
      <c r="I218" s="10" t="s">
        <v>534</v>
      </c>
      <c r="J218" s="10">
        <v>5.7965059999999999</v>
      </c>
      <c r="K218" s="15">
        <v>1.8200000000000001E-2</v>
      </c>
      <c r="L218" s="17">
        <v>34808.670371</v>
      </c>
      <c r="M218" s="4" t="s">
        <v>1095</v>
      </c>
      <c r="N218" s="19">
        <v>0.13029099999999999</v>
      </c>
      <c r="O218" s="19">
        <v>2.0017</v>
      </c>
      <c r="P218" s="19">
        <v>-0.51034400000000002</v>
      </c>
      <c r="Q218" s="19">
        <v>1.9798</v>
      </c>
      <c r="R218" s="19">
        <v>-6.6910559999999997</v>
      </c>
      <c r="S218" s="19">
        <v>0.62350000000000005</v>
      </c>
      <c r="T218" s="19">
        <v>-6.6910559999999997</v>
      </c>
      <c r="U218" s="19">
        <v>0.95789999999999997</v>
      </c>
      <c r="V218" s="19">
        <v>4.03</v>
      </c>
      <c r="W218" s="19">
        <v>3.7292000000000001</v>
      </c>
      <c r="X218" s="19">
        <v>4.03</v>
      </c>
      <c r="Y218" s="19">
        <v>3.7292000000000001</v>
      </c>
      <c r="Z218" s="4"/>
      <c r="AA218" s="4"/>
      <c r="AB218" s="4" t="e">
        <f ca="1">_xll.ciqfunctions.udf.CIQ("^SPX", "IQ_PRICEDATE", "10/31/2014")</f>
        <v>#NAME?</v>
      </c>
      <c r="AC218" s="16">
        <v>2018.0545032964001</v>
      </c>
    </row>
    <row r="219" spans="1:29" x14ac:dyDescent="0.35">
      <c r="A219" s="2" t="s">
        <v>229</v>
      </c>
      <c r="B219" s="4" t="s">
        <v>1096</v>
      </c>
      <c r="C219" s="4" t="s">
        <v>559</v>
      </c>
      <c r="D219" s="4" t="s">
        <v>912</v>
      </c>
      <c r="E219" s="4" t="s">
        <v>1097</v>
      </c>
      <c r="F219" s="4" t="s">
        <v>1098</v>
      </c>
      <c r="G219" s="14">
        <v>16.88</v>
      </c>
      <c r="H219" s="10">
        <v>9.803369</v>
      </c>
      <c r="I219" s="10">
        <v>158.92742799999999</v>
      </c>
      <c r="J219" s="10" t="s">
        <v>534</v>
      </c>
      <c r="K219" s="15">
        <v>3.5545E-2</v>
      </c>
      <c r="L219" s="17">
        <v>6085.3629030000002</v>
      </c>
      <c r="M219" s="4" t="s">
        <v>1099</v>
      </c>
      <c r="N219" s="19">
        <v>0.106212</v>
      </c>
      <c r="O219" s="19">
        <v>1.7996000000000001</v>
      </c>
      <c r="P219" s="19">
        <v>0.17</v>
      </c>
      <c r="Q219" s="19">
        <v>2.0118</v>
      </c>
      <c r="R219" s="19">
        <v>1.4</v>
      </c>
      <c r="S219" s="19">
        <v>2.0983999999999998</v>
      </c>
      <c r="T219" s="19">
        <v>1.4</v>
      </c>
      <c r="U219" s="19">
        <v>1.8455999999999999</v>
      </c>
      <c r="V219" s="19">
        <v>0.85015499999999999</v>
      </c>
      <c r="W219" s="19">
        <v>1.5659000000000001</v>
      </c>
      <c r="X219" s="19">
        <v>0.85015499999999999</v>
      </c>
      <c r="Y219" s="19">
        <v>1.5659000000000001</v>
      </c>
      <c r="Z219" s="4"/>
      <c r="AA219" s="4"/>
      <c r="AB219" s="4" t="e">
        <f ca="1">_xll.ciqfunctions.udf.CIQ("^SPX", "IQ_PRICEDATE", "11/3/2014")</f>
        <v>#NAME?</v>
      </c>
      <c r="AC219" s="16">
        <v>2017.8115211314</v>
      </c>
    </row>
    <row r="220" spans="1:29" x14ac:dyDescent="0.35">
      <c r="A220" s="2" t="s">
        <v>230</v>
      </c>
      <c r="B220" s="4" t="s">
        <v>1100</v>
      </c>
      <c r="C220" s="4" t="s">
        <v>559</v>
      </c>
      <c r="D220" s="4" t="s">
        <v>694</v>
      </c>
      <c r="E220" s="4" t="s">
        <v>1054</v>
      </c>
      <c r="F220" s="4" t="s">
        <v>1101</v>
      </c>
      <c r="G220" s="14">
        <v>41.67</v>
      </c>
      <c r="H220" s="10">
        <v>12.691546000000001</v>
      </c>
      <c r="I220" s="10">
        <v>14.260604000000001</v>
      </c>
      <c r="J220" s="10">
        <v>3.2960660000000002</v>
      </c>
      <c r="K220" s="15">
        <v>3.5517E-2</v>
      </c>
      <c r="L220" s="17">
        <v>6873.4248299999999</v>
      </c>
      <c r="M220" s="4" t="s">
        <v>1102</v>
      </c>
      <c r="N220" s="19">
        <v>2.9220359999999999</v>
      </c>
      <c r="O220" s="19">
        <v>3.7042999999999999</v>
      </c>
      <c r="P220" s="19">
        <v>3.02</v>
      </c>
      <c r="Q220" s="19">
        <v>3.7370999999999999</v>
      </c>
      <c r="R220" s="19">
        <v>3.83</v>
      </c>
      <c r="S220" s="19">
        <v>4.1135000000000002</v>
      </c>
      <c r="T220" s="19">
        <v>3.83</v>
      </c>
      <c r="U220" s="19">
        <v>3.9474999999999998</v>
      </c>
      <c r="V220" s="19">
        <v>3.88</v>
      </c>
      <c r="W220" s="19">
        <v>4.2760999999999996</v>
      </c>
      <c r="X220" s="19">
        <v>3.88</v>
      </c>
      <c r="Y220" s="19">
        <v>4.2760999999999996</v>
      </c>
      <c r="Z220" s="4"/>
      <c r="AA220" s="4"/>
      <c r="AB220" s="4" t="e">
        <f ca="1">_xll.ciqfunctions.udf.CIQ("^SPX", "IQ_PRICEDATE", "11/4/2014")</f>
        <v>#NAME?</v>
      </c>
      <c r="AC220" s="16">
        <v>2012.0952743803</v>
      </c>
    </row>
    <row r="221" spans="1:29" x14ac:dyDescent="0.35">
      <c r="A221" s="2" t="s">
        <v>231</v>
      </c>
      <c r="B221" s="4" t="s">
        <v>1103</v>
      </c>
      <c r="C221" s="4" t="s">
        <v>525</v>
      </c>
      <c r="D221" s="4" t="s">
        <v>526</v>
      </c>
      <c r="E221" s="4" t="s">
        <v>703</v>
      </c>
      <c r="F221" s="4" t="s">
        <v>703</v>
      </c>
      <c r="G221" s="14">
        <v>171.57</v>
      </c>
      <c r="H221" s="10">
        <v>16.211596</v>
      </c>
      <c r="I221" s="10">
        <v>26.978943000000001</v>
      </c>
      <c r="J221" s="10" t="s">
        <v>534</v>
      </c>
      <c r="K221" s="15">
        <v>1.5969999999999998E-2</v>
      </c>
      <c r="L221" s="17">
        <v>20183.143081999999</v>
      </c>
      <c r="M221" s="4" t="s">
        <v>1104</v>
      </c>
      <c r="N221" s="19">
        <v>6.3594039999999996</v>
      </c>
      <c r="O221" s="19">
        <v>8.1302000000000003</v>
      </c>
      <c r="P221" s="19">
        <v>5.183764</v>
      </c>
      <c r="Q221" s="19">
        <v>6.2394999999999996</v>
      </c>
      <c r="R221" s="19">
        <v>4.8403340000000004</v>
      </c>
      <c r="S221" s="19">
        <v>5.8921000000000001</v>
      </c>
      <c r="T221" s="19">
        <v>4.8403340000000004</v>
      </c>
      <c r="U221" s="19">
        <v>5.8395999999999999</v>
      </c>
      <c r="V221" s="19">
        <v>5.0009810000000003</v>
      </c>
      <c r="W221" s="19">
        <v>4.8646000000000003</v>
      </c>
      <c r="X221" s="19">
        <v>5.0009810000000003</v>
      </c>
      <c r="Y221" s="19">
        <v>4.8646000000000003</v>
      </c>
      <c r="Z221" s="4"/>
      <c r="AA221" s="4"/>
      <c r="AB221" s="4" t="e">
        <f ca="1">_xll.ciqfunctions.udf.CIQ("^SPX", "IQ_PRICEDATE", "11/5/2014")</f>
        <v>#NAME?</v>
      </c>
      <c r="AC221" s="16">
        <v>2023.57465265</v>
      </c>
    </row>
    <row r="222" spans="1:29" x14ac:dyDescent="0.35">
      <c r="A222" s="2" t="s">
        <v>232</v>
      </c>
      <c r="B222" s="4" t="s">
        <v>1105</v>
      </c>
      <c r="C222" s="4" t="s">
        <v>559</v>
      </c>
      <c r="D222" s="4" t="s">
        <v>912</v>
      </c>
      <c r="E222" s="4" t="s">
        <v>1106</v>
      </c>
      <c r="F222" s="4" t="s">
        <v>1106</v>
      </c>
      <c r="G222" s="14">
        <v>100.89</v>
      </c>
      <c r="H222" s="10">
        <v>15.814116</v>
      </c>
      <c r="I222" s="10">
        <v>61.311999999999998</v>
      </c>
      <c r="J222" s="10">
        <v>28.345485</v>
      </c>
      <c r="K222" s="15">
        <v>2.4976999999999999E-2</v>
      </c>
      <c r="L222" s="17">
        <v>12806.873087</v>
      </c>
      <c r="M222" s="4" t="s">
        <v>1107</v>
      </c>
      <c r="N222" s="19">
        <v>1.645518</v>
      </c>
      <c r="O222" s="19">
        <v>4.8720999999999997</v>
      </c>
      <c r="P222" s="19">
        <v>3.12</v>
      </c>
      <c r="Q222" s="19">
        <v>5.2020999999999997</v>
      </c>
      <c r="R222" s="19">
        <v>4.34</v>
      </c>
      <c r="S222" s="19">
        <v>4.2457000000000003</v>
      </c>
      <c r="T222" s="19">
        <v>4.34</v>
      </c>
      <c r="U222" s="19">
        <v>3.6880999999999999</v>
      </c>
      <c r="V222" s="19">
        <v>3.2</v>
      </c>
      <c r="W222" s="19">
        <v>3.3580999999999999</v>
      </c>
      <c r="X222" s="19">
        <v>3.2</v>
      </c>
      <c r="Y222" s="19">
        <v>3.3580999999999999</v>
      </c>
      <c r="Z222" s="4"/>
      <c r="AA222" s="4"/>
      <c r="AB222" s="4" t="e">
        <f ca="1">_xll.ciqfunctions.udf.CIQ("^SPX", "IQ_PRICEDATE", "11/6/2014")</f>
        <v>#NAME?</v>
      </c>
      <c r="AC222" s="16">
        <v>2031.2121546376</v>
      </c>
    </row>
    <row r="223" spans="1:29" x14ac:dyDescent="0.35">
      <c r="A223" s="2" t="s">
        <v>233</v>
      </c>
      <c r="B223" s="4" t="s">
        <v>1108</v>
      </c>
      <c r="C223" s="4" t="s">
        <v>530</v>
      </c>
      <c r="D223" s="4" t="s">
        <v>531</v>
      </c>
      <c r="E223" s="4" t="s">
        <v>569</v>
      </c>
      <c r="F223" s="4" t="s">
        <v>1109</v>
      </c>
      <c r="G223" s="14">
        <v>136.47</v>
      </c>
      <c r="H223" s="10">
        <v>9.5941390000000002</v>
      </c>
      <c r="I223" s="10">
        <v>17.240845</v>
      </c>
      <c r="J223" s="10" t="s">
        <v>534</v>
      </c>
      <c r="K223" s="15">
        <v>1.0258E-2</v>
      </c>
      <c r="L223" s="17">
        <v>47224.897620000003</v>
      </c>
      <c r="M223" s="4" t="s">
        <v>1110</v>
      </c>
      <c r="N223" s="19">
        <v>7.9155049999999996</v>
      </c>
      <c r="O223" s="19">
        <v>9.5292999999999992</v>
      </c>
      <c r="P223" s="19">
        <v>5.95</v>
      </c>
      <c r="Q223" s="19">
        <v>7.1266999999999996</v>
      </c>
      <c r="R223" s="19">
        <v>7.3</v>
      </c>
      <c r="S223" s="19">
        <v>6.8952</v>
      </c>
      <c r="T223" s="19">
        <v>7.3</v>
      </c>
      <c r="U223" s="19">
        <v>5.5753000000000004</v>
      </c>
      <c r="V223" s="19">
        <v>4.16</v>
      </c>
      <c r="W223" s="19">
        <v>4.8982999999999999</v>
      </c>
      <c r="X223" s="19">
        <v>4.16</v>
      </c>
      <c r="Y223" s="19">
        <v>4.8982999999999999</v>
      </c>
      <c r="Z223" s="4"/>
      <c r="AA223" s="4"/>
      <c r="AB223" s="4" t="e">
        <f ca="1">_xll.ciqfunctions.udf.CIQ("^SPX", "IQ_PRICEDATE", "11/7/2014")</f>
        <v>#NAME?</v>
      </c>
      <c r="AC223" s="16">
        <v>2031.9215168768999</v>
      </c>
    </row>
    <row r="224" spans="1:29" x14ac:dyDescent="0.35">
      <c r="A224" s="2" t="s">
        <v>234</v>
      </c>
      <c r="B224" s="4" t="s">
        <v>1111</v>
      </c>
      <c r="C224" s="4" t="s">
        <v>601</v>
      </c>
      <c r="D224" s="4" t="s">
        <v>601</v>
      </c>
      <c r="E224" s="4" t="s">
        <v>602</v>
      </c>
      <c r="F224" s="4" t="s">
        <v>1112</v>
      </c>
      <c r="G224" s="14">
        <v>25.78</v>
      </c>
      <c r="H224" s="10">
        <v>20.386706</v>
      </c>
      <c r="I224" s="10">
        <v>199.348906</v>
      </c>
      <c r="J224" s="10">
        <v>2.497652</v>
      </c>
      <c r="K224" s="15">
        <v>5.7408000000000001E-2</v>
      </c>
      <c r="L224" s="17">
        <v>12112.283629</v>
      </c>
      <c r="M224" s="4" t="s">
        <v>1113</v>
      </c>
      <c r="N224" s="19">
        <v>0.12932099999999999</v>
      </c>
      <c r="O224" s="19">
        <v>0.65949999999999998</v>
      </c>
      <c r="P224" s="19">
        <v>0.88</v>
      </c>
      <c r="Q224" s="19">
        <v>0.82440000000000002</v>
      </c>
      <c r="R224" s="19">
        <v>0.77</v>
      </c>
      <c r="S224" s="19">
        <v>0.84499999999999997</v>
      </c>
      <c r="T224" s="19">
        <v>0.77</v>
      </c>
      <c r="U224" s="19">
        <v>1.9067000000000001</v>
      </c>
      <c r="V224" s="19">
        <v>0.55520499999999995</v>
      </c>
      <c r="W224" s="19">
        <v>1.9539</v>
      </c>
      <c r="X224" s="19">
        <v>0.55520499999999995</v>
      </c>
      <c r="Y224" s="19">
        <v>1.9539</v>
      </c>
      <c r="Z224" s="4"/>
      <c r="AA224" s="4"/>
      <c r="AB224" s="4" t="e">
        <f ca="1">_xll.ciqfunctions.udf.CIQ("^SPX", "IQ_PRICEDATE", "11/10/2014")</f>
        <v>#NAME?</v>
      </c>
      <c r="AC224" s="16">
        <v>2038.2626780918999</v>
      </c>
    </row>
    <row r="225" spans="1:29" x14ac:dyDescent="0.35">
      <c r="A225" s="2" t="s">
        <v>235</v>
      </c>
      <c r="B225" s="4" t="s">
        <v>1114</v>
      </c>
      <c r="C225" s="4" t="s">
        <v>669</v>
      </c>
      <c r="D225" s="4" t="s">
        <v>669</v>
      </c>
      <c r="E225" s="4" t="s">
        <v>730</v>
      </c>
      <c r="F225" s="4" t="s">
        <v>1115</v>
      </c>
      <c r="G225" s="14">
        <v>68.05</v>
      </c>
      <c r="H225" s="10">
        <v>13.788542</v>
      </c>
      <c r="I225" s="10">
        <v>16.015302999999999</v>
      </c>
      <c r="J225" s="10">
        <v>1.725125</v>
      </c>
      <c r="K225" s="15">
        <v>4.1734E-2</v>
      </c>
      <c r="L225" s="17">
        <v>7413.6224599999996</v>
      </c>
      <c r="M225" s="4" t="s">
        <v>1116</v>
      </c>
      <c r="N225" s="19">
        <v>4.2490610000000002</v>
      </c>
      <c r="O225" s="19">
        <v>1.1255999999999999</v>
      </c>
      <c r="P225" s="19">
        <v>3.7040329999999999</v>
      </c>
      <c r="Q225" s="19">
        <v>-0.39090000000000003</v>
      </c>
      <c r="R225" s="19">
        <v>-0.98046599999999995</v>
      </c>
      <c r="S225" s="19">
        <v>-1.2138</v>
      </c>
      <c r="T225" s="19">
        <v>-0.98046599999999995</v>
      </c>
      <c r="U225" s="19">
        <v>-0.36384</v>
      </c>
      <c r="V225" s="19">
        <v>6.7287039999999996</v>
      </c>
      <c r="W225" s="19">
        <v>5.7775999999999996</v>
      </c>
      <c r="X225" s="19">
        <v>6.7287039999999996</v>
      </c>
      <c r="Y225" s="19">
        <v>5.7775999999999996</v>
      </c>
      <c r="Z225" s="4"/>
      <c r="AA225" s="4"/>
      <c r="AB225" s="4" t="e">
        <f ca="1">_xll.ciqfunctions.udf.CIQ("^SPX", "IQ_PRICEDATE", "11/11/2014")</f>
        <v>#NAME?</v>
      </c>
      <c r="AC225" s="16">
        <v>2039.6834548377999</v>
      </c>
    </row>
    <row r="226" spans="1:29" x14ac:dyDescent="0.35">
      <c r="A226" s="2" t="s">
        <v>236</v>
      </c>
      <c r="B226" s="4" t="s">
        <v>1117</v>
      </c>
      <c r="C226" s="4" t="s">
        <v>530</v>
      </c>
      <c r="D226" s="4" t="s">
        <v>531</v>
      </c>
      <c r="E226" s="4" t="s">
        <v>569</v>
      </c>
      <c r="F226" s="4" t="s">
        <v>655</v>
      </c>
      <c r="G226" s="14">
        <v>86.47</v>
      </c>
      <c r="H226" s="10">
        <v>13.928452999999999</v>
      </c>
      <c r="I226" s="10">
        <v>32.701329000000001</v>
      </c>
      <c r="J226" s="10">
        <v>296.09566000000001</v>
      </c>
      <c r="K226" s="15">
        <v>0</v>
      </c>
      <c r="L226" s="17">
        <v>13239.548897000001</v>
      </c>
      <c r="M226" s="4" t="s">
        <v>1118</v>
      </c>
      <c r="N226" s="19">
        <v>2.6442350000000001</v>
      </c>
      <c r="O226" s="19">
        <v>4.2365000000000004</v>
      </c>
      <c r="P226" s="19">
        <v>2.57</v>
      </c>
      <c r="Q226" s="19">
        <v>3.8041</v>
      </c>
      <c r="R226" s="19">
        <v>3.1</v>
      </c>
      <c r="S226" s="19">
        <v>3.5424000000000002</v>
      </c>
      <c r="T226" s="19">
        <v>3.1</v>
      </c>
      <c r="U226" s="19">
        <v>3.2080000000000002</v>
      </c>
      <c r="V226" s="19">
        <v>2.72</v>
      </c>
      <c r="W226" s="19">
        <v>2.9073000000000002</v>
      </c>
      <c r="X226" s="19">
        <v>2.72</v>
      </c>
      <c r="Y226" s="19">
        <v>2.9073000000000002</v>
      </c>
      <c r="Z226" s="4"/>
      <c r="AA226" s="4"/>
      <c r="AB226" s="4" t="e">
        <f ca="1">_xll.ciqfunctions.udf.CIQ("^SPX", "IQ_PRICEDATE", "11/12/2014")</f>
        <v>#NAME?</v>
      </c>
      <c r="AC226" s="16">
        <v>2038.252228283</v>
      </c>
    </row>
    <row r="227" spans="1:29" x14ac:dyDescent="0.35">
      <c r="A227" s="2" t="s">
        <v>237</v>
      </c>
      <c r="B227" s="4" t="s">
        <v>1119</v>
      </c>
      <c r="C227" s="4" t="s">
        <v>669</v>
      </c>
      <c r="D227" s="4" t="s">
        <v>669</v>
      </c>
      <c r="E227" s="4" t="s">
        <v>670</v>
      </c>
      <c r="F227" s="4" t="s">
        <v>671</v>
      </c>
      <c r="G227" s="14">
        <v>64.78</v>
      </c>
      <c r="H227" s="10">
        <v>11.022081</v>
      </c>
      <c r="I227" s="10" t="s">
        <v>534</v>
      </c>
      <c r="J227" s="10">
        <v>2.005207</v>
      </c>
      <c r="K227" s="15">
        <v>1.5436E-2</v>
      </c>
      <c r="L227" s="17">
        <v>19413.710773999999</v>
      </c>
      <c r="M227" s="4" t="s">
        <v>1120</v>
      </c>
      <c r="N227" s="19">
        <v>-11.608229</v>
      </c>
      <c r="O227" s="19">
        <v>0.9839</v>
      </c>
      <c r="P227" s="19">
        <v>-13.12</v>
      </c>
      <c r="Q227" s="19">
        <v>-3.3988999999999998</v>
      </c>
      <c r="R227" s="19">
        <v>-19.920000000000002</v>
      </c>
      <c r="S227" s="19">
        <v>-3.6402000000000001</v>
      </c>
      <c r="T227" s="19">
        <v>-19.920000000000002</v>
      </c>
      <c r="U227" s="19">
        <v>-4.3436000000000003</v>
      </c>
      <c r="V227" s="19">
        <v>5.313555</v>
      </c>
      <c r="W227" s="19">
        <v>1.3163</v>
      </c>
      <c r="X227" s="19">
        <v>5.313555</v>
      </c>
      <c r="Y227" s="19">
        <v>1.3163</v>
      </c>
      <c r="Z227" s="4"/>
      <c r="AA227" s="4"/>
      <c r="AB227" s="4" t="e">
        <f ca="1">_xll.ciqfunctions.udf.CIQ("^SPX", "IQ_PRICEDATE", "11/13/2014")</f>
        <v>#NAME?</v>
      </c>
      <c r="AC227" s="16">
        <v>2039.3258251799</v>
      </c>
    </row>
    <row r="228" spans="1:29" x14ac:dyDescent="0.35">
      <c r="A228" s="2" t="s">
        <v>238</v>
      </c>
      <c r="B228" s="4" t="s">
        <v>1121</v>
      </c>
      <c r="C228" s="4" t="s">
        <v>543</v>
      </c>
      <c r="D228" s="4" t="s">
        <v>664</v>
      </c>
      <c r="E228" s="4" t="s">
        <v>688</v>
      </c>
      <c r="F228" s="4" t="s">
        <v>688</v>
      </c>
      <c r="G228" s="14">
        <v>15.52</v>
      </c>
      <c r="H228" s="10">
        <v>9.8948680000000007</v>
      </c>
      <c r="I228" s="10">
        <v>7.8298690000000004</v>
      </c>
      <c r="J228" s="10">
        <v>4.6559999999999997</v>
      </c>
      <c r="K228" s="15">
        <v>2.8993999999999999E-2</v>
      </c>
      <c r="L228" s="17">
        <v>22839.981351999999</v>
      </c>
      <c r="M228" s="4" t="s">
        <v>1122</v>
      </c>
      <c r="N228" s="19">
        <v>1.9821530000000001</v>
      </c>
      <c r="O228" s="19">
        <v>1.5551999999999999</v>
      </c>
      <c r="P228" s="19">
        <v>0.26</v>
      </c>
      <c r="Q228" s="19">
        <v>1.1793499999999999</v>
      </c>
      <c r="R228" s="19">
        <v>1.86</v>
      </c>
      <c r="S228" s="19">
        <v>1.96451</v>
      </c>
      <c r="T228" s="19">
        <v>1.86</v>
      </c>
      <c r="U228" s="19">
        <v>1.87812</v>
      </c>
      <c r="V228" s="19">
        <v>0.9</v>
      </c>
      <c r="W228" s="19">
        <v>0</v>
      </c>
      <c r="X228" s="19">
        <v>0.9</v>
      </c>
      <c r="Y228" s="19">
        <v>0</v>
      </c>
      <c r="Z228" s="4"/>
      <c r="AA228" s="4"/>
      <c r="AB228" s="4" t="e">
        <f ca="1">_xll.ciqfunctions.udf.CIQ("^SPX", "IQ_PRICEDATE", "11/14/2014")</f>
        <v>#NAME?</v>
      </c>
      <c r="AC228" s="16">
        <v>2039.8168721008999</v>
      </c>
    </row>
    <row r="229" spans="1:29" x14ac:dyDescent="0.35">
      <c r="A229" s="2" t="s">
        <v>239</v>
      </c>
      <c r="B229" s="4" t="s">
        <v>1123</v>
      </c>
      <c r="C229" s="4" t="s">
        <v>559</v>
      </c>
      <c r="D229" s="4" t="s">
        <v>798</v>
      </c>
      <c r="E229" s="4" t="s">
        <v>799</v>
      </c>
      <c r="F229" s="4" t="s">
        <v>800</v>
      </c>
      <c r="G229" s="14">
        <v>74.52</v>
      </c>
      <c r="H229" s="10">
        <v>16.663544000000002</v>
      </c>
      <c r="I229" s="10">
        <v>16.461948</v>
      </c>
      <c r="J229" s="10" t="s">
        <v>534</v>
      </c>
      <c r="K229" s="15">
        <v>8.0510000000000009E-3</v>
      </c>
      <c r="L229" s="17">
        <v>22220.82847</v>
      </c>
      <c r="M229" s="4" t="s">
        <v>1124</v>
      </c>
      <c r="N229" s="19">
        <v>4.5268030000000001</v>
      </c>
      <c r="O229" s="19">
        <v>2.9209999999999998</v>
      </c>
      <c r="P229" s="19">
        <v>3.85</v>
      </c>
      <c r="Q229" s="19">
        <v>2.2208000000000001</v>
      </c>
      <c r="R229" s="19">
        <v>-7.2947999999999999E-2</v>
      </c>
      <c r="S229" s="19">
        <v>2.6854</v>
      </c>
      <c r="T229" s="19">
        <v>-7.2947999999999999E-2</v>
      </c>
      <c r="U229" s="19">
        <v>2.8351000000000002</v>
      </c>
      <c r="V229" s="19">
        <v>0.51829199999999997</v>
      </c>
      <c r="W229" s="19">
        <v>2.4211999999999998</v>
      </c>
      <c r="X229" s="19">
        <v>0.51829199999999997</v>
      </c>
      <c r="Y229" s="19">
        <v>2.4211999999999998</v>
      </c>
      <c r="Z229" s="4"/>
      <c r="AA229" s="4"/>
      <c r="AB229" s="4" t="e">
        <f ca="1">_xll.ciqfunctions.udf.CIQ("^SPX", "IQ_PRICEDATE", "11/17/2014")</f>
        <v>#NAME?</v>
      </c>
      <c r="AC229" s="16">
        <v>2041.3181411687001</v>
      </c>
    </row>
    <row r="230" spans="1:29" x14ac:dyDescent="0.35">
      <c r="A230" s="2" t="s">
        <v>240</v>
      </c>
      <c r="B230" s="4" t="s">
        <v>1125</v>
      </c>
      <c r="C230" s="4" t="s">
        <v>669</v>
      </c>
      <c r="D230" s="4" t="s">
        <v>669</v>
      </c>
      <c r="E230" s="4" t="s">
        <v>670</v>
      </c>
      <c r="F230" s="4" t="s">
        <v>1126</v>
      </c>
      <c r="G230" s="14">
        <v>66.78</v>
      </c>
      <c r="H230" s="10">
        <v>6.460629</v>
      </c>
      <c r="I230" s="10">
        <v>8.4823199999999996</v>
      </c>
      <c r="J230" s="10">
        <v>3.6724160000000001</v>
      </c>
      <c r="K230" s="15">
        <v>1.9765999999999999E-2</v>
      </c>
      <c r="L230" s="17">
        <v>11665.805412</v>
      </c>
      <c r="M230" s="4" t="s">
        <v>1127</v>
      </c>
      <c r="N230" s="19">
        <v>7.872846</v>
      </c>
      <c r="O230" s="19">
        <v>6.6196000000000002</v>
      </c>
      <c r="P230" s="19">
        <v>4.5199999999999996</v>
      </c>
      <c r="Q230" s="19">
        <v>3.1905000000000001</v>
      </c>
      <c r="R230" s="19">
        <v>-1.484693</v>
      </c>
      <c r="S230" s="19">
        <v>1.8978999999999999</v>
      </c>
      <c r="T230" s="19">
        <v>-1.484693</v>
      </c>
      <c r="U230" s="19">
        <v>4.3582999999999998</v>
      </c>
      <c r="V230" s="19">
        <v>1.42</v>
      </c>
      <c r="W230" s="19">
        <v>2.9977</v>
      </c>
      <c r="X230" s="19">
        <v>1.42</v>
      </c>
      <c r="Y230" s="19">
        <v>2.9977</v>
      </c>
      <c r="Z230" s="4"/>
      <c r="AA230" s="4"/>
      <c r="AB230" s="4" t="e">
        <f ca="1">_xll.ciqfunctions.udf.CIQ("^SPX", "IQ_PRICEDATE", "11/18/2014")</f>
        <v>#NAME?</v>
      </c>
      <c r="AC230" s="16">
        <v>2051.7957989265001</v>
      </c>
    </row>
    <row r="231" spans="1:29" x14ac:dyDescent="0.35">
      <c r="A231" s="2" t="s">
        <v>241</v>
      </c>
      <c r="B231" s="4" t="s">
        <v>1128</v>
      </c>
      <c r="C231" s="4" t="s">
        <v>530</v>
      </c>
      <c r="D231" s="4" t="s">
        <v>531</v>
      </c>
      <c r="E231" s="4" t="s">
        <v>532</v>
      </c>
      <c r="F231" s="4" t="s">
        <v>533</v>
      </c>
      <c r="G231" s="14">
        <v>41.59</v>
      </c>
      <c r="H231" s="10">
        <v>13.499745000000001</v>
      </c>
      <c r="I231" s="10" t="s">
        <v>534</v>
      </c>
      <c r="J231" s="10" t="s">
        <v>534</v>
      </c>
      <c r="K231" s="15">
        <v>0</v>
      </c>
      <c r="L231" s="17">
        <v>11317.585921</v>
      </c>
      <c r="M231" s="4" t="s">
        <v>1129</v>
      </c>
      <c r="N231" s="19">
        <v>-0.29137600000000002</v>
      </c>
      <c r="O231" s="19">
        <v>2.37</v>
      </c>
      <c r="P231" s="19">
        <v>3.7781910000000001</v>
      </c>
      <c r="Q231" s="19">
        <v>2.1189800000000001</v>
      </c>
      <c r="R231" s="19">
        <v>1.17</v>
      </c>
      <c r="S231" s="19">
        <v>2.0952799999999998</v>
      </c>
      <c r="T231" s="19">
        <v>1.17</v>
      </c>
      <c r="U231" s="19">
        <v>1.82551</v>
      </c>
      <c r="V231" s="19">
        <v>0.17963499999999999</v>
      </c>
      <c r="W231" s="19">
        <v>1.5294700000000001</v>
      </c>
      <c r="X231" s="19">
        <v>0.17963499999999999</v>
      </c>
      <c r="Y231" s="19">
        <v>1.5294700000000001</v>
      </c>
      <c r="Z231" s="4"/>
      <c r="AA231" s="4"/>
      <c r="AB231" s="4" t="e">
        <f ca="1">_xll.ciqfunctions.udf.CIQ("^SPX", "IQ_PRICEDATE", "11/19/2014")</f>
        <v>#NAME?</v>
      </c>
      <c r="AC231" s="16">
        <v>2048.7209640499</v>
      </c>
    </row>
    <row r="232" spans="1:29" x14ac:dyDescent="0.35">
      <c r="A232" s="2" t="s">
        <v>242</v>
      </c>
      <c r="B232" s="4" t="s">
        <v>1130</v>
      </c>
      <c r="C232" s="4" t="s">
        <v>525</v>
      </c>
      <c r="D232" s="4" t="s">
        <v>526</v>
      </c>
      <c r="E232" s="4" t="s">
        <v>1077</v>
      </c>
      <c r="F232" s="4" t="s">
        <v>1077</v>
      </c>
      <c r="G232" s="14">
        <v>158.05000000000001</v>
      </c>
      <c r="H232" s="10">
        <v>14.336119999999999</v>
      </c>
      <c r="I232" s="10">
        <v>73.565415999999999</v>
      </c>
      <c r="J232" s="10" t="s">
        <v>534</v>
      </c>
      <c r="K232" s="15">
        <v>2.0752000000000003E-2</v>
      </c>
      <c r="L232" s="17">
        <v>117369.593792</v>
      </c>
      <c r="M232" s="4" t="s">
        <v>1131</v>
      </c>
      <c r="N232" s="19">
        <v>2.148428</v>
      </c>
      <c r="O232" s="19">
        <v>8.3530999999999995</v>
      </c>
      <c r="P232" s="19">
        <v>2.14</v>
      </c>
      <c r="Q232" s="19">
        <v>7.5151000000000003</v>
      </c>
      <c r="R232" s="19">
        <v>6.2</v>
      </c>
      <c r="S232" s="19">
        <v>6.8556999999999997</v>
      </c>
      <c r="T232" s="19">
        <v>6.2</v>
      </c>
      <c r="U232" s="19">
        <v>6.4187000000000003</v>
      </c>
      <c r="V232" s="19">
        <v>5.33</v>
      </c>
      <c r="W232" s="19">
        <v>5.9169999999999998</v>
      </c>
      <c r="X232" s="19">
        <v>5.33</v>
      </c>
      <c r="Y232" s="19">
        <v>5.9169999999999998</v>
      </c>
      <c r="Z232" s="4"/>
      <c r="AA232" s="4"/>
      <c r="AB232" s="4" t="e">
        <f ca="1">_xll.ciqfunctions.udf.CIQ("^SPX", "IQ_PRICEDATE", "11/20/2014")</f>
        <v>#NAME?</v>
      </c>
      <c r="AC232" s="16">
        <v>2052.7522479220002</v>
      </c>
    </row>
    <row r="233" spans="1:29" x14ac:dyDescent="0.35">
      <c r="A233" s="2" t="s">
        <v>243</v>
      </c>
      <c r="B233" s="4" t="s">
        <v>1132</v>
      </c>
      <c r="C233" s="4" t="s">
        <v>626</v>
      </c>
      <c r="D233" s="4" t="s">
        <v>627</v>
      </c>
      <c r="E233" s="4" t="s">
        <v>699</v>
      </c>
      <c r="F233" s="4" t="s">
        <v>789</v>
      </c>
      <c r="G233" s="14">
        <v>40.9</v>
      </c>
      <c r="H233" s="10">
        <v>16.366792</v>
      </c>
      <c r="I233" s="10">
        <v>22.971475000000002</v>
      </c>
      <c r="J233" s="10">
        <v>15.295895</v>
      </c>
      <c r="K233" s="15">
        <v>1.8337000000000003E-2</v>
      </c>
      <c r="L233" s="17">
        <v>21804.522273999999</v>
      </c>
      <c r="M233" s="4" t="s">
        <v>1133</v>
      </c>
      <c r="N233" s="19">
        <v>1.7804690000000001</v>
      </c>
      <c r="O233" s="19">
        <v>1.7768999999999999</v>
      </c>
      <c r="P233" s="19">
        <v>1.57</v>
      </c>
      <c r="Q233" s="19">
        <v>1.67</v>
      </c>
      <c r="R233" s="19">
        <v>1.64</v>
      </c>
      <c r="S233" s="19">
        <v>1.7055100000000001</v>
      </c>
      <c r="T233" s="19">
        <v>1.64</v>
      </c>
      <c r="U233" s="19">
        <v>1.45903</v>
      </c>
      <c r="V233" s="19">
        <v>1.1200000000000001</v>
      </c>
      <c r="W233" s="19">
        <v>1.27227</v>
      </c>
      <c r="X233" s="19">
        <v>1.1200000000000001</v>
      </c>
      <c r="Y233" s="19">
        <v>1.27227</v>
      </c>
      <c r="Z233" s="4"/>
      <c r="AA233" s="4"/>
      <c r="AB233" s="4" t="e">
        <f ca="1">_xll.ciqfunctions.udf.CIQ("^SPX", "IQ_PRICEDATE", "11/21/2014")</f>
        <v>#NAME?</v>
      </c>
      <c r="AC233" s="16">
        <v>2063.5024452877001</v>
      </c>
    </row>
    <row r="234" spans="1:29" x14ac:dyDescent="0.35">
      <c r="A234" s="2" t="s">
        <v>244</v>
      </c>
      <c r="B234" s="4" t="s">
        <v>1134</v>
      </c>
      <c r="C234" s="4" t="s">
        <v>601</v>
      </c>
      <c r="D234" s="4" t="s">
        <v>601</v>
      </c>
      <c r="E234" s="4" t="s">
        <v>602</v>
      </c>
      <c r="F234" s="4" t="s">
        <v>1135</v>
      </c>
      <c r="G234" s="14">
        <v>19.329999999999998</v>
      </c>
      <c r="H234" s="10">
        <v>12.242989</v>
      </c>
      <c r="I234" s="10">
        <v>21.959845000000001</v>
      </c>
      <c r="J234" s="10">
        <v>2.003409</v>
      </c>
      <c r="K234" s="15">
        <v>4.3973000000000005E-2</v>
      </c>
      <c r="L234" s="17">
        <v>14336.624992999999</v>
      </c>
      <c r="M234" s="4" t="s">
        <v>1136</v>
      </c>
      <c r="N234" s="19">
        <v>0.880243</v>
      </c>
      <c r="O234" s="19">
        <v>0.76629999999999998</v>
      </c>
      <c r="P234" s="19">
        <v>0.76</v>
      </c>
      <c r="Q234" s="19">
        <v>0.66769999999999996</v>
      </c>
      <c r="R234" s="19">
        <v>1.02</v>
      </c>
      <c r="S234" s="19">
        <v>0.64</v>
      </c>
      <c r="T234" s="19">
        <v>1.02</v>
      </c>
      <c r="U234" s="19">
        <v>0.73870000000000002</v>
      </c>
      <c r="V234" s="19">
        <v>0.96466700000000005</v>
      </c>
      <c r="W234" s="19">
        <v>0.75</v>
      </c>
      <c r="X234" s="19">
        <v>0.96466700000000005</v>
      </c>
      <c r="Y234" s="19">
        <v>0.75</v>
      </c>
      <c r="Z234" s="4"/>
      <c r="AA234" s="4"/>
      <c r="AB234" s="4" t="e">
        <f ca="1">_xll.ciqfunctions.udf.CIQ("^SPX", "IQ_PRICEDATE", "11/24/2014")</f>
        <v>#NAME?</v>
      </c>
      <c r="AC234" s="16">
        <v>2069.4102024734998</v>
      </c>
    </row>
    <row r="235" spans="1:29" x14ac:dyDescent="0.35">
      <c r="A235" s="2" t="s">
        <v>245</v>
      </c>
      <c r="B235" s="4" t="s">
        <v>1137</v>
      </c>
      <c r="C235" s="4" t="s">
        <v>543</v>
      </c>
      <c r="D235" s="4" t="s">
        <v>664</v>
      </c>
      <c r="E235" s="4" t="s">
        <v>688</v>
      </c>
      <c r="F235" s="4" t="s">
        <v>688</v>
      </c>
      <c r="G235" s="14">
        <v>23.87</v>
      </c>
      <c r="H235" s="10">
        <v>7.9920049999999998</v>
      </c>
      <c r="I235" s="10">
        <v>8.7068290000000008</v>
      </c>
      <c r="J235" s="10" t="s">
        <v>534</v>
      </c>
      <c r="K235" s="15">
        <v>2.6844999999999997E-2</v>
      </c>
      <c r="L235" s="17">
        <v>37772.091086</v>
      </c>
      <c r="M235" s="4" t="s">
        <v>1138</v>
      </c>
      <c r="N235" s="19">
        <v>2.7415259999999999</v>
      </c>
      <c r="O235" s="19">
        <v>2.1341999999999999</v>
      </c>
      <c r="P235" s="19">
        <v>1.48</v>
      </c>
      <c r="Q235" s="19">
        <v>1.8087599999999999</v>
      </c>
      <c r="R235" s="19">
        <v>1.53</v>
      </c>
      <c r="S235" s="19">
        <v>1.58786</v>
      </c>
      <c r="T235" s="19">
        <v>1.53</v>
      </c>
      <c r="U235" s="19">
        <v>1.6143700000000001</v>
      </c>
      <c r="V235" s="19">
        <v>1.53</v>
      </c>
      <c r="W235" s="19">
        <v>3.9609700000000001</v>
      </c>
      <c r="X235" s="19">
        <v>1.53</v>
      </c>
      <c r="Y235" s="19">
        <v>3.9609700000000001</v>
      </c>
      <c r="Z235" s="4"/>
      <c r="AA235" s="4"/>
      <c r="AB235" s="4" t="e">
        <f ca="1">_xll.ciqfunctions.udf.CIQ("^SPX", "IQ_PRICEDATE", "11/25/2014")</f>
        <v>#NAME?</v>
      </c>
      <c r="AC235" s="16">
        <v>2067.0345340898002</v>
      </c>
    </row>
    <row r="236" spans="1:29" x14ac:dyDescent="0.35">
      <c r="A236" s="2" t="s">
        <v>246</v>
      </c>
      <c r="B236" s="4" t="s">
        <v>1139</v>
      </c>
      <c r="C236" s="4" t="s">
        <v>530</v>
      </c>
      <c r="D236" s="4" t="s">
        <v>531</v>
      </c>
      <c r="E236" s="4" t="s">
        <v>569</v>
      </c>
      <c r="F236" s="4" t="s">
        <v>570</v>
      </c>
      <c r="G236" s="14">
        <v>328.08</v>
      </c>
      <c r="H236" s="10">
        <v>12.340733</v>
      </c>
      <c r="I236" s="10">
        <v>33.914434</v>
      </c>
      <c r="J236" s="10">
        <v>7.4929399999999999</v>
      </c>
      <c r="K236" s="15">
        <v>6.0960000000000007E-3</v>
      </c>
      <c r="L236" s="17">
        <v>45197.418569000001</v>
      </c>
      <c r="M236" s="4" t="s">
        <v>1140</v>
      </c>
      <c r="N236" s="19">
        <v>9.6737570000000002</v>
      </c>
      <c r="O236" s="19">
        <v>15.735300000000001</v>
      </c>
      <c r="P236" s="19">
        <v>16.809999999999999</v>
      </c>
      <c r="Q236" s="19">
        <v>11.841200000000001</v>
      </c>
      <c r="R236" s="19">
        <v>4.07</v>
      </c>
      <c r="S236" s="19">
        <v>10.41</v>
      </c>
      <c r="T236" s="19">
        <v>4.07</v>
      </c>
      <c r="U236" s="19">
        <v>8.5888000000000009</v>
      </c>
      <c r="V236" s="19">
        <v>7.36</v>
      </c>
      <c r="W236" s="19">
        <v>8.5393000000000008</v>
      </c>
      <c r="X236" s="19">
        <v>7.36</v>
      </c>
      <c r="Y236" s="19">
        <v>8.5393000000000008</v>
      </c>
      <c r="Z236" s="4"/>
      <c r="AA236" s="4"/>
      <c r="AB236" s="4" t="e">
        <f ca="1">_xll.ciqfunctions.udf.CIQ("^SPX", "IQ_PRICEDATE", "11/26/2014")</f>
        <v>#NAME?</v>
      </c>
      <c r="AC236" s="16">
        <v>2072.8294926639001</v>
      </c>
    </row>
    <row r="237" spans="1:29" x14ac:dyDescent="0.35">
      <c r="A237" s="2" t="s">
        <v>247</v>
      </c>
      <c r="B237" s="4" t="s">
        <v>1141</v>
      </c>
      <c r="C237" s="4" t="s">
        <v>573</v>
      </c>
      <c r="D237" s="4" t="s">
        <v>737</v>
      </c>
      <c r="E237" s="4" t="s">
        <v>737</v>
      </c>
      <c r="F237" s="4" t="s">
        <v>743</v>
      </c>
      <c r="G237" s="14">
        <v>14.39</v>
      </c>
      <c r="H237" s="10">
        <v>0</v>
      </c>
      <c r="I237" s="10">
        <v>12.197695</v>
      </c>
      <c r="J237" s="10">
        <v>1.996961</v>
      </c>
      <c r="K237" s="15">
        <v>3.8915000000000005E-2</v>
      </c>
      <c r="L237" s="17">
        <v>15889.820817</v>
      </c>
      <c r="M237" s="4" t="s">
        <v>1142</v>
      </c>
      <c r="N237" s="19">
        <v>1.1797310000000001</v>
      </c>
      <c r="O237" s="19">
        <v>1.3174999999999999</v>
      </c>
      <c r="P237" s="19">
        <v>1.0042359999999999</v>
      </c>
      <c r="Q237" s="19">
        <v>1.0569999999999999</v>
      </c>
      <c r="R237" s="19">
        <v>0.7</v>
      </c>
      <c r="S237" s="19">
        <v>0.93700000000000006</v>
      </c>
      <c r="T237" s="19">
        <v>0.7</v>
      </c>
      <c r="U237" s="19">
        <v>0.87780000000000002</v>
      </c>
      <c r="V237" s="19">
        <v>0.72</v>
      </c>
      <c r="W237" s="19">
        <v>0.78029999999999999</v>
      </c>
      <c r="X237" s="19">
        <v>0.72</v>
      </c>
      <c r="Y237" s="19">
        <v>0.78029999999999999</v>
      </c>
      <c r="Z237" s="4"/>
      <c r="AA237" s="4"/>
      <c r="AB237" s="4" t="e">
        <f ca="1">_xll.ciqfunctions.udf.CIQ("^SPX", "IQ_PRICEDATE", "11/28/2014")</f>
        <v>#NAME?</v>
      </c>
      <c r="AC237" s="16">
        <v>2067.5620445270001</v>
      </c>
    </row>
    <row r="238" spans="1:29" x14ac:dyDescent="0.35">
      <c r="A238" s="2" t="s">
        <v>248</v>
      </c>
      <c r="B238" s="4" t="s">
        <v>1143</v>
      </c>
      <c r="C238" s="4" t="s">
        <v>525</v>
      </c>
      <c r="D238" s="4" t="s">
        <v>526</v>
      </c>
      <c r="E238" s="4" t="s">
        <v>703</v>
      </c>
      <c r="F238" s="4" t="s">
        <v>703</v>
      </c>
      <c r="G238" s="14">
        <v>233.12</v>
      </c>
      <c r="H238" s="10">
        <v>9.6159199999999991</v>
      </c>
      <c r="I238" s="10">
        <v>17.266672</v>
      </c>
      <c r="J238" s="10" t="s">
        <v>534</v>
      </c>
      <c r="K238" s="15">
        <v>1.2354E-2</v>
      </c>
      <c r="L238" s="17">
        <v>10098.381212</v>
      </c>
      <c r="M238" s="4" t="s">
        <v>1144</v>
      </c>
      <c r="N238" s="19">
        <v>13.501154</v>
      </c>
      <c r="O238" s="19">
        <v>16.617599999999999</v>
      </c>
      <c r="P238" s="19">
        <v>10.46</v>
      </c>
      <c r="Q238" s="19">
        <v>12.1607</v>
      </c>
      <c r="R238" s="19">
        <v>12.14</v>
      </c>
      <c r="S238" s="19">
        <v>10.048999999999999</v>
      </c>
      <c r="T238" s="19">
        <v>12.14</v>
      </c>
      <c r="U238" s="19">
        <v>9.1852999999999998</v>
      </c>
      <c r="V238" s="19">
        <v>6.86</v>
      </c>
      <c r="W238" s="19">
        <v>8.0312999999999999</v>
      </c>
      <c r="X238" s="19">
        <v>6.86</v>
      </c>
      <c r="Y238" s="19">
        <v>8.0312999999999999</v>
      </c>
      <c r="Z238" s="4"/>
      <c r="AA238" s="4"/>
      <c r="AB238" s="4" t="e">
        <f ca="1">_xll.ciqfunctions.udf.CIQ("^SPX", "IQ_PRICEDATE", "12/1/2014")</f>
        <v>#NAME?</v>
      </c>
      <c r="AC238" s="16">
        <v>2053.4400601961001</v>
      </c>
    </row>
    <row r="239" spans="1:29" x14ac:dyDescent="0.35">
      <c r="A239" s="2" t="s">
        <v>249</v>
      </c>
      <c r="B239" s="4" t="s">
        <v>1145</v>
      </c>
      <c r="C239" s="4" t="s">
        <v>530</v>
      </c>
      <c r="D239" s="4" t="s">
        <v>531</v>
      </c>
      <c r="E239" s="4" t="s">
        <v>532</v>
      </c>
      <c r="F239" s="4" t="s">
        <v>533</v>
      </c>
      <c r="G239" s="14">
        <v>228.49</v>
      </c>
      <c r="H239" s="10">
        <v>38.185912999999999</v>
      </c>
      <c r="I239" s="10">
        <v>66.313771000000003</v>
      </c>
      <c r="J239" s="10" t="s">
        <v>534</v>
      </c>
      <c r="K239" s="15">
        <v>0</v>
      </c>
      <c r="L239" s="17">
        <v>19785.169364000001</v>
      </c>
      <c r="M239" s="4" t="s">
        <v>1146</v>
      </c>
      <c r="N239" s="19">
        <v>3.445589</v>
      </c>
      <c r="O239" s="19">
        <v>4.4249999999999998</v>
      </c>
      <c r="P239" s="19">
        <v>2.94</v>
      </c>
      <c r="Q239" s="19">
        <v>3.4529000000000001</v>
      </c>
      <c r="R239" s="19">
        <v>2.44</v>
      </c>
      <c r="S239" s="19">
        <v>2.7244999999999999</v>
      </c>
      <c r="T239" s="19">
        <v>2.44</v>
      </c>
      <c r="U239" s="19">
        <v>2.1274999999999999</v>
      </c>
      <c r="V239" s="19">
        <v>1.79</v>
      </c>
      <c r="W239" s="19">
        <v>2.0825</v>
      </c>
      <c r="X239" s="19">
        <v>1.79</v>
      </c>
      <c r="Y239" s="19">
        <v>2.0825</v>
      </c>
      <c r="Z239" s="4"/>
      <c r="AA239" s="4"/>
      <c r="AB239" s="4" t="e">
        <f ca="1">_xll.ciqfunctions.udf.CIQ("^SPX", "IQ_PRICEDATE", "12/2/2014")</f>
        <v>#NAME?</v>
      </c>
      <c r="AC239" s="16">
        <v>2066.5486235941999</v>
      </c>
    </row>
    <row r="240" spans="1:29" x14ac:dyDescent="0.35">
      <c r="A240" s="2" t="s">
        <v>250</v>
      </c>
      <c r="B240" s="4" t="s">
        <v>1147</v>
      </c>
      <c r="C240" s="4" t="s">
        <v>525</v>
      </c>
      <c r="D240" s="4" t="s">
        <v>855</v>
      </c>
      <c r="E240" s="4" t="s">
        <v>990</v>
      </c>
      <c r="F240" s="4" t="s">
        <v>991</v>
      </c>
      <c r="G240" s="14">
        <v>52.57</v>
      </c>
      <c r="H240" s="10">
        <v>20.822817000000001</v>
      </c>
      <c r="I240" s="10">
        <v>38.133440999999998</v>
      </c>
      <c r="J240" s="10" t="s">
        <v>534</v>
      </c>
      <c r="K240" s="15">
        <v>0</v>
      </c>
      <c r="L240" s="17">
        <v>20721.266089000001</v>
      </c>
      <c r="M240" s="4" t="s">
        <v>1148</v>
      </c>
      <c r="N240" s="19">
        <v>1.3785799999999999</v>
      </c>
      <c r="O240" s="19">
        <v>2.4763999999999999</v>
      </c>
      <c r="P240" s="19">
        <v>1</v>
      </c>
      <c r="Q240" s="19">
        <v>2.1244999999999998</v>
      </c>
      <c r="R240" s="19">
        <v>0.45</v>
      </c>
      <c r="S240" s="19">
        <v>1.9504999999999999</v>
      </c>
      <c r="T240" s="19">
        <v>0.45</v>
      </c>
      <c r="U240" s="19">
        <v>0</v>
      </c>
      <c r="V240" s="19">
        <v>0.72</v>
      </c>
      <c r="W240" s="19">
        <v>0</v>
      </c>
      <c r="X240" s="19">
        <v>0.72</v>
      </c>
      <c r="Y240" s="19">
        <v>0</v>
      </c>
      <c r="Z240" s="4"/>
      <c r="AA240" s="4"/>
      <c r="AB240" s="4" t="e">
        <f ca="1">_xll.ciqfunctions.udf.CIQ("^SPX", "IQ_PRICEDATE", "12/3/2014")</f>
        <v>#NAME?</v>
      </c>
      <c r="AC240" s="16">
        <v>2074.3346391546002</v>
      </c>
    </row>
    <row r="241" spans="1:29" x14ac:dyDescent="0.35">
      <c r="A241" s="2" t="s">
        <v>251</v>
      </c>
      <c r="B241" s="4" t="s">
        <v>1149</v>
      </c>
      <c r="C241" s="4" t="s">
        <v>525</v>
      </c>
      <c r="D241" s="4" t="s">
        <v>526</v>
      </c>
      <c r="E241" s="4" t="s">
        <v>803</v>
      </c>
      <c r="F241" s="4" t="s">
        <v>948</v>
      </c>
      <c r="G241" s="14">
        <v>132.01</v>
      </c>
      <c r="H241" s="10">
        <v>12.407420999999999</v>
      </c>
      <c r="I241" s="10">
        <v>24.096838000000002</v>
      </c>
      <c r="J241" s="10" t="s">
        <v>534</v>
      </c>
      <c r="K241" s="15">
        <v>3.0299999999999997E-2</v>
      </c>
      <c r="L241" s="17">
        <v>44269.946494000003</v>
      </c>
      <c r="M241" s="4" t="s">
        <v>1150</v>
      </c>
      <c r="N241" s="19">
        <v>5.4783119999999998</v>
      </c>
      <c r="O241" s="19">
        <v>7.8270999999999997</v>
      </c>
      <c r="P241" s="19">
        <v>4.8600000000000003</v>
      </c>
      <c r="Q241" s="19">
        <v>7.0208000000000004</v>
      </c>
      <c r="R241" s="19">
        <v>5.7</v>
      </c>
      <c r="S241" s="19">
        <v>6.0159000000000002</v>
      </c>
      <c r="T241" s="19">
        <v>5.7</v>
      </c>
      <c r="U241" s="19">
        <v>5.3254000000000001</v>
      </c>
      <c r="V241" s="19">
        <v>4.67</v>
      </c>
      <c r="W241" s="19">
        <v>5.1177999999999999</v>
      </c>
      <c r="X241" s="19">
        <v>4.67</v>
      </c>
      <c r="Y241" s="19">
        <v>5.1177999999999999</v>
      </c>
      <c r="Z241" s="4"/>
      <c r="AA241" s="4"/>
      <c r="AB241" s="4" t="e">
        <f ca="1">_xll.ciqfunctions.udf.CIQ("^SPX", "IQ_PRICEDATE", "12/4/2014")</f>
        <v>#NAME?</v>
      </c>
      <c r="AC241" s="16">
        <v>2071.9155710278001</v>
      </c>
    </row>
    <row r="242" spans="1:29" x14ac:dyDescent="0.35">
      <c r="A242" s="2" t="s">
        <v>252</v>
      </c>
      <c r="B242" s="4" t="s">
        <v>1151</v>
      </c>
      <c r="C242" s="4" t="s">
        <v>530</v>
      </c>
      <c r="D242" s="4" t="s">
        <v>537</v>
      </c>
      <c r="E242" s="4" t="s">
        <v>583</v>
      </c>
      <c r="F242" s="4" t="s">
        <v>583</v>
      </c>
      <c r="G242" s="14">
        <v>328.96</v>
      </c>
      <c r="H242" s="10">
        <v>46.618369999999999</v>
      </c>
      <c r="I242" s="10">
        <v>74.801428000000001</v>
      </c>
      <c r="J242" s="10">
        <v>21.772679</v>
      </c>
      <c r="K242" s="15">
        <v>0</v>
      </c>
      <c r="L242" s="17">
        <v>48357.120000000003</v>
      </c>
      <c r="M242" s="4" t="s">
        <v>1152</v>
      </c>
      <c r="N242" s="19">
        <v>4.3977769999999996</v>
      </c>
      <c r="O242" s="19">
        <v>5.5975000000000001</v>
      </c>
      <c r="P242" s="19">
        <v>4.92</v>
      </c>
      <c r="Q242" s="19">
        <v>4.4610000000000003</v>
      </c>
      <c r="R242" s="19">
        <v>2.9797060000000002</v>
      </c>
      <c r="S242" s="19">
        <v>3.5125000000000002</v>
      </c>
      <c r="T242" s="19">
        <v>2.9797060000000002</v>
      </c>
      <c r="U242" s="19">
        <v>3.5518000000000001</v>
      </c>
      <c r="V242" s="19">
        <v>2.37</v>
      </c>
      <c r="W242" s="19">
        <v>3.0598000000000001</v>
      </c>
      <c r="X242" s="19">
        <v>2.37</v>
      </c>
      <c r="Y242" s="19">
        <v>3.0598000000000001</v>
      </c>
      <c r="Z242" s="4"/>
      <c r="AA242" s="4"/>
      <c r="AB242" s="4" t="e">
        <f ca="1">_xll.ciqfunctions.udf.CIQ("^SPX", "IQ_PRICEDATE", "12/5/2014")</f>
        <v>#NAME?</v>
      </c>
      <c r="AC242" s="16">
        <v>2075.3681926275999</v>
      </c>
    </row>
    <row r="243" spans="1:29" x14ac:dyDescent="0.35">
      <c r="A243" s="2" t="s">
        <v>253</v>
      </c>
      <c r="B243" s="4" t="s">
        <v>1153</v>
      </c>
      <c r="C243" s="4" t="s">
        <v>530</v>
      </c>
      <c r="D243" s="4" t="s">
        <v>537</v>
      </c>
      <c r="E243" s="4" t="s">
        <v>538</v>
      </c>
      <c r="F243" s="4" t="s">
        <v>538</v>
      </c>
      <c r="G243" s="14">
        <v>65.040000000000006</v>
      </c>
      <c r="H243" s="10" t="s">
        <v>534</v>
      </c>
      <c r="I243" s="10" t="s">
        <v>534</v>
      </c>
      <c r="J243" s="10">
        <v>10.224328</v>
      </c>
      <c r="K243" s="15">
        <v>0</v>
      </c>
      <c r="L243" s="17">
        <v>13826.037283</v>
      </c>
      <c r="M243" s="4" t="s">
        <v>1154</v>
      </c>
      <c r="N243" s="19">
        <v>-0.48619499999999999</v>
      </c>
      <c r="O243" s="19">
        <v>1.7767999999999999</v>
      </c>
      <c r="P243" s="19">
        <v>-1.5306569999999999</v>
      </c>
      <c r="Q243" s="19">
        <v>0.2218</v>
      </c>
      <c r="R243" s="19">
        <v>0.54</v>
      </c>
      <c r="S243" s="19">
        <v>1.2790999999999999</v>
      </c>
      <c r="T243" s="19">
        <v>0.54</v>
      </c>
      <c r="U243" s="19">
        <v>0.2427</v>
      </c>
      <c r="V243" s="19">
        <v>-0.28999999999999998</v>
      </c>
      <c r="W243" s="19">
        <v>-0.30499999999999999</v>
      </c>
      <c r="X243" s="19">
        <v>-0.28999999999999998</v>
      </c>
      <c r="Y243" s="19">
        <v>-0.30499999999999999</v>
      </c>
      <c r="Z243" s="4"/>
      <c r="AA243" s="4"/>
      <c r="AB243" s="4" t="e">
        <f ca="1">_xll.ciqfunctions.udf.CIQ("^SPX", "IQ_PRICEDATE", "12/8/2014")</f>
        <v>#NAME?</v>
      </c>
      <c r="AC243" s="16">
        <v>2060.3101311963001</v>
      </c>
    </row>
    <row r="244" spans="1:29" x14ac:dyDescent="0.35">
      <c r="A244" s="2" t="s">
        <v>254</v>
      </c>
      <c r="B244" s="4" t="s">
        <v>1155</v>
      </c>
      <c r="C244" s="4" t="s">
        <v>525</v>
      </c>
      <c r="D244" s="4" t="s">
        <v>526</v>
      </c>
      <c r="E244" s="4" t="s">
        <v>803</v>
      </c>
      <c r="F244" s="4" t="s">
        <v>948</v>
      </c>
      <c r="G244" s="14">
        <v>97.52</v>
      </c>
      <c r="H244" s="10">
        <v>12.479763999999999</v>
      </c>
      <c r="I244" s="10">
        <v>17.215479999999999</v>
      </c>
      <c r="J244" s="10" t="s">
        <v>534</v>
      </c>
      <c r="K244" s="15">
        <v>2.1739000000000001E-2</v>
      </c>
      <c r="L244" s="17">
        <v>23922.588876000002</v>
      </c>
      <c r="M244" s="4" t="s">
        <v>1156</v>
      </c>
      <c r="N244" s="19">
        <v>5.664669</v>
      </c>
      <c r="O244" s="19">
        <v>5.9066999999999998</v>
      </c>
      <c r="P244" s="19">
        <v>5.14</v>
      </c>
      <c r="Q244" s="19">
        <v>4.9977999999999998</v>
      </c>
      <c r="R244" s="19">
        <v>5.52</v>
      </c>
      <c r="S244" s="19">
        <v>4.3587999999999996</v>
      </c>
      <c r="T244" s="19">
        <v>5.52</v>
      </c>
      <c r="U244" s="19">
        <v>3.9148000000000001</v>
      </c>
      <c r="V244" s="19">
        <v>3.27</v>
      </c>
      <c r="W244" s="19">
        <v>3.6715</v>
      </c>
      <c r="X244" s="19">
        <v>3.27</v>
      </c>
      <c r="Y244" s="19">
        <v>3.6715</v>
      </c>
      <c r="Z244" s="4"/>
      <c r="AA244" s="4"/>
      <c r="AB244" s="4" t="e">
        <f ca="1">_xll.ciqfunctions.udf.CIQ("^SPX", "IQ_PRICEDATE", "12/9/2014")</f>
        <v>#NAME?</v>
      </c>
      <c r="AC244" s="16">
        <v>2059.8161266401999</v>
      </c>
    </row>
    <row r="245" spans="1:29" x14ac:dyDescent="0.35">
      <c r="A245" s="2" t="s">
        <v>255</v>
      </c>
      <c r="B245" s="4" t="s">
        <v>1157</v>
      </c>
      <c r="C245" s="4" t="s">
        <v>543</v>
      </c>
      <c r="D245" s="4" t="s">
        <v>565</v>
      </c>
      <c r="E245" s="4" t="s">
        <v>565</v>
      </c>
      <c r="F245" s="4" t="s">
        <v>566</v>
      </c>
      <c r="G245" s="14">
        <v>45.89</v>
      </c>
      <c r="H245" s="10">
        <v>7.8529540000000004</v>
      </c>
      <c r="I245" s="10">
        <v>16.549143999999998</v>
      </c>
      <c r="J245" s="10">
        <v>6.2979580000000004</v>
      </c>
      <c r="K245" s="15">
        <v>2.6148999999999999E-2</v>
      </c>
      <c r="L245" s="17">
        <v>211598.79</v>
      </c>
      <c r="M245" s="4" t="s">
        <v>1158</v>
      </c>
      <c r="N245" s="19">
        <v>2.7729529999999998</v>
      </c>
      <c r="O245" s="19">
        <v>4.1656000000000004</v>
      </c>
      <c r="P245" s="19">
        <v>1.99</v>
      </c>
      <c r="Q245" s="19">
        <v>3.2406999999999999</v>
      </c>
      <c r="R245" s="19">
        <v>2.12</v>
      </c>
      <c r="S245" s="19">
        <v>2.7601</v>
      </c>
      <c r="T245" s="19">
        <v>2.12</v>
      </c>
      <c r="U245" s="19">
        <v>2.3210999999999999</v>
      </c>
      <c r="V245" s="19">
        <v>2.31</v>
      </c>
      <c r="W245" s="19">
        <v>2.3691</v>
      </c>
      <c r="X245" s="19">
        <v>2.31</v>
      </c>
      <c r="Y245" s="19">
        <v>2.3691</v>
      </c>
      <c r="Z245" s="4"/>
      <c r="AA245" s="4"/>
      <c r="AB245" s="4" t="e">
        <f ca="1">_xll.ciqfunctions.udf.CIQ("^SPX", "IQ_PRICEDATE", "12/10/2014")</f>
        <v>#NAME?</v>
      </c>
      <c r="AC245" s="16">
        <v>2026.1434555635999</v>
      </c>
    </row>
    <row r="246" spans="1:29" x14ac:dyDescent="0.35">
      <c r="A246" s="2" t="s">
        <v>256</v>
      </c>
      <c r="B246" s="4" t="s">
        <v>1159</v>
      </c>
      <c r="C246" s="4" t="s">
        <v>573</v>
      </c>
      <c r="D246" s="4" t="s">
        <v>574</v>
      </c>
      <c r="E246" s="4" t="s">
        <v>575</v>
      </c>
      <c r="F246" s="4" t="s">
        <v>807</v>
      </c>
      <c r="G246" s="14">
        <v>73.569999999999993</v>
      </c>
      <c r="H246" s="10">
        <v>16.175283</v>
      </c>
      <c r="I246" s="10">
        <v>17.216322999999999</v>
      </c>
      <c r="J246" s="10" t="s">
        <v>534</v>
      </c>
      <c r="K246" s="15">
        <v>1.3047999999999999E-2</v>
      </c>
      <c r="L246" s="17">
        <v>42187.726394999998</v>
      </c>
      <c r="M246" s="4" t="s">
        <v>1160</v>
      </c>
      <c r="N246" s="19">
        <v>4.2732700000000001</v>
      </c>
      <c r="O246" s="19">
        <v>3.5750999999999999</v>
      </c>
      <c r="P246" s="19">
        <v>4.2300000000000004</v>
      </c>
      <c r="Q246" s="19">
        <v>3.2305000000000001</v>
      </c>
      <c r="R246" s="19">
        <v>2.37</v>
      </c>
      <c r="S246" s="19">
        <v>2.9710999999999999</v>
      </c>
      <c r="T246" s="19">
        <v>2.37</v>
      </c>
      <c r="U246" s="19">
        <v>2.6977000000000002</v>
      </c>
      <c r="V246" s="19">
        <v>1.69</v>
      </c>
      <c r="W246" s="19">
        <v>2.2726000000000002</v>
      </c>
      <c r="X246" s="19">
        <v>1.69</v>
      </c>
      <c r="Y246" s="19">
        <v>2.2726000000000002</v>
      </c>
      <c r="Z246" s="4"/>
      <c r="AA246" s="4"/>
      <c r="AB246" s="4" t="e">
        <f ca="1">_xll.ciqfunctions.udf.CIQ("^SPX", "IQ_PRICEDATE", "12/11/2014")</f>
        <v>#NAME?</v>
      </c>
      <c r="AC246" s="16">
        <v>2035.3266285533</v>
      </c>
    </row>
    <row r="247" spans="1:29" x14ac:dyDescent="0.35">
      <c r="A247" s="2" t="s">
        <v>257</v>
      </c>
      <c r="B247" s="4" t="s">
        <v>1161</v>
      </c>
      <c r="C247" s="4" t="s">
        <v>543</v>
      </c>
      <c r="D247" s="4" t="s">
        <v>544</v>
      </c>
      <c r="E247" s="4" t="s">
        <v>545</v>
      </c>
      <c r="F247" s="4" t="s">
        <v>546</v>
      </c>
      <c r="G247" s="14">
        <v>134.05000000000001</v>
      </c>
      <c r="H247" s="10">
        <v>9.2836680000000005</v>
      </c>
      <c r="I247" s="10">
        <v>21.612307999999999</v>
      </c>
      <c r="J247" s="10" t="s">
        <v>534</v>
      </c>
      <c r="K247" s="15">
        <v>4.6848000000000001E-2</v>
      </c>
      <c r="L247" s="17">
        <v>122356.57573500001</v>
      </c>
      <c r="M247" s="4" t="s">
        <v>1162</v>
      </c>
      <c r="N247" s="19">
        <v>6.2024840000000001</v>
      </c>
      <c r="O247" s="19">
        <v>13.776300000000001</v>
      </c>
      <c r="P247" s="19">
        <v>6.1404820000000004</v>
      </c>
      <c r="Q247" s="19">
        <v>14.017099999999999</v>
      </c>
      <c r="R247" s="19">
        <v>12.39</v>
      </c>
      <c r="S247" s="19">
        <v>14.0162</v>
      </c>
      <c r="T247" s="19">
        <v>12.39</v>
      </c>
      <c r="U247" s="19">
        <v>14.968299999999999</v>
      </c>
      <c r="V247" s="19">
        <v>15.593061000000001</v>
      </c>
      <c r="W247" s="19">
        <v>16.736899999999999</v>
      </c>
      <c r="X247" s="19">
        <v>15.593061000000001</v>
      </c>
      <c r="Y247" s="19">
        <v>16.736899999999999</v>
      </c>
      <c r="Z247" s="4"/>
      <c r="AA247" s="4"/>
      <c r="AB247" s="4" t="e">
        <f ca="1">_xll.ciqfunctions.udf.CIQ("^SPX", "IQ_PRICEDATE", "12/12/2014")</f>
        <v>#NAME?</v>
      </c>
      <c r="AC247" s="16">
        <v>2002.3342396802</v>
      </c>
    </row>
    <row r="248" spans="1:29" x14ac:dyDescent="0.35">
      <c r="A248" s="2" t="s">
        <v>258</v>
      </c>
      <c r="B248" s="4" t="s">
        <v>1163</v>
      </c>
      <c r="C248" s="4" t="s">
        <v>586</v>
      </c>
      <c r="D248" s="4" t="s">
        <v>586</v>
      </c>
      <c r="E248" s="4" t="s">
        <v>587</v>
      </c>
      <c r="F248" s="4" t="s">
        <v>598</v>
      </c>
      <c r="G248" s="14">
        <v>138.22999999999999</v>
      </c>
      <c r="H248" s="10">
        <v>20.308163</v>
      </c>
      <c r="I248" s="10">
        <v>36.862974000000001</v>
      </c>
      <c r="J248" s="10">
        <v>52.070168000000002</v>
      </c>
      <c r="K248" s="15">
        <v>2.1124E-2</v>
      </c>
      <c r="L248" s="17">
        <v>14742.229499999999</v>
      </c>
      <c r="M248" s="4" t="s">
        <v>1164</v>
      </c>
      <c r="N248" s="19">
        <v>3.7498330000000002</v>
      </c>
      <c r="O248" s="19">
        <v>6.1638000000000002</v>
      </c>
      <c r="P248" s="19">
        <v>3.72</v>
      </c>
      <c r="Q248" s="19">
        <v>6.1523000000000003</v>
      </c>
      <c r="R248" s="19">
        <v>5.05</v>
      </c>
      <c r="S248" s="19">
        <v>5.76</v>
      </c>
      <c r="T248" s="19">
        <v>5.05</v>
      </c>
      <c r="U248" s="19">
        <v>5.4825999999999997</v>
      </c>
      <c r="V248" s="19">
        <v>5.0599999999999996</v>
      </c>
      <c r="W248" s="19">
        <v>5.3129999999999997</v>
      </c>
      <c r="X248" s="19">
        <v>5.0599999999999996</v>
      </c>
      <c r="Y248" s="19">
        <v>5.3129999999999997</v>
      </c>
      <c r="Z248" s="4"/>
      <c r="AA248" s="4"/>
      <c r="AB248" s="4" t="e">
        <f ca="1">_xll.ciqfunctions.udf.CIQ("^SPX", "IQ_PRICEDATE", "12/15/2014")</f>
        <v>#NAME?</v>
      </c>
      <c r="AC248" s="16">
        <v>1989.6307630511999</v>
      </c>
    </row>
    <row r="249" spans="1:29" x14ac:dyDescent="0.35">
      <c r="A249" s="2" t="s">
        <v>259</v>
      </c>
      <c r="B249" s="4" t="s">
        <v>1165</v>
      </c>
      <c r="C249" s="4" t="s">
        <v>586</v>
      </c>
      <c r="D249" s="4" t="s">
        <v>586</v>
      </c>
      <c r="E249" s="4" t="s">
        <v>726</v>
      </c>
      <c r="F249" s="4" t="s">
        <v>727</v>
      </c>
      <c r="G249" s="14">
        <v>43.2</v>
      </c>
      <c r="H249" s="10">
        <v>7.1976259999999996</v>
      </c>
      <c r="I249" s="10">
        <v>6.9000849999999998</v>
      </c>
      <c r="J249" s="10">
        <v>5.0965030000000002</v>
      </c>
      <c r="K249" s="15">
        <v>4.6295999999999997E-2</v>
      </c>
      <c r="L249" s="17">
        <v>17663.532407999999</v>
      </c>
      <c r="M249" s="4" t="s">
        <v>1166</v>
      </c>
      <c r="N249" s="19">
        <v>6.2607920000000004</v>
      </c>
      <c r="O249" s="19">
        <v>5.5339</v>
      </c>
      <c r="P249" s="19">
        <v>5.05</v>
      </c>
      <c r="Q249" s="19">
        <v>4.3665000000000003</v>
      </c>
      <c r="R249" s="19">
        <v>1.93</v>
      </c>
      <c r="S249" s="19">
        <v>3.7856999999999998</v>
      </c>
      <c r="T249" s="19">
        <v>1.93</v>
      </c>
      <c r="U249" s="19">
        <v>3.8092000000000001</v>
      </c>
      <c r="V249" s="19">
        <v>1.31</v>
      </c>
      <c r="W249" s="19">
        <v>3.6678000000000002</v>
      </c>
      <c r="X249" s="19">
        <v>1.31</v>
      </c>
      <c r="Y249" s="19">
        <v>3.6678000000000002</v>
      </c>
      <c r="Z249" s="4"/>
      <c r="AA249" s="4"/>
      <c r="AB249" s="4" t="e">
        <f ca="1">_xll.ciqfunctions.udf.CIQ("^SPX", "IQ_PRICEDATE", "12/16/2014")</f>
        <v>#NAME?</v>
      </c>
      <c r="AC249" s="16">
        <v>1972.7364597573001</v>
      </c>
    </row>
    <row r="250" spans="1:29" x14ac:dyDescent="0.35">
      <c r="A250" s="2" t="s">
        <v>260</v>
      </c>
      <c r="B250" s="4" t="s">
        <v>1167</v>
      </c>
      <c r="C250" s="4" t="s">
        <v>543</v>
      </c>
      <c r="D250" s="4" t="s">
        <v>544</v>
      </c>
      <c r="E250" s="4" t="s">
        <v>555</v>
      </c>
      <c r="F250" s="4" t="s">
        <v>556</v>
      </c>
      <c r="G250" s="14">
        <v>218.83</v>
      </c>
      <c r="H250" s="10">
        <v>31.888824</v>
      </c>
      <c r="I250" s="10">
        <v>47.161636999999999</v>
      </c>
      <c r="J250" s="10">
        <v>82.980863999999997</v>
      </c>
      <c r="K250" s="15">
        <v>8.5909999999999997E-3</v>
      </c>
      <c r="L250" s="17">
        <v>56605.110605000002</v>
      </c>
      <c r="M250" s="4" t="s">
        <v>1168</v>
      </c>
      <c r="N250" s="19">
        <v>4.6399999999999997</v>
      </c>
      <c r="O250" s="19">
        <v>6.4806299999999997</v>
      </c>
      <c r="P250" s="19">
        <v>3.7771970000000001</v>
      </c>
      <c r="Q250" s="19">
        <v>4.9840999999999998</v>
      </c>
      <c r="R250" s="19">
        <v>3.076711</v>
      </c>
      <c r="S250" s="19">
        <v>4.4196</v>
      </c>
      <c r="T250" s="19">
        <v>3.076711</v>
      </c>
      <c r="U250" s="19">
        <v>3.5710999999999999</v>
      </c>
      <c r="V250" s="19">
        <v>2.8676759999999999</v>
      </c>
      <c r="W250" s="19">
        <v>2.5811999999999999</v>
      </c>
      <c r="X250" s="19">
        <v>2.8676759999999999</v>
      </c>
      <c r="Y250" s="19">
        <v>2.5811999999999999</v>
      </c>
      <c r="Z250" s="4"/>
      <c r="AA250" s="4"/>
      <c r="AB250" s="4" t="e">
        <f ca="1">_xll.ciqfunctions.udf.CIQ("^SPX", "IQ_PRICEDATE", "12/17/2014")</f>
        <v>#NAME?</v>
      </c>
      <c r="AC250" s="16">
        <v>2012.8859796547999</v>
      </c>
    </row>
    <row r="251" spans="1:29" x14ac:dyDescent="0.35">
      <c r="A251" s="2" t="s">
        <v>261</v>
      </c>
      <c r="B251" s="4" t="s">
        <v>1169</v>
      </c>
      <c r="C251" s="4" t="s">
        <v>530</v>
      </c>
      <c r="D251" s="4" t="s">
        <v>531</v>
      </c>
      <c r="E251" s="4" t="s">
        <v>532</v>
      </c>
      <c r="F251" s="4" t="s">
        <v>533</v>
      </c>
      <c r="G251" s="14">
        <v>542.91</v>
      </c>
      <c r="H251" s="10">
        <v>44.728051000000001</v>
      </c>
      <c r="I251" s="10">
        <v>80.058972999999995</v>
      </c>
      <c r="J251" s="10">
        <v>11.144607000000001</v>
      </c>
      <c r="K251" s="15">
        <v>0</v>
      </c>
      <c r="L251" s="17">
        <v>61754.706258999999</v>
      </c>
      <c r="M251" s="4" t="s">
        <v>1170</v>
      </c>
      <c r="N251" s="19">
        <v>6.7813759999999998</v>
      </c>
      <c r="O251" s="19">
        <v>11.362399999999999</v>
      </c>
      <c r="P251" s="19">
        <v>5.67</v>
      </c>
      <c r="Q251" s="19">
        <v>8.8413000000000004</v>
      </c>
      <c r="R251" s="19">
        <v>6.24</v>
      </c>
      <c r="S251" s="19">
        <v>7.8052000000000001</v>
      </c>
      <c r="T251" s="19">
        <v>6.24</v>
      </c>
      <c r="U251" s="19">
        <v>6.3647</v>
      </c>
      <c r="V251" s="19">
        <v>3.7033</v>
      </c>
      <c r="W251" s="19">
        <v>5.6635999999999997</v>
      </c>
      <c r="X251" s="19">
        <v>3.7033</v>
      </c>
      <c r="Y251" s="19">
        <v>5.6635999999999997</v>
      </c>
      <c r="Z251" s="4"/>
      <c r="AA251" s="4"/>
      <c r="AB251" s="4" t="e">
        <f ca="1">_xll.ciqfunctions.udf.CIQ("^SPX", "IQ_PRICEDATE", "12/18/2014")</f>
        <v>#NAME?</v>
      </c>
      <c r="AC251" s="16">
        <v>2061.2301186246</v>
      </c>
    </row>
    <row r="252" spans="1:29" x14ac:dyDescent="0.35">
      <c r="A252" s="2" t="s">
        <v>262</v>
      </c>
      <c r="B252" s="4" t="s">
        <v>1171</v>
      </c>
      <c r="C252" s="4" t="s">
        <v>573</v>
      </c>
      <c r="D252" s="4" t="s">
        <v>574</v>
      </c>
      <c r="E252" s="4" t="s">
        <v>575</v>
      </c>
      <c r="F252" s="4" t="s">
        <v>576</v>
      </c>
      <c r="G252" s="14">
        <v>20.94</v>
      </c>
      <c r="H252" s="10">
        <v>9.7137360000000008</v>
      </c>
      <c r="I252" s="10">
        <v>7.3317629999999996</v>
      </c>
      <c r="J252" s="10" t="s">
        <v>534</v>
      </c>
      <c r="K252" s="15">
        <v>5.7305999999999996E-2</v>
      </c>
      <c r="L252" s="17">
        <v>8603.1766779999998</v>
      </c>
      <c r="M252" s="4" t="s">
        <v>1172</v>
      </c>
      <c r="N252" s="19">
        <v>2.8560660000000002</v>
      </c>
      <c r="O252" s="19">
        <v>2.6720000000000002</v>
      </c>
      <c r="P252" s="19">
        <v>2.75</v>
      </c>
      <c r="Q252" s="19">
        <v>2.8094000000000001</v>
      </c>
      <c r="R252" s="19">
        <v>2.0598019999999999</v>
      </c>
      <c r="S252" s="19">
        <v>2.5004</v>
      </c>
      <c r="T252" s="19">
        <v>2.0598019999999999</v>
      </c>
      <c r="U252" s="19">
        <v>2.5954999999999999</v>
      </c>
      <c r="V252" s="19">
        <v>2.2794599999999998</v>
      </c>
      <c r="W252" s="19">
        <v>2.6703999999999999</v>
      </c>
      <c r="X252" s="19">
        <v>2.2794599999999998</v>
      </c>
      <c r="Y252" s="19">
        <v>2.6703999999999999</v>
      </c>
      <c r="Z252" s="4"/>
      <c r="AA252" s="4"/>
      <c r="AB252" s="4" t="e">
        <f ca="1">_xll.ciqfunctions.udf.CIQ("^SPX", "IQ_PRICEDATE", "12/19/2014")</f>
        <v>#NAME?</v>
      </c>
      <c r="AC252" s="16">
        <v>2070.6469553891998</v>
      </c>
    </row>
    <row r="253" spans="1:29" x14ac:dyDescent="0.35">
      <c r="A253" s="2" t="s">
        <v>263</v>
      </c>
      <c r="B253" s="4" t="s">
        <v>1173</v>
      </c>
      <c r="C253" s="4" t="s">
        <v>543</v>
      </c>
      <c r="D253" s="4" t="s">
        <v>664</v>
      </c>
      <c r="E253" s="4" t="s">
        <v>665</v>
      </c>
      <c r="F253" s="4" t="s">
        <v>1174</v>
      </c>
      <c r="G253" s="14">
        <v>139.94</v>
      </c>
      <c r="H253" s="10">
        <v>9.4032289999999996</v>
      </c>
      <c r="I253" s="10">
        <v>19.402211000000001</v>
      </c>
      <c r="J253" s="10">
        <v>3.6402589999999999</v>
      </c>
      <c r="K253" s="15">
        <v>0</v>
      </c>
      <c r="L253" s="17">
        <v>7523.2652209999997</v>
      </c>
      <c r="M253" s="4" t="s">
        <v>1175</v>
      </c>
      <c r="N253" s="19">
        <v>7.21258</v>
      </c>
      <c r="O253" s="19">
        <v>7.3319999999999999</v>
      </c>
      <c r="P253" s="19">
        <v>6.36</v>
      </c>
      <c r="Q253" s="19">
        <v>7.5782999999999996</v>
      </c>
      <c r="R253" s="19">
        <v>4.8499999999999996</v>
      </c>
      <c r="S253" s="19">
        <v>5.2008000000000001</v>
      </c>
      <c r="T253" s="19">
        <v>4.8499999999999996</v>
      </c>
      <c r="U253" s="19">
        <v>4.9156000000000004</v>
      </c>
      <c r="V253" s="19">
        <v>3.79</v>
      </c>
      <c r="W253" s="19">
        <v>4.0875000000000004</v>
      </c>
      <c r="X253" s="19">
        <v>3.79</v>
      </c>
      <c r="Y253" s="19">
        <v>4.0875000000000004</v>
      </c>
      <c r="Z253" s="4"/>
      <c r="AA253" s="4"/>
      <c r="AB253" s="4" t="e">
        <f ca="1">_xll.ciqfunctions.udf.CIQ("^SPX", "IQ_PRICEDATE", "12/22/2014")</f>
        <v>#NAME?</v>
      </c>
      <c r="AC253" s="16">
        <v>2078.5361717518999</v>
      </c>
    </row>
    <row r="254" spans="1:29" x14ac:dyDescent="0.35">
      <c r="A254" s="2" t="s">
        <v>264</v>
      </c>
      <c r="B254" s="4" t="s">
        <v>1176</v>
      </c>
      <c r="C254" s="4" t="s">
        <v>530</v>
      </c>
      <c r="D254" s="4" t="s">
        <v>537</v>
      </c>
      <c r="E254" s="4" t="s">
        <v>583</v>
      </c>
      <c r="F254" s="4" t="s">
        <v>583</v>
      </c>
      <c r="G254" s="14">
        <v>129.38</v>
      </c>
      <c r="H254" s="10">
        <v>20.103487999999999</v>
      </c>
      <c r="I254" s="10">
        <v>21.650442999999999</v>
      </c>
      <c r="J254" s="10" t="s">
        <v>534</v>
      </c>
      <c r="K254" s="15">
        <v>0</v>
      </c>
      <c r="L254" s="17">
        <v>26210.692475</v>
      </c>
      <c r="M254" s="4" t="s">
        <v>1177</v>
      </c>
      <c r="N254" s="19">
        <v>5.9758589999999998</v>
      </c>
      <c r="O254" s="19">
        <v>5.8357000000000001</v>
      </c>
      <c r="P254" s="19">
        <v>5.88</v>
      </c>
      <c r="Q254" s="19">
        <v>5.1369999999999996</v>
      </c>
      <c r="R254" s="19">
        <v>0.76</v>
      </c>
      <c r="S254" s="19">
        <v>4.3288000000000002</v>
      </c>
      <c r="T254" s="19">
        <v>0.76</v>
      </c>
      <c r="U254" s="19">
        <v>3.5811000000000002</v>
      </c>
      <c r="V254" s="19">
        <v>2.72</v>
      </c>
      <c r="W254" s="19">
        <v>2.8815</v>
      </c>
      <c r="X254" s="19">
        <v>2.72</v>
      </c>
      <c r="Y254" s="19">
        <v>2.8815</v>
      </c>
      <c r="Z254" s="4"/>
      <c r="AA254" s="4"/>
      <c r="AB254" s="4" t="e">
        <f ca="1">_xll.ciqfunctions.udf.CIQ("^SPX", "IQ_PRICEDATE", "12/23/2014")</f>
        <v>#NAME?</v>
      </c>
      <c r="AC254" s="16">
        <v>2082.1676604115</v>
      </c>
    </row>
    <row r="255" spans="1:29" x14ac:dyDescent="0.35">
      <c r="A255" s="2" t="s">
        <v>265</v>
      </c>
      <c r="B255" s="4" t="s">
        <v>1178</v>
      </c>
      <c r="C255" s="4" t="s">
        <v>601</v>
      </c>
      <c r="D255" s="4" t="s">
        <v>601</v>
      </c>
      <c r="E255" s="4" t="s">
        <v>602</v>
      </c>
      <c r="F255" s="4" t="s">
        <v>647</v>
      </c>
      <c r="G255" s="14">
        <v>31.74</v>
      </c>
      <c r="H255" s="10">
        <v>12.41197</v>
      </c>
      <c r="I255" s="10">
        <v>46.523148999999997</v>
      </c>
      <c r="J255" s="10" t="s">
        <v>534</v>
      </c>
      <c r="K255" s="15">
        <v>7.4039000000000008E-2</v>
      </c>
      <c r="L255" s="17">
        <v>9082.2671520000004</v>
      </c>
      <c r="M255" s="4" t="s">
        <v>1179</v>
      </c>
      <c r="N255" s="19">
        <v>0.68224099999999999</v>
      </c>
      <c r="O255" s="19">
        <v>1.1133999999999999</v>
      </c>
      <c r="P255" s="19">
        <v>0.71</v>
      </c>
      <c r="Q255" s="19">
        <v>1.2918000000000001</v>
      </c>
      <c r="R255" s="19">
        <v>0.409999</v>
      </c>
      <c r="S255" s="19">
        <v>1.1473</v>
      </c>
      <c r="T255" s="19">
        <v>0.409999</v>
      </c>
      <c r="U255" s="19">
        <v>1.3130999999999999</v>
      </c>
      <c r="V255" s="19">
        <v>1.661062</v>
      </c>
      <c r="W255" s="19">
        <v>1.2966</v>
      </c>
      <c r="X255" s="19">
        <v>1.661062</v>
      </c>
      <c r="Y255" s="19">
        <v>1.2966</v>
      </c>
      <c r="Z255" s="4"/>
      <c r="AA255" s="4"/>
      <c r="AB255" s="4" t="e">
        <f ca="1">_xll.ciqfunctions.udf.CIQ("^SPX", "IQ_PRICEDATE", "12/24/2014")</f>
        <v>#NAME?</v>
      </c>
      <c r="AC255" s="16">
        <v>2081.8815308929002</v>
      </c>
    </row>
    <row r="256" spans="1:29" x14ac:dyDescent="0.35">
      <c r="A256" s="2" t="s">
        <v>266</v>
      </c>
      <c r="B256" s="4" t="s">
        <v>1180</v>
      </c>
      <c r="C256" s="4" t="s">
        <v>525</v>
      </c>
      <c r="D256" s="4" t="s">
        <v>594</v>
      </c>
      <c r="E256" s="4" t="s">
        <v>903</v>
      </c>
      <c r="F256" s="4" t="s">
        <v>1181</v>
      </c>
      <c r="G256" s="14">
        <v>112.2</v>
      </c>
      <c r="H256" s="10">
        <v>11.778181</v>
      </c>
      <c r="I256" s="10">
        <v>15.781701999999999</v>
      </c>
      <c r="J256" s="10">
        <v>5.8875690000000001</v>
      </c>
      <c r="K256" s="15">
        <v>8.5560000000000011E-3</v>
      </c>
      <c r="L256" s="17">
        <v>12268.400165999999</v>
      </c>
      <c r="M256" s="4" t="s">
        <v>1182</v>
      </c>
      <c r="N256" s="19">
        <v>7.1094989999999996</v>
      </c>
      <c r="O256" s="19">
        <v>6.1639999999999997</v>
      </c>
      <c r="P256" s="19">
        <v>6.18</v>
      </c>
      <c r="Q256" s="19">
        <v>4.1931000000000003</v>
      </c>
      <c r="R256" s="19">
        <v>3.81</v>
      </c>
      <c r="S256" s="19">
        <v>4.0339999999999998</v>
      </c>
      <c r="T256" s="19">
        <v>3.81</v>
      </c>
      <c r="U256" s="19">
        <v>3.9384000000000001</v>
      </c>
      <c r="V256" s="19">
        <v>3.16</v>
      </c>
      <c r="W256" s="19">
        <v>3.4761000000000002</v>
      </c>
      <c r="X256" s="19">
        <v>3.16</v>
      </c>
      <c r="Y256" s="19">
        <v>3.4761000000000002</v>
      </c>
      <c r="Z256" s="4"/>
      <c r="AA256" s="4"/>
      <c r="AB256" s="4" t="e">
        <f ca="1">_xll.ciqfunctions.udf.CIQ("^SPX", "IQ_PRICEDATE", "12/26/2014")</f>
        <v>#NAME?</v>
      </c>
      <c r="AC256" s="16">
        <v>2088.7660628378999</v>
      </c>
    </row>
    <row r="257" spans="1:29" x14ac:dyDescent="0.35">
      <c r="A257" s="2" t="s">
        <v>267</v>
      </c>
      <c r="B257" s="4" t="s">
        <v>1183</v>
      </c>
      <c r="C257" s="4" t="s">
        <v>525</v>
      </c>
      <c r="D257" s="4" t="s">
        <v>526</v>
      </c>
      <c r="E257" s="4" t="s">
        <v>1046</v>
      </c>
      <c r="F257" s="4" t="s">
        <v>1046</v>
      </c>
      <c r="G257" s="14">
        <v>73.849999999999994</v>
      </c>
      <c r="H257" s="10">
        <v>12.781662000000001</v>
      </c>
      <c r="I257" s="10">
        <v>33.384928000000002</v>
      </c>
      <c r="J257" s="10" t="s">
        <v>534</v>
      </c>
      <c r="K257" s="15">
        <v>8.1239999999999993E-3</v>
      </c>
      <c r="L257" s="17">
        <v>10479.617711000001</v>
      </c>
      <c r="M257" s="4" t="s">
        <v>1184</v>
      </c>
      <c r="N257" s="19">
        <v>2.2120760000000002</v>
      </c>
      <c r="O257" s="19">
        <v>5.1555</v>
      </c>
      <c r="P257" s="19">
        <v>1.9205760000000001</v>
      </c>
      <c r="Q257" s="19">
        <v>3.4943499999999998</v>
      </c>
      <c r="R257" s="19">
        <v>1.850436</v>
      </c>
      <c r="S257" s="19">
        <v>3.1346599999999998</v>
      </c>
      <c r="T257" s="19">
        <v>1.850436</v>
      </c>
      <c r="U257" s="19">
        <v>3.0944799999999999</v>
      </c>
      <c r="V257" s="19">
        <v>2.537652</v>
      </c>
      <c r="W257" s="19">
        <v>3.5872199999999999</v>
      </c>
      <c r="X257" s="19">
        <v>2.537652</v>
      </c>
      <c r="Y257" s="19">
        <v>3.5872199999999999</v>
      </c>
      <c r="Z257" s="4"/>
      <c r="AA257" s="4"/>
      <c r="AB257" s="4" t="e">
        <f ca="1">_xll.ciqfunctions.udf.CIQ("^SPX", "IQ_PRICEDATE", "12/29/2014")</f>
        <v>#NAME?</v>
      </c>
      <c r="AC257" s="16">
        <v>2090.5738632215998</v>
      </c>
    </row>
    <row r="258" spans="1:29" x14ac:dyDescent="0.35">
      <c r="A258" s="2" t="s">
        <v>268</v>
      </c>
      <c r="B258" s="4" t="s">
        <v>1185</v>
      </c>
      <c r="C258" s="4" t="s">
        <v>573</v>
      </c>
      <c r="D258" s="4" t="s">
        <v>574</v>
      </c>
      <c r="E258" s="4" t="s">
        <v>748</v>
      </c>
      <c r="F258" s="4" t="s">
        <v>749</v>
      </c>
      <c r="G258" s="14">
        <v>21.7</v>
      </c>
      <c r="H258" s="10">
        <v>10.817069999999999</v>
      </c>
      <c r="I258" s="10" t="s">
        <v>534</v>
      </c>
      <c r="J258" s="10">
        <v>0.83744099999999999</v>
      </c>
      <c r="K258" s="15">
        <v>2.3040999999999999E-2</v>
      </c>
      <c r="L258" s="17">
        <v>7233.3064400000003</v>
      </c>
      <c r="M258" s="4" t="s">
        <v>1186</v>
      </c>
      <c r="N258" s="19">
        <v>-8.6269999999999993E-3</v>
      </c>
      <c r="O258" s="19">
        <v>1.87</v>
      </c>
      <c r="P258" s="19">
        <v>0.44976100000000002</v>
      </c>
      <c r="Q258" s="19">
        <v>1.65</v>
      </c>
      <c r="R258" s="19">
        <v>0.33738600000000002</v>
      </c>
      <c r="S258" s="19">
        <v>1.085</v>
      </c>
      <c r="T258" s="19">
        <v>0.33738600000000002</v>
      </c>
      <c r="U258" s="19">
        <v>0.78</v>
      </c>
      <c r="V258" s="19">
        <v>0.57973699999999995</v>
      </c>
      <c r="W258" s="19">
        <v>-0.6</v>
      </c>
      <c r="X258" s="19">
        <v>0.57973699999999995</v>
      </c>
      <c r="Y258" s="19">
        <v>-0.6</v>
      </c>
      <c r="Z258" s="4"/>
      <c r="AA258" s="4"/>
      <c r="AB258" s="4" t="e">
        <f ca="1">_xll.ciqfunctions.udf.CIQ("^SPX", "IQ_PRICEDATE", "12/30/2014")</f>
        <v>#NAME?</v>
      </c>
      <c r="AC258" s="16">
        <v>2080.3458639493001</v>
      </c>
    </row>
    <row r="259" spans="1:29" x14ac:dyDescent="0.35">
      <c r="A259" s="2" t="s">
        <v>269</v>
      </c>
      <c r="B259" s="4" t="s">
        <v>1187</v>
      </c>
      <c r="C259" s="4" t="s">
        <v>530</v>
      </c>
      <c r="D259" s="4" t="s">
        <v>537</v>
      </c>
      <c r="E259" s="4" t="s">
        <v>613</v>
      </c>
      <c r="F259" s="4" t="s">
        <v>613</v>
      </c>
      <c r="G259" s="14">
        <v>139.46</v>
      </c>
      <c r="H259" s="10">
        <v>13.82794</v>
      </c>
      <c r="I259" s="10">
        <v>245.060483</v>
      </c>
      <c r="J259" s="10" t="s">
        <v>534</v>
      </c>
      <c r="K259" s="15">
        <v>2.5813000000000003E-2</v>
      </c>
      <c r="L259" s="17">
        <v>374137.16026700003</v>
      </c>
      <c r="M259" s="4" t="s">
        <v>1188</v>
      </c>
      <c r="N259" s="19">
        <v>0.56908400000000003</v>
      </c>
      <c r="O259" s="19">
        <v>8.3667999999999996</v>
      </c>
      <c r="P259" s="19">
        <v>0.47389999999999999</v>
      </c>
      <c r="Q259" s="19">
        <v>7.7030000000000003</v>
      </c>
      <c r="R259" s="19">
        <v>5.6973520000000004</v>
      </c>
      <c r="S259" s="19">
        <v>6.9474999999999998</v>
      </c>
      <c r="T259" s="19">
        <v>5.6973520000000004</v>
      </c>
      <c r="U259" s="19">
        <v>6.2648000000000001</v>
      </c>
      <c r="V259" s="19">
        <v>5.7006180000000004</v>
      </c>
      <c r="W259" s="19">
        <v>5.9557000000000002</v>
      </c>
      <c r="X259" s="19">
        <v>5.7006180000000004</v>
      </c>
      <c r="Y259" s="19">
        <v>5.9557000000000002</v>
      </c>
      <c r="Z259" s="4"/>
      <c r="AA259" s="4"/>
      <c r="AB259" s="4" t="e">
        <f ca="1">_xll.ciqfunctions.udf.CIQ("^SPX", "IQ_PRICEDATE", "12/31/2014")</f>
        <v>#NAME?</v>
      </c>
      <c r="AC259" s="16">
        <v>2058.9023788569002</v>
      </c>
    </row>
    <row r="260" spans="1:29" x14ac:dyDescent="0.35">
      <c r="A260" s="2" t="s">
        <v>270</v>
      </c>
      <c r="B260" s="4" t="s">
        <v>1189</v>
      </c>
      <c r="C260" s="4" t="s">
        <v>525</v>
      </c>
      <c r="D260" s="4" t="s">
        <v>526</v>
      </c>
      <c r="E260" s="4" t="s">
        <v>527</v>
      </c>
      <c r="F260" s="4" t="s">
        <v>527</v>
      </c>
      <c r="G260" s="14">
        <v>33.86</v>
      </c>
      <c r="H260" s="10">
        <v>8.6155080000000002</v>
      </c>
      <c r="I260" s="10">
        <v>13.953128</v>
      </c>
      <c r="J260" s="10" t="s">
        <v>534</v>
      </c>
      <c r="K260" s="15">
        <v>3.0714000000000002E-2</v>
      </c>
      <c r="L260" s="17">
        <v>31317.865049</v>
      </c>
      <c r="M260" s="4" t="s">
        <v>1190</v>
      </c>
      <c r="N260" s="19">
        <v>2.4266960000000002</v>
      </c>
      <c r="O260" s="19">
        <v>2.9670000000000001</v>
      </c>
      <c r="P260" s="19">
        <v>1.6118680000000001</v>
      </c>
      <c r="Q260" s="19">
        <v>2.8096299999999998</v>
      </c>
      <c r="R260" s="19">
        <v>1.111035</v>
      </c>
      <c r="S260" s="19">
        <v>2.6903999999999999</v>
      </c>
      <c r="T260" s="19">
        <v>1.111035</v>
      </c>
      <c r="U260" s="19">
        <v>3.9556200000000001</v>
      </c>
      <c r="V260" s="19">
        <v>2.1573060000000002</v>
      </c>
      <c r="W260" s="19">
        <v>3.7068099999999999</v>
      </c>
      <c r="X260" s="19">
        <v>2.1573060000000002</v>
      </c>
      <c r="Y260" s="19">
        <v>3.7068099999999999</v>
      </c>
      <c r="Z260" s="4"/>
      <c r="AA260" s="4"/>
      <c r="AB260" s="4" t="e">
        <f ca="1">_xll.ciqfunctions.udf.CIQ("^SPX", "IQ_PRICEDATE", "1/2/2015")</f>
        <v>#NAME?</v>
      </c>
      <c r="AC260" s="16">
        <v>2058.2047787243</v>
      </c>
    </row>
    <row r="261" spans="1:29" x14ac:dyDescent="0.35">
      <c r="A261" s="2" t="s">
        <v>271</v>
      </c>
      <c r="B261" s="4" t="s">
        <v>1191</v>
      </c>
      <c r="C261" s="4" t="s">
        <v>573</v>
      </c>
      <c r="D261" s="4" t="s">
        <v>737</v>
      </c>
      <c r="E261" s="4" t="s">
        <v>737</v>
      </c>
      <c r="F261" s="4" t="s">
        <v>738</v>
      </c>
      <c r="G261" s="14">
        <v>109.83</v>
      </c>
      <c r="H261" s="10">
        <v>0</v>
      </c>
      <c r="I261" s="10">
        <v>13.631594</v>
      </c>
      <c r="J261" s="10">
        <v>2.0270100000000002</v>
      </c>
      <c r="K261" s="15">
        <v>2.9135000000000001E-2</v>
      </c>
      <c r="L261" s="17">
        <v>369073.95704399998</v>
      </c>
      <c r="M261" s="4" t="s">
        <v>1192</v>
      </c>
      <c r="N261" s="19">
        <v>8.0570179999999993</v>
      </c>
      <c r="O261" s="19">
        <v>9.8957999999999995</v>
      </c>
      <c r="P261" s="19">
        <v>6.31</v>
      </c>
      <c r="Q261" s="19">
        <v>7.5556999999999999</v>
      </c>
      <c r="R261" s="19">
        <v>6.19</v>
      </c>
      <c r="S261" s="19">
        <v>6.2808000000000002</v>
      </c>
      <c r="T261" s="19">
        <v>6.19</v>
      </c>
      <c r="U261" s="19">
        <v>5.9207000000000001</v>
      </c>
      <c r="V261" s="19">
        <v>5.29</v>
      </c>
      <c r="W261" s="19">
        <v>5.8353999999999999</v>
      </c>
      <c r="X261" s="19">
        <v>5.29</v>
      </c>
      <c r="Y261" s="19">
        <v>5.8353999999999999</v>
      </c>
      <c r="Z261" s="4"/>
      <c r="AA261" s="4"/>
      <c r="AB261" s="4" t="e">
        <f ca="1">_xll.ciqfunctions.udf.CIQ("^SPX", "IQ_PRICEDATE", "1/5/2015")</f>
        <v>#NAME?</v>
      </c>
      <c r="AC261" s="16">
        <v>2020.5778843052001</v>
      </c>
    </row>
    <row r="262" spans="1:29" x14ac:dyDescent="0.35">
      <c r="A262" s="2" t="s">
        <v>272</v>
      </c>
      <c r="B262" s="4" t="s">
        <v>1193</v>
      </c>
      <c r="C262" s="4" t="s">
        <v>543</v>
      </c>
      <c r="D262" s="4" t="s">
        <v>664</v>
      </c>
      <c r="E262" s="4" t="s">
        <v>706</v>
      </c>
      <c r="F262" s="4" t="s">
        <v>706</v>
      </c>
      <c r="G262" s="14">
        <v>28.87</v>
      </c>
      <c r="H262" s="10">
        <v>9.7576499999999999</v>
      </c>
      <c r="I262" s="10">
        <v>62.486877999999997</v>
      </c>
      <c r="J262" s="10">
        <v>8.3905999999999992</v>
      </c>
      <c r="K262" s="15">
        <v>2.4938999999999999E-2</v>
      </c>
      <c r="L262" s="17">
        <v>9954.2319389999993</v>
      </c>
      <c r="M262" s="4" t="s">
        <v>1194</v>
      </c>
      <c r="N262" s="19">
        <v>0.46201700000000001</v>
      </c>
      <c r="O262" s="19">
        <v>1.8831</v>
      </c>
      <c r="P262" s="19">
        <v>0.8</v>
      </c>
      <c r="Q262" s="19">
        <v>2.0438999999999998</v>
      </c>
      <c r="R262" s="19">
        <v>1.53</v>
      </c>
      <c r="S262" s="19">
        <v>2.2212999999999998</v>
      </c>
      <c r="T262" s="19">
        <v>1.53</v>
      </c>
      <c r="U262" s="19">
        <v>2.1717</v>
      </c>
      <c r="V262" s="19">
        <v>-0.73087000000000002</v>
      </c>
      <c r="W262" s="19">
        <v>1.4215</v>
      </c>
      <c r="X262" s="19">
        <v>-0.73087000000000002</v>
      </c>
      <c r="Y262" s="19">
        <v>1.4215</v>
      </c>
      <c r="Z262" s="4"/>
      <c r="AA262" s="4"/>
      <c r="AB262" s="4" t="e">
        <f ca="1">_xll.ciqfunctions.udf.CIQ("^SPX", "IQ_PRICEDATE", "1/6/2015")</f>
        <v>#NAME?</v>
      </c>
      <c r="AC262" s="16">
        <v>2002.6135878652999</v>
      </c>
    </row>
    <row r="263" spans="1:29" x14ac:dyDescent="0.35">
      <c r="A263" s="2" t="s">
        <v>273</v>
      </c>
      <c r="B263" s="4" t="s">
        <v>1195</v>
      </c>
      <c r="C263" s="4" t="s">
        <v>525</v>
      </c>
      <c r="D263" s="4" t="s">
        <v>594</v>
      </c>
      <c r="E263" s="4" t="s">
        <v>903</v>
      </c>
      <c r="F263" s="4" t="s">
        <v>904</v>
      </c>
      <c r="G263" s="14">
        <v>104.01</v>
      </c>
      <c r="H263" s="10">
        <v>10.648586999999999</v>
      </c>
      <c r="I263" s="10">
        <v>11.040803</v>
      </c>
      <c r="J263" s="10">
        <v>2.2738339999999999</v>
      </c>
      <c r="K263" s="15">
        <v>1.3844E-2</v>
      </c>
      <c r="L263" s="17">
        <v>10625.573504</v>
      </c>
      <c r="M263" s="4" t="s">
        <v>1196</v>
      </c>
      <c r="N263" s="19">
        <v>9.4205100000000002</v>
      </c>
      <c r="O263" s="19">
        <v>6.4467999999999996</v>
      </c>
      <c r="P263" s="19">
        <v>9.16</v>
      </c>
      <c r="Q263" s="19">
        <v>5.7092000000000001</v>
      </c>
      <c r="R263" s="19">
        <v>4.43</v>
      </c>
      <c r="S263" s="19">
        <v>5.0011999999999999</v>
      </c>
      <c r="T263" s="19">
        <v>4.43</v>
      </c>
      <c r="U263" s="19">
        <v>4.6532</v>
      </c>
      <c r="V263" s="19">
        <v>4.55</v>
      </c>
      <c r="W263" s="19">
        <v>5.3170000000000002</v>
      </c>
      <c r="X263" s="19">
        <v>4.55</v>
      </c>
      <c r="Y263" s="19">
        <v>5.3170000000000002</v>
      </c>
      <c r="Z263" s="4"/>
      <c r="AA263" s="4"/>
      <c r="AB263" s="4" t="e">
        <f ca="1">_xll.ciqfunctions.udf.CIQ("^SPX", "IQ_PRICEDATE", "1/7/2015")</f>
        <v>#NAME?</v>
      </c>
      <c r="AC263" s="16">
        <v>2025.9010505617</v>
      </c>
    </row>
    <row r="264" spans="1:29" x14ac:dyDescent="0.35">
      <c r="A264" s="2" t="s">
        <v>274</v>
      </c>
      <c r="B264" s="4" t="s">
        <v>1197</v>
      </c>
      <c r="C264" s="4" t="s">
        <v>626</v>
      </c>
      <c r="D264" s="4" t="s">
        <v>627</v>
      </c>
      <c r="E264" s="4" t="s">
        <v>699</v>
      </c>
      <c r="F264" s="4" t="s">
        <v>789</v>
      </c>
      <c r="G264" s="14">
        <v>69.650000000000006</v>
      </c>
      <c r="H264" s="10">
        <v>10.42374</v>
      </c>
      <c r="I264" s="10">
        <v>13.776654000000001</v>
      </c>
      <c r="J264" s="10" t="s">
        <v>534</v>
      </c>
      <c r="K264" s="15">
        <v>3.2160000000000001E-2</v>
      </c>
      <c r="L264" s="17">
        <v>24145.750281000001</v>
      </c>
      <c r="M264" s="4" t="s">
        <v>1198</v>
      </c>
      <c r="N264" s="19">
        <v>5.0556539999999996</v>
      </c>
      <c r="O264" s="19">
        <v>4.4913999999999996</v>
      </c>
      <c r="P264" s="19">
        <v>3.62</v>
      </c>
      <c r="Q264" s="19">
        <v>4.1802999999999999</v>
      </c>
      <c r="R264" s="19">
        <v>1.96</v>
      </c>
      <c r="S264" s="19">
        <v>3.8578000000000001</v>
      </c>
      <c r="T264" s="19">
        <v>1.96</v>
      </c>
      <c r="U264" s="19">
        <v>3.6122999999999998</v>
      </c>
      <c r="V264" s="19">
        <v>4.814006</v>
      </c>
      <c r="W264" s="19">
        <v>4.0225</v>
      </c>
      <c r="X264" s="19">
        <v>4.814006</v>
      </c>
      <c r="Y264" s="19">
        <v>4.0225</v>
      </c>
      <c r="Z264" s="4"/>
      <c r="AA264" s="4"/>
      <c r="AB264" s="4" t="e">
        <f ca="1">_xll.ciqfunctions.udf.CIQ("^SPX", "IQ_PRICEDATE", "1/8/2015")</f>
        <v>#NAME?</v>
      </c>
      <c r="AC264" s="16">
        <v>2062.1435548651002</v>
      </c>
    </row>
    <row r="265" spans="1:29" x14ac:dyDescent="0.35">
      <c r="A265" s="2" t="s">
        <v>275</v>
      </c>
      <c r="B265" s="4" t="s">
        <v>1199</v>
      </c>
      <c r="C265" s="4" t="s">
        <v>573</v>
      </c>
      <c r="D265" s="4" t="s">
        <v>737</v>
      </c>
      <c r="E265" s="4" t="s">
        <v>737</v>
      </c>
      <c r="F265" s="4" t="s">
        <v>743</v>
      </c>
      <c r="G265" s="14">
        <v>18.739999999999998</v>
      </c>
      <c r="H265" s="10">
        <v>0</v>
      </c>
      <c r="I265" s="10">
        <v>14.445731</v>
      </c>
      <c r="J265" s="10">
        <v>1.7721560000000001</v>
      </c>
      <c r="K265" s="15">
        <v>3.6285999999999999E-2</v>
      </c>
      <c r="L265" s="17">
        <v>19715.156327000001</v>
      </c>
      <c r="M265" s="4" t="s">
        <v>1200</v>
      </c>
      <c r="N265" s="19">
        <v>1.297269</v>
      </c>
      <c r="O265" s="19">
        <v>1.8280000000000001</v>
      </c>
      <c r="P265" s="19">
        <v>1.1200000000000001</v>
      </c>
      <c r="Q265" s="19">
        <v>1.4718</v>
      </c>
      <c r="R265" s="19">
        <v>0.8</v>
      </c>
      <c r="S265" s="19">
        <v>1.2474000000000001</v>
      </c>
      <c r="T265" s="19">
        <v>0.8</v>
      </c>
      <c r="U265" s="19">
        <v>1.1483000000000001</v>
      </c>
      <c r="V265" s="19">
        <v>1.04</v>
      </c>
      <c r="W265" s="19">
        <v>1.0779000000000001</v>
      </c>
      <c r="X265" s="19">
        <v>1.04</v>
      </c>
      <c r="Y265" s="19">
        <v>1.0779000000000001</v>
      </c>
      <c r="Z265" s="4"/>
      <c r="AA265" s="4"/>
      <c r="AB265" s="4" t="e">
        <f ca="1">_xll.ciqfunctions.udf.CIQ("^SPX", "IQ_PRICEDATE", "1/9/2015")</f>
        <v>#NAME?</v>
      </c>
      <c r="AC265" s="16">
        <v>2044.8099000578</v>
      </c>
    </row>
    <row r="266" spans="1:29" x14ac:dyDescent="0.35">
      <c r="A266" s="2" t="s">
        <v>276</v>
      </c>
      <c r="B266" s="4" t="s">
        <v>1201</v>
      </c>
      <c r="C266" s="4" t="s">
        <v>626</v>
      </c>
      <c r="D266" s="4" t="s">
        <v>845</v>
      </c>
      <c r="E266" s="4" t="s">
        <v>846</v>
      </c>
      <c r="F266" s="4" t="s">
        <v>846</v>
      </c>
      <c r="G266" s="14">
        <v>108.82</v>
      </c>
      <c r="H266" s="10">
        <v>10.97031</v>
      </c>
      <c r="I266" s="10">
        <v>22.168955</v>
      </c>
      <c r="J266" s="10" t="s">
        <v>534</v>
      </c>
      <c r="K266" s="15">
        <v>3.6756999999999998E-2</v>
      </c>
      <c r="L266" s="17">
        <v>37832.855351999999</v>
      </c>
      <c r="M266" s="4" t="s">
        <v>1202</v>
      </c>
      <c r="N266" s="19">
        <v>4.9086660000000002</v>
      </c>
      <c r="O266" s="19">
        <v>6.6669</v>
      </c>
      <c r="P266" s="19">
        <v>6.4</v>
      </c>
      <c r="Q266" s="19">
        <v>6.4035000000000002</v>
      </c>
      <c r="R266" s="19">
        <v>5.99</v>
      </c>
      <c r="S266" s="19">
        <v>6.1612999999999998</v>
      </c>
      <c r="T266" s="19">
        <v>5.99</v>
      </c>
      <c r="U266" s="19">
        <v>6.0574000000000003</v>
      </c>
      <c r="V266" s="19">
        <v>3.91</v>
      </c>
      <c r="W266" s="19">
        <v>5.8613</v>
      </c>
      <c r="X266" s="19">
        <v>3.91</v>
      </c>
      <c r="Y266" s="19">
        <v>5.8613</v>
      </c>
      <c r="Z266" s="4"/>
      <c r="AA266" s="4"/>
      <c r="AB266" s="4" t="e">
        <f ca="1">_xll.ciqfunctions.udf.CIQ("^SPX", "IQ_PRICEDATE", "1/12/2015")</f>
        <v>#NAME?</v>
      </c>
      <c r="AC266" s="16">
        <v>2028.2638224775001</v>
      </c>
    </row>
    <row r="267" spans="1:29" x14ac:dyDescent="0.35">
      <c r="A267" s="2" t="s">
        <v>277</v>
      </c>
      <c r="B267" s="4" t="s">
        <v>1203</v>
      </c>
      <c r="C267" s="4" t="s">
        <v>601</v>
      </c>
      <c r="D267" s="4" t="s">
        <v>601</v>
      </c>
      <c r="E267" s="4" t="s">
        <v>602</v>
      </c>
      <c r="F267" s="4" t="s">
        <v>1026</v>
      </c>
      <c r="G267" s="14">
        <v>15.21</v>
      </c>
      <c r="H267" s="10">
        <v>12.975284</v>
      </c>
      <c r="I267" s="10">
        <v>14.244694000000001</v>
      </c>
      <c r="J267" s="10">
        <v>1.184458</v>
      </c>
      <c r="K267" s="15">
        <v>7.3635000000000006E-2</v>
      </c>
      <c r="L267" s="17">
        <v>6409.221939</v>
      </c>
      <c r="M267" s="4" t="s">
        <v>1204</v>
      </c>
      <c r="N267" s="19">
        <v>1.067766</v>
      </c>
      <c r="O267" s="19">
        <v>0.4889</v>
      </c>
      <c r="P267" s="19">
        <v>0.87</v>
      </c>
      <c r="Q267" s="19">
        <v>0.62929999999999997</v>
      </c>
      <c r="R267" s="19">
        <v>0.79</v>
      </c>
      <c r="S267" s="19">
        <v>0.63900000000000001</v>
      </c>
      <c r="T267" s="19">
        <v>0.79</v>
      </c>
      <c r="U267" s="19">
        <v>0.54549999999999998</v>
      </c>
      <c r="V267" s="19">
        <v>0.76270800000000005</v>
      </c>
      <c r="W267" s="19">
        <v>0.53769999999999996</v>
      </c>
      <c r="X267" s="19">
        <v>0.76270800000000005</v>
      </c>
      <c r="Y267" s="19">
        <v>0.53769999999999996</v>
      </c>
      <c r="Z267" s="4"/>
      <c r="AA267" s="4"/>
      <c r="AB267" s="4" t="e">
        <f ca="1">_xll.ciqfunctions.udf.CIQ("^SPX", "IQ_PRICEDATE", "1/13/2015")</f>
        <v>#NAME?</v>
      </c>
      <c r="AC267" s="16">
        <v>2023.0292191098999</v>
      </c>
    </row>
    <row r="268" spans="1:29" x14ac:dyDescent="0.35">
      <c r="A268" s="2" t="s">
        <v>278</v>
      </c>
      <c r="B268" s="4" t="s">
        <v>1205</v>
      </c>
      <c r="C268" s="4" t="s">
        <v>669</v>
      </c>
      <c r="D268" s="4" t="s">
        <v>669</v>
      </c>
      <c r="E268" s="4" t="s">
        <v>670</v>
      </c>
      <c r="F268" s="4" t="s">
        <v>1206</v>
      </c>
      <c r="G268" s="14">
        <v>17.95</v>
      </c>
      <c r="H268" s="10">
        <v>11.323112</v>
      </c>
      <c r="I268" s="10" t="s">
        <v>534</v>
      </c>
      <c r="J268" s="10">
        <v>3.435146</v>
      </c>
      <c r="K268" s="15">
        <v>4.4568000000000003E-2</v>
      </c>
      <c r="L268" s="17">
        <v>39612.580011999999</v>
      </c>
      <c r="M268" s="4" t="s">
        <v>1207</v>
      </c>
      <c r="N268" s="19">
        <v>-2.5257000000000002E-2</v>
      </c>
      <c r="O268" s="19">
        <v>0.92900000000000005</v>
      </c>
      <c r="P268" s="19">
        <v>9.8650000000000005E-3</v>
      </c>
      <c r="Q268" s="19">
        <v>0.67010000000000003</v>
      </c>
      <c r="R268" s="19">
        <v>0.24573900000000001</v>
      </c>
      <c r="S268" s="19">
        <v>0.70679999999999998</v>
      </c>
      <c r="T268" s="19">
        <v>0.24573900000000001</v>
      </c>
      <c r="U268" s="19">
        <v>0.70279999999999998</v>
      </c>
      <c r="V268" s="19">
        <v>0.89</v>
      </c>
      <c r="W268" s="19">
        <v>1.107</v>
      </c>
      <c r="X268" s="19">
        <v>0.89</v>
      </c>
      <c r="Y268" s="19">
        <v>1.107</v>
      </c>
      <c r="Z268" s="4"/>
      <c r="AA268" s="4"/>
      <c r="AB268" s="4" t="e">
        <f ca="1">_xll.ciqfunctions.udf.CIQ("^SPX", "IQ_PRICEDATE", "1/14/2015")</f>
        <v>#NAME?</v>
      </c>
      <c r="AC268" s="16">
        <v>2011.2728977286999</v>
      </c>
    </row>
    <row r="269" spans="1:29" x14ac:dyDescent="0.35">
      <c r="A269" s="2" t="s">
        <v>279</v>
      </c>
      <c r="B269" s="4" t="s">
        <v>1208</v>
      </c>
      <c r="C269" s="4" t="s">
        <v>543</v>
      </c>
      <c r="D269" s="4" t="s">
        <v>565</v>
      </c>
      <c r="E269" s="4" t="s">
        <v>565</v>
      </c>
      <c r="F269" s="4" t="s">
        <v>691</v>
      </c>
      <c r="G269" s="14">
        <v>93.82</v>
      </c>
      <c r="H269" s="10">
        <v>8.6779770000000003</v>
      </c>
      <c r="I269" s="10">
        <v>18.396077999999999</v>
      </c>
      <c r="J269" s="10">
        <v>11.745414</v>
      </c>
      <c r="K269" s="15">
        <v>3.1975999999999997E-2</v>
      </c>
      <c r="L269" s="17">
        <v>14526.620919999999</v>
      </c>
      <c r="M269" s="4" t="s">
        <v>1209</v>
      </c>
      <c r="N269" s="19">
        <v>5.0999999999999996</v>
      </c>
      <c r="O269" s="19">
        <v>8.80443</v>
      </c>
      <c r="P269" s="19">
        <v>4.1599719999999998</v>
      </c>
      <c r="Q269" s="19">
        <v>7.1634000000000002</v>
      </c>
      <c r="R269" s="19">
        <v>5.5011720000000004</v>
      </c>
      <c r="S269" s="19">
        <v>5.5274000000000001</v>
      </c>
      <c r="T269" s="19">
        <v>5.5011720000000004</v>
      </c>
      <c r="U269" s="19">
        <v>3.6928999999999998</v>
      </c>
      <c r="V269" s="19">
        <v>2.5487500000000001</v>
      </c>
      <c r="W269" s="19">
        <v>3.6116999999999999</v>
      </c>
      <c r="X269" s="19">
        <v>2.5487500000000001</v>
      </c>
      <c r="Y269" s="19">
        <v>3.6116999999999999</v>
      </c>
      <c r="Z269" s="4"/>
      <c r="AA269" s="4"/>
      <c r="AB269" s="4" t="e">
        <f ca="1">_xll.ciqfunctions.udf.CIQ("^SPX", "IQ_PRICEDATE", "1/15/2015")</f>
        <v>#NAME?</v>
      </c>
      <c r="AC269" s="16">
        <v>1992.6702757841001</v>
      </c>
    </row>
    <row r="270" spans="1:29" x14ac:dyDescent="0.35">
      <c r="A270" s="2" t="s">
        <v>280</v>
      </c>
      <c r="B270" s="4" t="s">
        <v>1210</v>
      </c>
      <c r="C270" s="4" t="s">
        <v>559</v>
      </c>
      <c r="D270" s="4" t="s">
        <v>560</v>
      </c>
      <c r="E270" s="4" t="s">
        <v>940</v>
      </c>
      <c r="F270" s="4" t="s">
        <v>1211</v>
      </c>
      <c r="G270" s="14">
        <v>70.84</v>
      </c>
      <c r="H270" s="10">
        <v>5.9201030000000001</v>
      </c>
      <c r="I270" s="10">
        <v>12.375621000000001</v>
      </c>
      <c r="J270" s="10">
        <v>2.156056</v>
      </c>
      <c r="K270" s="15">
        <v>3.4443000000000001E-2</v>
      </c>
      <c r="L270" s="17">
        <v>11809.937798000001</v>
      </c>
      <c r="M270" s="4" t="s">
        <v>1212</v>
      </c>
      <c r="N270" s="19">
        <v>5.7241569999999999</v>
      </c>
      <c r="O270" s="19">
        <v>5.6593999999999998</v>
      </c>
      <c r="P270" s="19">
        <v>3.789606</v>
      </c>
      <c r="Q270" s="19">
        <v>3.7555999999999998</v>
      </c>
      <c r="R270" s="19">
        <v>3.2859250000000002</v>
      </c>
      <c r="S270" s="19">
        <v>4.0464000000000002</v>
      </c>
      <c r="T270" s="19">
        <v>3.2859250000000002</v>
      </c>
      <c r="U270" s="19">
        <v>4.5217000000000001</v>
      </c>
      <c r="V270" s="19">
        <v>4.01173</v>
      </c>
      <c r="W270" s="19">
        <v>4.2188999999999997</v>
      </c>
      <c r="X270" s="19">
        <v>4.01173</v>
      </c>
      <c r="Y270" s="19">
        <v>4.2188999999999997</v>
      </c>
      <c r="Z270" s="4"/>
      <c r="AA270" s="4"/>
      <c r="AB270" s="4" t="e">
        <f ca="1">_xll.ciqfunctions.udf.CIQ("^SPX", "IQ_PRICEDATE", "1/16/2015")</f>
        <v>#NAME?</v>
      </c>
      <c r="AC270" s="16">
        <v>2019.4186537802</v>
      </c>
    </row>
    <row r="271" spans="1:29" x14ac:dyDescent="0.35">
      <c r="A271" s="2" t="s">
        <v>281</v>
      </c>
      <c r="B271" s="4" t="s">
        <v>1213</v>
      </c>
      <c r="C271" s="4" t="s">
        <v>559</v>
      </c>
      <c r="D271" s="4" t="s">
        <v>560</v>
      </c>
      <c r="E271" s="4" t="s">
        <v>561</v>
      </c>
      <c r="F271" s="4" t="s">
        <v>1051</v>
      </c>
      <c r="G271" s="14">
        <v>31.28</v>
      </c>
      <c r="H271" s="10">
        <v>6.1939539999999997</v>
      </c>
      <c r="I271" s="10">
        <v>9.894857</v>
      </c>
      <c r="J271" s="10" t="s">
        <v>534</v>
      </c>
      <c r="K271" s="15">
        <v>7.6726000000000003E-2</v>
      </c>
      <c r="L271" s="17">
        <v>8603.9841840000008</v>
      </c>
      <c r="M271" s="4" t="s">
        <v>1214</v>
      </c>
      <c r="N271" s="19">
        <v>3.161238</v>
      </c>
      <c r="O271" s="19">
        <v>2.5167000000000002</v>
      </c>
      <c r="P271" s="19">
        <v>3.294025</v>
      </c>
      <c r="Q271" s="19">
        <v>3.2151000000000001</v>
      </c>
      <c r="R271" s="19">
        <v>3.9736410000000002</v>
      </c>
      <c r="S271" s="19">
        <v>3.6696</v>
      </c>
      <c r="T271" s="19">
        <v>3.9736410000000002</v>
      </c>
      <c r="U271" s="19">
        <v>4.0000999999999998</v>
      </c>
      <c r="V271" s="19">
        <v>3.2443689999999998</v>
      </c>
      <c r="W271" s="19">
        <v>3.6316000000000002</v>
      </c>
      <c r="X271" s="19">
        <v>3.2443689999999998</v>
      </c>
      <c r="Y271" s="19">
        <v>3.6316000000000002</v>
      </c>
      <c r="Z271" s="4"/>
      <c r="AA271" s="4"/>
      <c r="AB271" s="4" t="e">
        <f ca="1">_xll.ciqfunctions.udf.CIQ("^SPX", "IQ_PRICEDATE", "1/20/2015")</f>
        <v>#NAME?</v>
      </c>
      <c r="AC271" s="16">
        <v>2022.5468815523</v>
      </c>
    </row>
    <row r="272" spans="1:29" x14ac:dyDescent="0.35">
      <c r="A272" s="2" t="s">
        <v>282</v>
      </c>
      <c r="B272" s="4" t="s">
        <v>1215</v>
      </c>
      <c r="C272" s="4" t="s">
        <v>525</v>
      </c>
      <c r="D272" s="4" t="s">
        <v>526</v>
      </c>
      <c r="E272" s="4" t="s">
        <v>703</v>
      </c>
      <c r="F272" s="4" t="s">
        <v>703</v>
      </c>
      <c r="G272" s="14">
        <v>220.16</v>
      </c>
      <c r="H272" s="10">
        <v>14.906272</v>
      </c>
      <c r="I272" s="10">
        <v>22.445765999999999</v>
      </c>
      <c r="J272" s="10" t="s">
        <v>534</v>
      </c>
      <c r="K272" s="15">
        <v>1.4534E-2</v>
      </c>
      <c r="L272" s="17">
        <v>17308.686387000002</v>
      </c>
      <c r="M272" s="4" t="s">
        <v>1216</v>
      </c>
      <c r="N272" s="19">
        <v>9.8085310000000003</v>
      </c>
      <c r="O272" s="19">
        <v>11.1175</v>
      </c>
      <c r="P272" s="19">
        <v>9.4600000000000009</v>
      </c>
      <c r="Q272" s="19">
        <v>8.6592000000000002</v>
      </c>
      <c r="R272" s="19">
        <v>7.86</v>
      </c>
      <c r="S272" s="19">
        <v>8.3239999999999998</v>
      </c>
      <c r="T272" s="19">
        <v>7.86</v>
      </c>
      <c r="U272" s="19">
        <v>0</v>
      </c>
      <c r="V272" s="19">
        <v>7.2</v>
      </c>
      <c r="W272" s="19">
        <v>0</v>
      </c>
      <c r="X272" s="19">
        <v>7.2</v>
      </c>
      <c r="Y272" s="19">
        <v>0</v>
      </c>
      <c r="Z272" s="4"/>
      <c r="AA272" s="4"/>
      <c r="AB272" s="4" t="e">
        <f ca="1">_xll.ciqfunctions.udf.CIQ("^SPX", "IQ_PRICEDATE", "1/21/2015")</f>
        <v>#NAME?</v>
      </c>
      <c r="AC272" s="16">
        <v>2032.1202886573999</v>
      </c>
    </row>
    <row r="273" spans="1:29" x14ac:dyDescent="0.35">
      <c r="A273" s="2" t="s">
        <v>283</v>
      </c>
      <c r="B273" s="4" t="s">
        <v>1217</v>
      </c>
      <c r="C273" s="4" t="s">
        <v>530</v>
      </c>
      <c r="D273" s="4" t="s">
        <v>531</v>
      </c>
      <c r="E273" s="4" t="s">
        <v>569</v>
      </c>
      <c r="F273" s="4" t="s">
        <v>909</v>
      </c>
      <c r="G273" s="14">
        <v>174.09</v>
      </c>
      <c r="H273" s="10">
        <v>11.488761</v>
      </c>
      <c r="I273" s="10">
        <v>13.787807000000001</v>
      </c>
      <c r="J273" s="10" t="s">
        <v>534</v>
      </c>
      <c r="K273" s="15">
        <v>0</v>
      </c>
      <c r="L273" s="17">
        <v>17739.771000000001</v>
      </c>
      <c r="M273" s="4" t="s">
        <v>1218</v>
      </c>
      <c r="N273" s="19">
        <v>12.626372999999999</v>
      </c>
      <c r="O273" s="19">
        <v>11.591799999999999</v>
      </c>
      <c r="P273" s="19">
        <v>12.21</v>
      </c>
      <c r="Q273" s="19">
        <v>10.067600000000001</v>
      </c>
      <c r="R273" s="19">
        <v>7.02</v>
      </c>
      <c r="S273" s="19">
        <v>9.4003999999999994</v>
      </c>
      <c r="T273" s="19">
        <v>7.02</v>
      </c>
      <c r="U273" s="19">
        <v>8.5863999999999994</v>
      </c>
      <c r="V273" s="19">
        <v>5.91</v>
      </c>
      <c r="W273" s="19">
        <v>7.1456</v>
      </c>
      <c r="X273" s="19">
        <v>5.91</v>
      </c>
      <c r="Y273" s="19">
        <v>7.1456</v>
      </c>
      <c r="Z273" s="4"/>
      <c r="AA273" s="4"/>
      <c r="AB273" s="4" t="e">
        <f ca="1">_xll.ciqfunctions.udf.CIQ("^SPX", "IQ_PRICEDATE", "1/22/2015")</f>
        <v>#NAME?</v>
      </c>
      <c r="AC273" s="16">
        <v>2063.1455908886001</v>
      </c>
    </row>
    <row r="274" spans="1:29" x14ac:dyDescent="0.35">
      <c r="A274" s="2" t="s">
        <v>284</v>
      </c>
      <c r="B274" s="4" t="s">
        <v>1219</v>
      </c>
      <c r="C274" s="4" t="s">
        <v>543</v>
      </c>
      <c r="D274" s="4" t="s">
        <v>565</v>
      </c>
      <c r="E274" s="4" t="s">
        <v>565</v>
      </c>
      <c r="F274" s="4" t="s">
        <v>691</v>
      </c>
      <c r="G274" s="14">
        <v>147.18</v>
      </c>
      <c r="H274" s="10">
        <v>6.185867</v>
      </c>
      <c r="I274" s="10">
        <v>11.152145000000001</v>
      </c>
      <c r="J274" s="10">
        <v>6.3497570000000003</v>
      </c>
      <c r="K274" s="15">
        <v>2.9895000000000001E-2</v>
      </c>
      <c r="L274" s="17">
        <v>22575.057120000001</v>
      </c>
      <c r="M274" s="4" t="s">
        <v>1220</v>
      </c>
      <c r="N274" s="19">
        <v>13.197461000000001</v>
      </c>
      <c r="O274" s="19">
        <v>14.30048</v>
      </c>
      <c r="P274" s="19">
        <v>9.1047969999999996</v>
      </c>
      <c r="Q274" s="19">
        <v>14.9114</v>
      </c>
      <c r="R274" s="19">
        <v>5.5792659999999996</v>
      </c>
      <c r="S274" s="19">
        <v>8.3873999999999995</v>
      </c>
      <c r="T274" s="19">
        <v>5.5792659999999996</v>
      </c>
      <c r="U274" s="19">
        <v>5.8806000000000003</v>
      </c>
      <c r="V274" s="19">
        <v>4.0359680000000004</v>
      </c>
      <c r="W274" s="19">
        <v>5.0499000000000001</v>
      </c>
      <c r="X274" s="19">
        <v>4.0359680000000004</v>
      </c>
      <c r="Y274" s="19">
        <v>5.0499000000000001</v>
      </c>
      <c r="Z274" s="4"/>
      <c r="AA274" s="4"/>
      <c r="AB274" s="4" t="e">
        <f ca="1">_xll.ciqfunctions.udf.CIQ("^SPX", "IQ_PRICEDATE", "1/23/2015")</f>
        <v>#NAME?</v>
      </c>
      <c r="AC274" s="16">
        <v>2051.8218117762999</v>
      </c>
    </row>
    <row r="275" spans="1:29" x14ac:dyDescent="0.35">
      <c r="A275" s="2" t="s">
        <v>285</v>
      </c>
      <c r="B275" s="4" t="s">
        <v>1221</v>
      </c>
      <c r="C275" s="4" t="s">
        <v>559</v>
      </c>
      <c r="D275" s="4" t="s">
        <v>912</v>
      </c>
      <c r="E275" s="4" t="s">
        <v>913</v>
      </c>
      <c r="F275" s="4" t="s">
        <v>1222</v>
      </c>
      <c r="G275" s="14">
        <v>39.229999999999997</v>
      </c>
      <c r="H275" s="10">
        <v>11.058248000000001</v>
      </c>
      <c r="I275" s="10">
        <v>18.884972999999999</v>
      </c>
      <c r="J275" s="10">
        <v>47.833413</v>
      </c>
      <c r="K275" s="15">
        <v>3.8745000000000002E-2</v>
      </c>
      <c r="L275" s="17">
        <v>5106.1939830000001</v>
      </c>
      <c r="M275" s="4" t="s">
        <v>1223</v>
      </c>
      <c r="N275" s="19">
        <v>2.0773130000000002</v>
      </c>
      <c r="O275" s="19">
        <v>2.7982999999999998</v>
      </c>
      <c r="P275" s="19">
        <v>2.14</v>
      </c>
      <c r="Q275" s="19">
        <v>2.6697000000000002</v>
      </c>
      <c r="R275" s="19">
        <v>2.62</v>
      </c>
      <c r="S275" s="19">
        <v>2.6225000000000001</v>
      </c>
      <c r="T275" s="19">
        <v>2.62</v>
      </c>
      <c r="U275" s="19">
        <v>2.2907000000000002</v>
      </c>
      <c r="V275" s="19">
        <v>1.55</v>
      </c>
      <c r="W275" s="19">
        <v>2.0756999999999999</v>
      </c>
      <c r="X275" s="19">
        <v>1.55</v>
      </c>
      <c r="Y275" s="19">
        <v>2.0756999999999999</v>
      </c>
      <c r="Z275" s="4"/>
      <c r="AA275" s="4"/>
      <c r="AB275" s="4" t="e">
        <f ca="1">_xll.ciqfunctions.udf.CIQ("^SPX", "IQ_PRICEDATE", "1/26/2015")</f>
        <v>#NAME?</v>
      </c>
      <c r="AC275" s="16">
        <v>2057.0944058770001</v>
      </c>
    </row>
    <row r="276" spans="1:29" x14ac:dyDescent="0.35">
      <c r="A276" s="2" t="s">
        <v>286</v>
      </c>
      <c r="B276" s="4" t="s">
        <v>1224</v>
      </c>
      <c r="C276" s="4" t="s">
        <v>559</v>
      </c>
      <c r="D276" s="4" t="s">
        <v>912</v>
      </c>
      <c r="E276" s="4" t="s">
        <v>913</v>
      </c>
      <c r="F276" s="4" t="s">
        <v>914</v>
      </c>
      <c r="G276" s="14">
        <v>43.04</v>
      </c>
      <c r="H276" s="10">
        <v>13.108779</v>
      </c>
      <c r="I276" s="10">
        <v>10.307684</v>
      </c>
      <c r="J276" s="10">
        <v>1.375713</v>
      </c>
      <c r="K276" s="15">
        <v>3.7140000000000003E-3</v>
      </c>
      <c r="L276" s="17">
        <v>13959.947106</v>
      </c>
      <c r="M276" s="4" t="s">
        <v>1225</v>
      </c>
      <c r="N276" s="19">
        <v>4.1794060000000002</v>
      </c>
      <c r="O276" s="19">
        <v>6.4625000000000004</v>
      </c>
      <c r="P276" s="19">
        <v>3.3802509999999999</v>
      </c>
      <c r="Q276" s="19">
        <v>4.6959999999999997</v>
      </c>
      <c r="R276" s="19">
        <v>3.8559239999999999</v>
      </c>
      <c r="S276" s="19">
        <v>4.0663400000000003</v>
      </c>
      <c r="T276" s="19">
        <v>3.8559239999999999</v>
      </c>
      <c r="U276" s="19">
        <v>3.64412</v>
      </c>
      <c r="V276" s="19">
        <v>2.7482160000000002</v>
      </c>
      <c r="W276" s="19">
        <v>2.9942000000000002</v>
      </c>
      <c r="X276" s="19">
        <v>2.7482160000000002</v>
      </c>
      <c r="Y276" s="19">
        <v>2.9942000000000002</v>
      </c>
      <c r="Z276" s="4"/>
      <c r="AA276" s="4"/>
      <c r="AB276" s="4" t="e">
        <f ca="1">_xll.ciqfunctions.udf.CIQ("^SPX", "IQ_PRICEDATE", "1/27/2015")</f>
        <v>#NAME?</v>
      </c>
      <c r="AC276" s="16">
        <v>2029.5544684716999</v>
      </c>
    </row>
    <row r="277" spans="1:29" x14ac:dyDescent="0.35">
      <c r="A277" s="2" t="s">
        <v>287</v>
      </c>
      <c r="B277" s="4" t="s">
        <v>1226</v>
      </c>
      <c r="C277" s="4" t="s">
        <v>573</v>
      </c>
      <c r="D277" s="4" t="s">
        <v>579</v>
      </c>
      <c r="E277" s="4" t="s">
        <v>579</v>
      </c>
      <c r="F277" s="4" t="s">
        <v>580</v>
      </c>
      <c r="G277" s="14">
        <v>65.64</v>
      </c>
      <c r="H277" s="10">
        <v>8.0877119999999998</v>
      </c>
      <c r="I277" s="10">
        <v>7.3838210000000002</v>
      </c>
      <c r="J277" s="10">
        <v>1.062276</v>
      </c>
      <c r="K277" s="15">
        <v>2.0108999999999998E-2</v>
      </c>
      <c r="L277" s="17">
        <v>14222.914978000001</v>
      </c>
      <c r="M277" s="4" t="s">
        <v>1227</v>
      </c>
      <c r="N277" s="19">
        <v>8.8897060000000003</v>
      </c>
      <c r="O277" s="19">
        <v>8.8598999999999997</v>
      </c>
      <c r="P277" s="19">
        <v>9.2210719999999995</v>
      </c>
      <c r="Q277" s="19">
        <v>7.7031000000000001</v>
      </c>
      <c r="R277" s="19">
        <v>5.03</v>
      </c>
      <c r="S277" s="19">
        <v>6.8211000000000004</v>
      </c>
      <c r="T277" s="19">
        <v>5.03</v>
      </c>
      <c r="U277" s="19">
        <v>6.3890000000000002</v>
      </c>
      <c r="V277" s="19">
        <v>5.6649399999999996</v>
      </c>
      <c r="W277" s="19">
        <v>6.09</v>
      </c>
      <c r="X277" s="19">
        <v>5.6649399999999996</v>
      </c>
      <c r="Y277" s="19">
        <v>6.09</v>
      </c>
      <c r="Z277" s="4"/>
      <c r="AA277" s="4"/>
      <c r="AB277" s="4" t="e">
        <f ca="1">_xll.ciqfunctions.udf.CIQ("^SPX", "IQ_PRICEDATE", "1/28/2015")</f>
        <v>#NAME?</v>
      </c>
      <c r="AC277" s="16">
        <v>2002.1564474966999</v>
      </c>
    </row>
    <row r="278" spans="1:29" x14ac:dyDescent="0.35">
      <c r="A278" s="2" t="s">
        <v>288</v>
      </c>
      <c r="B278" s="4" t="s">
        <v>1228</v>
      </c>
      <c r="C278" s="4" t="s">
        <v>559</v>
      </c>
      <c r="D278" s="4" t="s">
        <v>560</v>
      </c>
      <c r="E278" s="4" t="s">
        <v>1084</v>
      </c>
      <c r="F278" s="4" t="s">
        <v>1084</v>
      </c>
      <c r="G278" s="14">
        <v>28.61</v>
      </c>
      <c r="H278" s="10">
        <v>11.58916</v>
      </c>
      <c r="I278" s="10">
        <v>15.977313000000001</v>
      </c>
      <c r="J278" s="10" t="s">
        <v>534</v>
      </c>
      <c r="K278" s="15">
        <v>0</v>
      </c>
      <c r="L278" s="17">
        <v>9100.3140320000002</v>
      </c>
      <c r="M278" s="4" t="s">
        <v>1229</v>
      </c>
      <c r="N278" s="19">
        <v>1.790664</v>
      </c>
      <c r="O278" s="19">
        <v>2.4980000000000002</v>
      </c>
      <c r="P278" s="19">
        <v>1.74</v>
      </c>
      <c r="Q278" s="19">
        <v>2.0796999999999999</v>
      </c>
      <c r="R278" s="19">
        <v>1.47</v>
      </c>
      <c r="S278" s="19">
        <v>1.9739</v>
      </c>
      <c r="T278" s="19">
        <v>1.47</v>
      </c>
      <c r="U278" s="19">
        <v>1.5546</v>
      </c>
      <c r="V278" s="19">
        <v>1.25</v>
      </c>
      <c r="W278" s="19">
        <v>1.5710999999999999</v>
      </c>
      <c r="X278" s="19">
        <v>1.25</v>
      </c>
      <c r="Y278" s="19">
        <v>1.5710999999999999</v>
      </c>
      <c r="Z278" s="4"/>
      <c r="AA278" s="4"/>
      <c r="AB278" s="4" t="e">
        <f ca="1">_xll.ciqfunctions.udf.CIQ("^SPX", "IQ_PRICEDATE", "1/29/2015")</f>
        <v>#NAME?</v>
      </c>
      <c r="AC278" s="16">
        <v>2021.2516383586999</v>
      </c>
    </row>
    <row r="279" spans="1:29" x14ac:dyDescent="0.35">
      <c r="A279" s="2" t="s">
        <v>289</v>
      </c>
      <c r="B279" s="4" t="s">
        <v>1230</v>
      </c>
      <c r="C279" s="4" t="s">
        <v>525</v>
      </c>
      <c r="D279" s="4" t="s">
        <v>526</v>
      </c>
      <c r="E279" s="4" t="s">
        <v>703</v>
      </c>
      <c r="F279" s="4" t="s">
        <v>703</v>
      </c>
      <c r="G279" s="14">
        <v>333.4</v>
      </c>
      <c r="H279" s="10">
        <v>14.847073999999999</v>
      </c>
      <c r="I279" s="10">
        <v>38.355111000000001</v>
      </c>
      <c r="J279" s="10" t="s">
        <v>534</v>
      </c>
      <c r="K279" s="15">
        <v>2.6394000000000001E-2</v>
      </c>
      <c r="L279" s="17">
        <v>94946.007404000004</v>
      </c>
      <c r="M279" s="4" t="s">
        <v>1231</v>
      </c>
      <c r="N279" s="19">
        <v>8.6924530000000004</v>
      </c>
      <c r="O279" s="19">
        <v>18.1432</v>
      </c>
      <c r="P279" s="19">
        <v>6.64</v>
      </c>
      <c r="Q279" s="19">
        <v>13.624599999999999</v>
      </c>
      <c r="R279" s="19">
        <v>12.38</v>
      </c>
      <c r="S279" s="19">
        <v>12.129200000000001</v>
      </c>
      <c r="T279" s="19">
        <v>12.38</v>
      </c>
      <c r="U279" s="19">
        <v>11.674099999999999</v>
      </c>
      <c r="V279" s="19">
        <v>10.09</v>
      </c>
      <c r="W279" s="19">
        <v>11.2652</v>
      </c>
      <c r="X279" s="19">
        <v>10.09</v>
      </c>
      <c r="Y279" s="19">
        <v>11.2652</v>
      </c>
      <c r="Z279" s="4"/>
      <c r="AA279" s="4"/>
      <c r="AB279" s="4" t="e">
        <f ca="1">_xll.ciqfunctions.udf.CIQ("^SPX", "IQ_PRICEDATE", "1/30/2015")</f>
        <v>#NAME?</v>
      </c>
      <c r="AC279" s="16">
        <v>1994.9904120547001</v>
      </c>
    </row>
    <row r="280" spans="1:29" x14ac:dyDescent="0.35">
      <c r="A280" s="2" t="s">
        <v>290</v>
      </c>
      <c r="B280" s="4" t="s">
        <v>1232</v>
      </c>
      <c r="C280" s="4" t="s">
        <v>573</v>
      </c>
      <c r="D280" s="4" t="s">
        <v>579</v>
      </c>
      <c r="E280" s="4" t="s">
        <v>579</v>
      </c>
      <c r="F280" s="4" t="s">
        <v>644</v>
      </c>
      <c r="G280" s="14">
        <v>47.32</v>
      </c>
      <c r="H280" s="10">
        <v>9.4377519999999997</v>
      </c>
      <c r="I280" s="10">
        <v>13.497897999999999</v>
      </c>
      <c r="J280" s="10">
        <v>0.82094400000000001</v>
      </c>
      <c r="K280" s="15">
        <v>5.2829999999999995E-3</v>
      </c>
      <c r="L280" s="17">
        <v>14952.273067</v>
      </c>
      <c r="M280" s="4" t="s">
        <v>1233</v>
      </c>
      <c r="N280" s="19">
        <v>3.5057309999999999</v>
      </c>
      <c r="O280" s="19">
        <v>3.7761999999999998</v>
      </c>
      <c r="P280" s="19">
        <v>3.45</v>
      </c>
      <c r="Q280" s="19">
        <v>3.11</v>
      </c>
      <c r="R280" s="19">
        <v>1.93</v>
      </c>
      <c r="S280" s="19">
        <v>3.1341000000000001</v>
      </c>
      <c r="T280" s="19">
        <v>1.93</v>
      </c>
      <c r="U280" s="19">
        <v>2.8605</v>
      </c>
      <c r="V280" s="19">
        <v>2.5712190000000001</v>
      </c>
      <c r="W280" s="19">
        <v>2.9527000000000001</v>
      </c>
      <c r="X280" s="19">
        <v>2.5712190000000001</v>
      </c>
      <c r="Y280" s="19">
        <v>2.9527000000000001</v>
      </c>
      <c r="Z280" s="4"/>
      <c r="AA280" s="4"/>
      <c r="AB280" s="4" t="e">
        <f ca="1">_xll.ciqfunctions.udf.CIQ("^SPX", "IQ_PRICEDATE", "2/2/2015")</f>
        <v>#NAME?</v>
      </c>
      <c r="AC280" s="16">
        <v>2020.8491870268999</v>
      </c>
    </row>
    <row r="281" spans="1:29" x14ac:dyDescent="0.35">
      <c r="A281" s="2" t="s">
        <v>291</v>
      </c>
      <c r="B281" s="4" t="s">
        <v>1234</v>
      </c>
      <c r="C281" s="4" t="s">
        <v>559</v>
      </c>
      <c r="D281" s="4" t="s">
        <v>560</v>
      </c>
      <c r="E281" s="4" t="s">
        <v>561</v>
      </c>
      <c r="F281" s="4" t="s">
        <v>1235</v>
      </c>
      <c r="G281" s="14">
        <v>102.44</v>
      </c>
      <c r="H281" s="10">
        <v>12.012658</v>
      </c>
      <c r="I281" s="10">
        <v>21.547898</v>
      </c>
      <c r="J281" s="10">
        <v>19.543367</v>
      </c>
      <c r="K281" s="15">
        <v>1.8742000000000002E-2</v>
      </c>
      <c r="L281" s="17">
        <v>83078.84</v>
      </c>
      <c r="M281" s="4" t="s">
        <v>1236</v>
      </c>
      <c r="N281" s="19">
        <v>4.75406</v>
      </c>
      <c r="O281" s="19">
        <v>5.4198000000000004</v>
      </c>
      <c r="P281" s="19">
        <v>4.1492279999999999</v>
      </c>
      <c r="Q281" s="19">
        <v>5.0171000000000001</v>
      </c>
      <c r="R281" s="19">
        <v>2.7239559999999998</v>
      </c>
      <c r="S281" s="19">
        <v>4.4570999999999996</v>
      </c>
      <c r="T281" s="19">
        <v>2.7239559999999998</v>
      </c>
      <c r="U281" s="19">
        <v>3.8195000000000001</v>
      </c>
      <c r="V281" s="19">
        <v>2.5195729999999998</v>
      </c>
      <c r="W281" s="19">
        <v>3.1554000000000002</v>
      </c>
      <c r="X281" s="19">
        <v>2.5195729999999998</v>
      </c>
      <c r="Y281" s="19">
        <v>3.1554000000000002</v>
      </c>
      <c r="Z281" s="4"/>
      <c r="AA281" s="4"/>
      <c r="AB281" s="4" t="e">
        <f ca="1">_xll.ciqfunctions.udf.CIQ("^SPX", "IQ_PRICEDATE", "2/3/2015")</f>
        <v>#NAME?</v>
      </c>
      <c r="AC281" s="16">
        <v>2050.0328023764</v>
      </c>
    </row>
    <row r="282" spans="1:29" x14ac:dyDescent="0.35">
      <c r="A282" s="2" t="s">
        <v>292</v>
      </c>
      <c r="B282" s="4" t="s">
        <v>1237</v>
      </c>
      <c r="C282" s="4" t="s">
        <v>586</v>
      </c>
      <c r="D282" s="4" t="s">
        <v>586</v>
      </c>
      <c r="E282" s="4" t="s">
        <v>587</v>
      </c>
      <c r="F282" s="4" t="s">
        <v>1238</v>
      </c>
      <c r="G282" s="14">
        <v>96.22</v>
      </c>
      <c r="H282" s="10">
        <v>5.8906320000000001</v>
      </c>
      <c r="I282" s="10">
        <v>6.4894470000000002</v>
      </c>
      <c r="J282" s="10">
        <v>3.9485730000000001</v>
      </c>
      <c r="K282" s="15">
        <v>4.1570999999999997E-2</v>
      </c>
      <c r="L282" s="17">
        <v>37460.754894999998</v>
      </c>
      <c r="M282" s="4" t="s">
        <v>1239</v>
      </c>
      <c r="N282" s="19">
        <v>14.827147999999999</v>
      </c>
      <c r="O282" s="19">
        <v>10.6684</v>
      </c>
      <c r="P282" s="19">
        <v>12.28</v>
      </c>
      <c r="Q282" s="19">
        <v>10.118</v>
      </c>
      <c r="R282" s="19">
        <v>9.15</v>
      </c>
      <c r="S282" s="19">
        <v>9.5814000000000004</v>
      </c>
      <c r="T282" s="19">
        <v>9.15</v>
      </c>
      <c r="U282" s="19">
        <v>10.048500000000001</v>
      </c>
      <c r="V282" s="19">
        <v>8</v>
      </c>
      <c r="W282" s="19">
        <v>8.5454000000000008</v>
      </c>
      <c r="X282" s="19">
        <v>8</v>
      </c>
      <c r="Y282" s="19">
        <v>8.5454000000000008</v>
      </c>
      <c r="Z282" s="4"/>
      <c r="AA282" s="4"/>
      <c r="AB282" s="4" t="e">
        <f ca="1">_xll.ciqfunctions.udf.CIQ("^SPX", "IQ_PRICEDATE", "2/4/2015")</f>
        <v>#NAME?</v>
      </c>
      <c r="AC282" s="16">
        <v>2041.5093509660001</v>
      </c>
    </row>
    <row r="283" spans="1:29" x14ac:dyDescent="0.35">
      <c r="A283" s="2" t="s">
        <v>293</v>
      </c>
      <c r="B283" s="4" t="s">
        <v>1240</v>
      </c>
      <c r="C283" s="4" t="s">
        <v>573</v>
      </c>
      <c r="D283" s="4" t="s">
        <v>737</v>
      </c>
      <c r="E283" s="4" t="s">
        <v>737</v>
      </c>
      <c r="F283" s="4" t="s">
        <v>743</v>
      </c>
      <c r="G283" s="14">
        <v>161.9</v>
      </c>
      <c r="H283" s="10">
        <v>0</v>
      </c>
      <c r="I283" s="10">
        <v>14.738292</v>
      </c>
      <c r="J283" s="10">
        <v>2.3962059999999998</v>
      </c>
      <c r="K283" s="15">
        <v>2.4706000000000002E-2</v>
      </c>
      <c r="L283" s="17">
        <v>23279.740558000001</v>
      </c>
      <c r="M283" s="4" t="s">
        <v>1241</v>
      </c>
      <c r="N283" s="19">
        <v>10.98499</v>
      </c>
      <c r="O283" s="19">
        <v>13.4016</v>
      </c>
      <c r="P283" s="19">
        <v>8.7021189999999997</v>
      </c>
      <c r="Q283" s="19">
        <v>9.7939000000000007</v>
      </c>
      <c r="R283" s="19">
        <v>7.7778119999999999</v>
      </c>
      <c r="S283" s="19">
        <v>8.3176000000000005</v>
      </c>
      <c r="T283" s="19">
        <v>7.7778119999999999</v>
      </c>
      <c r="U283" s="19">
        <v>8.3454999999999995</v>
      </c>
      <c r="V283" s="19">
        <v>7.4222640000000002</v>
      </c>
      <c r="W283" s="19">
        <v>8.1942000000000004</v>
      </c>
      <c r="X283" s="19">
        <v>7.4222640000000002</v>
      </c>
      <c r="Y283" s="19">
        <v>8.1942000000000004</v>
      </c>
      <c r="Z283" s="4"/>
      <c r="AA283" s="4"/>
      <c r="AB283" s="4" t="e">
        <f ca="1">_xll.ciqfunctions.udf.CIQ("^SPX", "IQ_PRICEDATE", "2/5/2015")</f>
        <v>#NAME?</v>
      </c>
      <c r="AC283" s="16">
        <v>2062.5215572874999</v>
      </c>
    </row>
    <row r="284" spans="1:29" x14ac:dyDescent="0.35">
      <c r="A284" s="2" t="s">
        <v>294</v>
      </c>
      <c r="B284" s="4" t="s">
        <v>1242</v>
      </c>
      <c r="C284" s="4" t="s">
        <v>601</v>
      </c>
      <c r="D284" s="4" t="s">
        <v>601</v>
      </c>
      <c r="E284" s="4" t="s">
        <v>602</v>
      </c>
      <c r="F284" s="4" t="s">
        <v>1026</v>
      </c>
      <c r="G284" s="14">
        <v>51.49</v>
      </c>
      <c r="H284" s="10">
        <v>19.994215000000001</v>
      </c>
      <c r="I284" s="10" t="s">
        <v>534</v>
      </c>
      <c r="J284" s="10">
        <v>2.4890050000000001</v>
      </c>
      <c r="K284" s="15">
        <v>5.7485999999999995E-2</v>
      </c>
      <c r="L284" s="17">
        <v>7262.7109440000004</v>
      </c>
      <c r="M284" s="4" t="s">
        <v>1243</v>
      </c>
      <c r="N284" s="19">
        <v>0.158355</v>
      </c>
      <c r="O284" s="19">
        <v>0.83819999999999995</v>
      </c>
      <c r="P284" s="19">
        <v>1.02</v>
      </c>
      <c r="Q284" s="19">
        <v>0.80669999999999997</v>
      </c>
      <c r="R284" s="19">
        <v>3.52</v>
      </c>
      <c r="S284" s="19">
        <v>1.0861000000000001</v>
      </c>
      <c r="T284" s="19">
        <v>3.52</v>
      </c>
      <c r="U284" s="19">
        <v>0.80020000000000002</v>
      </c>
      <c r="V284" s="19">
        <v>10.45</v>
      </c>
      <c r="W284" s="19">
        <v>1.3734</v>
      </c>
      <c r="X284" s="19">
        <v>10.45</v>
      </c>
      <c r="Y284" s="19">
        <v>1.3734</v>
      </c>
      <c r="Z284" s="4"/>
      <c r="AA284" s="4"/>
      <c r="AB284" s="4" t="e">
        <f ca="1">_xll.ciqfunctions.udf.CIQ("^SPX", "IQ_PRICEDATE", "2/6/2015")</f>
        <v>#NAME?</v>
      </c>
      <c r="AC284" s="16">
        <v>2055.4722418257002</v>
      </c>
    </row>
    <row r="285" spans="1:29" x14ac:dyDescent="0.35">
      <c r="A285" s="2" t="s">
        <v>295</v>
      </c>
      <c r="B285" s="4" t="s">
        <v>1244</v>
      </c>
      <c r="C285" s="4" t="s">
        <v>559</v>
      </c>
      <c r="D285" s="4" t="s">
        <v>560</v>
      </c>
      <c r="E285" s="4" t="s">
        <v>940</v>
      </c>
      <c r="F285" s="4" t="s">
        <v>1211</v>
      </c>
      <c r="G285" s="14">
        <v>31.84</v>
      </c>
      <c r="H285" s="10">
        <v>5.4130219999999998</v>
      </c>
      <c r="I285" s="10">
        <v>5.9208530000000001</v>
      </c>
      <c r="J285" s="10">
        <v>6.4091880000000003</v>
      </c>
      <c r="K285" s="15">
        <v>4.7424000000000001E-2</v>
      </c>
      <c r="L285" s="17">
        <v>9774.0111500000003</v>
      </c>
      <c r="M285" s="4" t="s">
        <v>1245</v>
      </c>
      <c r="N285" s="19">
        <v>5.3776029999999997</v>
      </c>
      <c r="O285" s="19">
        <v>3.9506000000000001</v>
      </c>
      <c r="P285" s="19">
        <v>2.2871980000000001</v>
      </c>
      <c r="Q285" s="19">
        <v>3.3380999999999998</v>
      </c>
      <c r="R285" s="19">
        <v>2.1972100000000001</v>
      </c>
      <c r="S285" s="19">
        <v>3.4695999999999998</v>
      </c>
      <c r="T285" s="19">
        <v>2.1972100000000001</v>
      </c>
      <c r="U285" s="19">
        <v>4.0442</v>
      </c>
      <c r="V285" s="19">
        <v>4.1997819999999999</v>
      </c>
      <c r="W285" s="19">
        <v>4.6668000000000003</v>
      </c>
      <c r="X285" s="19">
        <v>4.1997819999999999</v>
      </c>
      <c r="Y285" s="19">
        <v>4.6668000000000003</v>
      </c>
      <c r="Z285" s="4"/>
      <c r="AA285" s="4"/>
      <c r="AB285" s="4" t="e">
        <f ca="1">_xll.ciqfunctions.udf.CIQ("^SPX", "IQ_PRICEDATE", "2/9/2015")</f>
        <v>#NAME?</v>
      </c>
      <c r="AC285" s="16">
        <v>2046.7436014545999</v>
      </c>
    </row>
    <row r="286" spans="1:29" x14ac:dyDescent="0.35">
      <c r="A286" s="2" t="s">
        <v>296</v>
      </c>
      <c r="B286" s="4" t="s">
        <v>1246</v>
      </c>
      <c r="C286" s="4" t="s">
        <v>669</v>
      </c>
      <c r="D286" s="4" t="s">
        <v>669</v>
      </c>
      <c r="E286" s="4" t="s">
        <v>670</v>
      </c>
      <c r="F286" s="4" t="s">
        <v>671</v>
      </c>
      <c r="G286" s="14">
        <v>20.89</v>
      </c>
      <c r="H286" s="10">
        <v>6.7266110000000001</v>
      </c>
      <c r="I286" s="10" t="s">
        <v>534</v>
      </c>
      <c r="J286" s="10">
        <v>1.4824710000000001</v>
      </c>
      <c r="K286" s="15">
        <v>9.5729999999999999E-3</v>
      </c>
      <c r="L286" s="17">
        <v>17843.141232999998</v>
      </c>
      <c r="M286" s="4" t="s">
        <v>1247</v>
      </c>
      <c r="N286" s="19">
        <v>-0.20551900000000001</v>
      </c>
      <c r="O286" s="19">
        <v>1.0368999999999999</v>
      </c>
      <c r="P286" s="19">
        <v>-0.97646999999999995</v>
      </c>
      <c r="Q286" s="19">
        <v>-3.7100000000000001E-2</v>
      </c>
      <c r="R286" s="19">
        <v>-2.5499999999999998</v>
      </c>
      <c r="S286" s="19">
        <v>-0.30819999999999997</v>
      </c>
      <c r="T286" s="19">
        <v>-2.5499999999999998</v>
      </c>
      <c r="U286" s="19">
        <v>-1.3289</v>
      </c>
      <c r="V286" s="19">
        <v>1.42</v>
      </c>
      <c r="W286" s="19">
        <v>0.56810000000000005</v>
      </c>
      <c r="X286" s="19">
        <v>1.42</v>
      </c>
      <c r="Y286" s="19">
        <v>0.56810000000000005</v>
      </c>
      <c r="Z286" s="4"/>
      <c r="AA286" s="4"/>
      <c r="AB286" s="4" t="e">
        <f ca="1">_xll.ciqfunctions.udf.CIQ("^SPX", "IQ_PRICEDATE", "2/10/2015")</f>
        <v>#NAME?</v>
      </c>
      <c r="AC286" s="16">
        <v>2068.5927921291</v>
      </c>
    </row>
    <row r="287" spans="1:29" x14ac:dyDescent="0.35">
      <c r="A287" s="2" t="s">
        <v>297</v>
      </c>
      <c r="B287" s="4" t="s">
        <v>1248</v>
      </c>
      <c r="C287" s="4" t="s">
        <v>669</v>
      </c>
      <c r="D287" s="4" t="s">
        <v>669</v>
      </c>
      <c r="E287" s="4" t="s">
        <v>670</v>
      </c>
      <c r="F287" s="4" t="s">
        <v>1126</v>
      </c>
      <c r="G287" s="14">
        <v>79.150000000000006</v>
      </c>
      <c r="H287" s="10">
        <v>10.389061999999999</v>
      </c>
      <c r="I287" s="10">
        <v>9.606973</v>
      </c>
      <c r="J287" s="10">
        <v>3.1737950000000001</v>
      </c>
      <c r="K287" s="15">
        <v>2.3246000000000003E-2</v>
      </c>
      <c r="L287" s="17">
        <v>54678.201008999997</v>
      </c>
      <c r="M287" s="4" t="s">
        <v>1249</v>
      </c>
      <c r="N287" s="19">
        <v>8.2388069999999995</v>
      </c>
      <c r="O287" s="19">
        <v>6.4508000000000001</v>
      </c>
      <c r="P287" s="19">
        <v>6.7</v>
      </c>
      <c r="Q287" s="19">
        <v>4.8760000000000003</v>
      </c>
      <c r="R287" s="19">
        <v>2.21</v>
      </c>
      <c r="S287" s="19">
        <v>3.3616000000000001</v>
      </c>
      <c r="T287" s="19">
        <v>2.21</v>
      </c>
      <c r="U287" s="19">
        <v>5.3543000000000003</v>
      </c>
      <c r="V287" s="19">
        <v>4.3899999999999997</v>
      </c>
      <c r="W287" s="19">
        <v>4.2502000000000004</v>
      </c>
      <c r="X287" s="19">
        <v>4.3899999999999997</v>
      </c>
      <c r="Y287" s="19">
        <v>4.2502000000000004</v>
      </c>
      <c r="Z287" s="4"/>
      <c r="AA287" s="4"/>
      <c r="AB287" s="4" t="e">
        <f ca="1">_xll.ciqfunctions.udf.CIQ("^SPX", "IQ_PRICEDATE", "2/11/2015")</f>
        <v>#NAME?</v>
      </c>
      <c r="AC287" s="16">
        <v>2068.5319770619999</v>
      </c>
    </row>
    <row r="288" spans="1:29" x14ac:dyDescent="0.35">
      <c r="A288" s="2" t="s">
        <v>298</v>
      </c>
      <c r="B288" s="4" t="s">
        <v>1250</v>
      </c>
      <c r="C288" s="4" t="s">
        <v>559</v>
      </c>
      <c r="D288" s="4" t="s">
        <v>798</v>
      </c>
      <c r="E288" s="4" t="s">
        <v>799</v>
      </c>
      <c r="F288" s="4" t="s">
        <v>800</v>
      </c>
      <c r="G288" s="14">
        <v>117.96</v>
      </c>
      <c r="H288" s="10">
        <v>17.070519999999998</v>
      </c>
      <c r="I288" s="10">
        <v>28.495912000000001</v>
      </c>
      <c r="J288" s="10" t="s">
        <v>534</v>
      </c>
      <c r="K288" s="15">
        <v>1.3903E-2</v>
      </c>
      <c r="L288" s="17">
        <v>40930.720641</v>
      </c>
      <c r="M288" s="4" t="s">
        <v>1251</v>
      </c>
      <c r="N288" s="19">
        <v>4.1395410000000004</v>
      </c>
      <c r="O288" s="19">
        <v>5.9173</v>
      </c>
      <c r="P288" s="19">
        <v>3.61</v>
      </c>
      <c r="Q288" s="19">
        <v>4.6467000000000001</v>
      </c>
      <c r="R288" s="19">
        <v>2.64</v>
      </c>
      <c r="S288" s="19">
        <v>3.8769</v>
      </c>
      <c r="T288" s="19">
        <v>2.64</v>
      </c>
      <c r="U288" s="19">
        <v>3.6078000000000001</v>
      </c>
      <c r="V288" s="19">
        <v>2.54</v>
      </c>
      <c r="W288" s="19">
        <v>2.9331</v>
      </c>
      <c r="X288" s="19">
        <v>2.54</v>
      </c>
      <c r="Y288" s="19">
        <v>2.9331</v>
      </c>
      <c r="Z288" s="4"/>
      <c r="AA288" s="4"/>
      <c r="AB288" s="4" t="e">
        <f ca="1">_xll.ciqfunctions.udf.CIQ("^SPX", "IQ_PRICEDATE", "2/12/2015")</f>
        <v>#NAME?</v>
      </c>
      <c r="AC288" s="16">
        <v>2088.4847683353</v>
      </c>
    </row>
    <row r="289" spans="1:29" x14ac:dyDescent="0.35">
      <c r="A289" s="2" t="s">
        <v>299</v>
      </c>
      <c r="B289" s="4" t="s">
        <v>1252</v>
      </c>
      <c r="C289" s="4" t="s">
        <v>573</v>
      </c>
      <c r="D289" s="4" t="s">
        <v>579</v>
      </c>
      <c r="E289" s="4" t="s">
        <v>579</v>
      </c>
      <c r="F289" s="4" t="s">
        <v>680</v>
      </c>
      <c r="G289" s="14">
        <v>80.91</v>
      </c>
      <c r="H289" s="10">
        <v>13.168301</v>
      </c>
      <c r="I289" s="10">
        <v>25.370277000000002</v>
      </c>
      <c r="J289" s="10" t="s">
        <v>534</v>
      </c>
      <c r="K289" s="15">
        <v>2.0516E-2</v>
      </c>
      <c r="L289" s="17">
        <v>40857.895066999998</v>
      </c>
      <c r="M289" s="4" t="s">
        <v>1253</v>
      </c>
      <c r="N289" s="19">
        <v>3.189165</v>
      </c>
      <c r="O289" s="19">
        <v>4.4569000000000001</v>
      </c>
      <c r="P289" s="19">
        <v>2.87</v>
      </c>
      <c r="Q289" s="19">
        <v>4.0698999999999996</v>
      </c>
      <c r="R289" s="19">
        <v>3.38</v>
      </c>
      <c r="S289" s="19">
        <v>3.6168</v>
      </c>
      <c r="T289" s="19">
        <v>3.38</v>
      </c>
      <c r="U289" s="19">
        <v>3.2086999999999999</v>
      </c>
      <c r="V289" s="19">
        <v>2.61</v>
      </c>
      <c r="W289" s="19">
        <v>3.0276999999999998</v>
      </c>
      <c r="X289" s="19">
        <v>2.61</v>
      </c>
      <c r="Y289" s="19">
        <v>3.0276999999999998</v>
      </c>
      <c r="Z289" s="4"/>
      <c r="AA289" s="4"/>
      <c r="AB289" s="4" t="e">
        <f ca="1">_xll.ciqfunctions.udf.CIQ("^SPX", "IQ_PRICEDATE", "2/13/2015")</f>
        <v>#NAME?</v>
      </c>
      <c r="AC289" s="16">
        <v>2096.9879019150999</v>
      </c>
    </row>
    <row r="290" spans="1:29" x14ac:dyDescent="0.35">
      <c r="A290" s="2" t="s">
        <v>300</v>
      </c>
      <c r="B290" s="4" t="s">
        <v>1254</v>
      </c>
      <c r="C290" s="4" t="s">
        <v>586</v>
      </c>
      <c r="D290" s="4" t="s">
        <v>586</v>
      </c>
      <c r="E290" s="4" t="s">
        <v>1255</v>
      </c>
      <c r="F290" s="4" t="s">
        <v>1255</v>
      </c>
      <c r="G290" s="14">
        <v>166.11</v>
      </c>
      <c r="H290" s="10">
        <v>13.140537999999999</v>
      </c>
      <c r="I290" s="10">
        <v>14.545806000000001</v>
      </c>
      <c r="J290" s="10">
        <v>5.4309950000000002</v>
      </c>
      <c r="K290" s="15">
        <v>1.1557999999999999E-2</v>
      </c>
      <c r="L290" s="17">
        <v>10466.918669000001</v>
      </c>
      <c r="M290" s="4" t="s">
        <v>1256</v>
      </c>
      <c r="N290" s="19">
        <v>11.419786</v>
      </c>
      <c r="O290" s="19">
        <v>9.4571000000000005</v>
      </c>
      <c r="P290" s="19">
        <v>11.25</v>
      </c>
      <c r="Q290" s="19">
        <v>7.9074999999999998</v>
      </c>
      <c r="R290" s="19">
        <v>6.63</v>
      </c>
      <c r="S290" s="19">
        <v>8.3643999999999998</v>
      </c>
      <c r="T290" s="19">
        <v>6.63</v>
      </c>
      <c r="U290" s="19">
        <v>6.5189000000000004</v>
      </c>
      <c r="V290" s="19">
        <v>2.71</v>
      </c>
      <c r="W290" s="19">
        <v>4.7074999999999996</v>
      </c>
      <c r="X290" s="19">
        <v>2.71</v>
      </c>
      <c r="Y290" s="19">
        <v>4.7074999999999996</v>
      </c>
      <c r="Z290" s="4"/>
      <c r="AA290" s="4"/>
      <c r="AB290" s="4" t="e">
        <f ca="1">_xll.ciqfunctions.udf.CIQ("^SPX", "IQ_PRICEDATE", "2/17/2015")</f>
        <v>#NAME?</v>
      </c>
      <c r="AC290" s="16">
        <v>2100.3432492548</v>
      </c>
    </row>
    <row r="291" spans="1:29" x14ac:dyDescent="0.35">
      <c r="A291" s="2" t="s">
        <v>301</v>
      </c>
      <c r="B291" s="4" t="s">
        <v>1257</v>
      </c>
      <c r="C291" s="4" t="s">
        <v>525</v>
      </c>
      <c r="D291" s="4" t="s">
        <v>526</v>
      </c>
      <c r="E291" s="4" t="s">
        <v>527</v>
      </c>
      <c r="F291" s="4" t="s">
        <v>527</v>
      </c>
      <c r="G291" s="14">
        <v>31.96</v>
      </c>
      <c r="H291" s="10">
        <v>9.8165139999999997</v>
      </c>
      <c r="I291" s="10">
        <v>17.041934000000001</v>
      </c>
      <c r="J291" s="10" t="s">
        <v>534</v>
      </c>
      <c r="K291" s="15">
        <v>1.5018E-2</v>
      </c>
      <c r="L291" s="17">
        <v>9826.9552359999998</v>
      </c>
      <c r="M291" s="4" t="s">
        <v>1258</v>
      </c>
      <c r="N291" s="19">
        <v>1.8753740000000001</v>
      </c>
      <c r="O291" s="19">
        <v>2.7391000000000001</v>
      </c>
      <c r="P291" s="19">
        <v>1.66</v>
      </c>
      <c r="Q291" s="19">
        <v>2.1812</v>
      </c>
      <c r="R291" s="19">
        <v>1.47</v>
      </c>
      <c r="S291" s="19">
        <v>1.8372999999999999</v>
      </c>
      <c r="T291" s="19">
        <v>1.47</v>
      </c>
      <c r="U291" s="19">
        <v>1.41</v>
      </c>
      <c r="V291" s="19">
        <v>2.2799999999999998</v>
      </c>
      <c r="W291" s="19">
        <v>1.151</v>
      </c>
      <c r="X291" s="19">
        <v>2.2799999999999998</v>
      </c>
      <c r="Y291" s="19">
        <v>1.151</v>
      </c>
      <c r="Z291" s="4"/>
      <c r="AA291" s="4"/>
      <c r="AB291" s="4" t="e">
        <f ca="1">_xll.ciqfunctions.udf.CIQ("^SPX", "IQ_PRICEDATE", "2/18/2015")</f>
        <v>#NAME?</v>
      </c>
      <c r="AC291" s="16">
        <v>2099.6753437890002</v>
      </c>
    </row>
    <row r="292" spans="1:29" x14ac:dyDescent="0.35">
      <c r="A292" s="2" t="s">
        <v>302</v>
      </c>
      <c r="B292" s="4" t="s">
        <v>1259</v>
      </c>
      <c r="C292" s="4" t="s">
        <v>543</v>
      </c>
      <c r="D292" s="4" t="s">
        <v>544</v>
      </c>
      <c r="E292" s="4" t="s">
        <v>545</v>
      </c>
      <c r="F292" s="4" t="s">
        <v>616</v>
      </c>
      <c r="G292" s="14">
        <v>207.38</v>
      </c>
      <c r="H292" s="10">
        <v>26.015381999999999</v>
      </c>
      <c r="I292" s="10">
        <v>46.511147999999999</v>
      </c>
      <c r="J292" s="10">
        <v>173.88154599999999</v>
      </c>
      <c r="K292" s="15">
        <v>4.8219999999999999E-3</v>
      </c>
      <c r="L292" s="17">
        <v>215354.27094700001</v>
      </c>
      <c r="M292" s="4" t="s">
        <v>1260</v>
      </c>
      <c r="N292" s="19">
        <v>4.4587159999999999</v>
      </c>
      <c r="O292" s="19">
        <v>6.8643000000000001</v>
      </c>
      <c r="P292" s="19">
        <v>3.65</v>
      </c>
      <c r="Q292" s="19">
        <v>5.1303999999999998</v>
      </c>
      <c r="R292" s="19">
        <v>3.69</v>
      </c>
      <c r="S292" s="19">
        <v>4.1387</v>
      </c>
      <c r="T292" s="19">
        <v>3.69</v>
      </c>
      <c r="U292" s="19">
        <v>3.6930000000000001</v>
      </c>
      <c r="V292" s="19">
        <v>3.1</v>
      </c>
      <c r="W292" s="19">
        <v>3.4184999999999999</v>
      </c>
      <c r="X292" s="19">
        <v>3.1</v>
      </c>
      <c r="Y292" s="19">
        <v>3.4184999999999999</v>
      </c>
      <c r="Z292" s="4"/>
      <c r="AA292" s="4"/>
      <c r="AB292" s="4" t="e">
        <f ca="1">_xll.ciqfunctions.udf.CIQ("^SPX", "IQ_PRICEDATE", "2/19/2015")</f>
        <v>#NAME?</v>
      </c>
      <c r="AC292" s="16">
        <v>2097.4493476088001</v>
      </c>
    </row>
    <row r="293" spans="1:29" x14ac:dyDescent="0.35">
      <c r="A293" s="2" t="s">
        <v>303</v>
      </c>
      <c r="B293" s="4" t="s">
        <v>1261</v>
      </c>
      <c r="C293" s="4" t="s">
        <v>559</v>
      </c>
      <c r="D293" s="4" t="s">
        <v>912</v>
      </c>
      <c r="E293" s="4" t="s">
        <v>1106</v>
      </c>
      <c r="F293" s="4" t="s">
        <v>1106</v>
      </c>
      <c r="G293" s="14">
        <v>14.77</v>
      </c>
      <c r="H293" s="10" t="s">
        <v>534</v>
      </c>
      <c r="I293" s="10" t="s">
        <v>534</v>
      </c>
      <c r="J293" s="10" t="s">
        <v>534</v>
      </c>
      <c r="K293" s="15">
        <v>0</v>
      </c>
      <c r="L293" s="17">
        <v>5083.1402680000001</v>
      </c>
      <c r="M293" s="4" t="s">
        <v>1262</v>
      </c>
      <c r="N293" s="19">
        <v>-4.1761299999999997</v>
      </c>
      <c r="O293" s="19">
        <v>-0.16669999999999999</v>
      </c>
      <c r="P293" s="19">
        <v>-3.07</v>
      </c>
      <c r="Q293" s="19">
        <v>0.2369</v>
      </c>
      <c r="R293" s="19">
        <v>0.92</v>
      </c>
      <c r="S293" s="19">
        <v>1.5628</v>
      </c>
      <c r="T293" s="19">
        <v>0.92</v>
      </c>
      <c r="U293" s="19">
        <v>1.343</v>
      </c>
      <c r="V293" s="19">
        <v>1.45</v>
      </c>
      <c r="W293" s="19">
        <v>2.1236000000000002</v>
      </c>
      <c r="X293" s="19">
        <v>1.45</v>
      </c>
      <c r="Y293" s="19">
        <v>2.1236000000000002</v>
      </c>
      <c r="Z293" s="4"/>
      <c r="AA293" s="4"/>
      <c r="AB293" s="4" t="e">
        <f ca="1">_xll.ciqfunctions.udf.CIQ("^SPX", "IQ_PRICEDATE", "2/20/2015")</f>
        <v>#NAME?</v>
      </c>
      <c r="AC293" s="16">
        <v>2110.3008991643001</v>
      </c>
    </row>
    <row r="294" spans="1:29" x14ac:dyDescent="0.35">
      <c r="A294" s="2" t="s">
        <v>304</v>
      </c>
      <c r="B294" s="4" t="s">
        <v>1263</v>
      </c>
      <c r="C294" s="4" t="s">
        <v>626</v>
      </c>
      <c r="D294" s="4" t="s">
        <v>627</v>
      </c>
      <c r="E294" s="4" t="s">
        <v>699</v>
      </c>
      <c r="F294" s="4" t="s">
        <v>789</v>
      </c>
      <c r="G294" s="14">
        <v>137.69</v>
      </c>
      <c r="H294" s="10">
        <v>20.631674</v>
      </c>
      <c r="I294" s="10">
        <v>20.406457</v>
      </c>
      <c r="J294" s="10" t="s">
        <v>534</v>
      </c>
      <c r="K294" s="15">
        <v>1.5106E-2</v>
      </c>
      <c r="L294" s="17">
        <v>18127.496093000002</v>
      </c>
      <c r="M294" s="4" t="s">
        <v>1264</v>
      </c>
      <c r="N294" s="19">
        <v>6.7473739999999998</v>
      </c>
      <c r="O294" s="19">
        <v>5.2282000000000002</v>
      </c>
      <c r="P294" s="19">
        <v>3.72</v>
      </c>
      <c r="Q294" s="19">
        <v>4.5216000000000003</v>
      </c>
      <c r="R294" s="19">
        <v>3.69</v>
      </c>
      <c r="S294" s="19">
        <v>3.9647999999999999</v>
      </c>
      <c r="T294" s="19">
        <v>3.69</v>
      </c>
      <c r="U294" s="19">
        <v>3.6116999999999999</v>
      </c>
      <c r="V294" s="19">
        <v>3.34</v>
      </c>
      <c r="W294" s="19">
        <v>3.4861</v>
      </c>
      <c r="X294" s="19">
        <v>3.34</v>
      </c>
      <c r="Y294" s="19">
        <v>3.4861</v>
      </c>
      <c r="Z294" s="4"/>
      <c r="AA294" s="4"/>
      <c r="AB294" s="4" t="e">
        <f ca="1">_xll.ciqfunctions.udf.CIQ("^SPX", "IQ_PRICEDATE", "2/23/2015")</f>
        <v>#NAME?</v>
      </c>
      <c r="AC294" s="16">
        <v>2109.6566290026999</v>
      </c>
    </row>
    <row r="295" spans="1:29" x14ac:dyDescent="0.35">
      <c r="A295" s="2" t="s">
        <v>305</v>
      </c>
      <c r="B295" s="4" t="s">
        <v>1265</v>
      </c>
      <c r="C295" s="4" t="s">
        <v>559</v>
      </c>
      <c r="D295" s="4" t="s">
        <v>798</v>
      </c>
      <c r="E295" s="4" t="s">
        <v>799</v>
      </c>
      <c r="F295" s="4" t="s">
        <v>839</v>
      </c>
      <c r="G295" s="14">
        <v>166.77</v>
      </c>
      <c r="H295" s="10">
        <v>15.762727</v>
      </c>
      <c r="I295" s="10">
        <v>24.466937000000001</v>
      </c>
      <c r="J295" s="10" t="s">
        <v>534</v>
      </c>
      <c r="K295" s="15">
        <v>2.7822E-2</v>
      </c>
      <c r="L295" s="17">
        <v>129380.234209</v>
      </c>
      <c r="M295" s="4" t="s">
        <v>1266</v>
      </c>
      <c r="N295" s="19">
        <v>6.8161370000000003</v>
      </c>
      <c r="O295" s="19">
        <v>7.7857000000000003</v>
      </c>
      <c r="P295" s="19">
        <v>6.37</v>
      </c>
      <c r="Q295" s="19">
        <v>6.835</v>
      </c>
      <c r="R295" s="19">
        <v>5.44</v>
      </c>
      <c r="S295" s="19">
        <v>6.0103</v>
      </c>
      <c r="T295" s="19">
        <v>5.44</v>
      </c>
      <c r="U295" s="19">
        <v>5.2130000000000001</v>
      </c>
      <c r="V295" s="19">
        <v>4.82</v>
      </c>
      <c r="W295" s="19">
        <v>5.2888999999999999</v>
      </c>
      <c r="X295" s="19">
        <v>4.82</v>
      </c>
      <c r="Y295" s="19">
        <v>5.2888999999999999</v>
      </c>
      <c r="Z295" s="4"/>
      <c r="AA295" s="4"/>
      <c r="AB295" s="4" t="e">
        <f ca="1">_xll.ciqfunctions.udf.CIQ("^SPX", "IQ_PRICEDATE", "2/24/2015")</f>
        <v>#NAME?</v>
      </c>
      <c r="AC295" s="16">
        <v>2115.4838159563001</v>
      </c>
    </row>
    <row r="296" spans="1:29" x14ac:dyDescent="0.35">
      <c r="A296" s="2" t="s">
        <v>306</v>
      </c>
      <c r="B296" s="4" t="s">
        <v>1267</v>
      </c>
      <c r="C296" s="4" t="s">
        <v>530</v>
      </c>
      <c r="D296" s="4" t="s">
        <v>531</v>
      </c>
      <c r="E296" s="4" t="s">
        <v>569</v>
      </c>
      <c r="F296" s="4" t="s">
        <v>655</v>
      </c>
      <c r="G296" s="14">
        <v>135.04</v>
      </c>
      <c r="H296" s="10">
        <v>9.6127769999999995</v>
      </c>
      <c r="I296" s="10" t="s">
        <v>534</v>
      </c>
      <c r="J296" s="10" t="s">
        <v>534</v>
      </c>
      <c r="K296" s="15">
        <v>1.1552E-2</v>
      </c>
      <c r="L296" s="17">
        <v>26977.071924</v>
      </c>
      <c r="M296" s="4" t="s">
        <v>1268</v>
      </c>
      <c r="N296" s="19">
        <v>-1.8663419999999999</v>
      </c>
      <c r="O296" s="19">
        <v>13.4869</v>
      </c>
      <c r="P296" s="19">
        <v>22.754123</v>
      </c>
      <c r="Q296" s="19">
        <v>12.5558</v>
      </c>
      <c r="R296" s="19">
        <v>9.0365629999999992</v>
      </c>
      <c r="S296" s="19">
        <v>12.116899999999999</v>
      </c>
      <c r="T296" s="19">
        <v>9.0365629999999992</v>
      </c>
      <c r="U296" s="19">
        <v>13.3017</v>
      </c>
      <c r="V296" s="19">
        <v>7.5714709999999998</v>
      </c>
      <c r="W296" s="19">
        <v>11.6843</v>
      </c>
      <c r="X296" s="19">
        <v>7.5714709999999998</v>
      </c>
      <c r="Y296" s="19">
        <v>11.6843</v>
      </c>
      <c r="Z296" s="4"/>
      <c r="AA296" s="4"/>
      <c r="AB296" s="4" t="e">
        <f ca="1">_xll.ciqfunctions.udf.CIQ("^SPX", "IQ_PRICEDATE", "2/25/2015")</f>
        <v>#NAME?</v>
      </c>
      <c r="AC296" s="16">
        <v>2113.8635148128001</v>
      </c>
    </row>
    <row r="297" spans="1:29" x14ac:dyDescent="0.35">
      <c r="A297" s="2" t="s">
        <v>307</v>
      </c>
      <c r="B297" s="4" t="s">
        <v>1269</v>
      </c>
      <c r="C297" s="4" t="s">
        <v>530</v>
      </c>
      <c r="D297" s="4" t="s">
        <v>531</v>
      </c>
      <c r="E297" s="4" t="s">
        <v>532</v>
      </c>
      <c r="F297" s="4" t="s">
        <v>533</v>
      </c>
      <c r="G297" s="14">
        <v>97.29</v>
      </c>
      <c r="H297" s="10">
        <v>15.317556</v>
      </c>
      <c r="I297" s="10">
        <v>41.958820000000003</v>
      </c>
      <c r="J297" s="10" t="s">
        <v>534</v>
      </c>
      <c r="K297" s="15">
        <v>2.0556999999999999E-2</v>
      </c>
      <c r="L297" s="17">
        <v>131391.23396700001</v>
      </c>
      <c r="M297" s="4" t="s">
        <v>1270</v>
      </c>
      <c r="N297" s="19">
        <v>2.318702</v>
      </c>
      <c r="O297" s="19">
        <v>5.2145999999999999</v>
      </c>
      <c r="P297" s="19">
        <v>3.6437590000000002</v>
      </c>
      <c r="Q297" s="19">
        <v>4.9591000000000003</v>
      </c>
      <c r="R297" s="19">
        <v>3.0034299999999998</v>
      </c>
      <c r="S297" s="19">
        <v>4.8093000000000004</v>
      </c>
      <c r="T297" s="19">
        <v>3.0034299999999998</v>
      </c>
      <c r="U297" s="19">
        <v>4.6657000000000002</v>
      </c>
      <c r="V297" s="19">
        <v>2.8895770000000001</v>
      </c>
      <c r="W297" s="19">
        <v>4.2085999999999997</v>
      </c>
      <c r="X297" s="19">
        <v>2.8895770000000001</v>
      </c>
      <c r="Y297" s="19">
        <v>4.2085999999999997</v>
      </c>
      <c r="Z297" s="4"/>
      <c r="AA297" s="4"/>
      <c r="AB297" s="4" t="e">
        <f ca="1">_xll.ciqfunctions.udf.CIQ("^SPX", "IQ_PRICEDATE", "2/26/2015")</f>
        <v>#NAME?</v>
      </c>
      <c r="AC297" s="16">
        <v>2110.7418309157001</v>
      </c>
    </row>
    <row r="298" spans="1:29" x14ac:dyDescent="0.35">
      <c r="A298" s="2" t="s">
        <v>308</v>
      </c>
      <c r="B298" s="4" t="s">
        <v>1271</v>
      </c>
      <c r="C298" s="4" t="s">
        <v>530</v>
      </c>
      <c r="D298" s="4" t="s">
        <v>537</v>
      </c>
      <c r="E298" s="4" t="s">
        <v>613</v>
      </c>
      <c r="F298" s="4" t="s">
        <v>613</v>
      </c>
      <c r="G298" s="14">
        <v>71.819999999999993</v>
      </c>
      <c r="H298" s="10">
        <v>17.355464000000001</v>
      </c>
      <c r="I298" s="10">
        <v>148.119427</v>
      </c>
      <c r="J298" s="10">
        <v>141.313693</v>
      </c>
      <c r="K298" s="15">
        <v>2.6732999999999996E-2</v>
      </c>
      <c r="L298" s="17">
        <v>191007.10783600001</v>
      </c>
      <c r="M298" s="4" t="s">
        <v>1272</v>
      </c>
      <c r="N298" s="19">
        <v>0.484879</v>
      </c>
      <c r="O298" s="19">
        <v>4.4579000000000004</v>
      </c>
      <c r="P298" s="19">
        <v>0.87</v>
      </c>
      <c r="Q298" s="19">
        <v>3.9620000000000002</v>
      </c>
      <c r="R298" s="19">
        <v>1.41</v>
      </c>
      <c r="S298" s="19">
        <v>3.7530999999999999</v>
      </c>
      <c r="T298" s="19">
        <v>1.41</v>
      </c>
      <c r="U298" s="19">
        <v>3.6737000000000002</v>
      </c>
      <c r="V298" s="19">
        <v>4.07</v>
      </c>
      <c r="W298" s="19">
        <v>3.4413</v>
      </c>
      <c r="X298" s="19">
        <v>4.07</v>
      </c>
      <c r="Y298" s="19">
        <v>3.4413</v>
      </c>
      <c r="Z298" s="4"/>
      <c r="AA298" s="4"/>
      <c r="AB298" s="4" t="e">
        <f ca="1">_xll.ciqfunctions.udf.CIQ("^SPX", "IQ_PRICEDATE", "2/27/2015")</f>
        <v>#NAME?</v>
      </c>
      <c r="AC298" s="16">
        <v>2104.5032493243002</v>
      </c>
    </row>
    <row r="299" spans="1:29" x14ac:dyDescent="0.35">
      <c r="A299" s="2" t="s">
        <v>309</v>
      </c>
      <c r="B299" s="4" t="s">
        <v>1273</v>
      </c>
      <c r="C299" s="4" t="s">
        <v>573</v>
      </c>
      <c r="D299" s="4" t="s">
        <v>579</v>
      </c>
      <c r="E299" s="4" t="s">
        <v>579</v>
      </c>
      <c r="F299" s="4" t="s">
        <v>580</v>
      </c>
      <c r="G299" s="14">
        <v>44.66</v>
      </c>
      <c r="H299" s="10">
        <v>21.555149</v>
      </c>
      <c r="I299" s="10">
        <v>8.9880689999999994</v>
      </c>
      <c r="J299" s="10">
        <v>1.0120739999999999</v>
      </c>
      <c r="K299" s="15">
        <v>3.7616999999999998E-2</v>
      </c>
      <c r="L299" s="17">
        <v>44429.462444999997</v>
      </c>
      <c r="M299" s="4" t="s">
        <v>1274</v>
      </c>
      <c r="N299" s="19">
        <v>4.9688090000000003</v>
      </c>
      <c r="O299" s="19">
        <v>5.2276999999999996</v>
      </c>
      <c r="P299" s="19">
        <v>4.53</v>
      </c>
      <c r="Q299" s="19">
        <v>4.5159000000000002</v>
      </c>
      <c r="R299" s="19">
        <v>3.13</v>
      </c>
      <c r="S299" s="19">
        <v>5.3220000000000001</v>
      </c>
      <c r="T299" s="19">
        <v>3.13</v>
      </c>
      <c r="U299" s="19">
        <v>5.7436999999999996</v>
      </c>
      <c r="V299" s="19">
        <v>5.42</v>
      </c>
      <c r="W299" s="19">
        <v>5.76</v>
      </c>
      <c r="X299" s="19">
        <v>5.42</v>
      </c>
      <c r="Y299" s="19">
        <v>5.76</v>
      </c>
      <c r="Z299" s="4"/>
      <c r="AA299" s="4"/>
      <c r="AB299" s="4" t="e">
        <f ca="1">_xll.ciqfunctions.udf.CIQ("^SPX", "IQ_PRICEDATE", "3/2/2015")</f>
        <v>#NAME?</v>
      </c>
      <c r="AC299" s="16">
        <v>2117.3933347360999</v>
      </c>
    </row>
    <row r="300" spans="1:29" x14ac:dyDescent="0.35">
      <c r="A300" s="2" t="s">
        <v>310</v>
      </c>
      <c r="B300" s="4" t="s">
        <v>1275</v>
      </c>
      <c r="C300" s="4" t="s">
        <v>530</v>
      </c>
      <c r="D300" s="4" t="s">
        <v>537</v>
      </c>
      <c r="E300" s="4" t="s">
        <v>583</v>
      </c>
      <c r="F300" s="4" t="s">
        <v>583</v>
      </c>
      <c r="G300" s="14">
        <v>578.69000000000005</v>
      </c>
      <c r="H300" s="10">
        <v>22.263456999999999</v>
      </c>
      <c r="I300" s="10">
        <v>39.119819999999997</v>
      </c>
      <c r="J300" s="10" t="s">
        <v>534</v>
      </c>
      <c r="K300" s="15">
        <v>0</v>
      </c>
      <c r="L300" s="17">
        <v>14590.990125</v>
      </c>
      <c r="M300" s="4" t="s">
        <v>1276</v>
      </c>
      <c r="N300" s="19">
        <v>14.792757</v>
      </c>
      <c r="O300" s="19">
        <v>21.353000000000002</v>
      </c>
      <c r="P300" s="19">
        <v>14.24</v>
      </c>
      <c r="Q300" s="19">
        <v>19.140499999999999</v>
      </c>
      <c r="R300" s="19">
        <v>14.219999</v>
      </c>
      <c r="S300" s="19">
        <v>15.7037</v>
      </c>
      <c r="T300" s="19">
        <v>14.219999</v>
      </c>
      <c r="U300" s="19">
        <v>13.7766</v>
      </c>
      <c r="V300" s="19">
        <v>11.44</v>
      </c>
      <c r="W300" s="19">
        <v>12.564299999999999</v>
      </c>
      <c r="X300" s="19">
        <v>11.44</v>
      </c>
      <c r="Y300" s="19">
        <v>12.564299999999999</v>
      </c>
      <c r="Z300" s="4"/>
      <c r="AA300" s="4"/>
      <c r="AB300" s="4" t="e">
        <f ca="1">_xll.ciqfunctions.udf.CIQ("^SPX", "IQ_PRICEDATE", "3/3/2015")</f>
        <v>#NAME?</v>
      </c>
      <c r="AC300" s="16">
        <v>2107.7784174444</v>
      </c>
    </row>
    <row r="301" spans="1:29" x14ac:dyDescent="0.35">
      <c r="A301" s="2" t="s">
        <v>311</v>
      </c>
      <c r="B301" s="4" t="s">
        <v>1277</v>
      </c>
      <c r="C301" s="4" t="s">
        <v>559</v>
      </c>
      <c r="D301" s="4" t="s">
        <v>798</v>
      </c>
      <c r="E301" s="4" t="s">
        <v>799</v>
      </c>
      <c r="F301" s="4" t="s">
        <v>1278</v>
      </c>
      <c r="G301" s="14">
        <v>27.92</v>
      </c>
      <c r="H301" s="10">
        <v>12.402637</v>
      </c>
      <c r="I301" s="10">
        <v>8.5436420000000002</v>
      </c>
      <c r="J301" s="10">
        <v>11.830769</v>
      </c>
      <c r="K301" s="15">
        <v>1.7191000000000001E-2</v>
      </c>
      <c r="L301" s="17">
        <v>15018.227079</v>
      </c>
      <c r="M301" s="4" t="s">
        <v>1279</v>
      </c>
      <c r="N301" s="19">
        <v>3.2679269999999998</v>
      </c>
      <c r="O301" s="19">
        <v>1.1268</v>
      </c>
      <c r="P301" s="19">
        <v>3.3546499999999999</v>
      </c>
      <c r="Q301" s="19">
        <v>1.236</v>
      </c>
      <c r="R301" s="19">
        <v>1.921033</v>
      </c>
      <c r="S301" s="19">
        <v>1.2794000000000001</v>
      </c>
      <c r="T301" s="19">
        <v>1.921033</v>
      </c>
      <c r="U301" s="19">
        <v>0.57110000000000005</v>
      </c>
      <c r="V301" s="19">
        <v>-0.30601</v>
      </c>
      <c r="W301" s="19">
        <v>0.53300000000000003</v>
      </c>
      <c r="X301" s="19">
        <v>-0.30601</v>
      </c>
      <c r="Y301" s="19">
        <v>0.53300000000000003</v>
      </c>
      <c r="Z301" s="4"/>
      <c r="AA301" s="4"/>
      <c r="AB301" s="4" t="e">
        <f ca="1">_xll.ciqfunctions.udf.CIQ("^SPX", "IQ_PRICEDATE", "3/4/2015")</f>
        <v>#NAME?</v>
      </c>
      <c r="AC301" s="16">
        <v>2098.5330535804001</v>
      </c>
    </row>
    <row r="302" spans="1:29" x14ac:dyDescent="0.35">
      <c r="A302" s="2" t="s">
        <v>312</v>
      </c>
      <c r="B302" s="4" t="s">
        <v>1280</v>
      </c>
      <c r="C302" s="4" t="s">
        <v>559</v>
      </c>
      <c r="D302" s="4" t="s">
        <v>912</v>
      </c>
      <c r="E302" s="4" t="s">
        <v>1097</v>
      </c>
      <c r="F302" s="4" t="s">
        <v>1098</v>
      </c>
      <c r="G302" s="14">
        <v>62.38</v>
      </c>
      <c r="H302" s="10">
        <v>8.4249170000000007</v>
      </c>
      <c r="I302" s="10">
        <v>14.711650000000001</v>
      </c>
      <c r="J302" s="10">
        <v>173.590723</v>
      </c>
      <c r="K302" s="15">
        <v>0</v>
      </c>
      <c r="L302" s="17">
        <v>9305.1369560000003</v>
      </c>
      <c r="M302" s="4" t="s">
        <v>1281</v>
      </c>
      <c r="N302" s="19">
        <v>4.2401770000000001</v>
      </c>
      <c r="O302" s="19">
        <v>5.0564999999999998</v>
      </c>
      <c r="P302" s="19">
        <v>3.3294570000000001</v>
      </c>
      <c r="Q302" s="19">
        <v>3.9893999999999998</v>
      </c>
      <c r="R302" s="19">
        <v>4.3754530000000003</v>
      </c>
      <c r="S302" s="19">
        <v>4.4847999999999999</v>
      </c>
      <c r="T302" s="19">
        <v>4.3754530000000003</v>
      </c>
      <c r="U302" s="19">
        <v>4.3769999999999998</v>
      </c>
      <c r="V302" s="19">
        <v>4.1599360000000001</v>
      </c>
      <c r="W302" s="19">
        <v>4.4702999999999999</v>
      </c>
      <c r="X302" s="19">
        <v>4.1599360000000001</v>
      </c>
      <c r="Y302" s="19">
        <v>4.4702999999999999</v>
      </c>
      <c r="Z302" s="4"/>
      <c r="AA302" s="4"/>
      <c r="AB302" s="4" t="e">
        <f ca="1">_xll.ciqfunctions.udf.CIQ("^SPX", "IQ_PRICEDATE", "3/5/2015")</f>
        <v>#NAME?</v>
      </c>
      <c r="AC302" s="16">
        <v>2101.0420529524999</v>
      </c>
    </row>
    <row r="303" spans="1:29" x14ac:dyDescent="0.35">
      <c r="A303" s="2" t="s">
        <v>313</v>
      </c>
      <c r="B303" s="4" t="s">
        <v>1282</v>
      </c>
      <c r="C303" s="4" t="s">
        <v>543</v>
      </c>
      <c r="D303" s="4" t="s">
        <v>565</v>
      </c>
      <c r="E303" s="4" t="s">
        <v>565</v>
      </c>
      <c r="F303" s="4" t="s">
        <v>566</v>
      </c>
      <c r="G303" s="14">
        <v>69.05</v>
      </c>
      <c r="H303" s="10">
        <v>17.165426</v>
      </c>
      <c r="I303" s="10">
        <v>142.604299</v>
      </c>
      <c r="J303" s="10" t="s">
        <v>534</v>
      </c>
      <c r="K303" s="15">
        <v>2.1086000000000001E-2</v>
      </c>
      <c r="L303" s="17">
        <v>16265.268023000001</v>
      </c>
      <c r="M303" s="4" t="s">
        <v>1283</v>
      </c>
      <c r="N303" s="19">
        <v>0.484207</v>
      </c>
      <c r="O303" s="19">
        <v>6.9287000000000001</v>
      </c>
      <c r="P303" s="19">
        <v>1.0271079999999999</v>
      </c>
      <c r="Q303" s="19">
        <v>5.6483999999999996</v>
      </c>
      <c r="R303" s="19">
        <v>0.43665500000000002</v>
      </c>
      <c r="S303" s="19">
        <v>3.8492999999999999</v>
      </c>
      <c r="T303" s="19">
        <v>0.43665500000000002</v>
      </c>
      <c r="U303" s="19">
        <v>2.7298</v>
      </c>
      <c r="V303" s="19">
        <v>1.7077009999999999</v>
      </c>
      <c r="W303" s="19">
        <v>2.6915</v>
      </c>
      <c r="X303" s="19">
        <v>1.7077009999999999</v>
      </c>
      <c r="Y303" s="19">
        <v>2.6915</v>
      </c>
      <c r="Z303" s="4"/>
      <c r="AA303" s="4"/>
      <c r="AB303" s="4" t="e">
        <f ca="1">_xll.ciqfunctions.udf.CIQ("^SPX", "IQ_PRICEDATE", "3/6/2015")</f>
        <v>#NAME?</v>
      </c>
      <c r="AC303" s="16">
        <v>2071.2621063056999</v>
      </c>
    </row>
    <row r="304" spans="1:29" x14ac:dyDescent="0.35">
      <c r="A304" s="2" t="s">
        <v>314</v>
      </c>
      <c r="B304" s="4" t="s">
        <v>1284</v>
      </c>
      <c r="C304" s="4" t="s">
        <v>543</v>
      </c>
      <c r="D304" s="4" t="s">
        <v>565</v>
      </c>
      <c r="E304" s="4" t="s">
        <v>565</v>
      </c>
      <c r="F304" s="4" t="s">
        <v>566</v>
      </c>
      <c r="G304" s="14">
        <v>42.35</v>
      </c>
      <c r="H304" s="10">
        <v>2.3795829999999998</v>
      </c>
      <c r="I304" s="10">
        <v>3.6794090000000002</v>
      </c>
      <c r="J304" s="10">
        <v>1.5997509999999999</v>
      </c>
      <c r="K304" s="15">
        <v>0</v>
      </c>
      <c r="L304" s="17">
        <v>48035.715130999997</v>
      </c>
      <c r="M304" s="4" t="s">
        <v>1285</v>
      </c>
      <c r="N304" s="19">
        <v>11.51</v>
      </c>
      <c r="O304" s="19">
        <v>10.607049999999999</v>
      </c>
      <c r="P304" s="19">
        <v>6.3977510000000004</v>
      </c>
      <c r="Q304" s="19">
        <v>9.7083999999999993</v>
      </c>
      <c r="R304" s="19">
        <v>-0.30013000000000001</v>
      </c>
      <c r="S304" s="19">
        <v>2.7976000000000001</v>
      </c>
      <c r="T304" s="19">
        <v>-0.30013000000000001</v>
      </c>
      <c r="U304" s="19">
        <v>0.56930000000000003</v>
      </c>
      <c r="V304" s="19">
        <v>3.0776029999999999</v>
      </c>
      <c r="W304" s="19">
        <v>3.7490700000000001</v>
      </c>
      <c r="X304" s="19">
        <v>3.0776029999999999</v>
      </c>
      <c r="Y304" s="19">
        <v>3.7490700000000001</v>
      </c>
      <c r="Z304" s="4"/>
      <c r="AA304" s="4"/>
      <c r="AB304" s="4" t="e">
        <f ca="1">_xll.ciqfunctions.udf.CIQ("^SPX", "IQ_PRICEDATE", "3/9/2015")</f>
        <v>#NAME?</v>
      </c>
      <c r="AC304" s="16">
        <v>2079.4254666122001</v>
      </c>
    </row>
    <row r="305" spans="1:29" x14ac:dyDescent="0.35">
      <c r="A305" s="2" t="s">
        <v>315</v>
      </c>
      <c r="B305" s="4" t="s">
        <v>1286</v>
      </c>
      <c r="C305" s="4" t="s">
        <v>543</v>
      </c>
      <c r="D305" s="4" t="s">
        <v>544</v>
      </c>
      <c r="E305" s="4" t="s">
        <v>555</v>
      </c>
      <c r="F305" s="4" t="s">
        <v>782</v>
      </c>
      <c r="G305" s="14">
        <v>110.71</v>
      </c>
      <c r="H305" s="10">
        <v>17.879272</v>
      </c>
      <c r="I305" s="10">
        <v>51.976525000000002</v>
      </c>
      <c r="J305" s="10">
        <v>21.802903000000001</v>
      </c>
      <c r="K305" s="15">
        <v>1.6618999999999998E-2</v>
      </c>
      <c r="L305" s="17">
        <v>849977.32351799996</v>
      </c>
      <c r="M305" s="4" t="s">
        <v>1287</v>
      </c>
      <c r="N305" s="19">
        <v>2.13</v>
      </c>
      <c r="O305" s="19">
        <v>4.2925899999999997</v>
      </c>
      <c r="P305" s="19">
        <v>1.2299960000000001</v>
      </c>
      <c r="Q305" s="19">
        <v>3.4314</v>
      </c>
      <c r="R305" s="19">
        <v>2.383178</v>
      </c>
      <c r="S305" s="19">
        <v>2.9746999999999999</v>
      </c>
      <c r="T305" s="19">
        <v>2.383178</v>
      </c>
      <c r="U305" s="19">
        <v>2.7997000000000001</v>
      </c>
      <c r="V305" s="19">
        <v>2.4794459999999998</v>
      </c>
      <c r="W305" s="19">
        <v>2.8952</v>
      </c>
      <c r="X305" s="19">
        <v>2.4794459999999998</v>
      </c>
      <c r="Y305" s="19">
        <v>2.8952</v>
      </c>
      <c r="Z305" s="4"/>
      <c r="AA305" s="4"/>
      <c r="AB305" s="4" t="e">
        <f ca="1">_xll.ciqfunctions.udf.CIQ("^SPX", "IQ_PRICEDATE", "3/10/2015")</f>
        <v>#NAME?</v>
      </c>
      <c r="AC305" s="16">
        <v>2044.1626309388</v>
      </c>
    </row>
    <row r="306" spans="1:29" x14ac:dyDescent="0.35">
      <c r="A306" s="2" t="s">
        <v>316</v>
      </c>
      <c r="B306" s="4" t="s">
        <v>1288</v>
      </c>
      <c r="C306" s="4" t="s">
        <v>601</v>
      </c>
      <c r="D306" s="4" t="s">
        <v>601</v>
      </c>
      <c r="E306" s="4" t="s">
        <v>602</v>
      </c>
      <c r="F306" s="4" t="s">
        <v>685</v>
      </c>
      <c r="G306" s="14">
        <v>98.11</v>
      </c>
      <c r="H306" s="10">
        <v>18.067543000000001</v>
      </c>
      <c r="I306" s="10">
        <v>32.507334999999998</v>
      </c>
      <c r="J306" s="10">
        <v>1.7858449999999999</v>
      </c>
      <c r="K306" s="15">
        <v>3.7610000000000005E-2</v>
      </c>
      <c r="L306" s="17">
        <v>11165.894587000001</v>
      </c>
      <c r="M306" s="4" t="s">
        <v>1289</v>
      </c>
      <c r="N306" s="19">
        <v>3.0180880000000001</v>
      </c>
      <c r="O306" s="19">
        <v>1.9883</v>
      </c>
      <c r="P306" s="19">
        <v>2.8560080000000001</v>
      </c>
      <c r="Q306" s="19">
        <v>2.0318999999999998</v>
      </c>
      <c r="R306" s="19">
        <v>2.689276</v>
      </c>
      <c r="S306" s="19">
        <v>1.895</v>
      </c>
      <c r="T306" s="19">
        <v>2.689276</v>
      </c>
      <c r="U306" s="19">
        <v>2.1225000000000001</v>
      </c>
      <c r="V306" s="19">
        <v>1.8986019999999999</v>
      </c>
      <c r="W306" s="19">
        <v>1.885</v>
      </c>
      <c r="X306" s="19">
        <v>1.8986019999999999</v>
      </c>
      <c r="Y306" s="19">
        <v>1.885</v>
      </c>
      <c r="Z306" s="4"/>
      <c r="AA306" s="4"/>
      <c r="AB306" s="4" t="e">
        <f ca="1">_xll.ciqfunctions.udf.CIQ("^SPX", "IQ_PRICEDATE", "3/11/2015")</f>
        <v>#NAME?</v>
      </c>
      <c r="AC306" s="16">
        <v>2040.2351976913999</v>
      </c>
    </row>
    <row r="307" spans="1:29" x14ac:dyDescent="0.35">
      <c r="A307" s="2" t="s">
        <v>317</v>
      </c>
      <c r="B307" s="4" t="s">
        <v>1290</v>
      </c>
      <c r="C307" s="4" t="s">
        <v>559</v>
      </c>
      <c r="D307" s="4" t="s">
        <v>912</v>
      </c>
      <c r="E307" s="4" t="s">
        <v>913</v>
      </c>
      <c r="F307" s="4" t="s">
        <v>1222</v>
      </c>
      <c r="G307" s="14">
        <v>155.94999999999999</v>
      </c>
      <c r="H307" s="10">
        <v>7.5434130000000001</v>
      </c>
      <c r="I307" s="10">
        <v>12.762679</v>
      </c>
      <c r="J307" s="10">
        <v>2.8655789999999999</v>
      </c>
      <c r="K307" s="15">
        <v>0</v>
      </c>
      <c r="L307" s="17">
        <v>11634.320851</v>
      </c>
      <c r="M307" s="4" t="s">
        <v>1291</v>
      </c>
      <c r="N307" s="19">
        <v>12.219220999999999</v>
      </c>
      <c r="O307" s="19">
        <v>14.0388</v>
      </c>
      <c r="P307" s="19">
        <v>12.98</v>
      </c>
      <c r="Q307" s="19">
        <v>14.451700000000001</v>
      </c>
      <c r="R307" s="19">
        <v>12.48</v>
      </c>
      <c r="S307" s="19">
        <v>13.2964</v>
      </c>
      <c r="T307" s="19">
        <v>12.48</v>
      </c>
      <c r="U307" s="19">
        <v>11.652699999999999</v>
      </c>
      <c r="V307" s="19">
        <v>7.25</v>
      </c>
      <c r="W307" s="19">
        <v>9.0420999999999996</v>
      </c>
      <c r="X307" s="19">
        <v>7.25</v>
      </c>
      <c r="Y307" s="19">
        <v>9.0420999999999996</v>
      </c>
      <c r="Z307" s="4"/>
      <c r="AA307" s="4"/>
      <c r="AB307" s="4" t="e">
        <f ca="1">_xll.ciqfunctions.udf.CIQ("^SPX", "IQ_PRICEDATE", "3/12/2015")</f>
        <v>#NAME?</v>
      </c>
      <c r="AC307" s="16">
        <v>2065.9542896005</v>
      </c>
    </row>
    <row r="308" spans="1:29" x14ac:dyDescent="0.35">
      <c r="A308" s="2" t="s">
        <v>318</v>
      </c>
      <c r="B308" s="4" t="s">
        <v>1292</v>
      </c>
      <c r="C308" s="4" t="s">
        <v>626</v>
      </c>
      <c r="D308" s="4" t="s">
        <v>627</v>
      </c>
      <c r="E308" s="4" t="s">
        <v>775</v>
      </c>
      <c r="F308" s="4" t="s">
        <v>1293</v>
      </c>
      <c r="G308" s="14">
        <v>59.57</v>
      </c>
      <c r="H308" s="10">
        <v>9.5026679999999999</v>
      </c>
      <c r="I308" s="10">
        <v>8.1947489999999998</v>
      </c>
      <c r="J308" s="10" t="s">
        <v>534</v>
      </c>
      <c r="K308" s="15">
        <v>2.7530000000000002E-2</v>
      </c>
      <c r="L308" s="17">
        <v>12872.404688000001</v>
      </c>
      <c r="M308" s="4" t="s">
        <v>1294</v>
      </c>
      <c r="N308" s="19">
        <v>7.2692889999999997</v>
      </c>
      <c r="O308" s="19">
        <v>4.9176000000000002</v>
      </c>
      <c r="P308" s="19">
        <v>6.52</v>
      </c>
      <c r="Q308" s="19">
        <v>4.7706999999999997</v>
      </c>
      <c r="R308" s="19">
        <v>9.35</v>
      </c>
      <c r="S308" s="19">
        <v>5.3032000000000004</v>
      </c>
      <c r="T308" s="19">
        <v>9.35</v>
      </c>
      <c r="U308" s="19">
        <v>3.8633000000000002</v>
      </c>
      <c r="V308" s="19">
        <v>2.76</v>
      </c>
      <c r="W308" s="19">
        <v>4.2073999999999998</v>
      </c>
      <c r="X308" s="19">
        <v>2.76</v>
      </c>
      <c r="Y308" s="19">
        <v>4.2073999999999998</v>
      </c>
      <c r="Z308" s="4"/>
      <c r="AA308" s="4"/>
      <c r="AB308" s="4" t="e">
        <f ca="1">_xll.ciqfunctions.udf.CIQ("^SPX", "IQ_PRICEDATE", "3/13/2015")</f>
        <v>#NAME?</v>
      </c>
      <c r="AC308" s="16">
        <v>2053.3982557016998</v>
      </c>
    </row>
    <row r="309" spans="1:29" x14ac:dyDescent="0.35">
      <c r="A309" s="2" t="s">
        <v>319</v>
      </c>
      <c r="B309" s="4" t="s">
        <v>1295</v>
      </c>
      <c r="C309" s="4" t="s">
        <v>626</v>
      </c>
      <c r="D309" s="4" t="s">
        <v>627</v>
      </c>
      <c r="E309" s="4" t="s">
        <v>699</v>
      </c>
      <c r="F309" s="4" t="s">
        <v>789</v>
      </c>
      <c r="G309" s="14">
        <v>41.16</v>
      </c>
      <c r="H309" s="10">
        <v>14.952602000000001</v>
      </c>
      <c r="I309" s="10">
        <v>20.312253999999999</v>
      </c>
      <c r="J309" s="10" t="s">
        <v>534</v>
      </c>
      <c r="K309" s="15">
        <v>2.5266999999999998E-2</v>
      </c>
      <c r="L309" s="17">
        <v>60363.650718999997</v>
      </c>
      <c r="M309" s="4" t="s">
        <v>1296</v>
      </c>
      <c r="N309" s="19">
        <v>2.0263629999999999</v>
      </c>
      <c r="O309" s="19">
        <v>2.4335</v>
      </c>
      <c r="P309" s="19">
        <v>1.91</v>
      </c>
      <c r="Q309" s="19">
        <v>2.3098000000000001</v>
      </c>
      <c r="R309" s="19">
        <v>1.05</v>
      </c>
      <c r="S309" s="19">
        <v>2.0310999999999999</v>
      </c>
      <c r="T309" s="19">
        <v>1.05</v>
      </c>
      <c r="U309" s="19">
        <v>1.927</v>
      </c>
      <c r="V309" s="19">
        <v>1.28</v>
      </c>
      <c r="W309" s="19">
        <v>1.7676000000000001</v>
      </c>
      <c r="X309" s="19">
        <v>1.28</v>
      </c>
      <c r="Y309" s="19">
        <v>1.7676000000000001</v>
      </c>
      <c r="Z309" s="4"/>
      <c r="AA309" s="4"/>
      <c r="AB309" s="4" t="e">
        <f ca="1">_xll.ciqfunctions.udf.CIQ("^SPX", "IQ_PRICEDATE", "3/16/2015")</f>
        <v>#NAME?</v>
      </c>
      <c r="AC309" s="16">
        <v>2081.1927519049</v>
      </c>
    </row>
    <row r="310" spans="1:29" x14ac:dyDescent="0.35">
      <c r="A310" s="2" t="s">
        <v>320</v>
      </c>
      <c r="B310" s="4" t="s">
        <v>1297</v>
      </c>
      <c r="C310" s="4" t="s">
        <v>626</v>
      </c>
      <c r="D310" s="4" t="s">
        <v>627</v>
      </c>
      <c r="E310" s="4" t="s">
        <v>775</v>
      </c>
      <c r="F310" s="4" t="s">
        <v>1298</v>
      </c>
      <c r="G310" s="14">
        <v>52.63</v>
      </c>
      <c r="H310" s="10">
        <v>21.630203999999999</v>
      </c>
      <c r="I310" s="10">
        <v>33.323265999999997</v>
      </c>
      <c r="J310" s="10">
        <v>23.560040999999998</v>
      </c>
      <c r="K310" s="15">
        <v>0</v>
      </c>
      <c r="L310" s="17">
        <v>29079.292332000001</v>
      </c>
      <c r="M310" s="4" t="s">
        <v>1299</v>
      </c>
      <c r="N310" s="19">
        <v>1.579377</v>
      </c>
      <c r="O310" s="19">
        <v>1.8596999999999999</v>
      </c>
      <c r="P310" s="19">
        <v>1.42</v>
      </c>
      <c r="Q310" s="19">
        <v>1.6449</v>
      </c>
      <c r="R310" s="19">
        <v>1.19</v>
      </c>
      <c r="S310" s="19">
        <v>1.4362999999999999</v>
      </c>
      <c r="T310" s="19">
        <v>1.19</v>
      </c>
      <c r="U310" s="19">
        <v>1.2426999999999999</v>
      </c>
      <c r="V310" s="19">
        <v>0.92</v>
      </c>
      <c r="W310" s="19">
        <v>1.0047999999999999</v>
      </c>
      <c r="X310" s="19">
        <v>0.92</v>
      </c>
      <c r="Y310" s="19">
        <v>1.0047999999999999</v>
      </c>
      <c r="Z310" s="4"/>
      <c r="AA310" s="4"/>
      <c r="AB310" s="4" t="e">
        <f ca="1">_xll.ciqfunctions.udf.CIQ("^SPX", "IQ_PRICEDATE", "3/17/2015")</f>
        <v>#NAME?</v>
      </c>
      <c r="AC310" s="16">
        <v>2074.2764352814002</v>
      </c>
    </row>
    <row r="311" spans="1:29" x14ac:dyDescent="0.35">
      <c r="A311" s="2" t="s">
        <v>321</v>
      </c>
      <c r="B311" s="4" t="s">
        <v>1300</v>
      </c>
      <c r="C311" s="4" t="s">
        <v>573</v>
      </c>
      <c r="D311" s="4" t="s">
        <v>574</v>
      </c>
      <c r="E311" s="4" t="s">
        <v>575</v>
      </c>
      <c r="F311" s="4" t="s">
        <v>807</v>
      </c>
      <c r="G311" s="14">
        <v>161.83000000000001</v>
      </c>
      <c r="H311" s="10">
        <v>16.366043000000001</v>
      </c>
      <c r="I311" s="10">
        <v>28.836867999999999</v>
      </c>
      <c r="J311" s="10" t="s">
        <v>534</v>
      </c>
      <c r="K311" s="15">
        <v>1.0874999999999999E-2</v>
      </c>
      <c r="L311" s="17">
        <v>31055.177</v>
      </c>
      <c r="M311" s="4" t="s">
        <v>1301</v>
      </c>
      <c r="N311" s="19">
        <v>5.6119130000000004</v>
      </c>
      <c r="O311" s="19">
        <v>7.9436</v>
      </c>
      <c r="P311" s="19">
        <v>5.15</v>
      </c>
      <c r="Q311" s="19">
        <v>6.2826000000000004</v>
      </c>
      <c r="R311" s="19">
        <v>1.36</v>
      </c>
      <c r="S311" s="19">
        <v>4.9725999999999999</v>
      </c>
      <c r="T311" s="19">
        <v>1.36</v>
      </c>
      <c r="U311" s="19">
        <v>4.9287000000000001</v>
      </c>
      <c r="V311" s="19">
        <v>4.6100000000000003</v>
      </c>
      <c r="W311" s="19">
        <v>4.4413999999999998</v>
      </c>
      <c r="X311" s="19">
        <v>4.6100000000000003</v>
      </c>
      <c r="Y311" s="19">
        <v>4.4413999999999998</v>
      </c>
      <c r="Z311" s="4"/>
      <c r="AA311" s="4"/>
      <c r="AB311" s="4" t="e">
        <f ca="1">_xll.ciqfunctions.udf.CIQ("^SPX", "IQ_PRICEDATE", "3/18/2015")</f>
        <v>#NAME?</v>
      </c>
      <c r="AC311" s="16">
        <v>2099.5007136298</v>
      </c>
    </row>
    <row r="312" spans="1:29" x14ac:dyDescent="0.35">
      <c r="A312" s="2" t="s">
        <v>322</v>
      </c>
      <c r="B312" s="4" t="s">
        <v>1302</v>
      </c>
      <c r="C312" s="4" t="s">
        <v>573</v>
      </c>
      <c r="D312" s="4" t="s">
        <v>574</v>
      </c>
      <c r="E312" s="4" t="s">
        <v>575</v>
      </c>
      <c r="F312" s="4" t="s">
        <v>963</v>
      </c>
      <c r="G312" s="14">
        <v>47.19</v>
      </c>
      <c r="H312" s="10">
        <v>0</v>
      </c>
      <c r="I312" s="10">
        <v>11.312206</v>
      </c>
      <c r="J312" s="10">
        <v>1.341121</v>
      </c>
      <c r="K312" s="15">
        <v>2.5429E-2</v>
      </c>
      <c r="L312" s="17">
        <v>80223</v>
      </c>
      <c r="M312" s="4" t="s">
        <v>1303</v>
      </c>
      <c r="N312" s="19">
        <v>4.1715999999999998</v>
      </c>
      <c r="O312" s="19">
        <v>4.7832999999999997</v>
      </c>
      <c r="P312" s="19">
        <v>3.08</v>
      </c>
      <c r="Q312" s="19">
        <v>3.9678</v>
      </c>
      <c r="R312" s="19">
        <v>2.92</v>
      </c>
      <c r="S312" s="19">
        <v>3.2086999999999999</v>
      </c>
      <c r="T312" s="19">
        <v>2.92</v>
      </c>
      <c r="U312" s="19">
        <v>2.9138999999999999</v>
      </c>
      <c r="V312" s="19">
        <v>1.61</v>
      </c>
      <c r="W312" s="19">
        <v>2.8113999999999999</v>
      </c>
      <c r="X312" s="19">
        <v>1.61</v>
      </c>
      <c r="Y312" s="19">
        <v>2.8113999999999999</v>
      </c>
      <c r="Z312" s="4"/>
      <c r="AA312" s="4"/>
      <c r="AB312" s="4" t="e">
        <f ca="1">_xll.ciqfunctions.udf.CIQ("^SPX", "IQ_PRICEDATE", "3/19/2015")</f>
        <v>#NAME?</v>
      </c>
      <c r="AC312" s="16">
        <v>2089.274370696</v>
      </c>
    </row>
    <row r="313" spans="1:29" x14ac:dyDescent="0.35">
      <c r="A313" s="2" t="s">
        <v>323</v>
      </c>
      <c r="B313" s="4" t="s">
        <v>1304</v>
      </c>
      <c r="C313" s="4" t="s">
        <v>543</v>
      </c>
      <c r="D313" s="4" t="s">
        <v>664</v>
      </c>
      <c r="E313" s="4" t="s">
        <v>706</v>
      </c>
      <c r="F313" s="4" t="s">
        <v>706</v>
      </c>
      <c r="G313" s="14">
        <v>123.56</v>
      </c>
      <c r="H313" s="10">
        <v>14.005463000000001</v>
      </c>
      <c r="I313" s="10" t="s">
        <v>534</v>
      </c>
      <c r="J313" s="10" t="s">
        <v>534</v>
      </c>
      <c r="K313" s="15">
        <v>1.6833000000000001E-2</v>
      </c>
      <c r="L313" s="17">
        <v>20049.685932</v>
      </c>
      <c r="M313" s="4" t="s">
        <v>1305</v>
      </c>
      <c r="N313" s="19">
        <v>-0.41529899999999997</v>
      </c>
      <c r="O313" s="19">
        <v>7.0298999999999996</v>
      </c>
      <c r="P313" s="19">
        <v>-0.95150299999999999</v>
      </c>
      <c r="Q313" s="19">
        <v>5.5968999999999998</v>
      </c>
      <c r="R313" s="19">
        <v>3.24</v>
      </c>
      <c r="S313" s="19">
        <v>4.9733000000000001</v>
      </c>
      <c r="T313" s="19">
        <v>3.24</v>
      </c>
      <c r="U313" s="19">
        <v>3.8220999999999998</v>
      </c>
      <c r="V313" s="19">
        <v>-2.84</v>
      </c>
      <c r="W313" s="19">
        <v>3.1013999999999999</v>
      </c>
      <c r="X313" s="19">
        <v>-2.84</v>
      </c>
      <c r="Y313" s="19">
        <v>3.1013999999999999</v>
      </c>
      <c r="Z313" s="4"/>
      <c r="AA313" s="4"/>
      <c r="AB313" s="4" t="e">
        <f ca="1">_xll.ciqfunctions.udf.CIQ("^SPX", "IQ_PRICEDATE", "3/20/2015")</f>
        <v>#NAME?</v>
      </c>
      <c r="AC313" s="16">
        <v>2108.0973212684999</v>
      </c>
    </row>
    <row r="314" spans="1:29" x14ac:dyDescent="0.35">
      <c r="A314" s="2" t="s">
        <v>324</v>
      </c>
      <c r="B314" s="4" t="s">
        <v>1306</v>
      </c>
      <c r="C314" s="4" t="s">
        <v>573</v>
      </c>
      <c r="D314" s="4" t="s">
        <v>574</v>
      </c>
      <c r="E314" s="4" t="s">
        <v>575</v>
      </c>
      <c r="F314" s="4" t="s">
        <v>807</v>
      </c>
      <c r="G314" s="14">
        <v>157.28</v>
      </c>
      <c r="H314" s="10">
        <v>20.900062999999999</v>
      </c>
      <c r="I314" s="10">
        <v>37.901049999999998</v>
      </c>
      <c r="J314" s="10" t="s">
        <v>534</v>
      </c>
      <c r="K314" s="15">
        <v>1.4750000000000001E-2</v>
      </c>
      <c r="L314" s="17">
        <v>13971.638354999999</v>
      </c>
      <c r="M314" s="4" t="s">
        <v>1307</v>
      </c>
      <c r="N314" s="19">
        <v>4.1497529999999996</v>
      </c>
      <c r="O314" s="19">
        <v>5.5590999999999999</v>
      </c>
      <c r="P314" s="19">
        <v>3.31</v>
      </c>
      <c r="Q314" s="19">
        <v>4.3346</v>
      </c>
      <c r="R314" s="19">
        <v>2.7</v>
      </c>
      <c r="S314" s="19">
        <v>3.2816999999999998</v>
      </c>
      <c r="T314" s="19">
        <v>2.7</v>
      </c>
      <c r="U314" s="19">
        <v>2.6101000000000001</v>
      </c>
      <c r="V314" s="19">
        <v>1.7</v>
      </c>
      <c r="W314" s="19">
        <v>2.0375000000000001</v>
      </c>
      <c r="X314" s="19">
        <v>1.7</v>
      </c>
      <c r="Y314" s="19">
        <v>2.0375000000000001</v>
      </c>
      <c r="Z314" s="4"/>
      <c r="AA314" s="4"/>
      <c r="AB314" s="4" t="e">
        <f ca="1">_xll.ciqfunctions.udf.CIQ("^SPX", "IQ_PRICEDATE", "3/23/2015")</f>
        <v>#NAME?</v>
      </c>
      <c r="AC314" s="16">
        <v>2104.4201169500998</v>
      </c>
    </row>
    <row r="315" spans="1:29" x14ac:dyDescent="0.35">
      <c r="A315" s="2" t="s">
        <v>325</v>
      </c>
      <c r="B315" s="4" t="s">
        <v>1308</v>
      </c>
      <c r="C315" s="4" t="s">
        <v>530</v>
      </c>
      <c r="D315" s="4" t="s">
        <v>537</v>
      </c>
      <c r="E315" s="4" t="s">
        <v>613</v>
      </c>
      <c r="F315" s="4" t="s">
        <v>613</v>
      </c>
      <c r="G315" s="14">
        <v>33.020000000000003</v>
      </c>
      <c r="H315" s="10">
        <v>9.0554609999999993</v>
      </c>
      <c r="I315" s="10">
        <v>38.080475999999997</v>
      </c>
      <c r="J315" s="10" t="s">
        <v>534</v>
      </c>
      <c r="K315" s="15">
        <v>0</v>
      </c>
      <c r="L315" s="17">
        <v>17024.030727000001</v>
      </c>
      <c r="M315" s="4" t="s">
        <v>1309</v>
      </c>
      <c r="N315" s="19">
        <v>0.86711099999999997</v>
      </c>
      <c r="O315" s="19">
        <v>4.9622000000000002</v>
      </c>
      <c r="P315" s="19">
        <v>1.3</v>
      </c>
      <c r="Q315" s="19">
        <v>5.2491000000000003</v>
      </c>
      <c r="R315" s="19">
        <v>0.92</v>
      </c>
      <c r="S315" s="19">
        <v>5.3051000000000004</v>
      </c>
      <c r="T315" s="19">
        <v>0.92</v>
      </c>
      <c r="U315" s="19">
        <v>4.8670999999999998</v>
      </c>
      <c r="V315" s="19">
        <v>2.34</v>
      </c>
      <c r="W315" s="19">
        <v>4.0833000000000004</v>
      </c>
      <c r="X315" s="19">
        <v>2.34</v>
      </c>
      <c r="Y315" s="19">
        <v>4.0833000000000004</v>
      </c>
      <c r="Z315" s="4"/>
      <c r="AA315" s="4"/>
      <c r="AB315" s="4" t="e">
        <f ca="1">_xll.ciqfunctions.udf.CIQ("^SPX", "IQ_PRICEDATE", "3/24/2015")</f>
        <v>#NAME?</v>
      </c>
      <c r="AC315" s="16">
        <v>2091.5017884394001</v>
      </c>
    </row>
    <row r="316" spans="1:29" x14ac:dyDescent="0.35">
      <c r="A316" s="2" t="s">
        <v>326</v>
      </c>
      <c r="B316" s="4" t="s">
        <v>1310</v>
      </c>
      <c r="C316" s="4" t="s">
        <v>573</v>
      </c>
      <c r="D316" s="4" t="s">
        <v>574</v>
      </c>
      <c r="E316" s="4" t="s">
        <v>575</v>
      </c>
      <c r="F316" s="4" t="s">
        <v>807</v>
      </c>
      <c r="G316" s="14">
        <v>80.63</v>
      </c>
      <c r="H316" s="10">
        <v>12.503247999999999</v>
      </c>
      <c r="I316" s="10">
        <v>17.912168999999999</v>
      </c>
      <c r="J316" s="10" t="s">
        <v>534</v>
      </c>
      <c r="K316" s="15">
        <v>2.1828E-2</v>
      </c>
      <c r="L316" s="17">
        <v>13264.320919</v>
      </c>
      <c r="M316" s="4" t="s">
        <v>1311</v>
      </c>
      <c r="N316" s="19">
        <v>4.5014089999999998</v>
      </c>
      <c r="O316" s="19">
        <v>4.9147999999999996</v>
      </c>
      <c r="P316" s="19">
        <v>4.3299989999999999</v>
      </c>
      <c r="Q316" s="19">
        <v>4.2944000000000004</v>
      </c>
      <c r="R316" s="19">
        <v>0.63999899999999998</v>
      </c>
      <c r="S316" s="19">
        <v>4.0232999999999999</v>
      </c>
      <c r="T316" s="19">
        <v>0.63999899999999998</v>
      </c>
      <c r="U316" s="19">
        <v>3.657</v>
      </c>
      <c r="V316" s="19">
        <v>2.389999</v>
      </c>
      <c r="W316" s="19">
        <v>3.1396000000000002</v>
      </c>
      <c r="X316" s="19">
        <v>2.389999</v>
      </c>
      <c r="Y316" s="19">
        <v>3.1396000000000002</v>
      </c>
      <c r="Z316" s="4"/>
      <c r="AA316" s="4"/>
      <c r="AB316" s="4" t="e">
        <f ca="1">_xll.ciqfunctions.udf.CIQ("^SPX", "IQ_PRICEDATE", "3/25/2015")</f>
        <v>#NAME?</v>
      </c>
      <c r="AC316" s="16">
        <v>2061.0474809228999</v>
      </c>
    </row>
    <row r="317" spans="1:29" x14ac:dyDescent="0.35">
      <c r="A317" s="2" t="s">
        <v>327</v>
      </c>
      <c r="B317" s="4" t="s">
        <v>1312</v>
      </c>
      <c r="C317" s="4" t="s">
        <v>669</v>
      </c>
      <c r="D317" s="4" t="s">
        <v>669</v>
      </c>
      <c r="E317" s="4" t="s">
        <v>730</v>
      </c>
      <c r="F317" s="4" t="s">
        <v>731</v>
      </c>
      <c r="G317" s="14">
        <v>41.87</v>
      </c>
      <c r="H317" s="10">
        <v>28.175878999999998</v>
      </c>
      <c r="I317" s="10" t="s">
        <v>534</v>
      </c>
      <c r="J317" s="10">
        <v>3.5943700000000001</v>
      </c>
      <c r="K317" s="15">
        <v>4.7759999999999999E-3</v>
      </c>
      <c r="L317" s="17">
        <v>16020.276706000001</v>
      </c>
      <c r="M317" s="4" t="s">
        <v>1313</v>
      </c>
      <c r="N317" s="19">
        <v>-0.23</v>
      </c>
      <c r="O317" s="19">
        <v>0.66539999999999999</v>
      </c>
      <c r="P317" s="19">
        <v>-0.63</v>
      </c>
      <c r="Q317" s="19">
        <v>9.01E-2</v>
      </c>
      <c r="R317" s="19">
        <v>-6.4148930000000002</v>
      </c>
      <c r="S317" s="19">
        <v>-0.7802</v>
      </c>
      <c r="T317" s="19">
        <v>-6.4148930000000002</v>
      </c>
      <c r="U317" s="19">
        <v>1.5317000000000001</v>
      </c>
      <c r="V317" s="19">
        <v>5.7</v>
      </c>
      <c r="W317" s="19">
        <v>5.9945000000000004</v>
      </c>
      <c r="X317" s="19">
        <v>5.7</v>
      </c>
      <c r="Y317" s="19">
        <v>5.9945000000000004</v>
      </c>
      <c r="Z317" s="4"/>
      <c r="AA317" s="4"/>
      <c r="AB317" s="4" t="e">
        <f ca="1">_xll.ciqfunctions.udf.CIQ("^SPX", "IQ_PRICEDATE", "3/26/2015")</f>
        <v>#NAME?</v>
      </c>
      <c r="AC317" s="16">
        <v>2056.1488082319001</v>
      </c>
    </row>
    <row r="318" spans="1:29" x14ac:dyDescent="0.35">
      <c r="A318" s="2" t="s">
        <v>328</v>
      </c>
      <c r="B318" s="4" t="s">
        <v>1314</v>
      </c>
      <c r="C318" s="4" t="s">
        <v>530</v>
      </c>
      <c r="D318" s="4" t="s">
        <v>537</v>
      </c>
      <c r="E318" s="4" t="s">
        <v>613</v>
      </c>
      <c r="F318" s="4" t="s">
        <v>613</v>
      </c>
      <c r="G318" s="14">
        <v>50.59</v>
      </c>
      <c r="H318" s="10">
        <v>7.4100630000000001</v>
      </c>
      <c r="I318" s="10">
        <v>9.4104489999999998</v>
      </c>
      <c r="J318" s="10">
        <v>4.8895179999999998</v>
      </c>
      <c r="K318" s="15">
        <v>0</v>
      </c>
      <c r="L318" s="17">
        <v>8725.1952259999998</v>
      </c>
      <c r="M318" s="4" t="s">
        <v>1315</v>
      </c>
      <c r="N318" s="19">
        <v>5.3759389999999998</v>
      </c>
      <c r="O318" s="19">
        <v>-2.4963000000000002</v>
      </c>
      <c r="P318" s="19">
        <v>-0.62000699999999997</v>
      </c>
      <c r="Q318" s="19">
        <v>-1.3118000000000001</v>
      </c>
      <c r="R318" s="19">
        <v>-1.0997729999999999</v>
      </c>
      <c r="S318" s="19">
        <v>-0.9375</v>
      </c>
      <c r="T318" s="19">
        <v>-1.0997729999999999</v>
      </c>
      <c r="U318" s="19">
        <v>-1.4531000000000001</v>
      </c>
      <c r="V318" s="19">
        <v>-0.42496</v>
      </c>
      <c r="W318" s="19">
        <v>-0.39600000000000002</v>
      </c>
      <c r="X318" s="19">
        <v>-0.42496</v>
      </c>
      <c r="Y318" s="19">
        <v>-0.39600000000000002</v>
      </c>
      <c r="Z318" s="4"/>
      <c r="AA318" s="4"/>
      <c r="AB318" s="4" t="e">
        <f ca="1">_xll.ciqfunctions.udf.CIQ("^SPX", "IQ_PRICEDATE", "3/27/2015")</f>
        <v>#NAME?</v>
      </c>
      <c r="AC318" s="16">
        <v>2061.0219968101001</v>
      </c>
    </row>
    <row r="319" spans="1:29" x14ac:dyDescent="0.35">
      <c r="A319" s="2" t="s">
        <v>329</v>
      </c>
      <c r="B319" s="4" t="s">
        <v>1316</v>
      </c>
      <c r="C319" s="4" t="s">
        <v>543</v>
      </c>
      <c r="D319" s="4" t="s">
        <v>664</v>
      </c>
      <c r="E319" s="4" t="s">
        <v>688</v>
      </c>
      <c r="F319" s="4" t="s">
        <v>688</v>
      </c>
      <c r="G319" s="14">
        <v>79.069999999999993</v>
      </c>
      <c r="H319" s="10">
        <v>14.533227999999999</v>
      </c>
      <c r="I319" s="10">
        <v>94.492610999999997</v>
      </c>
      <c r="J319" s="10">
        <v>201.55133599999999</v>
      </c>
      <c r="K319" s="15">
        <v>2.0235E-2</v>
      </c>
      <c r="L319" s="17">
        <v>20500.340686</v>
      </c>
      <c r="M319" s="4" t="s">
        <v>1317</v>
      </c>
      <c r="N319" s="19">
        <v>0.836785</v>
      </c>
      <c r="O319" s="19">
        <v>4.4036999999999997</v>
      </c>
      <c r="P319" s="19">
        <v>2.3137349999999999</v>
      </c>
      <c r="Q319" s="19">
        <v>3.5114000000000001</v>
      </c>
      <c r="R319" s="19">
        <v>1.1017729999999999</v>
      </c>
      <c r="S319" s="19">
        <v>2.8216000000000001</v>
      </c>
      <c r="T319" s="19">
        <v>1.1017729999999999</v>
      </c>
      <c r="U319" s="19">
        <v>2.5897000000000001</v>
      </c>
      <c r="V319" s="19">
        <v>1.906989</v>
      </c>
      <c r="W319" s="19">
        <v>3.0823</v>
      </c>
      <c r="X319" s="19">
        <v>1.906989</v>
      </c>
      <c r="Y319" s="19">
        <v>3.0823</v>
      </c>
      <c r="Z319" s="4"/>
      <c r="AA319" s="4"/>
      <c r="AB319" s="4" t="e">
        <f ca="1">_xll.ciqfunctions.udf.CIQ("^SPX", "IQ_PRICEDATE", "3/30/2015")</f>
        <v>#NAME?</v>
      </c>
      <c r="AC319" s="16">
        <v>2086.2373115864998</v>
      </c>
    </row>
    <row r="320" spans="1:29" x14ac:dyDescent="0.35">
      <c r="A320" s="2" t="s">
        <v>330</v>
      </c>
      <c r="B320" s="4" t="s">
        <v>1318</v>
      </c>
      <c r="C320" s="4" t="s">
        <v>549</v>
      </c>
      <c r="D320" s="4" t="s">
        <v>550</v>
      </c>
      <c r="E320" s="4" t="s">
        <v>551</v>
      </c>
      <c r="F320" s="4" t="s">
        <v>1319</v>
      </c>
      <c r="G320" s="14">
        <v>364.7</v>
      </c>
      <c r="H320" s="10">
        <v>95.742203000000003</v>
      </c>
      <c r="I320" s="10">
        <v>130.17440500000001</v>
      </c>
      <c r="J320" s="10" t="s">
        <v>534</v>
      </c>
      <c r="K320" s="15">
        <v>0</v>
      </c>
      <c r="L320" s="17">
        <v>158811.35207399999</v>
      </c>
      <c r="M320" s="4" t="s">
        <v>1320</v>
      </c>
      <c r="N320" s="19">
        <v>2.8016260000000002</v>
      </c>
      <c r="O320" s="19">
        <v>3.3824000000000001</v>
      </c>
      <c r="P320" s="19">
        <v>1.25</v>
      </c>
      <c r="Q320" s="19">
        <v>2.15</v>
      </c>
      <c r="R320" s="19">
        <v>0.43</v>
      </c>
      <c r="S320" s="19">
        <v>0.76919999999999999</v>
      </c>
      <c r="T320" s="19">
        <v>0.43</v>
      </c>
      <c r="U320" s="19">
        <v>0.15329999999999999</v>
      </c>
      <c r="V320" s="19">
        <v>0.62</v>
      </c>
      <c r="W320" s="19">
        <v>0.50800000000000001</v>
      </c>
      <c r="X320" s="19">
        <v>0.62</v>
      </c>
      <c r="Y320" s="19">
        <v>0.50800000000000001</v>
      </c>
      <c r="Z320" s="4"/>
      <c r="AA320" s="4"/>
      <c r="AB320" s="4" t="e">
        <f ca="1">_xll.ciqfunctions.udf.CIQ("^SPX", "IQ_PRICEDATE", "3/31/2015")</f>
        <v>#NAME?</v>
      </c>
      <c r="AC320" s="16">
        <v>2067.8872407585</v>
      </c>
    </row>
    <row r="321" spans="1:29" x14ac:dyDescent="0.35">
      <c r="A321" s="2" t="s">
        <v>331</v>
      </c>
      <c r="B321" s="4" t="s">
        <v>1321</v>
      </c>
      <c r="C321" s="4" t="s">
        <v>559</v>
      </c>
      <c r="D321" s="4" t="s">
        <v>912</v>
      </c>
      <c r="E321" s="4" t="s">
        <v>913</v>
      </c>
      <c r="F321" s="4" t="s">
        <v>1322</v>
      </c>
      <c r="G321" s="14">
        <v>17.75</v>
      </c>
      <c r="H321" s="10">
        <v>8.4282540000000008</v>
      </c>
      <c r="I321" s="10">
        <v>4.2112100000000003</v>
      </c>
      <c r="J321" s="10" t="s">
        <v>534</v>
      </c>
      <c r="K321" s="15">
        <v>5.1830000000000001E-2</v>
      </c>
      <c r="L321" s="17">
        <v>8386.875</v>
      </c>
      <c r="M321" s="4" t="s">
        <v>1323</v>
      </c>
      <c r="N321" s="19">
        <v>4.2149400000000004</v>
      </c>
      <c r="O321" s="19">
        <v>2.1389</v>
      </c>
      <c r="P321" s="19">
        <v>5.63</v>
      </c>
      <c r="Q321" s="19">
        <v>2.8382000000000001</v>
      </c>
      <c r="R321" s="19">
        <v>1.25</v>
      </c>
      <c r="S321" s="19">
        <v>2.7991999999999999</v>
      </c>
      <c r="T321" s="19">
        <v>1.25</v>
      </c>
      <c r="U321" s="19">
        <v>2.3395999999999999</v>
      </c>
      <c r="V321" s="19">
        <v>1.34</v>
      </c>
      <c r="W321" s="19">
        <v>2.1078000000000001</v>
      </c>
      <c r="X321" s="19">
        <v>1.34</v>
      </c>
      <c r="Y321" s="19">
        <v>2.1078000000000001</v>
      </c>
      <c r="Z321" s="4"/>
      <c r="AA321" s="4"/>
      <c r="AB321" s="4" t="e">
        <f ca="1">_xll.ciqfunctions.udf.CIQ("^SPX", "IQ_PRICEDATE", "4/1/2015")</f>
        <v>#NAME?</v>
      </c>
      <c r="AC321" s="16">
        <v>2059.6908719502999</v>
      </c>
    </row>
    <row r="322" spans="1:29" x14ac:dyDescent="0.35">
      <c r="A322" s="2" t="s">
        <v>332</v>
      </c>
      <c r="B322" s="4" t="s">
        <v>1324</v>
      </c>
      <c r="C322" s="4" t="s">
        <v>669</v>
      </c>
      <c r="D322" s="4" t="s">
        <v>669</v>
      </c>
      <c r="E322" s="4" t="s">
        <v>670</v>
      </c>
      <c r="F322" s="4" t="s">
        <v>671</v>
      </c>
      <c r="G322" s="14">
        <v>24.54</v>
      </c>
      <c r="H322" s="10">
        <v>7.1722869999999999</v>
      </c>
      <c r="I322" s="10">
        <v>12.715025000000001</v>
      </c>
      <c r="J322" s="10">
        <v>2.9578380000000002</v>
      </c>
      <c r="K322" s="15">
        <v>0</v>
      </c>
      <c r="L322" s="17">
        <v>4850.9799359999997</v>
      </c>
      <c r="M322" s="4" t="s">
        <v>1325</v>
      </c>
      <c r="N322" s="19">
        <v>1.93</v>
      </c>
      <c r="O322" s="19">
        <v>3.7919</v>
      </c>
      <c r="P322" s="19">
        <v>2.13</v>
      </c>
      <c r="Q322" s="19">
        <v>2.2008000000000001</v>
      </c>
      <c r="R322" s="19">
        <v>-6.3730560000000001</v>
      </c>
      <c r="S322" s="19">
        <v>1.5844</v>
      </c>
      <c r="T322" s="19">
        <v>-6.3730560000000001</v>
      </c>
      <c r="U322" s="19">
        <v>0.38550000000000001</v>
      </c>
      <c r="V322" s="19">
        <v>4.71</v>
      </c>
      <c r="W322" s="19">
        <v>1.8422000000000001</v>
      </c>
      <c r="X322" s="19">
        <v>4.71</v>
      </c>
      <c r="Y322" s="19">
        <v>1.8422000000000001</v>
      </c>
      <c r="Z322" s="4"/>
      <c r="AA322" s="4"/>
      <c r="AB322" s="4" t="e">
        <f ca="1">_xll.ciqfunctions.udf.CIQ("^SPX", "IQ_PRICEDATE", "4/2/2015")</f>
        <v>#NAME?</v>
      </c>
      <c r="AC322" s="16">
        <v>2066.9648541660999</v>
      </c>
    </row>
    <row r="323" spans="1:29" x14ac:dyDescent="0.35">
      <c r="A323" s="2" t="s">
        <v>333</v>
      </c>
      <c r="B323" s="4" t="s">
        <v>1326</v>
      </c>
      <c r="C323" s="4" t="s">
        <v>586</v>
      </c>
      <c r="D323" s="4" t="s">
        <v>586</v>
      </c>
      <c r="E323" s="4" t="s">
        <v>1066</v>
      </c>
      <c r="F323" s="4" t="s">
        <v>1327</v>
      </c>
      <c r="G323" s="14">
        <v>32.11</v>
      </c>
      <c r="H323" s="10">
        <v>6.8900480000000002</v>
      </c>
      <c r="I323" s="10">
        <v>139.18508800000001</v>
      </c>
      <c r="J323" s="10">
        <v>1.5827819999999999</v>
      </c>
      <c r="K323" s="15">
        <v>1.7440000000000001E-2</v>
      </c>
      <c r="L323" s="17">
        <v>17127.433316999999</v>
      </c>
      <c r="M323" s="4" t="s">
        <v>1328</v>
      </c>
      <c r="N323" s="19">
        <v>0.23069999999999999</v>
      </c>
      <c r="O323" s="19">
        <v>1.2717000000000001</v>
      </c>
      <c r="P323" s="19">
        <v>-0.11257</v>
      </c>
      <c r="Q323" s="19">
        <v>1.3714</v>
      </c>
      <c r="R323" s="19">
        <v>-0.41509400000000002</v>
      </c>
      <c r="S323" s="19">
        <v>1.5692999999999999</v>
      </c>
      <c r="T323" s="19">
        <v>-0.41509400000000002</v>
      </c>
      <c r="U323" s="19">
        <v>0.78839999999999999</v>
      </c>
      <c r="V323" s="19">
        <v>1.3</v>
      </c>
      <c r="W323" s="19">
        <v>0.83399999999999996</v>
      </c>
      <c r="X323" s="19">
        <v>1.3</v>
      </c>
      <c r="Y323" s="19">
        <v>0.83399999999999996</v>
      </c>
      <c r="Z323" s="4"/>
      <c r="AA323" s="4"/>
      <c r="AB323" s="4" t="e">
        <f ca="1">_xll.ciqfunctions.udf.CIQ("^SPX", "IQ_PRICEDATE", "4/6/2015")</f>
        <v>#NAME?</v>
      </c>
      <c r="AC323" s="16">
        <v>2080.6177622591999</v>
      </c>
    </row>
    <row r="324" spans="1:29" x14ac:dyDescent="0.35">
      <c r="A324" s="2" t="s">
        <v>334</v>
      </c>
      <c r="B324" s="4" t="s">
        <v>1329</v>
      </c>
      <c r="C324" s="4" t="s">
        <v>549</v>
      </c>
      <c r="D324" s="4" t="s">
        <v>550</v>
      </c>
      <c r="E324" s="4" t="s">
        <v>814</v>
      </c>
      <c r="F324" s="4" t="s">
        <v>1330</v>
      </c>
      <c r="G324" s="14">
        <v>13.51</v>
      </c>
      <c r="H324" s="10" t="s">
        <v>534</v>
      </c>
      <c r="I324" s="10">
        <v>0</v>
      </c>
      <c r="J324" s="10">
        <v>0</v>
      </c>
      <c r="K324" s="15">
        <v>0</v>
      </c>
      <c r="L324" s="17">
        <v>7785.5289599999996</v>
      </c>
      <c r="M324" s="4" t="s">
        <v>1331</v>
      </c>
      <c r="N324" s="19">
        <v>-2.6016810000000001</v>
      </c>
      <c r="O324" s="19">
        <v>0.36312</v>
      </c>
      <c r="P324" s="19">
        <v>-0.77938600000000002</v>
      </c>
      <c r="Q324" s="19">
        <v>0.50560000000000005</v>
      </c>
      <c r="R324" s="19">
        <v>-0.61660300000000001</v>
      </c>
      <c r="S324" s="19">
        <v>0.37619999999999998</v>
      </c>
      <c r="T324" s="19">
        <v>-0.61660300000000001</v>
      </c>
      <c r="U324" s="19">
        <v>0.53839999999999999</v>
      </c>
      <c r="V324" s="19">
        <v>0.52976699999999999</v>
      </c>
      <c r="W324" s="19">
        <v>0.45250000000000001</v>
      </c>
      <c r="X324" s="19">
        <v>0.52976699999999999</v>
      </c>
      <c r="Y324" s="19">
        <v>0.45250000000000001</v>
      </c>
      <c r="Z324" s="4"/>
      <c r="AA324" s="4"/>
      <c r="AB324" s="4" t="e">
        <f ca="1">_xll.ciqfunctions.udf.CIQ("^SPX", "IQ_PRICEDATE", "4/7/2015")</f>
        <v>#NAME?</v>
      </c>
      <c r="AC324" s="16">
        <v>2076.3337338901001</v>
      </c>
    </row>
    <row r="325" spans="1:29" x14ac:dyDescent="0.35">
      <c r="A325" s="2" t="s">
        <v>335</v>
      </c>
      <c r="B325" s="4" t="s">
        <v>1329</v>
      </c>
      <c r="C325" s="4" t="s">
        <v>549</v>
      </c>
      <c r="D325" s="4" t="s">
        <v>550</v>
      </c>
      <c r="E325" s="4" t="s">
        <v>814</v>
      </c>
      <c r="F325" s="4" t="s">
        <v>1330</v>
      </c>
      <c r="G325" s="14">
        <v>13.21</v>
      </c>
      <c r="H325" s="10" t="s">
        <v>534</v>
      </c>
      <c r="I325" s="10" t="s">
        <v>534</v>
      </c>
      <c r="J325" s="10">
        <v>8.1272950000000002</v>
      </c>
      <c r="K325" s="15">
        <v>1.5140000000000001E-2</v>
      </c>
      <c r="L325" s="17">
        <v>7785.5289599999996</v>
      </c>
      <c r="M325" s="4" t="s">
        <v>1331</v>
      </c>
      <c r="N325" s="19">
        <v>-2.6016810000000001</v>
      </c>
      <c r="O325" s="19">
        <v>0.36312</v>
      </c>
      <c r="P325" s="19">
        <v>-0.77938600000000002</v>
      </c>
      <c r="Q325" s="19">
        <v>0.50560000000000005</v>
      </c>
      <c r="R325" s="19">
        <v>-0.61660300000000001</v>
      </c>
      <c r="S325" s="19">
        <v>0.37619999999999998</v>
      </c>
      <c r="T325" s="19">
        <v>-0.61660300000000001</v>
      </c>
      <c r="U325" s="19">
        <v>0.53839999999999999</v>
      </c>
      <c r="V325" s="19">
        <v>0.52976699999999999</v>
      </c>
      <c r="W325" s="19">
        <v>0.51949999999999996</v>
      </c>
      <c r="X325" s="19">
        <v>0.52976699999999999</v>
      </c>
      <c r="Y325" s="19">
        <v>0.51949999999999996</v>
      </c>
      <c r="Z325" s="4"/>
      <c r="AA325" s="4"/>
      <c r="AB325" s="4" t="e">
        <f ca="1">_xll.ciqfunctions.udf.CIQ("^SPX", "IQ_PRICEDATE", "4/8/2015")</f>
        <v>#NAME?</v>
      </c>
      <c r="AC325" s="16">
        <v>2081.9039764783001</v>
      </c>
    </row>
    <row r="326" spans="1:29" x14ac:dyDescent="0.35">
      <c r="A326" s="2" t="s">
        <v>336</v>
      </c>
      <c r="B326" s="4" t="s">
        <v>1332</v>
      </c>
      <c r="C326" s="4" t="s">
        <v>619</v>
      </c>
      <c r="D326" s="4" t="s">
        <v>619</v>
      </c>
      <c r="E326" s="4" t="s">
        <v>620</v>
      </c>
      <c r="F326" s="4" t="s">
        <v>620</v>
      </c>
      <c r="G326" s="14">
        <v>170.82</v>
      </c>
      <c r="H326" s="10">
        <v>13.342378999999999</v>
      </c>
      <c r="I326" s="10">
        <v>9.8845340000000004</v>
      </c>
      <c r="J326" s="10">
        <v>2.4396439999999999</v>
      </c>
      <c r="K326" s="15">
        <v>2.5992000000000001E-2</v>
      </c>
      <c r="L326" s="17">
        <v>80559.512121000007</v>
      </c>
      <c r="M326" s="4" t="s">
        <v>1333</v>
      </c>
      <c r="N326" s="19">
        <v>17.281542999999999</v>
      </c>
      <c r="O326" s="19">
        <v>7.7286000000000001</v>
      </c>
      <c r="P326" s="19">
        <v>11.38</v>
      </c>
      <c r="Q326" s="19">
        <v>6.8398000000000003</v>
      </c>
      <c r="R326" s="19">
        <v>6.25</v>
      </c>
      <c r="S326" s="19">
        <v>6.2187999999999999</v>
      </c>
      <c r="T326" s="19">
        <v>6.25</v>
      </c>
      <c r="U326" s="19">
        <v>5.8682999999999996</v>
      </c>
      <c r="V326" s="19">
        <v>5.6</v>
      </c>
      <c r="W326" s="19">
        <v>5.5164</v>
      </c>
      <c r="X326" s="19">
        <v>5.6</v>
      </c>
      <c r="Y326" s="19">
        <v>5.5164</v>
      </c>
      <c r="Z326" s="4"/>
      <c r="AA326" s="4"/>
      <c r="AB326" s="4" t="e">
        <f ca="1">_xll.ciqfunctions.udf.CIQ("^SPX", "IQ_PRICEDATE", "4/9/2015")</f>
        <v>#NAME?</v>
      </c>
      <c r="AC326" s="16">
        <v>2091.1811724098002</v>
      </c>
    </row>
    <row r="327" spans="1:29" x14ac:dyDescent="0.35">
      <c r="A327" s="2" t="s">
        <v>337</v>
      </c>
      <c r="B327" s="4" t="s">
        <v>1334</v>
      </c>
      <c r="C327" s="4" t="s">
        <v>525</v>
      </c>
      <c r="D327" s="4" t="s">
        <v>855</v>
      </c>
      <c r="E327" s="4" t="s">
        <v>990</v>
      </c>
      <c r="F327" s="4" t="s">
        <v>991</v>
      </c>
      <c r="G327" s="14">
        <v>27.05</v>
      </c>
      <c r="H327" s="10">
        <v>10.911452000000001</v>
      </c>
      <c r="I327" s="10">
        <v>26.00074</v>
      </c>
      <c r="J327" s="10" t="s">
        <v>534</v>
      </c>
      <c r="K327" s="15">
        <v>5.1756000000000003E-2</v>
      </c>
      <c r="L327" s="17">
        <v>9608.3658230000001</v>
      </c>
      <c r="M327" s="4" t="s">
        <v>1335</v>
      </c>
      <c r="N327" s="19">
        <v>1.0403549999999999</v>
      </c>
      <c r="O327" s="19">
        <v>2.1158999999999999</v>
      </c>
      <c r="P327" s="19">
        <v>1.2</v>
      </c>
      <c r="Q327" s="19">
        <v>2.5840999999999998</v>
      </c>
      <c r="R327" s="19">
        <v>1.389999</v>
      </c>
      <c r="S327" s="19">
        <v>2.6619999999999999</v>
      </c>
      <c r="T327" s="19">
        <v>1.389999</v>
      </c>
      <c r="U327" s="19">
        <v>2.774</v>
      </c>
      <c r="V327" s="19">
        <v>0.99903299999999995</v>
      </c>
      <c r="W327" s="19">
        <v>2.7361</v>
      </c>
      <c r="X327" s="19">
        <v>0.99903299999999995</v>
      </c>
      <c r="Y327" s="19">
        <v>2.7361</v>
      </c>
      <c r="Z327" s="4"/>
      <c r="AA327" s="4"/>
      <c r="AB327" s="4" t="e">
        <f ca="1">_xll.ciqfunctions.udf.CIQ("^SPX", "IQ_PRICEDATE", "4/10/2015")</f>
        <v>#NAME?</v>
      </c>
      <c r="AC327" s="16">
        <v>2102.0553488088999</v>
      </c>
    </row>
    <row r="328" spans="1:29" x14ac:dyDescent="0.35">
      <c r="A328" s="2" t="s">
        <v>338</v>
      </c>
      <c r="B328" s="4" t="s">
        <v>1336</v>
      </c>
      <c r="C328" s="4" t="s">
        <v>559</v>
      </c>
      <c r="D328" s="4" t="s">
        <v>912</v>
      </c>
      <c r="E328" s="4" t="s">
        <v>1097</v>
      </c>
      <c r="F328" s="4" t="s">
        <v>1337</v>
      </c>
      <c r="G328" s="14">
        <v>76.48</v>
      </c>
      <c r="H328" s="10">
        <v>22.170774000000002</v>
      </c>
      <c r="I328" s="10">
        <v>60.602649999999997</v>
      </c>
      <c r="J328" s="10">
        <v>14.207007000000001</v>
      </c>
      <c r="K328" s="15">
        <v>1.0460000000000001E-2</v>
      </c>
      <c r="L328" s="17">
        <v>121458.526761</v>
      </c>
      <c r="M328" s="4" t="s">
        <v>1338</v>
      </c>
      <c r="N328" s="19">
        <v>1.2619910000000001</v>
      </c>
      <c r="O328" s="19">
        <v>2.7951999999999999</v>
      </c>
      <c r="P328" s="19">
        <v>2.3112910000000002</v>
      </c>
      <c r="Q328" s="19">
        <v>2.4445000000000001</v>
      </c>
      <c r="R328" s="19">
        <v>2.267814</v>
      </c>
      <c r="S328" s="19">
        <v>2.4293</v>
      </c>
      <c r="T328" s="19">
        <v>2.267814</v>
      </c>
      <c r="U328" s="19">
        <v>2.2677</v>
      </c>
      <c r="V328" s="19">
        <v>1.674021</v>
      </c>
      <c r="W328" s="19">
        <v>1.9109</v>
      </c>
      <c r="X328" s="19">
        <v>1.674021</v>
      </c>
      <c r="Y328" s="19">
        <v>1.9109</v>
      </c>
      <c r="Z328" s="4"/>
      <c r="AA328" s="4"/>
      <c r="AB328" s="4" t="e">
        <f ca="1">_xll.ciqfunctions.udf.CIQ("^SPX", "IQ_PRICEDATE", "4/13/2015")</f>
        <v>#NAME?</v>
      </c>
      <c r="AC328" s="16">
        <v>2092.4295913532001</v>
      </c>
    </row>
    <row r="329" spans="1:29" x14ac:dyDescent="0.35">
      <c r="A329" s="2" t="s">
        <v>339</v>
      </c>
      <c r="B329" s="4" t="s">
        <v>1339</v>
      </c>
      <c r="C329" s="4" t="s">
        <v>619</v>
      </c>
      <c r="D329" s="4" t="s">
        <v>619</v>
      </c>
      <c r="E329" s="4" t="s">
        <v>634</v>
      </c>
      <c r="F329" s="4" t="s">
        <v>634</v>
      </c>
      <c r="G329" s="14">
        <v>25.03</v>
      </c>
      <c r="H329" s="10">
        <v>12.416881999999999</v>
      </c>
      <c r="I329" s="10">
        <v>32.696984999999998</v>
      </c>
      <c r="J329" s="10">
        <v>2.8821789999999998</v>
      </c>
      <c r="K329" s="15">
        <v>3.1162000000000002E-2</v>
      </c>
      <c r="L329" s="17">
        <v>9086.8082259999992</v>
      </c>
      <c r="M329" s="4" t="s">
        <v>1340</v>
      </c>
      <c r="N329" s="19">
        <v>0.76551400000000003</v>
      </c>
      <c r="O329" s="19">
        <v>1.3664000000000001</v>
      </c>
      <c r="P329" s="19">
        <v>0.39</v>
      </c>
      <c r="Q329" s="19">
        <v>1.2854000000000001</v>
      </c>
      <c r="R329" s="19">
        <v>1.01</v>
      </c>
      <c r="S329" s="19">
        <v>1.1627000000000001</v>
      </c>
      <c r="T329" s="19">
        <v>1.01</v>
      </c>
      <c r="U329" s="19">
        <v>1.0684</v>
      </c>
      <c r="V329" s="19">
        <v>0.81</v>
      </c>
      <c r="W329" s="19">
        <v>1.7846</v>
      </c>
      <c r="X329" s="19">
        <v>0.81</v>
      </c>
      <c r="Y329" s="19">
        <v>1.7846</v>
      </c>
      <c r="Z329" s="4"/>
      <c r="AA329" s="4"/>
      <c r="AB329" s="4" t="e">
        <f ca="1">_xll.ciqfunctions.udf.CIQ("^SPX", "IQ_PRICEDATE", "4/14/2015")</f>
        <v>#NAME?</v>
      </c>
      <c r="AC329" s="16">
        <v>2095.8353553612001</v>
      </c>
    </row>
    <row r="330" spans="1:29" x14ac:dyDescent="0.35">
      <c r="A330" s="2" t="s">
        <v>340</v>
      </c>
      <c r="B330" s="4" t="s">
        <v>1341</v>
      </c>
      <c r="C330" s="4" t="s">
        <v>669</v>
      </c>
      <c r="D330" s="4" t="s">
        <v>669</v>
      </c>
      <c r="E330" s="4" t="s">
        <v>670</v>
      </c>
      <c r="F330" s="4" t="s">
        <v>671</v>
      </c>
      <c r="G330" s="14">
        <v>31.4</v>
      </c>
      <c r="H330" s="10">
        <v>8.5730280000000008</v>
      </c>
      <c r="I330" s="10">
        <v>17.148152</v>
      </c>
      <c r="J330" s="10">
        <v>1.782918</v>
      </c>
      <c r="K330" s="15">
        <v>1.4012E-2</v>
      </c>
      <c r="L330" s="17">
        <v>15074.121321000001</v>
      </c>
      <c r="M330" s="4" t="s">
        <v>1342</v>
      </c>
      <c r="N330" s="19">
        <v>1.8311010000000001</v>
      </c>
      <c r="O330" s="19">
        <v>0.98440000000000005</v>
      </c>
      <c r="P330" s="19">
        <v>-2.3837950000000001</v>
      </c>
      <c r="Q330" s="19">
        <v>0.1216</v>
      </c>
      <c r="R330" s="19">
        <v>-2.3209300000000002</v>
      </c>
      <c r="S330" s="19">
        <v>-0.49909999999999999</v>
      </c>
      <c r="T330" s="19">
        <v>-2.3209300000000002</v>
      </c>
      <c r="U330" s="19">
        <v>-0.2122</v>
      </c>
      <c r="V330" s="19">
        <v>3.2615799999999999</v>
      </c>
      <c r="W330" s="19">
        <v>1.6998</v>
      </c>
      <c r="X330" s="19">
        <v>3.2615799999999999</v>
      </c>
      <c r="Y330" s="19">
        <v>1.6998</v>
      </c>
      <c r="Z330" s="4"/>
      <c r="AA330" s="4"/>
      <c r="AB330" s="4" t="e">
        <f ca="1">_xll.ciqfunctions.udf.CIQ("^SPX", "IQ_PRICEDATE", "4/15/2015")</f>
        <v>#NAME?</v>
      </c>
      <c r="AC330" s="16">
        <v>2106.6262636495999</v>
      </c>
    </row>
    <row r="331" spans="1:29" x14ac:dyDescent="0.35">
      <c r="A331" s="2" t="s">
        <v>341</v>
      </c>
      <c r="B331" s="4" t="s">
        <v>1343</v>
      </c>
      <c r="C331" s="4" t="s">
        <v>559</v>
      </c>
      <c r="D331" s="4" t="s">
        <v>560</v>
      </c>
      <c r="E331" s="4" t="s">
        <v>940</v>
      </c>
      <c r="F331" s="4" t="s">
        <v>1211</v>
      </c>
      <c r="G331" s="14">
        <v>60.41</v>
      </c>
      <c r="H331" s="10">
        <v>7.0530400000000002</v>
      </c>
      <c r="I331" s="10">
        <v>19.942202999999999</v>
      </c>
      <c r="J331" s="10">
        <v>11.356539</v>
      </c>
      <c r="K331" s="15">
        <v>2.4499E-2</v>
      </c>
      <c r="L331" s="17">
        <v>10183.039377999999</v>
      </c>
      <c r="M331" s="4" t="s">
        <v>1344</v>
      </c>
      <c r="N331" s="19">
        <v>3.0292539999999999</v>
      </c>
      <c r="O331" s="19">
        <v>3.6128999999999998</v>
      </c>
      <c r="P331" s="19">
        <v>2.8575499999999998</v>
      </c>
      <c r="Q331" s="19">
        <v>2.968</v>
      </c>
      <c r="R331" s="19">
        <v>1.8787050000000001</v>
      </c>
      <c r="S331" s="19">
        <v>3.0581999999999998</v>
      </c>
      <c r="T331" s="19">
        <v>1.8787050000000001</v>
      </c>
      <c r="U331" s="19">
        <v>3.3942999999999999</v>
      </c>
      <c r="V331" s="19">
        <v>3.7707609999999998</v>
      </c>
      <c r="W331" s="19">
        <v>3.9209000000000001</v>
      </c>
      <c r="X331" s="19">
        <v>3.7707609999999998</v>
      </c>
      <c r="Y331" s="19">
        <v>3.9209000000000001</v>
      </c>
      <c r="Z331" s="4"/>
      <c r="AA331" s="4"/>
      <c r="AB331" s="4" t="e">
        <f ca="1">_xll.ciqfunctions.udf.CIQ("^SPX", "IQ_PRICEDATE", "4/16/2015")</f>
        <v>#NAME?</v>
      </c>
      <c r="AC331" s="16">
        <v>2104.9857874947002</v>
      </c>
    </row>
    <row r="332" spans="1:29" x14ac:dyDescent="0.35">
      <c r="A332" s="2" t="s">
        <v>342</v>
      </c>
      <c r="B332" s="4" t="s">
        <v>1345</v>
      </c>
      <c r="C332" s="4" t="s">
        <v>525</v>
      </c>
      <c r="D332" s="4" t="s">
        <v>594</v>
      </c>
      <c r="E332" s="4" t="s">
        <v>903</v>
      </c>
      <c r="F332" s="4" t="s">
        <v>904</v>
      </c>
      <c r="G332" s="14">
        <v>169</v>
      </c>
      <c r="H332" s="10">
        <v>11.600863</v>
      </c>
      <c r="I332" s="10">
        <v>8.4499999999999993</v>
      </c>
      <c r="J332" s="10">
        <v>2.8579639999999999</v>
      </c>
      <c r="K332" s="15">
        <v>1.8933999999999999E-2</v>
      </c>
      <c r="L332" s="17">
        <v>47325.030116000002</v>
      </c>
      <c r="M332" s="4" t="s">
        <v>1346</v>
      </c>
      <c r="N332" s="19">
        <v>20</v>
      </c>
      <c r="O332" s="19">
        <v>9.5861999999999998</v>
      </c>
      <c r="P332" s="19">
        <v>18.608336000000001</v>
      </c>
      <c r="Q332" s="19">
        <v>6.8451000000000004</v>
      </c>
      <c r="R332" s="19">
        <v>5.6216210000000002</v>
      </c>
      <c r="S332" s="19">
        <v>5.8533999999999997</v>
      </c>
      <c r="T332" s="19">
        <v>5.6216210000000002</v>
      </c>
      <c r="U332" s="19">
        <v>5.5622999999999996</v>
      </c>
      <c r="V332" s="19">
        <v>6.3872</v>
      </c>
      <c r="W332" s="19">
        <v>7.0490000000000004</v>
      </c>
      <c r="X332" s="19">
        <v>6.3872</v>
      </c>
      <c r="Y332" s="19">
        <v>7.0490000000000004</v>
      </c>
      <c r="Z332" s="4"/>
      <c r="AA332" s="4"/>
      <c r="AB332" s="4" t="e">
        <f ca="1">_xll.ciqfunctions.udf.CIQ("^SPX", "IQ_PRICEDATE", "4/17/2015")</f>
        <v>#NAME?</v>
      </c>
      <c r="AC332" s="16">
        <v>2081.1777536902</v>
      </c>
    </row>
    <row r="333" spans="1:29" x14ac:dyDescent="0.35">
      <c r="A333" s="2" t="s">
        <v>343</v>
      </c>
      <c r="B333" s="4" t="s">
        <v>1347</v>
      </c>
      <c r="C333" s="4" t="s">
        <v>573</v>
      </c>
      <c r="D333" s="4" t="s">
        <v>574</v>
      </c>
      <c r="E333" s="4" t="s">
        <v>575</v>
      </c>
      <c r="F333" s="4" t="s">
        <v>576</v>
      </c>
      <c r="G333" s="14">
        <v>94.21</v>
      </c>
      <c r="H333" s="10">
        <v>0</v>
      </c>
      <c r="I333" s="10">
        <v>15.782382999999999</v>
      </c>
      <c r="J333" s="10">
        <v>2.4309919999999998</v>
      </c>
      <c r="K333" s="15">
        <v>2.3351999999999998E-2</v>
      </c>
      <c r="L333" s="17">
        <v>20857.622950000001</v>
      </c>
      <c r="M333" s="4" t="s">
        <v>1348</v>
      </c>
      <c r="N333" s="19">
        <v>6.3517710000000003</v>
      </c>
      <c r="O333" s="19">
        <v>6.8392999999999997</v>
      </c>
      <c r="P333" s="19">
        <v>4.92</v>
      </c>
      <c r="Q333" s="19">
        <v>5.4245000000000001</v>
      </c>
      <c r="R333" s="19">
        <v>4.32</v>
      </c>
      <c r="S333" s="19">
        <v>4.5838999999999999</v>
      </c>
      <c r="T333" s="19">
        <v>4.32</v>
      </c>
      <c r="U333" s="19">
        <v>4.0640000000000001</v>
      </c>
      <c r="V333" s="19">
        <v>3.32</v>
      </c>
      <c r="W333" s="19">
        <v>3.5537999999999998</v>
      </c>
      <c r="X333" s="19">
        <v>3.32</v>
      </c>
      <c r="Y333" s="19">
        <v>3.5537999999999998</v>
      </c>
      <c r="Z333" s="4"/>
      <c r="AA333" s="4"/>
      <c r="AB333" s="4" t="e">
        <f ca="1">_xll.ciqfunctions.udf.CIQ("^SPX", "IQ_PRICEDATE", "4/20/2015")</f>
        <v>#NAME?</v>
      </c>
      <c r="AC333" s="16">
        <v>2100.4009440958998</v>
      </c>
    </row>
    <row r="334" spans="1:29" x14ac:dyDescent="0.35">
      <c r="A334" s="2" t="s">
        <v>344</v>
      </c>
      <c r="B334" s="4" t="s">
        <v>1349</v>
      </c>
      <c r="C334" s="4" t="s">
        <v>525</v>
      </c>
      <c r="D334" s="4" t="s">
        <v>526</v>
      </c>
      <c r="E334" s="4" t="s">
        <v>703</v>
      </c>
      <c r="F334" s="4" t="s">
        <v>703</v>
      </c>
      <c r="G334" s="14">
        <v>309.5</v>
      </c>
      <c r="H334" s="10">
        <v>16.487465</v>
      </c>
      <c r="I334" s="10">
        <v>24.26032</v>
      </c>
      <c r="J334" s="10" t="s">
        <v>534</v>
      </c>
      <c r="K334" s="15">
        <v>1.5507999999999999E-2</v>
      </c>
      <c r="L334" s="17">
        <v>53891.198181</v>
      </c>
      <c r="M334" s="4" t="s">
        <v>1350</v>
      </c>
      <c r="N334" s="19">
        <v>12.757457</v>
      </c>
      <c r="O334" s="19">
        <v>17.9908</v>
      </c>
      <c r="P334" s="19">
        <v>11.47</v>
      </c>
      <c r="Q334" s="19">
        <v>12.540699999999999</v>
      </c>
      <c r="R334" s="19">
        <v>12.19</v>
      </c>
      <c r="S334" s="19">
        <v>11.597300000000001</v>
      </c>
      <c r="T334" s="19">
        <v>12.19</v>
      </c>
      <c r="U334" s="19">
        <v>9.7711000000000006</v>
      </c>
      <c r="V334" s="19">
        <v>9.75</v>
      </c>
      <c r="W334" s="19">
        <v>8.8088999999999995</v>
      </c>
      <c r="X334" s="19">
        <v>9.75</v>
      </c>
      <c r="Y334" s="19">
        <v>8.8088999999999995</v>
      </c>
      <c r="Z334" s="4"/>
      <c r="AA334" s="4"/>
      <c r="AB334" s="4" t="e">
        <f ca="1">_xll.ciqfunctions.udf.CIQ("^SPX", "IQ_PRICEDATE", "4/21/2015")</f>
        <v>#NAME?</v>
      </c>
      <c r="AC334" s="16">
        <v>2097.2888943436001</v>
      </c>
    </row>
    <row r="335" spans="1:29" x14ac:dyDescent="0.35">
      <c r="A335" s="2" t="s">
        <v>345</v>
      </c>
      <c r="B335" s="4" t="s">
        <v>1351</v>
      </c>
      <c r="C335" s="4" t="s">
        <v>559</v>
      </c>
      <c r="D335" s="4" t="s">
        <v>798</v>
      </c>
      <c r="E335" s="4" t="s">
        <v>799</v>
      </c>
      <c r="F335" s="4" t="s">
        <v>800</v>
      </c>
      <c r="G335" s="14">
        <v>51.42</v>
      </c>
      <c r="H335" s="10">
        <v>10.840752999999999</v>
      </c>
      <c r="I335" s="10">
        <v>14.194938</v>
      </c>
      <c r="J335" s="10">
        <v>3.3105370000000001</v>
      </c>
      <c r="K335" s="15">
        <v>0</v>
      </c>
      <c r="L335" s="17">
        <v>11387.901426</v>
      </c>
      <c r="M335" s="4" t="s">
        <v>1352</v>
      </c>
      <c r="N335" s="19">
        <v>3.6224180000000001</v>
      </c>
      <c r="O335" s="19">
        <v>4.9335000000000004</v>
      </c>
      <c r="P335" s="19">
        <v>3.3099989999999999</v>
      </c>
      <c r="Q335" s="19">
        <v>4.4551999999999996</v>
      </c>
      <c r="R335" s="19">
        <v>2.7799990000000001</v>
      </c>
      <c r="S335" s="19">
        <v>3.6316000000000002</v>
      </c>
      <c r="T335" s="19">
        <v>2.7799990000000001</v>
      </c>
      <c r="U335" s="19">
        <v>3.5331000000000001</v>
      </c>
      <c r="V335" s="19">
        <v>1.619999</v>
      </c>
      <c r="W335" s="19">
        <v>2.6339999999999999</v>
      </c>
      <c r="X335" s="19">
        <v>1.619999</v>
      </c>
      <c r="Y335" s="19">
        <v>2.6339999999999999</v>
      </c>
      <c r="Z335" s="4"/>
      <c r="AA335" s="4"/>
      <c r="AB335" s="4" t="e">
        <f ca="1">_xll.ciqfunctions.udf.CIQ("^SPX", "IQ_PRICEDATE", "4/22/2015")</f>
        <v>#NAME?</v>
      </c>
      <c r="AC335" s="16">
        <v>2107.9640776233</v>
      </c>
    </row>
    <row r="336" spans="1:29" x14ac:dyDescent="0.35">
      <c r="A336" s="2" t="s">
        <v>346</v>
      </c>
      <c r="B336" s="4" t="s">
        <v>1353</v>
      </c>
      <c r="C336" s="4" t="s">
        <v>619</v>
      </c>
      <c r="D336" s="4" t="s">
        <v>619</v>
      </c>
      <c r="E336" s="4" t="s">
        <v>1354</v>
      </c>
      <c r="F336" s="4" t="s">
        <v>1355</v>
      </c>
      <c r="G336" s="14">
        <v>37.520000000000003</v>
      </c>
      <c r="H336" s="10">
        <v>10.296574</v>
      </c>
      <c r="I336" s="10" t="s">
        <v>534</v>
      </c>
      <c r="J336" s="10" t="s">
        <v>534</v>
      </c>
      <c r="K336" s="15">
        <v>3.1979999999999999E-3</v>
      </c>
      <c r="L336" s="17">
        <v>11352.367306</v>
      </c>
      <c r="M336" s="4" t="s">
        <v>1356</v>
      </c>
      <c r="N336" s="19">
        <v>-3.079113</v>
      </c>
      <c r="O336" s="19">
        <v>2.8513999999999999</v>
      </c>
      <c r="P336" s="19">
        <v>-4.3028389999999996</v>
      </c>
      <c r="Q336" s="19">
        <v>1.2450000000000001</v>
      </c>
      <c r="R336" s="19">
        <v>-2.5099999999999998</v>
      </c>
      <c r="S336" s="19">
        <v>-0.86</v>
      </c>
      <c r="T336" s="19">
        <v>-2.5099999999999998</v>
      </c>
      <c r="U336" s="19">
        <v>0.37169999999999997</v>
      </c>
      <c r="V336" s="19">
        <v>0.23</v>
      </c>
      <c r="W336" s="19">
        <v>1.9650000000000001</v>
      </c>
      <c r="X336" s="19">
        <v>0.23</v>
      </c>
      <c r="Y336" s="19">
        <v>1.9650000000000001</v>
      </c>
      <c r="Z336" s="4"/>
      <c r="AA336" s="4"/>
      <c r="AB336" s="4" t="e">
        <f ca="1">_xll.ciqfunctions.udf.CIQ("^SPX", "IQ_PRICEDATE", "4/23/2015")</f>
        <v>#NAME?</v>
      </c>
      <c r="AC336" s="16">
        <v>2112.9289997132</v>
      </c>
    </row>
    <row r="337" spans="1:29" x14ac:dyDescent="0.35">
      <c r="A337" s="2" t="s">
        <v>347</v>
      </c>
      <c r="B337" s="4" t="s">
        <v>1357</v>
      </c>
      <c r="C337" s="4" t="s">
        <v>586</v>
      </c>
      <c r="D337" s="4" t="s">
        <v>586</v>
      </c>
      <c r="E337" s="4" t="s">
        <v>1066</v>
      </c>
      <c r="F337" s="4" t="s">
        <v>1358</v>
      </c>
      <c r="G337" s="14">
        <v>59.09</v>
      </c>
      <c r="H337" s="10">
        <v>7.2447100000000004</v>
      </c>
      <c r="I337" s="10">
        <v>11.328200000000001</v>
      </c>
      <c r="J337" s="10">
        <v>2.9578549999999999</v>
      </c>
      <c r="K337" s="15">
        <v>2.5722999999999999E-2</v>
      </c>
      <c r="L337" s="17">
        <v>18692.736706</v>
      </c>
      <c r="M337" s="4" t="s">
        <v>1359</v>
      </c>
      <c r="N337" s="19">
        <v>5.2161860000000004</v>
      </c>
      <c r="O337" s="19">
        <v>7.81</v>
      </c>
      <c r="P337" s="19">
        <v>4.096819</v>
      </c>
      <c r="Q337" s="19">
        <v>4.0796000000000001</v>
      </c>
      <c r="R337" s="19">
        <v>2.4815049999999998</v>
      </c>
      <c r="S337" s="19">
        <v>3.0131000000000001</v>
      </c>
      <c r="T337" s="19">
        <v>2.4815049999999998</v>
      </c>
      <c r="U337" s="19">
        <v>2.1333000000000002</v>
      </c>
      <c r="V337" s="19">
        <v>2.11</v>
      </c>
      <c r="W337" s="19">
        <v>3.1785999999999999</v>
      </c>
      <c r="X337" s="19">
        <v>2.11</v>
      </c>
      <c r="Y337" s="19">
        <v>3.1785999999999999</v>
      </c>
      <c r="Z337" s="4"/>
      <c r="AA337" s="4"/>
      <c r="AB337" s="4" t="e">
        <f ca="1">_xll.ciqfunctions.udf.CIQ("^SPX", "IQ_PRICEDATE", "4/24/2015")</f>
        <v>#NAME?</v>
      </c>
      <c r="AC337" s="16">
        <v>2117.6899287491001</v>
      </c>
    </row>
    <row r="338" spans="1:29" x14ac:dyDescent="0.35">
      <c r="A338" s="2" t="s">
        <v>348</v>
      </c>
      <c r="B338" s="4" t="s">
        <v>1360</v>
      </c>
      <c r="C338" s="4" t="s">
        <v>543</v>
      </c>
      <c r="D338" s="4" t="s">
        <v>565</v>
      </c>
      <c r="E338" s="4" t="s">
        <v>565</v>
      </c>
      <c r="F338" s="4" t="s">
        <v>566</v>
      </c>
      <c r="G338" s="14">
        <v>243.06</v>
      </c>
      <c r="H338" s="10">
        <v>30.575227000000002</v>
      </c>
      <c r="I338" s="10">
        <v>35.425474999999999</v>
      </c>
      <c r="J338" s="10">
        <v>18.186129000000001</v>
      </c>
      <c r="K338" s="15">
        <v>2.4679999999999997E-3</v>
      </c>
      <c r="L338" s="17">
        <v>147780.48000000001</v>
      </c>
      <c r="M338" s="4" t="s">
        <v>1361</v>
      </c>
      <c r="N338" s="19">
        <v>6.8611639999999996</v>
      </c>
      <c r="O338" s="19">
        <v>7.9511000000000003</v>
      </c>
      <c r="P338" s="19">
        <v>4.0005249999999997</v>
      </c>
      <c r="Q338" s="19">
        <v>5.0218999999999996</v>
      </c>
      <c r="R338" s="19">
        <v>1.956553</v>
      </c>
      <c r="S338" s="19">
        <v>3.3001</v>
      </c>
      <c r="T338" s="19">
        <v>1.956553</v>
      </c>
      <c r="U338" s="19">
        <v>1.6435</v>
      </c>
      <c r="V338" s="19">
        <v>1.022451</v>
      </c>
      <c r="W338" s="19">
        <v>1.4068000000000001</v>
      </c>
      <c r="X338" s="19">
        <v>1.022451</v>
      </c>
      <c r="Y338" s="19">
        <v>1.4068000000000001</v>
      </c>
      <c r="Z338" s="4"/>
      <c r="AA338" s="4"/>
      <c r="AB338" s="4" t="e">
        <f ca="1">_xll.ciqfunctions.udf.CIQ("^SPX", "IQ_PRICEDATE", "4/27/2015")</f>
        <v>#NAME?</v>
      </c>
      <c r="AC338" s="16">
        <v>2108.9211408291999</v>
      </c>
    </row>
    <row r="339" spans="1:29" x14ac:dyDescent="0.35">
      <c r="A339" s="2" t="s">
        <v>349</v>
      </c>
      <c r="B339" s="4" t="s">
        <v>1362</v>
      </c>
      <c r="C339" s="4" t="s">
        <v>559</v>
      </c>
      <c r="D339" s="4" t="s">
        <v>560</v>
      </c>
      <c r="E339" s="4" t="s">
        <v>561</v>
      </c>
      <c r="F339" s="4" t="s">
        <v>562</v>
      </c>
      <c r="G339" s="14">
        <v>334.78</v>
      </c>
      <c r="H339" s="10">
        <v>14.97048</v>
      </c>
      <c r="I339" s="10">
        <v>22.874863999999999</v>
      </c>
      <c r="J339" s="10" t="s">
        <v>534</v>
      </c>
      <c r="K339" s="15">
        <v>0</v>
      </c>
      <c r="L339" s="17">
        <v>26970.884152999999</v>
      </c>
      <c r="M339" s="4" t="s">
        <v>1363</v>
      </c>
      <c r="N339" s="19">
        <v>14.635278</v>
      </c>
      <c r="O339" s="19">
        <v>16.7653</v>
      </c>
      <c r="P339" s="19">
        <v>12.67</v>
      </c>
      <c r="Q339" s="19">
        <v>12.696400000000001</v>
      </c>
      <c r="R339" s="19">
        <v>10.73</v>
      </c>
      <c r="S339" s="19">
        <v>11.896000000000001</v>
      </c>
      <c r="T339" s="19">
        <v>10.73</v>
      </c>
      <c r="U339" s="19">
        <v>10.028600000000001</v>
      </c>
      <c r="V339" s="19">
        <v>7.34</v>
      </c>
      <c r="W339" s="19">
        <v>8.0328999999999997</v>
      </c>
      <c r="X339" s="19">
        <v>7.34</v>
      </c>
      <c r="Y339" s="19">
        <v>8.0328999999999997</v>
      </c>
      <c r="Z339" s="4"/>
      <c r="AA339" s="4"/>
      <c r="AB339" s="4" t="e">
        <f ca="1">_xll.ciqfunctions.udf.CIQ("^SPX", "IQ_PRICEDATE", "4/28/2015")</f>
        <v>#NAME?</v>
      </c>
      <c r="AC339" s="16">
        <v>2114.7615406107998</v>
      </c>
    </row>
    <row r="340" spans="1:29" x14ac:dyDescent="0.35">
      <c r="A340" s="2" t="s">
        <v>350</v>
      </c>
      <c r="B340" s="4" t="s">
        <v>1364</v>
      </c>
      <c r="C340" s="4" t="s">
        <v>669</v>
      </c>
      <c r="D340" s="4" t="s">
        <v>669</v>
      </c>
      <c r="E340" s="4" t="s">
        <v>670</v>
      </c>
      <c r="F340" s="4" t="s">
        <v>836</v>
      </c>
      <c r="G340" s="14">
        <v>72.92</v>
      </c>
      <c r="H340" s="10">
        <v>9.1004760000000005</v>
      </c>
      <c r="I340" s="10">
        <v>25.053072</v>
      </c>
      <c r="J340" s="10">
        <v>2.664018</v>
      </c>
      <c r="K340" s="15">
        <v>4.2785999999999998E-2</v>
      </c>
      <c r="L340" s="17">
        <v>55763.488353000001</v>
      </c>
      <c r="M340" s="4" t="s">
        <v>1365</v>
      </c>
      <c r="N340" s="19">
        <v>2.9106209999999999</v>
      </c>
      <c r="O340" s="19">
        <v>6.2939999999999996</v>
      </c>
      <c r="P340" s="19">
        <v>1.7</v>
      </c>
      <c r="Q340" s="19">
        <v>1.6597</v>
      </c>
      <c r="R340" s="19">
        <v>-1.3118609999999999</v>
      </c>
      <c r="S340" s="19">
        <v>0.76859999999999995</v>
      </c>
      <c r="T340" s="19">
        <v>-1.3118609999999999</v>
      </c>
      <c r="U340" s="19">
        <v>0.48039999999999999</v>
      </c>
      <c r="V340" s="19">
        <v>-0.18435499999999999</v>
      </c>
      <c r="W340" s="19">
        <v>3.3957000000000002</v>
      </c>
      <c r="X340" s="19">
        <v>-0.18435499999999999</v>
      </c>
      <c r="Y340" s="19">
        <v>3.3957000000000002</v>
      </c>
      <c r="Z340" s="4"/>
      <c r="AA340" s="4"/>
      <c r="AB340" s="4" t="e">
        <f ca="1">_xll.ciqfunctions.udf.CIQ("^SPX", "IQ_PRICEDATE", "4/29/2015")</f>
        <v>#NAME?</v>
      </c>
      <c r="AC340" s="16">
        <v>2106.8509961673999</v>
      </c>
    </row>
    <row r="341" spans="1:29" x14ac:dyDescent="0.35">
      <c r="A341" s="2" t="s">
        <v>351</v>
      </c>
      <c r="B341" s="4" t="s">
        <v>1366</v>
      </c>
      <c r="C341" s="4" t="s">
        <v>549</v>
      </c>
      <c r="D341" s="4" t="s">
        <v>550</v>
      </c>
      <c r="E341" s="4" t="s">
        <v>814</v>
      </c>
      <c r="F341" s="4" t="s">
        <v>1367</v>
      </c>
      <c r="G341" s="14">
        <v>75.69</v>
      </c>
      <c r="H341" s="10">
        <v>8.7426829999999995</v>
      </c>
      <c r="I341" s="10">
        <v>14.679341000000001</v>
      </c>
      <c r="J341" s="10" t="s">
        <v>534</v>
      </c>
      <c r="K341" s="15">
        <v>3.1708E-2</v>
      </c>
      <c r="L341" s="17">
        <v>16962.558540999999</v>
      </c>
      <c r="M341" s="4" t="s">
        <v>1368</v>
      </c>
      <c r="N341" s="19">
        <v>5.1562260000000002</v>
      </c>
      <c r="O341" s="19">
        <v>5.5791000000000004</v>
      </c>
      <c r="P341" s="19">
        <v>4.6500000000000004</v>
      </c>
      <c r="Q341" s="19">
        <v>5.2290000000000001</v>
      </c>
      <c r="R341" s="19">
        <v>4.78</v>
      </c>
      <c r="S341" s="19">
        <v>4.9657</v>
      </c>
      <c r="T341" s="19">
        <v>4.78</v>
      </c>
      <c r="U341" s="19">
        <v>4.5791000000000004</v>
      </c>
      <c r="V341" s="19">
        <v>4.24</v>
      </c>
      <c r="W341" s="19">
        <v>4.4665999999999997</v>
      </c>
      <c r="X341" s="19">
        <v>4.24</v>
      </c>
      <c r="Y341" s="19">
        <v>4.4665999999999997</v>
      </c>
      <c r="Z341" s="4"/>
      <c r="AA341" s="4"/>
      <c r="AB341" s="4" t="e">
        <f ca="1">_xll.ciqfunctions.udf.CIQ("^SPX", "IQ_PRICEDATE", "4/30/2015")</f>
        <v>#NAME?</v>
      </c>
      <c r="AC341" s="16">
        <v>2085.5136532975998</v>
      </c>
    </row>
    <row r="342" spans="1:29" x14ac:dyDescent="0.35">
      <c r="A342" s="2" t="s">
        <v>352</v>
      </c>
      <c r="B342" s="4" t="s">
        <v>1369</v>
      </c>
      <c r="C342" s="4" t="s">
        <v>669</v>
      </c>
      <c r="D342" s="4" t="s">
        <v>669</v>
      </c>
      <c r="E342" s="4" t="s">
        <v>670</v>
      </c>
      <c r="F342" s="4" t="s">
        <v>1206</v>
      </c>
      <c r="G342" s="14">
        <v>67.02</v>
      </c>
      <c r="H342" s="10">
        <v>16.309066000000001</v>
      </c>
      <c r="I342" s="10">
        <v>34.590521000000003</v>
      </c>
      <c r="J342" s="10">
        <v>4.8538249999999996</v>
      </c>
      <c r="K342" s="15">
        <v>4.9238999999999998E-2</v>
      </c>
      <c r="L342" s="17">
        <v>27561.939747</v>
      </c>
      <c r="M342" s="4" t="s">
        <v>1370</v>
      </c>
      <c r="N342" s="19">
        <v>1.9375249999999999</v>
      </c>
      <c r="O342" s="19">
        <v>2.8071999999999999</v>
      </c>
      <c r="P342" s="19">
        <v>1.29</v>
      </c>
      <c r="Q342" s="19">
        <v>2.08</v>
      </c>
      <c r="R342" s="19">
        <v>1.67</v>
      </c>
      <c r="S342" s="19">
        <v>1.6295999999999999</v>
      </c>
      <c r="T342" s="19">
        <v>1.67</v>
      </c>
      <c r="U342" s="19">
        <v>1.6425000000000001</v>
      </c>
      <c r="V342" s="19">
        <v>1.52</v>
      </c>
      <c r="W342" s="19">
        <v>1.7535000000000001</v>
      </c>
      <c r="X342" s="19">
        <v>1.52</v>
      </c>
      <c r="Y342" s="19">
        <v>1.7535000000000001</v>
      </c>
      <c r="Z342" s="4"/>
      <c r="AA342" s="4"/>
      <c r="AB342" s="4" t="e">
        <f ca="1">_xll.ciqfunctions.udf.CIQ("^SPX", "IQ_PRICEDATE", "5/1/2015")</f>
        <v>#NAME?</v>
      </c>
      <c r="AC342" s="16">
        <v>2108.2902805086001</v>
      </c>
    </row>
    <row r="343" spans="1:29" x14ac:dyDescent="0.35">
      <c r="A343" s="2" t="s">
        <v>353</v>
      </c>
      <c r="B343" s="4" t="s">
        <v>1371</v>
      </c>
      <c r="C343" s="4" t="s">
        <v>543</v>
      </c>
      <c r="D343" s="4" t="s">
        <v>544</v>
      </c>
      <c r="E343" s="4" t="s">
        <v>555</v>
      </c>
      <c r="F343" s="4" t="s">
        <v>782</v>
      </c>
      <c r="G343" s="14">
        <v>47.86</v>
      </c>
      <c r="H343" s="10">
        <v>11.143684</v>
      </c>
      <c r="I343" s="10">
        <v>50.465429</v>
      </c>
      <c r="J343" s="10" t="s">
        <v>534</v>
      </c>
      <c r="K343" s="15">
        <v>1.5879000000000001E-2</v>
      </c>
      <c r="L343" s="17">
        <v>181324.22214599999</v>
      </c>
      <c r="M343" s="4" t="s">
        <v>1372</v>
      </c>
      <c r="N343" s="19">
        <v>0.94837199999999999</v>
      </c>
      <c r="O343" s="19">
        <v>3.4506000000000001</v>
      </c>
      <c r="P343" s="19">
        <v>2.3073899999999998</v>
      </c>
      <c r="Q343" s="19">
        <v>3.0503999999999998</v>
      </c>
      <c r="R343" s="19">
        <v>2.0948920000000002</v>
      </c>
      <c r="S343" s="19">
        <v>2.6434000000000002</v>
      </c>
      <c r="T343" s="19">
        <v>2.0948920000000002</v>
      </c>
      <c r="U343" s="19">
        <v>2.6959</v>
      </c>
      <c r="V343" s="19">
        <v>2.4040140000000001</v>
      </c>
      <c r="W343" s="19">
        <v>3.0528</v>
      </c>
      <c r="X343" s="19">
        <v>2.4040140000000001</v>
      </c>
      <c r="Y343" s="19">
        <v>3.0528</v>
      </c>
      <c r="Z343" s="4"/>
      <c r="AA343" s="4"/>
      <c r="AB343" s="4" t="e">
        <f ca="1">_xll.ciqfunctions.udf.CIQ("^SPX", "IQ_PRICEDATE", "5/4/2015")</f>
        <v>#NAME?</v>
      </c>
      <c r="AC343" s="16">
        <v>2114.4864683408</v>
      </c>
    </row>
    <row r="344" spans="1:29" x14ac:dyDescent="0.35">
      <c r="A344" s="2" t="s">
        <v>354</v>
      </c>
      <c r="B344" s="4" t="s">
        <v>1373</v>
      </c>
      <c r="C344" s="4" t="s">
        <v>525</v>
      </c>
      <c r="D344" s="4" t="s">
        <v>526</v>
      </c>
      <c r="E344" s="4" t="s">
        <v>803</v>
      </c>
      <c r="F344" s="4" t="s">
        <v>804</v>
      </c>
      <c r="G344" s="14">
        <v>61.74</v>
      </c>
      <c r="H344" s="10">
        <v>9.0038529999999994</v>
      </c>
      <c r="I344" s="10">
        <v>10.554795</v>
      </c>
      <c r="J344" s="10">
        <v>2.4662519999999999</v>
      </c>
      <c r="K344" s="15">
        <v>3.7575999999999998E-2</v>
      </c>
      <c r="L344" s="17">
        <v>21642.540563999999</v>
      </c>
      <c r="M344" s="4" t="s">
        <v>1374</v>
      </c>
      <c r="N344" s="19">
        <v>5.8494739999999998</v>
      </c>
      <c r="O344" s="19">
        <v>6.1204999999999998</v>
      </c>
      <c r="P344" s="19">
        <v>4.75</v>
      </c>
      <c r="Q344" s="19">
        <v>4.6715</v>
      </c>
      <c r="R344" s="19">
        <v>1.48</v>
      </c>
      <c r="S344" s="19">
        <v>3.5116000000000001</v>
      </c>
      <c r="T344" s="19">
        <v>1.48</v>
      </c>
      <c r="U344" s="19">
        <v>4.2267999999999999</v>
      </c>
      <c r="V344" s="19">
        <v>3.82</v>
      </c>
      <c r="W344" s="19">
        <v>4.2896000000000001</v>
      </c>
      <c r="X344" s="19">
        <v>3.82</v>
      </c>
      <c r="Y344" s="19">
        <v>4.2896000000000001</v>
      </c>
      <c r="Z344" s="4"/>
      <c r="AA344" s="4"/>
      <c r="AB344" s="4" t="e">
        <f ca="1">_xll.ciqfunctions.udf.CIQ("^SPX", "IQ_PRICEDATE", "5/5/2015")</f>
        <v>#NAME?</v>
      </c>
      <c r="AC344" s="16">
        <v>2089.4601421030002</v>
      </c>
    </row>
    <row r="345" spans="1:29" x14ac:dyDescent="0.35">
      <c r="A345" s="2" t="s">
        <v>355</v>
      </c>
      <c r="B345" s="4" t="s">
        <v>1375</v>
      </c>
      <c r="C345" s="4" t="s">
        <v>586</v>
      </c>
      <c r="D345" s="4" t="s">
        <v>586</v>
      </c>
      <c r="E345" s="4" t="s">
        <v>726</v>
      </c>
      <c r="F345" s="4" t="s">
        <v>727</v>
      </c>
      <c r="G345" s="14">
        <v>90.91</v>
      </c>
      <c r="H345" s="10">
        <v>7.6609619999999996</v>
      </c>
      <c r="I345" s="10">
        <v>11.702617999999999</v>
      </c>
      <c r="J345" s="10">
        <v>7.6423420000000002</v>
      </c>
      <c r="K345" s="15">
        <v>3.4759000000000005E-2</v>
      </c>
      <c r="L345" s="17">
        <v>8522.7398630000007</v>
      </c>
      <c r="M345" s="4" t="s">
        <v>1376</v>
      </c>
      <c r="N345" s="19">
        <v>7.7683470000000003</v>
      </c>
      <c r="O345" s="19">
        <v>8.5388000000000002</v>
      </c>
      <c r="P345" s="19">
        <v>7.07</v>
      </c>
      <c r="Q345" s="19">
        <v>6.4749999999999996</v>
      </c>
      <c r="R345" s="19">
        <v>4.75</v>
      </c>
      <c r="S345" s="19">
        <v>5.5372000000000003</v>
      </c>
      <c r="T345" s="19">
        <v>4.75</v>
      </c>
      <c r="U345" s="19">
        <v>4.7121000000000004</v>
      </c>
      <c r="V345" s="19">
        <v>3.9886590000000002</v>
      </c>
      <c r="W345" s="19">
        <v>5.1288</v>
      </c>
      <c r="X345" s="19">
        <v>3.9886590000000002</v>
      </c>
      <c r="Y345" s="19">
        <v>5.1288</v>
      </c>
      <c r="Z345" s="4"/>
      <c r="AA345" s="4"/>
      <c r="AB345" s="4" t="e">
        <f ca="1">_xll.ciqfunctions.udf.CIQ("^SPX", "IQ_PRICEDATE", "5/6/2015")</f>
        <v>#NAME?</v>
      </c>
      <c r="AC345" s="16">
        <v>2080.1450500901001</v>
      </c>
    </row>
    <row r="346" spans="1:29" x14ac:dyDescent="0.35">
      <c r="A346" s="2" t="s">
        <v>356</v>
      </c>
      <c r="B346" s="4" t="s">
        <v>1377</v>
      </c>
      <c r="C346" s="4" t="s">
        <v>525</v>
      </c>
      <c r="D346" s="4" t="s">
        <v>526</v>
      </c>
      <c r="E346" s="4" t="s">
        <v>803</v>
      </c>
      <c r="F346" s="4" t="s">
        <v>948</v>
      </c>
      <c r="G346" s="14">
        <v>162.54</v>
      </c>
      <c r="H346" s="10">
        <v>10.33174</v>
      </c>
      <c r="I346" s="10">
        <v>20.758623</v>
      </c>
      <c r="J346" s="10" t="s">
        <v>534</v>
      </c>
      <c r="K346" s="15">
        <v>1.8703000000000001E-2</v>
      </c>
      <c r="L346" s="17">
        <v>21522.903629</v>
      </c>
      <c r="M346" s="4" t="s">
        <v>1378</v>
      </c>
      <c r="N346" s="19">
        <v>7.8299989999999999</v>
      </c>
      <c r="O346" s="19">
        <v>11.417590000000001</v>
      </c>
      <c r="P346" s="19">
        <v>6.4283330000000003</v>
      </c>
      <c r="Q346" s="19">
        <v>9.8341999999999992</v>
      </c>
      <c r="R346" s="19">
        <v>6.4823550000000001</v>
      </c>
      <c r="S346" s="19">
        <v>6.9569000000000001</v>
      </c>
      <c r="T346" s="19">
        <v>6.4823550000000001</v>
      </c>
      <c r="U346" s="19">
        <v>6.1521999999999997</v>
      </c>
      <c r="V346" s="19">
        <v>7.2502250000000004</v>
      </c>
      <c r="W346" s="19">
        <v>8.1905999999999999</v>
      </c>
      <c r="X346" s="19">
        <v>7.2502250000000004</v>
      </c>
      <c r="Y346" s="19">
        <v>8.1905999999999999</v>
      </c>
      <c r="Z346" s="4"/>
      <c r="AA346" s="4"/>
      <c r="AB346" s="4" t="e">
        <f ca="1">_xll.ciqfunctions.udf.CIQ("^SPX", "IQ_PRICEDATE", "5/7/2015")</f>
        <v>#NAME?</v>
      </c>
      <c r="AC346" s="16">
        <v>2087.9973305568001</v>
      </c>
    </row>
    <row r="347" spans="1:29" x14ac:dyDescent="0.35">
      <c r="A347" s="2" t="s">
        <v>357</v>
      </c>
      <c r="B347" s="4" t="s">
        <v>1379</v>
      </c>
      <c r="C347" s="4" t="s">
        <v>543</v>
      </c>
      <c r="D347" s="4" t="s">
        <v>544</v>
      </c>
      <c r="E347" s="4" t="s">
        <v>545</v>
      </c>
      <c r="F347" s="4" t="s">
        <v>616</v>
      </c>
      <c r="G347" s="14">
        <v>68.89</v>
      </c>
      <c r="H347" s="10">
        <v>16.944186999999999</v>
      </c>
      <c r="I347" s="10">
        <v>25.801971000000002</v>
      </c>
      <c r="J347" s="10">
        <v>17.196155000000001</v>
      </c>
      <c r="K347" s="15">
        <v>3.2515000000000002E-2</v>
      </c>
      <c r="L347" s="17">
        <v>24737.154847000002</v>
      </c>
      <c r="M347" s="4" t="s">
        <v>1380</v>
      </c>
      <c r="N347" s="19">
        <v>2.6699510000000002</v>
      </c>
      <c r="O347" s="19">
        <v>2.9075000000000002</v>
      </c>
      <c r="P347" s="19">
        <v>2.2698049999999999</v>
      </c>
      <c r="Q347" s="19">
        <v>2.6501000000000001</v>
      </c>
      <c r="R347" s="19">
        <v>2.1501570000000001</v>
      </c>
      <c r="S347" s="19">
        <v>2.3043</v>
      </c>
      <c r="T347" s="19">
        <v>2.1501570000000001</v>
      </c>
      <c r="U347" s="19">
        <v>2.125</v>
      </c>
      <c r="V347" s="19">
        <v>1.769779</v>
      </c>
      <c r="W347" s="19">
        <v>1.9277</v>
      </c>
      <c r="X347" s="19">
        <v>1.769779</v>
      </c>
      <c r="Y347" s="19">
        <v>1.9277</v>
      </c>
      <c r="Z347" s="4"/>
      <c r="AA347" s="4"/>
      <c r="AB347" s="4" t="e">
        <f ca="1">_xll.ciqfunctions.udf.CIQ("^SPX", "IQ_PRICEDATE", "5/8/2015")</f>
        <v>#NAME?</v>
      </c>
      <c r="AC347" s="16">
        <v>2116.0951116755</v>
      </c>
    </row>
    <row r="348" spans="1:29" x14ac:dyDescent="0.35">
      <c r="A348" s="2" t="s">
        <v>358</v>
      </c>
      <c r="B348" s="4" t="s">
        <v>1381</v>
      </c>
      <c r="C348" s="4" t="s">
        <v>543</v>
      </c>
      <c r="D348" s="4" t="s">
        <v>544</v>
      </c>
      <c r="E348" s="4" t="s">
        <v>545</v>
      </c>
      <c r="F348" s="4" t="s">
        <v>616</v>
      </c>
      <c r="G348" s="14">
        <v>80.09</v>
      </c>
      <c r="H348" s="10">
        <v>32.757137999999998</v>
      </c>
      <c r="I348" s="10">
        <v>47.700386999999999</v>
      </c>
      <c r="J348" s="10">
        <v>8.9772379999999998</v>
      </c>
      <c r="K348" s="15">
        <v>0</v>
      </c>
      <c r="L348" s="17">
        <v>94800.331166000004</v>
      </c>
      <c r="M348" s="4" t="s">
        <v>1382</v>
      </c>
      <c r="N348" s="19">
        <v>1.679022</v>
      </c>
      <c r="O348" s="19">
        <v>2.5468000000000002</v>
      </c>
      <c r="P348" s="19">
        <v>1.47</v>
      </c>
      <c r="Q348" s="19">
        <v>2.1452</v>
      </c>
      <c r="R348" s="19">
        <v>1.1499999999999999</v>
      </c>
      <c r="S348" s="19">
        <v>1.6547000000000001</v>
      </c>
      <c r="T348" s="19">
        <v>1.1499999999999999</v>
      </c>
      <c r="U348" s="19">
        <v>1.4307000000000001</v>
      </c>
      <c r="V348" s="19">
        <v>0.34</v>
      </c>
      <c r="W348" s="19">
        <v>0</v>
      </c>
      <c r="X348" s="19">
        <v>0.34</v>
      </c>
      <c r="Y348" s="19">
        <v>0</v>
      </c>
      <c r="Z348" s="4"/>
      <c r="AA348" s="4"/>
      <c r="AB348" s="4" t="e">
        <f ca="1">_xll.ciqfunctions.udf.CIQ("^SPX", "IQ_PRICEDATE", "5/11/2015")</f>
        <v>#NAME?</v>
      </c>
      <c r="AC348" s="16">
        <v>2105.3275425463999</v>
      </c>
    </row>
    <row r="349" spans="1:29" x14ac:dyDescent="0.35">
      <c r="A349" s="2" t="s">
        <v>359</v>
      </c>
      <c r="B349" s="4" t="s">
        <v>1383</v>
      </c>
      <c r="C349" s="4" t="s">
        <v>525</v>
      </c>
      <c r="D349" s="4" t="s">
        <v>526</v>
      </c>
      <c r="E349" s="4" t="s">
        <v>803</v>
      </c>
      <c r="F349" s="4" t="s">
        <v>948</v>
      </c>
      <c r="G349" s="14">
        <v>38.994999999999997</v>
      </c>
      <c r="H349" s="10">
        <v>7.4371559999999999</v>
      </c>
      <c r="I349" s="10">
        <v>11.725459000000001</v>
      </c>
      <c r="J349" s="10" t="s">
        <v>534</v>
      </c>
      <c r="K349" s="15">
        <v>1.787E-2</v>
      </c>
      <c r="L349" s="17">
        <v>6870.5694309999999</v>
      </c>
      <c r="M349" s="4" t="s">
        <v>1384</v>
      </c>
      <c r="N349" s="19">
        <v>3.3405939999999998</v>
      </c>
      <c r="O349" s="19">
        <v>2.4123000000000001</v>
      </c>
      <c r="P349" s="19">
        <v>2.61</v>
      </c>
      <c r="Q349" s="19">
        <v>3.8936000000000002</v>
      </c>
      <c r="R349" s="19">
        <v>2.4700000000000002</v>
      </c>
      <c r="S349" s="19">
        <v>3.3353000000000002</v>
      </c>
      <c r="T349" s="19">
        <v>2.4700000000000002</v>
      </c>
      <c r="U349" s="19">
        <v>4.0029000000000003</v>
      </c>
      <c r="V349" s="19">
        <v>1.84</v>
      </c>
      <c r="W349" s="19">
        <v>4.1447000000000003</v>
      </c>
      <c r="X349" s="19">
        <v>1.84</v>
      </c>
      <c r="Y349" s="19">
        <v>4.1447000000000003</v>
      </c>
      <c r="Z349" s="4"/>
      <c r="AA349" s="4"/>
      <c r="AB349" s="4" t="e">
        <f ca="1">_xll.ciqfunctions.udf.CIQ("^SPX", "IQ_PRICEDATE", "5/12/2015")</f>
        <v>#NAME?</v>
      </c>
      <c r="AC349" s="16">
        <v>2099.1159344456</v>
      </c>
    </row>
    <row r="350" spans="1:29" x14ac:dyDescent="0.35">
      <c r="A350" s="2" t="s">
        <v>360</v>
      </c>
      <c r="B350" s="4" t="s">
        <v>1385</v>
      </c>
      <c r="C350" s="4" t="s">
        <v>573</v>
      </c>
      <c r="D350" s="4" t="s">
        <v>737</v>
      </c>
      <c r="E350" s="4" t="s">
        <v>737</v>
      </c>
      <c r="F350" s="4" t="s">
        <v>743</v>
      </c>
      <c r="G350" s="14">
        <v>16.350000000000001</v>
      </c>
      <c r="H350" s="10">
        <v>0</v>
      </c>
      <c r="I350" s="10">
        <v>14.013439999999999</v>
      </c>
      <c r="J350" s="10">
        <v>1.811957</v>
      </c>
      <c r="K350" s="15">
        <v>4.2812999999999997E-2</v>
      </c>
      <c r="L350" s="17">
        <v>6056.4263010000004</v>
      </c>
      <c r="M350" s="4" t="s">
        <v>1386</v>
      </c>
      <c r="N350" s="19">
        <v>1.1667369999999999</v>
      </c>
      <c r="O350" s="19">
        <v>1.3675999999999999</v>
      </c>
      <c r="P350" s="19">
        <v>0.97</v>
      </c>
      <c r="Q350" s="19">
        <v>1.1198999999999999</v>
      </c>
      <c r="R350" s="19">
        <v>0.91817800000000005</v>
      </c>
      <c r="S350" s="19">
        <v>0.93940000000000001</v>
      </c>
      <c r="T350" s="19">
        <v>0.91817800000000005</v>
      </c>
      <c r="U350" s="19">
        <v>0.92410000000000003</v>
      </c>
      <c r="V350" s="19">
        <v>0.84</v>
      </c>
      <c r="W350" s="19">
        <v>0.85940000000000005</v>
      </c>
      <c r="X350" s="19">
        <v>0.84</v>
      </c>
      <c r="Y350" s="19">
        <v>0.85940000000000005</v>
      </c>
      <c r="Z350" s="4"/>
      <c r="AA350" s="4"/>
      <c r="AB350" s="4" t="e">
        <f ca="1">_xll.ciqfunctions.udf.CIQ("^SPX", "IQ_PRICEDATE", "5/13/2015")</f>
        <v>#NAME?</v>
      </c>
      <c r="AC350" s="16">
        <v>2098.4776424717002</v>
      </c>
    </row>
    <row r="351" spans="1:29" x14ac:dyDescent="0.35">
      <c r="A351" s="2" t="s">
        <v>361</v>
      </c>
      <c r="B351" s="4" t="s">
        <v>1387</v>
      </c>
      <c r="C351" s="4" t="s">
        <v>626</v>
      </c>
      <c r="D351" s="4" t="s">
        <v>627</v>
      </c>
      <c r="E351" s="4" t="s">
        <v>775</v>
      </c>
      <c r="F351" s="4" t="s">
        <v>1298</v>
      </c>
      <c r="G351" s="14">
        <v>108.31</v>
      </c>
      <c r="H351" s="10">
        <v>13.702133</v>
      </c>
      <c r="I351" s="10">
        <v>31.244959999999999</v>
      </c>
      <c r="J351" s="10" t="s">
        <v>534</v>
      </c>
      <c r="K351" s="15">
        <v>3.4252999999999999E-2</v>
      </c>
      <c r="L351" s="17">
        <v>152886.93007999999</v>
      </c>
      <c r="M351" s="4" t="s">
        <v>1388</v>
      </c>
      <c r="N351" s="19">
        <v>3.4664790000000001</v>
      </c>
      <c r="O351" s="19">
        <v>5.8837999999999999</v>
      </c>
      <c r="P351" s="19">
        <v>3.3776069999999998</v>
      </c>
      <c r="Q351" s="19">
        <v>5.4755000000000003</v>
      </c>
      <c r="R351" s="19">
        <v>4.3588149999999999</v>
      </c>
      <c r="S351" s="19">
        <v>5.0688000000000004</v>
      </c>
      <c r="T351" s="19">
        <v>4.3588149999999999</v>
      </c>
      <c r="U351" s="19">
        <v>4.6847000000000003</v>
      </c>
      <c r="V351" s="19">
        <v>4.265225</v>
      </c>
      <c r="W351" s="19">
        <v>4.7572999999999999</v>
      </c>
      <c r="X351" s="19">
        <v>4.265225</v>
      </c>
      <c r="Y351" s="19">
        <v>4.7572999999999999</v>
      </c>
      <c r="Z351" s="4"/>
      <c r="AA351" s="4"/>
      <c r="AB351" s="4" t="e">
        <f ca="1">_xll.ciqfunctions.udf.CIQ("^SPX", "IQ_PRICEDATE", "5/14/2015")</f>
        <v>#NAME?</v>
      </c>
      <c r="AC351" s="16">
        <v>2121.0952244886998</v>
      </c>
    </row>
    <row r="352" spans="1:29" x14ac:dyDescent="0.35">
      <c r="A352" s="2" t="s">
        <v>362</v>
      </c>
      <c r="B352" s="4" t="s">
        <v>1389</v>
      </c>
      <c r="C352" s="4" t="s">
        <v>530</v>
      </c>
      <c r="D352" s="4" t="s">
        <v>537</v>
      </c>
      <c r="E352" s="4" t="s">
        <v>583</v>
      </c>
      <c r="F352" s="4" t="s">
        <v>583</v>
      </c>
      <c r="G352" s="14">
        <v>90.09</v>
      </c>
      <c r="H352" s="10">
        <v>23.292202</v>
      </c>
      <c r="I352" s="10">
        <v>67.212857999999997</v>
      </c>
      <c r="J352" s="10" t="s">
        <v>534</v>
      </c>
      <c r="K352" s="15">
        <v>3.1050000000000001E-3</v>
      </c>
      <c r="L352" s="17">
        <v>9983.7784319999992</v>
      </c>
      <c r="M352" s="4" t="s">
        <v>1390</v>
      </c>
      <c r="N352" s="19">
        <v>1.34141</v>
      </c>
      <c r="O352" s="19">
        <v>3.8965999999999998</v>
      </c>
      <c r="P352" s="19">
        <v>1.42</v>
      </c>
      <c r="Q352" s="19">
        <v>3.2837999999999998</v>
      </c>
      <c r="R352" s="19">
        <v>1.7889029999999999</v>
      </c>
      <c r="S352" s="19">
        <v>2.9066999999999998</v>
      </c>
      <c r="T352" s="19">
        <v>1.7889029999999999</v>
      </c>
      <c r="U352" s="19">
        <v>2.7705000000000002</v>
      </c>
      <c r="V352" s="19">
        <v>1.1399999999999999</v>
      </c>
      <c r="W352" s="19">
        <v>2.6059000000000001</v>
      </c>
      <c r="X352" s="19">
        <v>1.1399999999999999</v>
      </c>
      <c r="Y352" s="19">
        <v>2.6059000000000001</v>
      </c>
      <c r="Z352" s="4"/>
      <c r="AA352" s="4"/>
      <c r="AB352" s="4" t="e">
        <f ca="1">_xll.ciqfunctions.udf.CIQ("^SPX", "IQ_PRICEDATE", "5/15/2015")</f>
        <v>#NAME?</v>
      </c>
      <c r="AC352" s="16">
        <v>2122.7341297664002</v>
      </c>
    </row>
    <row r="353" spans="1:29" x14ac:dyDescent="0.35">
      <c r="A353" s="2" t="s">
        <v>363</v>
      </c>
      <c r="B353" s="4" t="s">
        <v>1391</v>
      </c>
      <c r="C353" s="4" t="s">
        <v>530</v>
      </c>
      <c r="D353" s="4" t="s">
        <v>537</v>
      </c>
      <c r="E353" s="4" t="s">
        <v>613</v>
      </c>
      <c r="F353" s="4" t="s">
        <v>613</v>
      </c>
      <c r="G353" s="14">
        <v>73.87</v>
      </c>
      <c r="H353" s="10">
        <v>12.218610999999999</v>
      </c>
      <c r="I353" s="10">
        <v>44.208649000000001</v>
      </c>
      <c r="J353" s="10" t="s">
        <v>534</v>
      </c>
      <c r="K353" s="15">
        <v>1.0287999999999999E-2</v>
      </c>
      <c r="L353" s="17">
        <v>10107.823054</v>
      </c>
      <c r="M353" s="4" t="s">
        <v>1392</v>
      </c>
      <c r="N353" s="19">
        <v>1.6709400000000001</v>
      </c>
      <c r="O353" s="19">
        <v>4.9934000000000003</v>
      </c>
      <c r="P353" s="19">
        <v>0.84</v>
      </c>
      <c r="Q353" s="19">
        <v>5.1871</v>
      </c>
      <c r="R353" s="19">
        <v>-28.01</v>
      </c>
      <c r="S353" s="19">
        <v>7.1489000000000003</v>
      </c>
      <c r="T353" s="19">
        <v>-28.01</v>
      </c>
      <c r="U353" s="19">
        <v>9.0718999999999994</v>
      </c>
      <c r="V353" s="19">
        <v>2.565439</v>
      </c>
      <c r="W353" s="19">
        <v>0</v>
      </c>
      <c r="X353" s="19">
        <v>2.565439</v>
      </c>
      <c r="Y353" s="19">
        <v>0</v>
      </c>
      <c r="Z353" s="4"/>
      <c r="AA353" s="4"/>
      <c r="AB353" s="4" t="e">
        <f ca="1">_xll.ciqfunctions.udf.CIQ("^SPX", "IQ_PRICEDATE", "5/18/2015")</f>
        <v>#NAME?</v>
      </c>
      <c r="AC353" s="16">
        <v>2129.2039046988998</v>
      </c>
    </row>
    <row r="354" spans="1:29" x14ac:dyDescent="0.35">
      <c r="A354" s="2" t="s">
        <v>364</v>
      </c>
      <c r="B354" s="4" t="s">
        <v>1393</v>
      </c>
      <c r="C354" s="4" t="s">
        <v>530</v>
      </c>
      <c r="D354" s="4" t="s">
        <v>537</v>
      </c>
      <c r="E354" s="4" t="s">
        <v>613</v>
      </c>
      <c r="F354" s="4" t="s">
        <v>613</v>
      </c>
      <c r="G354" s="14">
        <v>44.57</v>
      </c>
      <c r="H354" s="10">
        <v>13.467200999999999</v>
      </c>
      <c r="I354" s="10">
        <v>11.905595</v>
      </c>
      <c r="J354" s="10" t="s">
        <v>534</v>
      </c>
      <c r="K354" s="15">
        <v>3.0512999999999998E-2</v>
      </c>
      <c r="L354" s="17">
        <v>261274.22054899999</v>
      </c>
      <c r="M354" s="4" t="s">
        <v>1394</v>
      </c>
      <c r="N354" s="19">
        <v>3.7436180000000001</v>
      </c>
      <c r="O354" s="19">
        <v>3.0602999999999998</v>
      </c>
      <c r="P354" s="19">
        <v>3.5170020000000002</v>
      </c>
      <c r="Q354" s="19">
        <v>2.6686000000000001</v>
      </c>
      <c r="R354" s="19">
        <v>1.17</v>
      </c>
      <c r="S354" s="19">
        <v>2.4758</v>
      </c>
      <c r="T354" s="19">
        <v>1.17</v>
      </c>
      <c r="U354" s="19">
        <v>2.3218000000000001</v>
      </c>
      <c r="V354" s="19">
        <v>1.4143829999999999</v>
      </c>
      <c r="W354" s="19">
        <v>2.1695000000000002</v>
      </c>
      <c r="X354" s="19">
        <v>1.4143829999999999</v>
      </c>
      <c r="Y354" s="19">
        <v>2.1695000000000002</v>
      </c>
      <c r="Z354" s="4"/>
      <c r="AA354" s="4"/>
      <c r="AB354" s="4" t="e">
        <f ca="1">_xll.ciqfunctions.udf.CIQ("^SPX", "IQ_PRICEDATE", "5/19/2015")</f>
        <v>#NAME?</v>
      </c>
      <c r="AC354" s="16">
        <v>2127.8250587712</v>
      </c>
    </row>
    <row r="355" spans="1:29" x14ac:dyDescent="0.35">
      <c r="A355" s="2" t="s">
        <v>365</v>
      </c>
      <c r="B355" s="4" t="s">
        <v>1395</v>
      </c>
      <c r="C355" s="4" t="s">
        <v>619</v>
      </c>
      <c r="D355" s="4" t="s">
        <v>619</v>
      </c>
      <c r="E355" s="4" t="s">
        <v>620</v>
      </c>
      <c r="F355" s="4" t="s">
        <v>620</v>
      </c>
      <c r="G355" s="14">
        <v>48.96</v>
      </c>
      <c r="H355" s="10">
        <v>7.8465959999999999</v>
      </c>
      <c r="I355" s="10">
        <v>208.86213599999999</v>
      </c>
      <c r="J355" s="10">
        <v>1.346023</v>
      </c>
      <c r="K355" s="15">
        <v>0</v>
      </c>
      <c r="L355" s="17">
        <v>25319.729459999999</v>
      </c>
      <c r="M355" s="4" t="s">
        <v>1396</v>
      </c>
      <c r="N355" s="19">
        <v>0.23441300000000001</v>
      </c>
      <c r="O355" s="19">
        <v>3.6970000000000001</v>
      </c>
      <c r="P355" s="19">
        <v>3.21</v>
      </c>
      <c r="Q355" s="19">
        <v>3.4001000000000001</v>
      </c>
      <c r="R355" s="19">
        <v>2.78</v>
      </c>
      <c r="S355" s="19">
        <v>3.7797000000000001</v>
      </c>
      <c r="T355" s="19">
        <v>2.78</v>
      </c>
      <c r="U355" s="19">
        <v>3.4639000000000002</v>
      </c>
      <c r="V355" s="19">
        <v>3.06</v>
      </c>
      <c r="W355" s="19">
        <v>3.2985000000000002</v>
      </c>
      <c r="X355" s="19">
        <v>3.06</v>
      </c>
      <c r="Y355" s="19">
        <v>3.2985000000000002</v>
      </c>
      <c r="Z355" s="4"/>
      <c r="AA355" s="4"/>
      <c r="AB355" s="4" t="e">
        <f ca="1">_xll.ciqfunctions.udf.CIQ("^SPX", "IQ_PRICEDATE", "5/20/2015")</f>
        <v>#NAME?</v>
      </c>
      <c r="AC355" s="16">
        <v>2125.8487640356998</v>
      </c>
    </row>
    <row r="356" spans="1:29" x14ac:dyDescent="0.35">
      <c r="A356" s="2" t="s">
        <v>366</v>
      </c>
      <c r="B356" s="4" t="s">
        <v>1397</v>
      </c>
      <c r="C356" s="4" t="s">
        <v>626</v>
      </c>
      <c r="D356" s="4" t="s">
        <v>627</v>
      </c>
      <c r="E356" s="4" t="s">
        <v>628</v>
      </c>
      <c r="F356" s="4" t="s">
        <v>628</v>
      </c>
      <c r="G356" s="14">
        <v>84.56</v>
      </c>
      <c r="H356" s="10">
        <v>12.273115000000001</v>
      </c>
      <c r="I356" s="10">
        <v>20.523150999999999</v>
      </c>
      <c r="J356" s="10" t="s">
        <v>534</v>
      </c>
      <c r="K356" s="15">
        <v>5.3926000000000002E-2</v>
      </c>
      <c r="L356" s="17">
        <v>131449.09881299999</v>
      </c>
      <c r="M356" s="4" t="s">
        <v>1398</v>
      </c>
      <c r="N356" s="19">
        <v>4.1202249999999996</v>
      </c>
      <c r="O356" s="19">
        <v>5.0110999999999999</v>
      </c>
      <c r="P356" s="19">
        <v>3.8795099999999998</v>
      </c>
      <c r="Q356" s="19">
        <v>5.1825999999999999</v>
      </c>
      <c r="R356" s="19">
        <v>4.4796899999999997</v>
      </c>
      <c r="S356" s="19">
        <v>4.7333999999999996</v>
      </c>
      <c r="T356" s="19">
        <v>4.4796899999999997</v>
      </c>
      <c r="U356" s="19">
        <v>4.4893999999999998</v>
      </c>
      <c r="V356" s="19">
        <v>4.76</v>
      </c>
      <c r="W356" s="19">
        <v>4.8090999999999999</v>
      </c>
      <c r="X356" s="19">
        <v>4.76</v>
      </c>
      <c r="Y356" s="19">
        <v>4.8090999999999999</v>
      </c>
      <c r="Z356" s="4"/>
      <c r="AA356" s="4"/>
      <c r="AB356" s="4" t="e">
        <f ca="1">_xll.ciqfunctions.udf.CIQ("^SPX", "IQ_PRICEDATE", "5/21/2015")</f>
        <v>#NAME?</v>
      </c>
      <c r="AC356" s="16">
        <v>2130.8168954618</v>
      </c>
    </row>
    <row r="357" spans="1:29" x14ac:dyDescent="0.35">
      <c r="A357" s="2" t="s">
        <v>367</v>
      </c>
      <c r="B357" s="4" t="s">
        <v>1399</v>
      </c>
      <c r="C357" s="4" t="s">
        <v>669</v>
      </c>
      <c r="D357" s="4" t="s">
        <v>669</v>
      </c>
      <c r="E357" s="4" t="s">
        <v>670</v>
      </c>
      <c r="F357" s="4" t="s">
        <v>1126</v>
      </c>
      <c r="G357" s="14">
        <v>108.78</v>
      </c>
      <c r="H357" s="10">
        <v>10.004242</v>
      </c>
      <c r="I357" s="10">
        <v>9.2006700000000006</v>
      </c>
      <c r="J357" s="10">
        <v>2.7446990000000002</v>
      </c>
      <c r="K357" s="15">
        <v>2.9416999999999999E-2</v>
      </c>
      <c r="L357" s="17">
        <v>50502.464959999998</v>
      </c>
      <c r="M357" s="4" t="s">
        <v>1400</v>
      </c>
      <c r="N357" s="19">
        <v>11.823051</v>
      </c>
      <c r="O357" s="19">
        <v>8.7157</v>
      </c>
      <c r="P357" s="19">
        <v>9.8474850000000007</v>
      </c>
      <c r="Q357" s="19">
        <v>6.2218999999999998</v>
      </c>
      <c r="R357" s="19">
        <v>2.9241640000000002</v>
      </c>
      <c r="S357" s="19">
        <v>5.0987999999999998</v>
      </c>
      <c r="T357" s="19">
        <v>2.9241640000000002</v>
      </c>
      <c r="U357" s="19">
        <v>7.4589999999999996</v>
      </c>
      <c r="V357" s="19">
        <v>7.0970630000000003</v>
      </c>
      <c r="W357" s="19">
        <v>6.7664999999999997</v>
      </c>
      <c r="X357" s="19">
        <v>7.0970630000000003</v>
      </c>
      <c r="Y357" s="19">
        <v>6.7664999999999997</v>
      </c>
      <c r="Z357" s="4"/>
      <c r="AA357" s="4"/>
      <c r="AB357" s="4" t="e">
        <f ca="1">_xll.ciqfunctions.udf.CIQ("^SPX", "IQ_PRICEDATE", "5/22/2015")</f>
        <v>#NAME?</v>
      </c>
      <c r="AC357" s="16">
        <v>2126.0614088692</v>
      </c>
    </row>
    <row r="358" spans="1:29" x14ac:dyDescent="0.35">
      <c r="A358" s="2" t="s">
        <v>368</v>
      </c>
      <c r="B358" s="4" t="s">
        <v>1401</v>
      </c>
      <c r="C358" s="4" t="s">
        <v>619</v>
      </c>
      <c r="D358" s="4" t="s">
        <v>619</v>
      </c>
      <c r="E358" s="4" t="s">
        <v>620</v>
      </c>
      <c r="F358" s="4" t="s">
        <v>620</v>
      </c>
      <c r="G358" s="14">
        <v>83.69</v>
      </c>
      <c r="H358" s="10">
        <v>9.9353280000000002</v>
      </c>
      <c r="I358" s="10">
        <v>20.122198999999998</v>
      </c>
      <c r="J358" s="10">
        <v>1.962518</v>
      </c>
      <c r="K358" s="15">
        <v>3.3216999999999997E-2</v>
      </c>
      <c r="L358" s="17">
        <v>9371.1156929999997</v>
      </c>
      <c r="M358" s="4" t="s">
        <v>1402</v>
      </c>
      <c r="N358" s="19">
        <v>4.1590879999999997</v>
      </c>
      <c r="O358" s="19">
        <v>4.6233000000000004</v>
      </c>
      <c r="P358" s="19">
        <v>4.3499990000000004</v>
      </c>
      <c r="Q358" s="19">
        <v>4.4267000000000003</v>
      </c>
      <c r="R358" s="19">
        <v>3.95</v>
      </c>
      <c r="S358" s="19">
        <v>4.3037000000000001</v>
      </c>
      <c r="T358" s="19">
        <v>3.95</v>
      </c>
      <c r="U358" s="19">
        <v>3.9756</v>
      </c>
      <c r="V358" s="19">
        <v>3.58</v>
      </c>
      <c r="W358" s="19">
        <v>3.8540000000000001</v>
      </c>
      <c r="X358" s="19">
        <v>3.58</v>
      </c>
      <c r="Y358" s="19">
        <v>3.8540000000000001</v>
      </c>
      <c r="Z358" s="4"/>
      <c r="AA358" s="4"/>
      <c r="AB358" s="4" t="e">
        <f ca="1">_xll.ciqfunctions.udf.CIQ("^SPX", "IQ_PRICEDATE", "5/26/2015")</f>
        <v>#NAME?</v>
      </c>
      <c r="AC358" s="16">
        <v>2104.1993725443999</v>
      </c>
    </row>
    <row r="359" spans="1:29" x14ac:dyDescent="0.35">
      <c r="A359" s="2" t="s">
        <v>369</v>
      </c>
      <c r="B359" s="4" t="s">
        <v>1403</v>
      </c>
      <c r="C359" s="4" t="s">
        <v>669</v>
      </c>
      <c r="D359" s="4" t="s">
        <v>669</v>
      </c>
      <c r="E359" s="4" t="s">
        <v>670</v>
      </c>
      <c r="F359" s="4" t="s">
        <v>671</v>
      </c>
      <c r="G359" s="14">
        <v>170.18</v>
      </c>
      <c r="H359" s="10">
        <v>15.654123</v>
      </c>
      <c r="I359" s="10">
        <v>33.024165000000004</v>
      </c>
      <c r="J359" s="10">
        <v>2.586176</v>
      </c>
      <c r="K359" s="15">
        <v>1.8799999999999999E-3</v>
      </c>
      <c r="L359" s="17">
        <v>28998.880300000001</v>
      </c>
      <c r="M359" s="4" t="s">
        <v>1404</v>
      </c>
      <c r="N359" s="19">
        <v>5.1531960000000003</v>
      </c>
      <c r="O359" s="19">
        <v>9.2149000000000001</v>
      </c>
      <c r="P359" s="19">
        <v>4.8499999999999996</v>
      </c>
      <c r="Q359" s="19">
        <v>3.3130999999999999</v>
      </c>
      <c r="R359" s="19">
        <v>-3.3493970000000002</v>
      </c>
      <c r="S359" s="19">
        <v>0.74819999999999998</v>
      </c>
      <c r="T359" s="19">
        <v>-3.3493970000000002</v>
      </c>
      <c r="U359" s="19">
        <v>-0.19969999999999999</v>
      </c>
      <c r="V359" s="19">
        <v>7.15</v>
      </c>
      <c r="W359" s="19">
        <v>4.4124999999999996</v>
      </c>
      <c r="X359" s="19">
        <v>7.15</v>
      </c>
      <c r="Y359" s="19">
        <v>4.4124999999999996</v>
      </c>
      <c r="Z359" s="4"/>
      <c r="AA359" s="4"/>
      <c r="AB359" s="4" t="e">
        <f ca="1">_xll.ciqfunctions.udf.CIQ("^SPX", "IQ_PRICEDATE", "5/27/2015")</f>
        <v>#NAME?</v>
      </c>
      <c r="AC359" s="16">
        <v>2123.4758687950002</v>
      </c>
    </row>
    <row r="360" spans="1:29" x14ac:dyDescent="0.35">
      <c r="A360" s="2" t="s">
        <v>370</v>
      </c>
      <c r="B360" s="4" t="s">
        <v>1405</v>
      </c>
      <c r="C360" s="4" t="s">
        <v>586</v>
      </c>
      <c r="D360" s="4" t="s">
        <v>586</v>
      </c>
      <c r="E360" s="4" t="s">
        <v>587</v>
      </c>
      <c r="F360" s="4" t="s">
        <v>598</v>
      </c>
      <c r="G360" s="14">
        <v>98.12</v>
      </c>
      <c r="H360" s="10">
        <v>11.401399</v>
      </c>
      <c r="I360" s="10">
        <v>19.969313</v>
      </c>
      <c r="J360" s="10" t="s">
        <v>534</v>
      </c>
      <c r="K360" s="15">
        <v>1.9567000000000001E-2</v>
      </c>
      <c r="L360" s="17">
        <v>23746.816363999998</v>
      </c>
      <c r="M360" s="4" t="s">
        <v>1406</v>
      </c>
      <c r="N360" s="19">
        <v>4.9135390000000001</v>
      </c>
      <c r="O360" s="19">
        <v>6.1002000000000001</v>
      </c>
      <c r="P360" s="19">
        <v>5.31</v>
      </c>
      <c r="Q360" s="19">
        <v>6.4161999999999999</v>
      </c>
      <c r="R360" s="19">
        <v>2.04</v>
      </c>
      <c r="S360" s="19">
        <v>6.1288999999999998</v>
      </c>
      <c r="T360" s="19">
        <v>2.04</v>
      </c>
      <c r="U360" s="19">
        <v>6.2786999999999997</v>
      </c>
      <c r="V360" s="19">
        <v>3.7646350000000002</v>
      </c>
      <c r="W360" s="19">
        <v>5.5399000000000003</v>
      </c>
      <c r="X360" s="19">
        <v>3.7646350000000002</v>
      </c>
      <c r="Y360" s="19">
        <v>5.5399000000000003</v>
      </c>
      <c r="Z360" s="4"/>
      <c r="AA360" s="4"/>
      <c r="AB360" s="4" t="e">
        <f ca="1">_xll.ciqfunctions.udf.CIQ("^SPX", "IQ_PRICEDATE", "5/28/2015")</f>
        <v>#NAME?</v>
      </c>
      <c r="AC360" s="16">
        <v>2120.7897623846002</v>
      </c>
    </row>
    <row r="361" spans="1:29" x14ac:dyDescent="0.35">
      <c r="A361" s="2" t="s">
        <v>371</v>
      </c>
      <c r="B361" s="4" t="s">
        <v>1407</v>
      </c>
      <c r="C361" s="4" t="s">
        <v>619</v>
      </c>
      <c r="D361" s="4" t="s">
        <v>619</v>
      </c>
      <c r="E361" s="4" t="s">
        <v>620</v>
      </c>
      <c r="F361" s="4" t="s">
        <v>620</v>
      </c>
      <c r="G361" s="14">
        <v>30.9</v>
      </c>
      <c r="H361" s="10">
        <v>10.155426</v>
      </c>
      <c r="I361" s="10">
        <v>15.328384</v>
      </c>
      <c r="J361" s="10">
        <v>2.9846720000000002</v>
      </c>
      <c r="K361" s="15">
        <v>5.3074000000000003E-2</v>
      </c>
      <c r="L361" s="17">
        <v>22234.733393999999</v>
      </c>
      <c r="M361" s="4" t="s">
        <v>1408</v>
      </c>
      <c r="N361" s="19">
        <v>2.0158680000000002</v>
      </c>
      <c r="O361" s="19">
        <v>2.3231999999999999</v>
      </c>
      <c r="P361" s="19">
        <v>1.64</v>
      </c>
      <c r="Q361" s="19">
        <v>2.2665000000000002</v>
      </c>
      <c r="R361" s="19">
        <v>2.79</v>
      </c>
      <c r="S361" s="19">
        <v>2.1981999999999999</v>
      </c>
      <c r="T361" s="19">
        <v>2.79</v>
      </c>
      <c r="U361" s="19">
        <v>2.2444999999999999</v>
      </c>
      <c r="V361" s="19">
        <v>2.1577449999999998</v>
      </c>
      <c r="W361" s="19">
        <v>2.3094000000000001</v>
      </c>
      <c r="X361" s="19">
        <v>2.1577449999999998</v>
      </c>
      <c r="Y361" s="19">
        <v>2.3094000000000001</v>
      </c>
      <c r="Z361" s="4"/>
      <c r="AA361" s="4"/>
      <c r="AB361" s="4" t="e">
        <f ca="1">_xll.ciqfunctions.udf.CIQ("^SPX", "IQ_PRICEDATE", "5/29/2015")</f>
        <v>#NAME?</v>
      </c>
      <c r="AC361" s="16">
        <v>2107.3895783551002</v>
      </c>
    </row>
    <row r="362" spans="1:29" x14ac:dyDescent="0.35">
      <c r="A362" s="2" t="s">
        <v>372</v>
      </c>
      <c r="B362" s="4" t="s">
        <v>1409</v>
      </c>
      <c r="C362" s="4" t="s">
        <v>586</v>
      </c>
      <c r="D362" s="4" t="s">
        <v>586</v>
      </c>
      <c r="E362" s="4" t="s">
        <v>587</v>
      </c>
      <c r="F362" s="4" t="s">
        <v>588</v>
      </c>
      <c r="G362" s="14">
        <v>159.79</v>
      </c>
      <c r="H362" s="10">
        <v>13.742234</v>
      </c>
      <c r="I362" s="10">
        <v>33.244315</v>
      </c>
      <c r="J362" s="10">
        <v>19.961658</v>
      </c>
      <c r="K362" s="15">
        <v>2.0652E-2</v>
      </c>
      <c r="L362" s="17">
        <v>45951.734525</v>
      </c>
      <c r="M362" s="4" t="s">
        <v>1410</v>
      </c>
      <c r="N362" s="19">
        <v>4.8065360000000004</v>
      </c>
      <c r="O362" s="19">
        <v>7.0350000000000001</v>
      </c>
      <c r="P362" s="19">
        <v>4.32</v>
      </c>
      <c r="Q362" s="19">
        <v>6.2965999999999998</v>
      </c>
      <c r="R362" s="19">
        <v>5.21</v>
      </c>
      <c r="S362" s="19">
        <v>5.8258999999999999</v>
      </c>
      <c r="T362" s="19">
        <v>5.21</v>
      </c>
      <c r="U362" s="19">
        <v>5.9588000000000001</v>
      </c>
      <c r="V362" s="19">
        <v>5.73</v>
      </c>
      <c r="W362" s="19">
        <v>6.6227</v>
      </c>
      <c r="X362" s="19">
        <v>5.73</v>
      </c>
      <c r="Y362" s="19">
        <v>6.6227</v>
      </c>
      <c r="Z362" s="4"/>
      <c r="AA362" s="4"/>
      <c r="AB362" s="4" t="e">
        <f ca="1">_xll.ciqfunctions.udf.CIQ("^SPX", "IQ_PRICEDATE", "6/1/2015")</f>
        <v>#NAME?</v>
      </c>
      <c r="AC362" s="16">
        <v>2111.7315555443001</v>
      </c>
    </row>
    <row r="363" spans="1:29" x14ac:dyDescent="0.35">
      <c r="A363" s="2" t="s">
        <v>373</v>
      </c>
      <c r="B363" s="4" t="s">
        <v>1411</v>
      </c>
      <c r="C363" s="4" t="s">
        <v>573</v>
      </c>
      <c r="D363" s="4" t="s">
        <v>579</v>
      </c>
      <c r="E363" s="4" t="s">
        <v>579</v>
      </c>
      <c r="F363" s="4" t="s">
        <v>580</v>
      </c>
      <c r="G363" s="14">
        <v>55.08</v>
      </c>
      <c r="H363" s="10">
        <v>6.0108459999999999</v>
      </c>
      <c r="I363" s="10">
        <v>6.4307720000000002</v>
      </c>
      <c r="J363" s="10">
        <v>1.7074689999999999</v>
      </c>
      <c r="K363" s="15">
        <v>3.8489000000000002E-2</v>
      </c>
      <c r="L363" s="17">
        <v>15683.961756000001</v>
      </c>
      <c r="M363" s="4" t="s">
        <v>1412</v>
      </c>
      <c r="N363" s="19">
        <v>8.5650680000000001</v>
      </c>
      <c r="O363" s="19">
        <v>6.0256999999999996</v>
      </c>
      <c r="P363" s="19">
        <v>7.88</v>
      </c>
      <c r="Q363" s="19">
        <v>5.4653999999999998</v>
      </c>
      <c r="R363" s="19">
        <v>4.5</v>
      </c>
      <c r="S363" s="19">
        <v>4.7317</v>
      </c>
      <c r="T363" s="19">
        <v>4.5</v>
      </c>
      <c r="U363" s="19">
        <v>4.29</v>
      </c>
      <c r="V363" s="19">
        <v>3.65</v>
      </c>
      <c r="W363" s="19">
        <v>4.2855999999999996</v>
      </c>
      <c r="X363" s="19">
        <v>3.65</v>
      </c>
      <c r="Y363" s="19">
        <v>4.2855999999999996</v>
      </c>
      <c r="Z363" s="4"/>
      <c r="AA363" s="4"/>
      <c r="AB363" s="4" t="e">
        <f ca="1">_xll.ciqfunctions.udf.CIQ("^SPX", "IQ_PRICEDATE", "6/2/2015")</f>
        <v>#NAME?</v>
      </c>
      <c r="AC363" s="16">
        <v>2109.5971932025</v>
      </c>
    </row>
    <row r="364" spans="1:29" x14ac:dyDescent="0.35">
      <c r="A364" s="2" t="s">
        <v>374</v>
      </c>
      <c r="B364" s="4" t="s">
        <v>1413</v>
      </c>
      <c r="C364" s="4" t="s">
        <v>601</v>
      </c>
      <c r="D364" s="4" t="s">
        <v>601</v>
      </c>
      <c r="E364" s="4" t="s">
        <v>602</v>
      </c>
      <c r="F364" s="4" t="s">
        <v>958</v>
      </c>
      <c r="G364" s="14">
        <v>62.86</v>
      </c>
      <c r="H364" s="10">
        <v>29.059937999999999</v>
      </c>
      <c r="I364" s="10">
        <v>25.663626000000001</v>
      </c>
      <c r="J364" s="10">
        <v>1.705268</v>
      </c>
      <c r="K364" s="15">
        <v>3.0543999999999998E-2</v>
      </c>
      <c r="L364" s="17">
        <v>39571.564339999997</v>
      </c>
      <c r="M364" s="4" t="s">
        <v>1414</v>
      </c>
      <c r="N364" s="19">
        <v>2.4493809999999998</v>
      </c>
      <c r="O364" s="19">
        <v>1.7458</v>
      </c>
      <c r="P364" s="19">
        <v>3.056692</v>
      </c>
      <c r="Q364" s="19">
        <v>1.5014000000000001</v>
      </c>
      <c r="R364" s="19">
        <v>2.2688380000000001</v>
      </c>
      <c r="S364" s="19">
        <v>1.1967000000000001</v>
      </c>
      <c r="T364" s="19">
        <v>2.2688380000000001</v>
      </c>
      <c r="U364" s="19">
        <v>0.42280000000000001</v>
      </c>
      <c r="V364" s="19">
        <v>1.2359439999999999</v>
      </c>
      <c r="W364" s="19">
        <v>0.45</v>
      </c>
      <c r="X364" s="19">
        <v>1.2359439999999999</v>
      </c>
      <c r="Y364" s="19">
        <v>0.45</v>
      </c>
      <c r="Z364" s="4"/>
      <c r="AA364" s="4"/>
      <c r="AB364" s="4" t="e">
        <f ca="1">_xll.ciqfunctions.udf.CIQ("^SPX", "IQ_PRICEDATE", "6/3/2015")</f>
        <v>#NAME?</v>
      </c>
      <c r="AC364" s="16">
        <v>2114.0673737123998</v>
      </c>
    </row>
    <row r="365" spans="1:29" x14ac:dyDescent="0.35">
      <c r="A365" s="2" t="s">
        <v>375</v>
      </c>
      <c r="B365" s="4" t="s">
        <v>1415</v>
      </c>
      <c r="C365" s="4" t="s">
        <v>573</v>
      </c>
      <c r="D365" s="4" t="s">
        <v>579</v>
      </c>
      <c r="E365" s="4" t="s">
        <v>579</v>
      </c>
      <c r="F365" s="4" t="s">
        <v>580</v>
      </c>
      <c r="G365" s="14">
        <v>99.7</v>
      </c>
      <c r="H365" s="10">
        <v>7.1693439999999997</v>
      </c>
      <c r="I365" s="10">
        <v>5.7440930000000003</v>
      </c>
      <c r="J365" s="10">
        <v>0.86344699999999996</v>
      </c>
      <c r="K365" s="15">
        <v>3.6108000000000001E-2</v>
      </c>
      <c r="L365" s="17">
        <v>41645.819701</v>
      </c>
      <c r="M365" s="4" t="s">
        <v>1416</v>
      </c>
      <c r="N365" s="19">
        <v>17.356960000000001</v>
      </c>
      <c r="O365" s="19">
        <v>12.6372</v>
      </c>
      <c r="P365" s="19">
        <v>17.857797999999999</v>
      </c>
      <c r="Q365" s="19">
        <v>11.2858</v>
      </c>
      <c r="R365" s="19">
        <v>9.7089110000000005</v>
      </c>
      <c r="S365" s="19">
        <v>10.2933</v>
      </c>
      <c r="T365" s="19">
        <v>9.7089110000000005</v>
      </c>
      <c r="U365" s="19">
        <v>9.9460999999999995</v>
      </c>
      <c r="V365" s="19">
        <v>2.8860480000000002</v>
      </c>
      <c r="W365" s="19">
        <v>9.8229000000000006</v>
      </c>
      <c r="X365" s="19">
        <v>2.8860480000000002</v>
      </c>
      <c r="Y365" s="19">
        <v>9.8229000000000006</v>
      </c>
      <c r="Z365" s="4"/>
      <c r="AA365" s="4"/>
      <c r="AB365" s="4" t="e">
        <f ca="1">_xll.ciqfunctions.udf.CIQ("^SPX", "IQ_PRICEDATE", "6/4/2015")</f>
        <v>#NAME?</v>
      </c>
      <c r="AC365" s="16">
        <v>2095.8440838400002</v>
      </c>
    </row>
    <row r="366" spans="1:29" x14ac:dyDescent="0.35">
      <c r="A366" s="2" t="s">
        <v>376</v>
      </c>
      <c r="B366" s="4" t="s">
        <v>1417</v>
      </c>
      <c r="C366" s="4" t="s">
        <v>619</v>
      </c>
      <c r="D366" s="4" t="s">
        <v>619</v>
      </c>
      <c r="E366" s="4" t="s">
        <v>634</v>
      </c>
      <c r="F366" s="4" t="s">
        <v>634</v>
      </c>
      <c r="G366" s="14">
        <v>53.65</v>
      </c>
      <c r="H366" s="10">
        <v>15.427460999999999</v>
      </c>
      <c r="I366" s="10">
        <v>12.505827</v>
      </c>
      <c r="J366" s="10">
        <v>1.929332</v>
      </c>
      <c r="K366" s="15">
        <v>3.3549999999999996E-2</v>
      </c>
      <c r="L366" s="17">
        <v>27110.596440000001</v>
      </c>
      <c r="M366" s="4" t="s">
        <v>1418</v>
      </c>
      <c r="N366" s="19">
        <v>4.29</v>
      </c>
      <c r="O366" s="19">
        <v>3.3405999999999998</v>
      </c>
      <c r="P366" s="19">
        <v>3.1</v>
      </c>
      <c r="Q366" s="19">
        <v>3.0203000000000002</v>
      </c>
      <c r="R366" s="19">
        <v>1.75</v>
      </c>
      <c r="S366" s="19">
        <v>2.9262999999999999</v>
      </c>
      <c r="T366" s="19">
        <v>1.75</v>
      </c>
      <c r="U366" s="19">
        <v>2.9211</v>
      </c>
      <c r="V366" s="19">
        <v>2.99</v>
      </c>
      <c r="W366" s="19">
        <v>2.7528000000000001</v>
      </c>
      <c r="X366" s="19">
        <v>2.99</v>
      </c>
      <c r="Y366" s="19">
        <v>2.7528000000000001</v>
      </c>
      <c r="Z366" s="4"/>
      <c r="AA366" s="4"/>
      <c r="AB366" s="4" t="e">
        <f ca="1">_xll.ciqfunctions.udf.CIQ("^SPX", "IQ_PRICEDATE", "6/5/2015")</f>
        <v>#NAME?</v>
      </c>
      <c r="AC366" s="16">
        <v>2092.8309484256001</v>
      </c>
    </row>
    <row r="367" spans="1:29" x14ac:dyDescent="0.35">
      <c r="A367" s="2" t="s">
        <v>377</v>
      </c>
      <c r="B367" s="4" t="s">
        <v>1419</v>
      </c>
      <c r="C367" s="4" t="s">
        <v>601</v>
      </c>
      <c r="D367" s="4" t="s">
        <v>601</v>
      </c>
      <c r="E367" s="4" t="s">
        <v>602</v>
      </c>
      <c r="F367" s="4" t="s">
        <v>647</v>
      </c>
      <c r="G367" s="14">
        <v>198.13</v>
      </c>
      <c r="H367" s="10">
        <v>19.940149000000002</v>
      </c>
      <c r="I367" s="10">
        <v>27.595341000000001</v>
      </c>
      <c r="J367" s="10">
        <v>7.3898929999999998</v>
      </c>
      <c r="K367" s="15">
        <v>4.0377000000000003E-2</v>
      </c>
      <c r="L367" s="17">
        <v>34522.255207000002</v>
      </c>
      <c r="M367" s="4" t="s">
        <v>1420</v>
      </c>
      <c r="N367" s="19">
        <v>7.1798349999999997</v>
      </c>
      <c r="O367" s="19">
        <v>7.4696999999999996</v>
      </c>
      <c r="P367" s="19">
        <v>6.73</v>
      </c>
      <c r="Q367" s="19">
        <v>7.4301000000000004</v>
      </c>
      <c r="R367" s="19">
        <v>6.81</v>
      </c>
      <c r="S367" s="19">
        <v>7.3371000000000004</v>
      </c>
      <c r="T367" s="19">
        <v>6.81</v>
      </c>
      <c r="U367" s="19">
        <v>6.7283999999999997</v>
      </c>
      <c r="V367" s="19">
        <v>5.25</v>
      </c>
      <c r="W367" s="19">
        <v>5.5126999999999997</v>
      </c>
      <c r="X367" s="19">
        <v>5.25</v>
      </c>
      <c r="Y367" s="19">
        <v>5.5126999999999997</v>
      </c>
      <c r="Z367" s="4"/>
      <c r="AA367" s="4"/>
      <c r="AB367" s="4" t="e">
        <f ca="1">_xll.ciqfunctions.udf.CIQ("^SPX", "IQ_PRICEDATE", "6/8/2015")</f>
        <v>#NAME?</v>
      </c>
      <c r="AC367" s="16">
        <v>2079.2803854418999</v>
      </c>
    </row>
    <row r="368" spans="1:29" x14ac:dyDescent="0.35">
      <c r="A368" s="2" t="s">
        <v>378</v>
      </c>
      <c r="B368" s="4" t="s">
        <v>1421</v>
      </c>
      <c r="C368" s="4" t="s">
        <v>559</v>
      </c>
      <c r="D368" s="4" t="s">
        <v>912</v>
      </c>
      <c r="E368" s="4" t="s">
        <v>913</v>
      </c>
      <c r="F368" s="4" t="s">
        <v>914</v>
      </c>
      <c r="G368" s="14">
        <v>22.82</v>
      </c>
      <c r="H368" s="10">
        <v>6.5710879999999996</v>
      </c>
      <c r="I368" s="10">
        <v>8.952045</v>
      </c>
      <c r="J368" s="10">
        <v>1.477282</v>
      </c>
      <c r="K368" s="15">
        <v>1.5774999999999997E-2</v>
      </c>
      <c r="L368" s="17">
        <v>6481.3036990000001</v>
      </c>
      <c r="M368" s="4" t="s">
        <v>1422</v>
      </c>
      <c r="N368" s="19">
        <v>2.5491380000000001</v>
      </c>
      <c r="O368" s="19">
        <v>3.6315</v>
      </c>
      <c r="P368" s="19">
        <v>1.4427890000000001</v>
      </c>
      <c r="Q368" s="19">
        <v>2.6408</v>
      </c>
      <c r="R368" s="19">
        <v>1.7479119999999999</v>
      </c>
      <c r="S368" s="19">
        <v>1.9226000000000001</v>
      </c>
      <c r="T368" s="19">
        <v>1.7479119999999999</v>
      </c>
      <c r="U368" s="19">
        <v>1.4933000000000001</v>
      </c>
      <c r="V368" s="19">
        <v>1.259314</v>
      </c>
      <c r="W368" s="19">
        <v>1.3675999999999999</v>
      </c>
      <c r="X368" s="19">
        <v>1.259314</v>
      </c>
      <c r="Y368" s="19">
        <v>1.3675999999999999</v>
      </c>
      <c r="Z368" s="4"/>
      <c r="AA368" s="4"/>
      <c r="AB368" s="4" t="e">
        <f ca="1">_xll.ciqfunctions.udf.CIQ("^SPX", "IQ_PRICEDATE", "6/9/2015")</f>
        <v>#NAME?</v>
      </c>
      <c r="AC368" s="16">
        <v>2080.1520763919998</v>
      </c>
    </row>
    <row r="369" spans="1:29" x14ac:dyDescent="0.35">
      <c r="A369" s="2" t="s">
        <v>379</v>
      </c>
      <c r="B369" s="4" t="s">
        <v>1423</v>
      </c>
      <c r="C369" s="4" t="s">
        <v>559</v>
      </c>
      <c r="D369" s="4" t="s">
        <v>912</v>
      </c>
      <c r="E369" s="4" t="s">
        <v>1097</v>
      </c>
      <c r="F369" s="4" t="s">
        <v>1098</v>
      </c>
      <c r="G369" s="14">
        <v>127.96</v>
      </c>
      <c r="H369" s="10">
        <v>10.616185</v>
      </c>
      <c r="I369" s="10">
        <v>14.450281</v>
      </c>
      <c r="J369" s="10" t="s">
        <v>534</v>
      </c>
      <c r="K369" s="15">
        <v>1.1720000000000001E-3</v>
      </c>
      <c r="L369" s="17">
        <v>9816.5094939999999</v>
      </c>
      <c r="M369" s="4" t="s">
        <v>1424</v>
      </c>
      <c r="N369" s="19">
        <v>8.8551909999999996</v>
      </c>
      <c r="O369" s="19">
        <v>9.8125</v>
      </c>
      <c r="P369" s="19">
        <v>6.7120579999999999</v>
      </c>
      <c r="Q369" s="19">
        <v>8.6102000000000007</v>
      </c>
      <c r="R369" s="19">
        <v>7.1465800000000002</v>
      </c>
      <c r="S369" s="19">
        <v>7.1961000000000004</v>
      </c>
      <c r="T369" s="19">
        <v>7.1465800000000002</v>
      </c>
      <c r="U369" s="19">
        <v>6.5484999999999998</v>
      </c>
      <c r="V369" s="19">
        <v>4.2196809999999996</v>
      </c>
      <c r="W369" s="19">
        <v>8.0885999999999996</v>
      </c>
      <c r="X369" s="19">
        <v>4.2196809999999996</v>
      </c>
      <c r="Y369" s="19">
        <v>8.0885999999999996</v>
      </c>
      <c r="Z369" s="4"/>
      <c r="AA369" s="4"/>
      <c r="AB369" s="4" t="e">
        <f ca="1">_xll.ciqfunctions.udf.CIQ("^SPX", "IQ_PRICEDATE", "6/10/2015")</f>
        <v>#NAME?</v>
      </c>
      <c r="AC369" s="16">
        <v>2105.2022673125998</v>
      </c>
    </row>
    <row r="370" spans="1:29" x14ac:dyDescent="0.35">
      <c r="A370" s="2" t="s">
        <v>380</v>
      </c>
      <c r="B370" s="4" t="s">
        <v>1425</v>
      </c>
      <c r="C370" s="4" t="s">
        <v>543</v>
      </c>
      <c r="D370" s="4" t="s">
        <v>565</v>
      </c>
      <c r="E370" s="4" t="s">
        <v>565</v>
      </c>
      <c r="F370" s="4" t="s">
        <v>566</v>
      </c>
      <c r="G370" s="14">
        <v>75.42</v>
      </c>
      <c r="H370" s="10">
        <v>11.11843</v>
      </c>
      <c r="I370" s="10" t="s">
        <v>534</v>
      </c>
      <c r="J370" s="10">
        <v>5.3367430000000002</v>
      </c>
      <c r="K370" s="15">
        <v>0</v>
      </c>
      <c r="L370" s="17">
        <v>9476.0162529999998</v>
      </c>
      <c r="M370" s="4" t="s">
        <v>1426</v>
      </c>
      <c r="N370" s="19">
        <v>-0.31903599999999999</v>
      </c>
      <c r="O370" s="19">
        <v>6.7069000000000001</v>
      </c>
      <c r="P370" s="19">
        <v>0.217893</v>
      </c>
      <c r="Q370" s="19">
        <v>6.2256</v>
      </c>
      <c r="R370" s="19">
        <v>-0.75099499999999997</v>
      </c>
      <c r="S370" s="19">
        <v>5.0407000000000002</v>
      </c>
      <c r="T370" s="19">
        <v>-0.75099499999999997</v>
      </c>
      <c r="U370" s="19">
        <v>4.8334000000000001</v>
      </c>
      <c r="V370" s="19">
        <v>2.5673659999999998</v>
      </c>
      <c r="W370" s="19">
        <v>0</v>
      </c>
      <c r="X370" s="19">
        <v>2.5673659999999998</v>
      </c>
      <c r="Y370" s="19">
        <v>0</v>
      </c>
      <c r="Z370" s="4"/>
      <c r="AA370" s="4"/>
      <c r="AB370" s="4" t="e">
        <f ca="1">_xll.ciqfunctions.udf.CIQ("^SPX", "IQ_PRICEDATE", "6/11/2015")</f>
        <v>#NAME?</v>
      </c>
      <c r="AC370" s="16">
        <v>2108.8561965326999</v>
      </c>
    </row>
    <row r="371" spans="1:29" x14ac:dyDescent="0.35">
      <c r="A371" s="2" t="s">
        <v>381</v>
      </c>
      <c r="B371" s="4" t="s">
        <v>1427</v>
      </c>
      <c r="C371" s="4" t="s">
        <v>543</v>
      </c>
      <c r="D371" s="4" t="s">
        <v>565</v>
      </c>
      <c r="E371" s="4" t="s">
        <v>565</v>
      </c>
      <c r="F371" s="4" t="s">
        <v>566</v>
      </c>
      <c r="G371" s="14">
        <v>66.099999999999994</v>
      </c>
      <c r="H371" s="10">
        <v>12.284266000000001</v>
      </c>
      <c r="I371" s="10" t="s">
        <v>534</v>
      </c>
      <c r="J371" s="10">
        <v>7.3206350000000002</v>
      </c>
      <c r="K371" s="15">
        <v>3.7517999999999996E-2</v>
      </c>
      <c r="L371" s="17">
        <v>97109.421281999996</v>
      </c>
      <c r="M371" s="4" t="s">
        <v>1428</v>
      </c>
      <c r="N371" s="19">
        <v>-2.8526340000000001</v>
      </c>
      <c r="O371" s="19">
        <v>3.7048999999999999</v>
      </c>
      <c r="P371" s="19">
        <v>-2.8315619999999999</v>
      </c>
      <c r="Q371" s="19">
        <v>3.6014900000000001</v>
      </c>
      <c r="R371" s="19">
        <v>3.278559</v>
      </c>
      <c r="S371" s="19">
        <v>4.7089600000000003</v>
      </c>
      <c r="T371" s="19">
        <v>3.278559</v>
      </c>
      <c r="U371" s="19">
        <v>4.1777199999999999</v>
      </c>
      <c r="V371" s="19">
        <v>4.7318119999999997</v>
      </c>
      <c r="W371" s="19">
        <v>5.2083199999999996</v>
      </c>
      <c r="X371" s="19">
        <v>4.7318119999999997</v>
      </c>
      <c r="Y371" s="19">
        <v>5.2083199999999996</v>
      </c>
      <c r="Z371" s="4"/>
      <c r="AA371" s="4"/>
      <c r="AB371" s="4" t="e">
        <f ca="1">_xll.ciqfunctions.udf.CIQ("^SPX", "IQ_PRICEDATE", "6/12/2015")</f>
        <v>#NAME?</v>
      </c>
      <c r="AC371" s="16">
        <v>2094.1056542483002</v>
      </c>
    </row>
    <row r="372" spans="1:29" x14ac:dyDescent="0.35">
      <c r="A372" s="2" t="s">
        <v>382</v>
      </c>
      <c r="B372" s="4" t="s">
        <v>1429</v>
      </c>
      <c r="C372" s="4" t="s">
        <v>525</v>
      </c>
      <c r="D372" s="4" t="s">
        <v>526</v>
      </c>
      <c r="E372" s="4" t="s">
        <v>1046</v>
      </c>
      <c r="F372" s="4" t="s">
        <v>1046</v>
      </c>
      <c r="G372" s="14">
        <v>32.58</v>
      </c>
      <c r="H372" s="10">
        <v>8.5303269999999998</v>
      </c>
      <c r="I372" s="10">
        <v>16.295328000000001</v>
      </c>
      <c r="J372" s="10">
        <v>3.1826050000000001</v>
      </c>
      <c r="K372" s="15">
        <v>0</v>
      </c>
      <c r="L372" s="17">
        <v>4863.9875730000003</v>
      </c>
      <c r="M372" s="4" t="s">
        <v>1430</v>
      </c>
      <c r="N372" s="19">
        <v>1.9993460000000001</v>
      </c>
      <c r="O372" s="19">
        <v>3.0196000000000001</v>
      </c>
      <c r="P372" s="19">
        <v>2</v>
      </c>
      <c r="Q372" s="19">
        <v>2.2818999999999998</v>
      </c>
      <c r="R372" s="19">
        <v>1.26</v>
      </c>
      <c r="S372" s="19">
        <v>2.0802</v>
      </c>
      <c r="T372" s="19">
        <v>1.26</v>
      </c>
      <c r="U372" s="19">
        <v>1.5874999999999999</v>
      </c>
      <c r="V372" s="19">
        <v>1.22</v>
      </c>
      <c r="W372" s="19">
        <v>2.1514000000000002</v>
      </c>
      <c r="X372" s="19">
        <v>1.22</v>
      </c>
      <c r="Y372" s="19">
        <v>2.1514000000000002</v>
      </c>
      <c r="Z372" s="4"/>
      <c r="AA372" s="4"/>
      <c r="AB372" s="4" t="e">
        <f ca="1">_xll.ciqfunctions.udf.CIQ("^SPX", "IQ_PRICEDATE", "6/15/2015")</f>
        <v>#NAME?</v>
      </c>
      <c r="AC372" s="16">
        <v>2084.4252841215998</v>
      </c>
    </row>
    <row r="373" spans="1:29" x14ac:dyDescent="0.35">
      <c r="A373" s="2" t="s">
        <v>383</v>
      </c>
      <c r="B373" s="4" t="s">
        <v>1431</v>
      </c>
      <c r="C373" s="4" t="s">
        <v>530</v>
      </c>
      <c r="D373" s="4" t="s">
        <v>531</v>
      </c>
      <c r="E373" s="4" t="s">
        <v>569</v>
      </c>
      <c r="F373" s="4" t="s">
        <v>909</v>
      </c>
      <c r="G373" s="14">
        <v>102.38</v>
      </c>
      <c r="H373" s="10">
        <v>11.041496</v>
      </c>
      <c r="I373" s="10">
        <v>17.619931999999999</v>
      </c>
      <c r="J373" s="10" t="s">
        <v>534</v>
      </c>
      <c r="K373" s="15">
        <v>1.9535E-2</v>
      </c>
      <c r="L373" s="17">
        <v>13991.934493999999</v>
      </c>
      <c r="M373" s="4" t="s">
        <v>1432</v>
      </c>
      <c r="N373" s="19">
        <v>5.8104649999999998</v>
      </c>
      <c r="O373" s="19">
        <v>6.7607999999999997</v>
      </c>
      <c r="P373" s="19">
        <v>5.5</v>
      </c>
      <c r="Q373" s="19">
        <v>5.7065000000000001</v>
      </c>
      <c r="R373" s="19">
        <v>4.51</v>
      </c>
      <c r="S373" s="19">
        <v>5.3535000000000004</v>
      </c>
      <c r="T373" s="19">
        <v>4.51</v>
      </c>
      <c r="U373" s="19">
        <v>4.9916999999999998</v>
      </c>
      <c r="V373" s="19">
        <v>3.78</v>
      </c>
      <c r="W373" s="19">
        <v>4.3490000000000002</v>
      </c>
      <c r="X373" s="19">
        <v>3.78</v>
      </c>
      <c r="Y373" s="19">
        <v>4.3490000000000002</v>
      </c>
      <c r="Z373" s="4"/>
      <c r="AA373" s="4"/>
      <c r="AB373" s="4" t="e">
        <f ca="1">_xll.ciqfunctions.udf.CIQ("^SPX", "IQ_PRICEDATE", "6/16/2015")</f>
        <v>#NAME?</v>
      </c>
      <c r="AC373" s="16">
        <v>2096.2923688098999</v>
      </c>
    </row>
    <row r="374" spans="1:29" x14ac:dyDescent="0.35">
      <c r="A374" s="2" t="s">
        <v>384</v>
      </c>
      <c r="B374" s="4" t="s">
        <v>1433</v>
      </c>
      <c r="C374" s="4" t="s">
        <v>559</v>
      </c>
      <c r="D374" s="4" t="s">
        <v>912</v>
      </c>
      <c r="E374" s="4" t="s">
        <v>1097</v>
      </c>
      <c r="F374" s="4" t="s">
        <v>1098</v>
      </c>
      <c r="G374" s="14">
        <v>128.16999999999999</v>
      </c>
      <c r="H374" s="10">
        <v>9.7130709999999993</v>
      </c>
      <c r="I374" s="10">
        <v>49.939976000000001</v>
      </c>
      <c r="J374" s="10">
        <v>4.498068</v>
      </c>
      <c r="K374" s="15">
        <v>1.9504999999999998E-2</v>
      </c>
      <c r="L374" s="17">
        <v>10398.446968</v>
      </c>
      <c r="M374" s="4" t="s">
        <v>1434</v>
      </c>
      <c r="N374" s="19">
        <v>2.566481</v>
      </c>
      <c r="O374" s="19">
        <v>6.7205000000000004</v>
      </c>
      <c r="P374" s="19">
        <v>-1.0085569999999999</v>
      </c>
      <c r="Q374" s="19">
        <v>5.6300999999999997</v>
      </c>
      <c r="R374" s="19">
        <v>1.7486139999999999</v>
      </c>
      <c r="S374" s="19">
        <v>5.4927000000000001</v>
      </c>
      <c r="T374" s="19">
        <v>1.7486139999999999</v>
      </c>
      <c r="U374" s="19">
        <v>7.1894</v>
      </c>
      <c r="V374" s="19">
        <v>8.1375340000000005</v>
      </c>
      <c r="W374" s="19">
        <v>9.1341000000000001</v>
      </c>
      <c r="X374" s="19">
        <v>8.1375340000000005</v>
      </c>
      <c r="Y374" s="19">
        <v>9.1341000000000001</v>
      </c>
      <c r="Z374" s="4"/>
      <c r="AA374" s="4"/>
      <c r="AB374" s="4" t="e">
        <f ca="1">_xll.ciqfunctions.udf.CIQ("^SPX", "IQ_PRICEDATE", "6/17/2015")</f>
        <v>#NAME?</v>
      </c>
      <c r="AC374" s="16">
        <v>2100.4437209033999</v>
      </c>
    </row>
    <row r="375" spans="1:29" x14ac:dyDescent="0.35">
      <c r="A375" s="2" t="s">
        <v>385</v>
      </c>
      <c r="B375" s="4" t="s">
        <v>1435</v>
      </c>
      <c r="C375" s="4" t="s">
        <v>573</v>
      </c>
      <c r="D375" s="4" t="s">
        <v>574</v>
      </c>
      <c r="E375" s="4" t="s">
        <v>575</v>
      </c>
      <c r="F375" s="4" t="s">
        <v>963</v>
      </c>
      <c r="G375" s="14">
        <v>89.18</v>
      </c>
      <c r="H375" s="10">
        <v>0</v>
      </c>
      <c r="I375" s="10">
        <v>16.845255999999999</v>
      </c>
      <c r="J375" s="10">
        <v>2.3547199999999999</v>
      </c>
      <c r="K375" s="15">
        <v>1.3455E-2</v>
      </c>
      <c r="L375" s="17">
        <v>12587.40028</v>
      </c>
      <c r="M375" s="4" t="s">
        <v>1436</v>
      </c>
      <c r="N375" s="19">
        <v>5.2940719999999999</v>
      </c>
      <c r="O375" s="19">
        <v>7.5509000000000004</v>
      </c>
      <c r="P375" s="19">
        <v>4.1229310000000003</v>
      </c>
      <c r="Q375" s="19">
        <v>6.0290699999999999</v>
      </c>
      <c r="R375" s="19">
        <v>3.9355730000000002</v>
      </c>
      <c r="S375" s="19">
        <v>4.3505000000000003</v>
      </c>
      <c r="T375" s="19">
        <v>3.9355730000000002</v>
      </c>
      <c r="U375" s="19">
        <v>3.85243</v>
      </c>
      <c r="V375" s="19">
        <v>3.3785249999999998</v>
      </c>
      <c r="W375" s="19">
        <v>3.6553100000000001</v>
      </c>
      <c r="X375" s="19">
        <v>3.3785249999999998</v>
      </c>
      <c r="Y375" s="19">
        <v>3.6553100000000001</v>
      </c>
      <c r="Z375" s="4"/>
      <c r="AA375" s="4"/>
      <c r="AB375" s="4" t="e">
        <f ca="1">_xll.ciqfunctions.udf.CIQ("^SPX", "IQ_PRICEDATE", "6/18/2015")</f>
        <v>#NAME?</v>
      </c>
      <c r="AC375" s="16">
        <v>2121.2354112715998</v>
      </c>
    </row>
    <row r="376" spans="1:29" x14ac:dyDescent="0.35">
      <c r="A376" s="2" t="s">
        <v>386</v>
      </c>
      <c r="B376" s="4" t="s">
        <v>1437</v>
      </c>
      <c r="C376" s="4" t="s">
        <v>525</v>
      </c>
      <c r="D376" s="4" t="s">
        <v>526</v>
      </c>
      <c r="E376" s="4" t="s">
        <v>703</v>
      </c>
      <c r="F376" s="4" t="s">
        <v>703</v>
      </c>
      <c r="G376" s="14">
        <v>193.12</v>
      </c>
      <c r="H376" s="10">
        <v>14.827256</v>
      </c>
      <c r="I376" s="10">
        <v>23.288088999999999</v>
      </c>
      <c r="J376" s="10" t="s">
        <v>534</v>
      </c>
      <c r="K376" s="15">
        <v>1.7967999999999998E-2</v>
      </c>
      <c r="L376" s="17">
        <v>55089.411200000002</v>
      </c>
      <c r="M376" s="4" t="s">
        <v>1438</v>
      </c>
      <c r="N376" s="19">
        <v>8.2926509999999993</v>
      </c>
      <c r="O376" s="19">
        <v>10.5326</v>
      </c>
      <c r="P376" s="19">
        <v>6.94</v>
      </c>
      <c r="Q376" s="19">
        <v>7.9721000000000002</v>
      </c>
      <c r="R376" s="19">
        <v>7.55</v>
      </c>
      <c r="S376" s="19">
        <v>6.9596</v>
      </c>
      <c r="T376" s="19">
        <v>7.55</v>
      </c>
      <c r="U376" s="19">
        <v>6.8864999999999998</v>
      </c>
      <c r="V376" s="19">
        <v>6.97</v>
      </c>
      <c r="W376" s="19">
        <v>6.8384999999999998</v>
      </c>
      <c r="X376" s="19">
        <v>6.97</v>
      </c>
      <c r="Y376" s="19">
        <v>6.8384999999999998</v>
      </c>
      <c r="Z376" s="4"/>
      <c r="AA376" s="4"/>
      <c r="AB376" s="4" t="e">
        <f ca="1">_xll.ciqfunctions.udf.CIQ("^SPX", "IQ_PRICEDATE", "6/19/2015")</f>
        <v>#NAME?</v>
      </c>
      <c r="AC376" s="16">
        <v>2109.9882780010998</v>
      </c>
    </row>
    <row r="377" spans="1:29" x14ac:dyDescent="0.35">
      <c r="A377" s="2" t="s">
        <v>387</v>
      </c>
      <c r="B377" s="4" t="s">
        <v>1439</v>
      </c>
      <c r="C377" s="4" t="s">
        <v>601</v>
      </c>
      <c r="D377" s="4" t="s">
        <v>601</v>
      </c>
      <c r="E377" s="4" t="s">
        <v>602</v>
      </c>
      <c r="F377" s="4" t="s">
        <v>1026</v>
      </c>
      <c r="G377" s="14">
        <v>58.04</v>
      </c>
      <c r="H377" s="10">
        <v>20.322717000000001</v>
      </c>
      <c r="I377" s="10">
        <v>49.958812000000002</v>
      </c>
      <c r="J377" s="10">
        <v>2.7009439999999998</v>
      </c>
      <c r="K377" s="15">
        <v>4.5589000000000005E-2</v>
      </c>
      <c r="L377" s="17">
        <v>16834.113131999999</v>
      </c>
      <c r="M377" s="4" t="s">
        <v>1440</v>
      </c>
      <c r="N377" s="19">
        <v>1.1617569999999999</v>
      </c>
      <c r="O377" s="19">
        <v>1.3156000000000001</v>
      </c>
      <c r="P377" s="19">
        <v>1.0999989999999999</v>
      </c>
      <c r="Q377" s="19">
        <v>1.2678</v>
      </c>
      <c r="R377" s="19">
        <v>1.1299999999999999</v>
      </c>
      <c r="S377" s="19">
        <v>1.2182999999999999</v>
      </c>
      <c r="T377" s="19">
        <v>1.1299999999999999</v>
      </c>
      <c r="U377" s="19">
        <v>1.0723</v>
      </c>
      <c r="V377" s="19">
        <v>1.0291539999999999</v>
      </c>
      <c r="W377" s="19">
        <v>0.96919999999999995</v>
      </c>
      <c r="X377" s="19">
        <v>1.0291539999999999</v>
      </c>
      <c r="Y377" s="19">
        <v>0.96919999999999995</v>
      </c>
      <c r="Z377" s="4"/>
      <c r="AA377" s="4"/>
      <c r="AB377" s="4" t="e">
        <f ca="1">_xll.ciqfunctions.udf.CIQ("^SPX", "IQ_PRICEDATE", "6/22/2015")</f>
        <v>#NAME?</v>
      </c>
      <c r="AC377" s="16">
        <v>2122.8467894445998</v>
      </c>
    </row>
    <row r="378" spans="1:29" x14ac:dyDescent="0.35">
      <c r="A378" s="2" t="s">
        <v>388</v>
      </c>
      <c r="B378" s="4" t="s">
        <v>1441</v>
      </c>
      <c r="C378" s="4" t="s">
        <v>543</v>
      </c>
      <c r="D378" s="4" t="s">
        <v>544</v>
      </c>
      <c r="E378" s="4" t="s">
        <v>555</v>
      </c>
      <c r="F378" s="4" t="s">
        <v>782</v>
      </c>
      <c r="G378" s="14">
        <v>124.84</v>
      </c>
      <c r="H378" s="10">
        <v>34.442061000000002</v>
      </c>
      <c r="I378" s="10">
        <v>81.723285000000004</v>
      </c>
      <c r="J378" s="10" t="s">
        <v>534</v>
      </c>
      <c r="K378" s="15">
        <v>0</v>
      </c>
      <c r="L378" s="17">
        <v>21968.553962000002</v>
      </c>
      <c r="M378" s="4" t="s">
        <v>1442</v>
      </c>
      <c r="N378" s="19">
        <v>1.5275939999999999</v>
      </c>
      <c r="O378" s="19">
        <v>3.7183999999999999</v>
      </c>
      <c r="P378" s="19">
        <v>1.852301</v>
      </c>
      <c r="Q378" s="19">
        <v>3.2326999999999999</v>
      </c>
      <c r="R378" s="19">
        <v>1.3097810000000001</v>
      </c>
      <c r="S378" s="19">
        <v>2.5049999999999999</v>
      </c>
      <c r="T378" s="19">
        <v>1.3097810000000001</v>
      </c>
      <c r="U378" s="19">
        <v>2.0676999999999999</v>
      </c>
      <c r="V378" s="19">
        <v>0.940052</v>
      </c>
      <c r="W378" s="19">
        <v>1.7611000000000001</v>
      </c>
      <c r="X378" s="19">
        <v>0.940052</v>
      </c>
      <c r="Y378" s="19">
        <v>1.7611000000000001</v>
      </c>
      <c r="Z378" s="4"/>
      <c r="AA378" s="4"/>
      <c r="AB378" s="4" t="e">
        <f ca="1">_xll.ciqfunctions.udf.CIQ("^SPX", "IQ_PRICEDATE", "6/23/2015")</f>
        <v>#NAME?</v>
      </c>
      <c r="AC378" s="16">
        <v>2124.1984754584</v>
      </c>
    </row>
    <row r="379" spans="1:29" x14ac:dyDescent="0.35">
      <c r="A379" s="2" t="s">
        <v>389</v>
      </c>
      <c r="B379" s="4" t="s">
        <v>1443</v>
      </c>
      <c r="C379" s="4" t="s">
        <v>601</v>
      </c>
      <c r="D379" s="4" t="s">
        <v>601</v>
      </c>
      <c r="E379" s="4" t="s">
        <v>602</v>
      </c>
      <c r="F379" s="4" t="s">
        <v>1026</v>
      </c>
      <c r="G379" s="14">
        <v>63.02</v>
      </c>
      <c r="H379" s="10">
        <v>19.780158</v>
      </c>
      <c r="I379" s="10">
        <v>43.796644999999998</v>
      </c>
      <c r="J379" s="10">
        <v>1.844967</v>
      </c>
      <c r="K379" s="15">
        <v>3.5226E-2</v>
      </c>
      <c r="L379" s="17">
        <v>10677.838191999999</v>
      </c>
      <c r="M379" s="4" t="s">
        <v>1444</v>
      </c>
      <c r="N379" s="19">
        <v>1.438923</v>
      </c>
      <c r="O379" s="19">
        <v>1.4756</v>
      </c>
      <c r="P379" s="19">
        <v>1</v>
      </c>
      <c r="Q379" s="19">
        <v>1.3922000000000001</v>
      </c>
      <c r="R379" s="19">
        <v>1.42</v>
      </c>
      <c r="S379" s="19">
        <v>1.5489999999999999</v>
      </c>
      <c r="T379" s="19">
        <v>1.42</v>
      </c>
      <c r="U379" s="19">
        <v>1.1554</v>
      </c>
      <c r="V379" s="19">
        <v>1.7957669999999999</v>
      </c>
      <c r="W379" s="19">
        <v>0.99760000000000004</v>
      </c>
      <c r="X379" s="19">
        <v>1.7957669999999999</v>
      </c>
      <c r="Y379" s="19">
        <v>0.99760000000000004</v>
      </c>
      <c r="Z379" s="4"/>
      <c r="AA379" s="4"/>
      <c r="AB379" s="4" t="e">
        <f ca="1">_xll.ciqfunctions.udf.CIQ("^SPX", "IQ_PRICEDATE", "6/24/2015")</f>
        <v>#NAME?</v>
      </c>
      <c r="AC379" s="16">
        <v>2108.5780593228001</v>
      </c>
    </row>
    <row r="380" spans="1:29" x14ac:dyDescent="0.35">
      <c r="A380" s="2" t="s">
        <v>390</v>
      </c>
      <c r="B380" s="4" t="s">
        <v>1445</v>
      </c>
      <c r="C380" s="4" t="s">
        <v>530</v>
      </c>
      <c r="D380" s="4" t="s">
        <v>537</v>
      </c>
      <c r="E380" s="4" t="s">
        <v>538</v>
      </c>
      <c r="F380" s="4" t="s">
        <v>538</v>
      </c>
      <c r="G380" s="14">
        <v>399.06</v>
      </c>
      <c r="H380" s="10">
        <v>17.321949</v>
      </c>
      <c r="I380" s="10">
        <v>28.973458999999998</v>
      </c>
      <c r="J380" s="10">
        <v>5.9860939999999996</v>
      </c>
      <c r="K380" s="15">
        <v>0</v>
      </c>
      <c r="L380" s="17">
        <v>43076.569212000002</v>
      </c>
      <c r="M380" s="4" t="s">
        <v>1446</v>
      </c>
      <c r="N380" s="19">
        <v>13.773294999999999</v>
      </c>
      <c r="O380" s="19">
        <v>20.823799999999999</v>
      </c>
      <c r="P380" s="19">
        <v>10.34</v>
      </c>
      <c r="Q380" s="19">
        <v>16.898900000000001</v>
      </c>
      <c r="R380" s="19">
        <v>7.6990809999999996</v>
      </c>
      <c r="S380" s="19">
        <v>13.571300000000001</v>
      </c>
      <c r="T380" s="19">
        <v>7.6990809999999996</v>
      </c>
      <c r="U380" s="19">
        <v>14.7066</v>
      </c>
      <c r="V380" s="19">
        <v>2.98</v>
      </c>
      <c r="W380" s="19">
        <v>10.794</v>
      </c>
      <c r="X380" s="19">
        <v>2.98</v>
      </c>
      <c r="Y380" s="19">
        <v>10.794</v>
      </c>
      <c r="Z380" s="4"/>
      <c r="AA380" s="4"/>
      <c r="AB380" s="4" t="e">
        <f ca="1">_xll.ciqfunctions.udf.CIQ("^SPX", "IQ_PRICEDATE", "6/25/2015")</f>
        <v>#NAME?</v>
      </c>
      <c r="AC380" s="16">
        <v>2102.3120563614002</v>
      </c>
    </row>
    <row r="381" spans="1:29" x14ac:dyDescent="0.35">
      <c r="A381" s="2" t="s">
        <v>391</v>
      </c>
      <c r="B381" s="4" t="s">
        <v>1447</v>
      </c>
      <c r="C381" s="4" t="s">
        <v>573</v>
      </c>
      <c r="D381" s="4" t="s">
        <v>737</v>
      </c>
      <c r="E381" s="4" t="s">
        <v>737</v>
      </c>
      <c r="F381" s="4" t="s">
        <v>743</v>
      </c>
      <c r="G381" s="14">
        <v>17.329999999999998</v>
      </c>
      <c r="H381" s="10">
        <v>0</v>
      </c>
      <c r="I381" s="10">
        <v>14.460537</v>
      </c>
      <c r="J381" s="10">
        <v>1.9513240000000001</v>
      </c>
      <c r="K381" s="15">
        <v>3.2313000000000001E-2</v>
      </c>
      <c r="L381" s="17">
        <v>19105.808375000001</v>
      </c>
      <c r="M381" s="4" t="s">
        <v>1448</v>
      </c>
      <c r="N381" s="19">
        <v>1.198434</v>
      </c>
      <c r="O381" s="19">
        <v>1.4888999999999999</v>
      </c>
      <c r="P381" s="19">
        <v>1</v>
      </c>
      <c r="Q381" s="19">
        <v>1.1037999999999999</v>
      </c>
      <c r="R381" s="19">
        <v>0.87</v>
      </c>
      <c r="S381" s="19">
        <v>0.94189999999999996</v>
      </c>
      <c r="T381" s="19">
        <v>0.87</v>
      </c>
      <c r="U381" s="19">
        <v>0.82430000000000003</v>
      </c>
      <c r="V381" s="19">
        <v>0.78</v>
      </c>
      <c r="W381" s="19">
        <v>0.85</v>
      </c>
      <c r="X381" s="19">
        <v>0.78</v>
      </c>
      <c r="Y381" s="19">
        <v>0.85</v>
      </c>
      <c r="Z381" s="4"/>
      <c r="AA381" s="4"/>
      <c r="AB381" s="4" t="e">
        <f ca="1">_xll.ciqfunctions.udf.CIQ("^SPX", "IQ_PRICEDATE", "6/26/2015")</f>
        <v>#NAME?</v>
      </c>
      <c r="AC381" s="16">
        <v>2101.4873869614999</v>
      </c>
    </row>
    <row r="382" spans="1:29" x14ac:dyDescent="0.35">
      <c r="A382" s="2" t="s">
        <v>392</v>
      </c>
      <c r="B382" s="4" t="s">
        <v>1449</v>
      </c>
      <c r="C382" s="4" t="s">
        <v>525</v>
      </c>
      <c r="D382" s="4" t="s">
        <v>855</v>
      </c>
      <c r="E382" s="4" t="s">
        <v>856</v>
      </c>
      <c r="F382" s="4" t="s">
        <v>1450</v>
      </c>
      <c r="G382" s="14">
        <v>71.959999999999994</v>
      </c>
      <c r="H382" s="10">
        <v>11.416579</v>
      </c>
      <c r="I382" s="10">
        <v>17.679811999999998</v>
      </c>
      <c r="J382" s="10" t="s">
        <v>534</v>
      </c>
      <c r="K382" s="15">
        <v>2.0844000000000001E-2</v>
      </c>
      <c r="L382" s="17">
        <v>23430.175999999999</v>
      </c>
      <c r="M382" s="4" t="s">
        <v>1451</v>
      </c>
      <c r="N382" s="19">
        <v>4.0701790000000004</v>
      </c>
      <c r="O382" s="19">
        <v>3.1497000000000002</v>
      </c>
      <c r="P382" s="19">
        <v>3.77</v>
      </c>
      <c r="Q382" s="19">
        <v>2.5028999999999999</v>
      </c>
      <c r="R382" s="19">
        <v>1.78</v>
      </c>
      <c r="S382" s="19">
        <v>2.3121999999999998</v>
      </c>
      <c r="T382" s="19">
        <v>1.78</v>
      </c>
      <c r="U382" s="19">
        <v>2.1122999999999998</v>
      </c>
      <c r="V382" s="19">
        <v>1.53</v>
      </c>
      <c r="W382" s="19">
        <v>2.0036</v>
      </c>
      <c r="X382" s="19">
        <v>1.53</v>
      </c>
      <c r="Y382" s="19">
        <v>2.0036</v>
      </c>
      <c r="Z382" s="4"/>
      <c r="AA382" s="4"/>
      <c r="AB382" s="4" t="e">
        <f ca="1">_xll.ciqfunctions.udf.CIQ("^SPX", "IQ_PRICEDATE", "6/29/2015")</f>
        <v>#NAME?</v>
      </c>
      <c r="AC382" s="16">
        <v>2057.6410918902002</v>
      </c>
    </row>
    <row r="383" spans="1:29" x14ac:dyDescent="0.35">
      <c r="A383" s="2" t="s">
        <v>393</v>
      </c>
      <c r="B383" s="4" t="s">
        <v>1452</v>
      </c>
      <c r="C383" s="4" t="s">
        <v>530</v>
      </c>
      <c r="D383" s="4" t="s">
        <v>531</v>
      </c>
      <c r="E383" s="4" t="s">
        <v>532</v>
      </c>
      <c r="F383" s="4" t="s">
        <v>533</v>
      </c>
      <c r="G383" s="14">
        <v>106.66</v>
      </c>
      <c r="H383" s="10">
        <v>22.510649999999998</v>
      </c>
      <c r="I383" s="10">
        <v>48.703195999999998</v>
      </c>
      <c r="J383" s="10">
        <v>19.640149999999998</v>
      </c>
      <c r="K383" s="15">
        <v>1.3875E-2</v>
      </c>
      <c r="L383" s="17">
        <v>15219.508988</v>
      </c>
      <c r="M383" s="4" t="s">
        <v>1453</v>
      </c>
      <c r="N383" s="19">
        <v>2.19</v>
      </c>
      <c r="O383" s="19">
        <v>3.7151100000000001</v>
      </c>
      <c r="P383" s="19">
        <v>1.987322</v>
      </c>
      <c r="Q383" s="19">
        <v>3.1392000000000002</v>
      </c>
      <c r="R383" s="19">
        <v>2.3097089999999998</v>
      </c>
      <c r="S383" s="19">
        <v>2.82</v>
      </c>
      <c r="T383" s="19">
        <v>2.3097089999999998</v>
      </c>
      <c r="U383" s="19">
        <v>2.7869999999999999</v>
      </c>
      <c r="V383" s="19">
        <v>2.4607209999999999</v>
      </c>
      <c r="W383" s="19">
        <v>2.6614</v>
      </c>
      <c r="X383" s="19">
        <v>2.4607209999999999</v>
      </c>
      <c r="Y383" s="19">
        <v>2.6614</v>
      </c>
      <c r="Z383" s="4"/>
      <c r="AA383" s="4"/>
      <c r="AB383" s="4" t="e">
        <f ca="1">_xll.ciqfunctions.udf.CIQ("^SPX", "IQ_PRICEDATE", "6/30/2015")</f>
        <v>#NAME?</v>
      </c>
      <c r="AC383" s="16">
        <v>2063.1118322236998</v>
      </c>
    </row>
    <row r="384" spans="1:29" x14ac:dyDescent="0.35">
      <c r="A384" s="2" t="s">
        <v>394</v>
      </c>
      <c r="B384" s="4" t="s">
        <v>1454</v>
      </c>
      <c r="C384" s="4" t="s">
        <v>525</v>
      </c>
      <c r="D384" s="4" t="s">
        <v>855</v>
      </c>
      <c r="E384" s="4" t="s">
        <v>990</v>
      </c>
      <c r="F384" s="4" t="s">
        <v>1455</v>
      </c>
      <c r="G384" s="14">
        <v>64.55</v>
      </c>
      <c r="H384" s="10">
        <v>12.243043999999999</v>
      </c>
      <c r="I384" s="10">
        <v>23.514814000000001</v>
      </c>
      <c r="J384" s="10">
        <v>8.7478300000000004</v>
      </c>
      <c r="K384" s="15">
        <v>1.7350000000000001E-2</v>
      </c>
      <c r="L384" s="17">
        <v>7768.2052000000003</v>
      </c>
      <c r="M384" s="4" t="s">
        <v>1456</v>
      </c>
      <c r="N384" s="19">
        <v>2.7450779999999999</v>
      </c>
      <c r="O384" s="19">
        <v>3.6137000000000001</v>
      </c>
      <c r="P384" s="19">
        <v>2.33</v>
      </c>
      <c r="Q384" s="19">
        <v>3.0674000000000001</v>
      </c>
      <c r="R384" s="19">
        <v>2.67</v>
      </c>
      <c r="S384" s="19">
        <v>2.7521</v>
      </c>
      <c r="T384" s="19">
        <v>2.67</v>
      </c>
      <c r="U384" s="19">
        <v>2.9569999999999999</v>
      </c>
      <c r="V384" s="19">
        <v>2.2599999999999998</v>
      </c>
      <c r="W384" s="19">
        <v>2.5206</v>
      </c>
      <c r="X384" s="19">
        <v>2.2599999999999998</v>
      </c>
      <c r="Y384" s="19">
        <v>2.5206</v>
      </c>
      <c r="Z384" s="4"/>
      <c r="AA384" s="4"/>
      <c r="AB384" s="4" t="e">
        <f ca="1">_xll.ciqfunctions.udf.CIQ("^SPX", "IQ_PRICEDATE", "7/1/2015")</f>
        <v>#NAME?</v>
      </c>
      <c r="AC384" s="16">
        <v>2077.4243417120001</v>
      </c>
    </row>
    <row r="385" spans="1:29" x14ac:dyDescent="0.35">
      <c r="A385" s="2" t="s">
        <v>395</v>
      </c>
      <c r="B385" s="4" t="s">
        <v>1457</v>
      </c>
      <c r="C385" s="4" t="s">
        <v>525</v>
      </c>
      <c r="D385" s="4" t="s">
        <v>526</v>
      </c>
      <c r="E385" s="4" t="s">
        <v>658</v>
      </c>
      <c r="F385" s="4" t="s">
        <v>659</v>
      </c>
      <c r="G385" s="14">
        <v>171.52</v>
      </c>
      <c r="H385" s="10">
        <v>15.32572</v>
      </c>
      <c r="I385" s="10">
        <v>55.878953000000003</v>
      </c>
      <c r="J385" s="10">
        <v>147.522639</v>
      </c>
      <c r="K385" s="15">
        <v>2.1455000000000002E-2</v>
      </c>
      <c r="L385" s="17">
        <v>21125.235586999999</v>
      </c>
      <c r="M385" s="4" t="s">
        <v>1458</v>
      </c>
      <c r="N385" s="19">
        <v>3.0694919999999999</v>
      </c>
      <c r="O385" s="19">
        <v>8.7108000000000008</v>
      </c>
      <c r="P385" s="19">
        <v>2.8949769999999999</v>
      </c>
      <c r="Q385" s="19">
        <v>7.4127400000000003</v>
      </c>
      <c r="R385" s="19">
        <v>5.8084829999999998</v>
      </c>
      <c r="S385" s="19">
        <v>6.0611100000000002</v>
      </c>
      <c r="T385" s="19">
        <v>5.8084829999999998</v>
      </c>
      <c r="U385" s="19">
        <v>6.0425500000000003</v>
      </c>
      <c r="V385" s="19">
        <v>6.0596209999999999</v>
      </c>
      <c r="W385" s="19">
        <v>6.7373399999999997</v>
      </c>
      <c r="X385" s="19">
        <v>6.0596209999999999</v>
      </c>
      <c r="Y385" s="19">
        <v>6.7373399999999997</v>
      </c>
      <c r="Z385" s="4"/>
      <c r="AA385" s="4"/>
      <c r="AB385" s="4" t="e">
        <f ca="1">_xll.ciqfunctions.udf.CIQ("^SPX", "IQ_PRICEDATE", "7/2/2015")</f>
        <v>#NAME?</v>
      </c>
      <c r="AC385" s="16">
        <v>2076.7757002570002</v>
      </c>
    </row>
    <row r="386" spans="1:29" x14ac:dyDescent="0.35">
      <c r="A386" s="2" t="s">
        <v>396</v>
      </c>
      <c r="B386" s="4" t="s">
        <v>1459</v>
      </c>
      <c r="C386" s="4" t="s">
        <v>525</v>
      </c>
      <c r="D386" s="4" t="s">
        <v>526</v>
      </c>
      <c r="E386" s="4" t="s">
        <v>703</v>
      </c>
      <c r="F386" s="4" t="s">
        <v>703</v>
      </c>
      <c r="G386" s="14">
        <v>133.59</v>
      </c>
      <c r="H386" s="10">
        <v>15.769275</v>
      </c>
      <c r="I386" s="10">
        <v>21.987825000000001</v>
      </c>
      <c r="J386" s="10" t="s">
        <v>534</v>
      </c>
      <c r="K386" s="15">
        <v>9.8799999999999999E-3</v>
      </c>
      <c r="L386" s="17">
        <v>21957.619340000001</v>
      </c>
      <c r="M386" s="4" t="s">
        <v>1460</v>
      </c>
      <c r="N386" s="19">
        <v>6.0756350000000001</v>
      </c>
      <c r="O386" s="19">
        <v>8.1076999999999995</v>
      </c>
      <c r="P386" s="19">
        <v>5.3962649999999996</v>
      </c>
      <c r="Q386" s="19">
        <v>6.9805999999999999</v>
      </c>
      <c r="R386" s="19">
        <v>5.6025780000000003</v>
      </c>
      <c r="S386" s="19">
        <v>5.43682</v>
      </c>
      <c r="T386" s="19">
        <v>5.6025780000000003</v>
      </c>
      <c r="U386" s="19">
        <v>5.37425</v>
      </c>
      <c r="V386" s="19">
        <v>4.7990300000000001</v>
      </c>
      <c r="W386" s="19">
        <v>5.03308</v>
      </c>
      <c r="X386" s="19">
        <v>4.7990300000000001</v>
      </c>
      <c r="Y386" s="19">
        <v>5.03308</v>
      </c>
      <c r="Z386" s="4"/>
      <c r="AA386" s="4"/>
      <c r="AB386" s="4" t="e">
        <f ca="1">_xll.ciqfunctions.udf.CIQ("^SPX", "IQ_PRICEDATE", "7/6/2015")</f>
        <v>#NAME?</v>
      </c>
      <c r="AC386" s="16">
        <v>2068.7566460202002</v>
      </c>
    </row>
    <row r="387" spans="1:29" x14ac:dyDescent="0.35">
      <c r="A387" s="2" t="s">
        <v>397</v>
      </c>
      <c r="B387" s="4" t="s">
        <v>1461</v>
      </c>
      <c r="C387" s="4" t="s">
        <v>525</v>
      </c>
      <c r="D387" s="4" t="s">
        <v>855</v>
      </c>
      <c r="E387" s="4" t="s">
        <v>856</v>
      </c>
      <c r="F387" s="4" t="s">
        <v>1450</v>
      </c>
      <c r="G387" s="14">
        <v>57.37</v>
      </c>
      <c r="H387" s="10">
        <v>34.270729000000003</v>
      </c>
      <c r="I387" s="10">
        <v>63.040145000000003</v>
      </c>
      <c r="J387" s="10">
        <v>138.66866400000001</v>
      </c>
      <c r="K387" s="15">
        <v>1.1504E-2</v>
      </c>
      <c r="L387" s="17">
        <v>12516.679269</v>
      </c>
      <c r="M387" s="4" t="s">
        <v>1462</v>
      </c>
      <c r="N387" s="19">
        <v>0.91005499999999995</v>
      </c>
      <c r="O387" s="19">
        <v>1.1359999999999999</v>
      </c>
      <c r="P387" s="19">
        <v>0.82</v>
      </c>
      <c r="Q387" s="19">
        <v>0.92649999999999999</v>
      </c>
      <c r="R387" s="19">
        <v>0.76688900000000004</v>
      </c>
      <c r="S387" s="19">
        <v>0.82320000000000004</v>
      </c>
      <c r="T387" s="19">
        <v>0.76688900000000004</v>
      </c>
      <c r="U387" s="19">
        <v>0.74860000000000004</v>
      </c>
      <c r="V387" s="19">
        <v>0.62947900000000001</v>
      </c>
      <c r="W387" s="19">
        <v>0.69330000000000003</v>
      </c>
      <c r="X387" s="19">
        <v>0.62947900000000001</v>
      </c>
      <c r="Y387" s="19">
        <v>0.69330000000000003</v>
      </c>
      <c r="Z387" s="4"/>
      <c r="AA387" s="4"/>
      <c r="AB387" s="4" t="e">
        <f ca="1">_xll.ciqfunctions.udf.CIQ("^SPX", "IQ_PRICEDATE", "7/7/2015")</f>
        <v>#NAME?</v>
      </c>
      <c r="AC387" s="16">
        <v>2081.340933767</v>
      </c>
    </row>
    <row r="388" spans="1:29" x14ac:dyDescent="0.35">
      <c r="A388" s="2" t="s">
        <v>398</v>
      </c>
      <c r="B388" s="4" t="s">
        <v>1463</v>
      </c>
      <c r="C388" s="4" t="s">
        <v>525</v>
      </c>
      <c r="D388" s="4" t="s">
        <v>526</v>
      </c>
      <c r="E388" s="4" t="s">
        <v>1077</v>
      </c>
      <c r="F388" s="4" t="s">
        <v>1077</v>
      </c>
      <c r="G388" s="14">
        <v>284.32</v>
      </c>
      <c r="H388" s="10">
        <v>20.785246000000001</v>
      </c>
      <c r="I388" s="10">
        <v>27.531662000000001</v>
      </c>
      <c r="J388" s="10" t="s">
        <v>534</v>
      </c>
      <c r="K388" s="15">
        <v>5.803E-3</v>
      </c>
      <c r="L388" s="17">
        <v>29383.158157000002</v>
      </c>
      <c r="M388" s="4" t="s">
        <v>1464</v>
      </c>
      <c r="N388" s="19">
        <v>10.327019</v>
      </c>
      <c r="O388" s="19">
        <v>11.9902</v>
      </c>
      <c r="P388" s="19">
        <v>9.39</v>
      </c>
      <c r="Q388" s="19">
        <v>9.9524000000000008</v>
      </c>
      <c r="R388" s="19">
        <v>6.43</v>
      </c>
      <c r="S388" s="19">
        <v>7.8586999999999998</v>
      </c>
      <c r="T388" s="19">
        <v>6.43</v>
      </c>
      <c r="U388" s="19">
        <v>7.2096</v>
      </c>
      <c r="V388" s="19">
        <v>6.4</v>
      </c>
      <c r="W388" s="19">
        <v>6.7225000000000001</v>
      </c>
      <c r="X388" s="19">
        <v>6.4</v>
      </c>
      <c r="Y388" s="19">
        <v>6.7225000000000001</v>
      </c>
      <c r="Z388" s="4"/>
      <c r="AA388" s="4"/>
      <c r="AB388" s="4" t="e">
        <f ca="1">_xll.ciqfunctions.udf.CIQ("^SPX", "IQ_PRICEDATE", "7/8/2015")</f>
        <v>#NAME?</v>
      </c>
      <c r="AC388" s="16">
        <v>2046.6840334527001</v>
      </c>
    </row>
    <row r="389" spans="1:29" x14ac:dyDescent="0.35">
      <c r="A389" s="2" t="s">
        <v>399</v>
      </c>
      <c r="B389" s="4" t="s">
        <v>1465</v>
      </c>
      <c r="C389" s="4" t="s">
        <v>559</v>
      </c>
      <c r="D389" s="4" t="s">
        <v>560</v>
      </c>
      <c r="E389" s="4" t="s">
        <v>561</v>
      </c>
      <c r="F389" s="4" t="s">
        <v>1051</v>
      </c>
      <c r="G389" s="14">
        <v>96.96</v>
      </c>
      <c r="H389" s="10">
        <v>14.566182</v>
      </c>
      <c r="I389" s="10">
        <v>23.878373</v>
      </c>
      <c r="J389" s="10">
        <v>11.382944999999999</v>
      </c>
      <c r="K389" s="15">
        <v>9.2820000000000003E-3</v>
      </c>
      <c r="L389" s="17">
        <v>36201.537012000001</v>
      </c>
      <c r="M389" s="4" t="s">
        <v>1466</v>
      </c>
      <c r="N389" s="19">
        <v>4.0605779999999996</v>
      </c>
      <c r="O389" s="19">
        <v>4.3414000000000001</v>
      </c>
      <c r="P389" s="19">
        <v>3.1314730000000002</v>
      </c>
      <c r="Q389" s="19">
        <v>3.5348999999999999</v>
      </c>
      <c r="R389" s="19">
        <v>2.7201879999999998</v>
      </c>
      <c r="S389" s="19">
        <v>3.0390999999999999</v>
      </c>
      <c r="T389" s="19">
        <v>2.7201879999999998</v>
      </c>
      <c r="U389" s="19">
        <v>2.6808000000000001</v>
      </c>
      <c r="V389" s="19">
        <v>2.1200749999999999</v>
      </c>
      <c r="W389" s="19">
        <v>2.3216999999999999</v>
      </c>
      <c r="X389" s="19">
        <v>2.1200749999999999</v>
      </c>
      <c r="Y389" s="19">
        <v>2.3216999999999999</v>
      </c>
      <c r="Z389" s="4"/>
      <c r="AA389" s="4"/>
      <c r="AB389" s="4" t="e">
        <f ca="1">_xll.ciqfunctions.udf.CIQ("^SPX", "IQ_PRICEDATE", "7/9/2015")</f>
        <v>#NAME?</v>
      </c>
      <c r="AC389" s="16">
        <v>2051.3113582238002</v>
      </c>
    </row>
    <row r="390" spans="1:29" x14ac:dyDescent="0.35">
      <c r="A390" s="2" t="s">
        <v>400</v>
      </c>
      <c r="B390" s="4" t="s">
        <v>1467</v>
      </c>
      <c r="C390" s="4" t="s">
        <v>559</v>
      </c>
      <c r="D390" s="4" t="s">
        <v>798</v>
      </c>
      <c r="E390" s="4" t="s">
        <v>799</v>
      </c>
      <c r="F390" s="4" t="s">
        <v>800</v>
      </c>
      <c r="G390" s="14">
        <v>120.59</v>
      </c>
      <c r="H390" s="10">
        <v>11.372239</v>
      </c>
      <c r="I390" s="10">
        <v>14.996243</v>
      </c>
      <c r="J390" s="10">
        <v>2.4207719999999999</v>
      </c>
      <c r="K390" s="15">
        <v>2.3219E-2</v>
      </c>
      <c r="L390" s="17">
        <v>25199.695435000001</v>
      </c>
      <c r="M390" s="4" t="s">
        <v>1468</v>
      </c>
      <c r="N390" s="19">
        <v>8.041347</v>
      </c>
      <c r="O390" s="19">
        <v>9.2256</v>
      </c>
      <c r="P390" s="19">
        <v>7.53</v>
      </c>
      <c r="Q390" s="19">
        <v>8.1911000000000005</v>
      </c>
      <c r="R390" s="19">
        <v>5.93</v>
      </c>
      <c r="S390" s="19">
        <v>6.5033000000000003</v>
      </c>
      <c r="T390" s="19">
        <v>5.93</v>
      </c>
      <c r="U390" s="19">
        <v>5.9537000000000004</v>
      </c>
      <c r="V390" s="19">
        <v>3.43</v>
      </c>
      <c r="W390" s="19">
        <v>4.5311000000000003</v>
      </c>
      <c r="X390" s="19">
        <v>3.43</v>
      </c>
      <c r="Y390" s="19">
        <v>4.5311000000000003</v>
      </c>
      <c r="Z390" s="4"/>
      <c r="AA390" s="4"/>
      <c r="AB390" s="4" t="e">
        <f ca="1">_xll.ciqfunctions.udf.CIQ("^SPX", "IQ_PRICEDATE", "7/10/2015")</f>
        <v>#NAME?</v>
      </c>
      <c r="AC390" s="16">
        <v>2076.6183523557002</v>
      </c>
    </row>
    <row r="391" spans="1:29" x14ac:dyDescent="0.35">
      <c r="A391" s="2" t="s">
        <v>401</v>
      </c>
      <c r="B391" s="4" t="s">
        <v>1469</v>
      </c>
      <c r="C391" s="4" t="s">
        <v>573</v>
      </c>
      <c r="D391" s="4" t="s">
        <v>574</v>
      </c>
      <c r="E391" s="4" t="s">
        <v>575</v>
      </c>
      <c r="F391" s="4" t="s">
        <v>807</v>
      </c>
      <c r="G391" s="14">
        <v>190.63</v>
      </c>
      <c r="H391" s="10">
        <v>16.667462</v>
      </c>
      <c r="I391" s="10">
        <v>29.930627999999999</v>
      </c>
      <c r="J391" s="10" t="s">
        <v>534</v>
      </c>
      <c r="K391" s="15">
        <v>1.0490999999999999E-2</v>
      </c>
      <c r="L391" s="17">
        <v>47943.445</v>
      </c>
      <c r="M391" s="4" t="s">
        <v>1470</v>
      </c>
      <c r="N391" s="19">
        <v>6.3690610000000003</v>
      </c>
      <c r="O391" s="19">
        <v>8.9459</v>
      </c>
      <c r="P391" s="19">
        <v>5.78</v>
      </c>
      <c r="Q391" s="19">
        <v>7.0751999999999997</v>
      </c>
      <c r="R391" s="19">
        <v>7.94</v>
      </c>
      <c r="S391" s="19">
        <v>5.6291000000000002</v>
      </c>
      <c r="T391" s="19">
        <v>7.94</v>
      </c>
      <c r="U391" s="19">
        <v>4.7160000000000002</v>
      </c>
      <c r="V391" s="19">
        <v>-1.08</v>
      </c>
      <c r="W391" s="19">
        <v>4.1563999999999997</v>
      </c>
      <c r="X391" s="19">
        <v>-1.08</v>
      </c>
      <c r="Y391" s="19">
        <v>4.1563999999999997</v>
      </c>
      <c r="Z391" s="4"/>
      <c r="AA391" s="4"/>
      <c r="AB391" s="4" t="e">
        <f ca="1">_xll.ciqfunctions.udf.CIQ("^SPX", "IQ_PRICEDATE", "7/13/2015")</f>
        <v>#NAME?</v>
      </c>
      <c r="AC391" s="16">
        <v>2099.5991931722001</v>
      </c>
    </row>
    <row r="392" spans="1:29" x14ac:dyDescent="0.35">
      <c r="A392" s="2" t="s">
        <v>402</v>
      </c>
      <c r="B392" s="4" t="s">
        <v>1471</v>
      </c>
      <c r="C392" s="4" t="s">
        <v>543</v>
      </c>
      <c r="D392" s="4" t="s">
        <v>544</v>
      </c>
      <c r="E392" s="4" t="s">
        <v>555</v>
      </c>
      <c r="F392" s="4" t="s">
        <v>556</v>
      </c>
      <c r="G392" s="14">
        <v>147.01</v>
      </c>
      <c r="H392" s="10">
        <v>101.765415</v>
      </c>
      <c r="I392" s="10">
        <v>153.290783</v>
      </c>
      <c r="J392" s="10" t="s">
        <v>534</v>
      </c>
      <c r="K392" s="15">
        <v>0</v>
      </c>
      <c r="L392" s="17">
        <v>111242.467</v>
      </c>
      <c r="M392" s="4" t="s">
        <v>1472</v>
      </c>
      <c r="N392" s="19">
        <v>0.95902699999999996</v>
      </c>
      <c r="O392" s="19">
        <v>2.3761000000000001</v>
      </c>
      <c r="P392" s="19">
        <v>6.5492999999999996E-2</v>
      </c>
      <c r="Q392" s="19">
        <v>1.5885</v>
      </c>
      <c r="R392" s="19">
        <v>0.29475400000000002</v>
      </c>
      <c r="S392" s="19">
        <v>1.1863999999999999</v>
      </c>
      <c r="T392" s="19">
        <v>0.29475400000000002</v>
      </c>
      <c r="U392" s="19">
        <v>0.90739999999999998</v>
      </c>
      <c r="V392" s="19">
        <v>-0.51642699999999997</v>
      </c>
      <c r="W392" s="19">
        <v>0.63560000000000005</v>
      </c>
      <c r="X392" s="19">
        <v>-0.51642699999999997</v>
      </c>
      <c r="Y392" s="19">
        <v>0.63560000000000005</v>
      </c>
      <c r="Z392" s="4"/>
      <c r="AA392" s="4"/>
      <c r="AB392" s="4" t="e">
        <f ca="1">_xll.ciqfunctions.udf.CIQ("^SPX", "IQ_PRICEDATE", "7/14/2015")</f>
        <v>#NAME?</v>
      </c>
      <c r="AC392" s="16">
        <v>2108.9549682367001</v>
      </c>
    </row>
    <row r="393" spans="1:29" x14ac:dyDescent="0.35">
      <c r="A393" s="2" t="s">
        <v>403</v>
      </c>
      <c r="B393" s="4" t="s">
        <v>1473</v>
      </c>
      <c r="C393" s="4" t="s">
        <v>601</v>
      </c>
      <c r="D393" s="4" t="s">
        <v>601</v>
      </c>
      <c r="E393" s="4" t="s">
        <v>602</v>
      </c>
      <c r="F393" s="4" t="s">
        <v>647</v>
      </c>
      <c r="G393" s="14">
        <v>152.34</v>
      </c>
      <c r="H393" s="10">
        <v>22.840526000000001</v>
      </c>
      <c r="I393" s="10" t="s">
        <v>534</v>
      </c>
      <c r="J393" s="10" t="s">
        <v>534</v>
      </c>
      <c r="K393" s="15">
        <v>0</v>
      </c>
      <c r="L393" s="17">
        <v>17495.386602999999</v>
      </c>
      <c r="M393" s="4" t="s">
        <v>1474</v>
      </c>
      <c r="N393" s="19">
        <v>0.26447799999999999</v>
      </c>
      <c r="O393" s="19">
        <v>1.1674</v>
      </c>
      <c r="P393" s="19">
        <v>0.86</v>
      </c>
      <c r="Q393" s="19">
        <v>1.0752999999999999</v>
      </c>
      <c r="R393" s="19">
        <v>0.61</v>
      </c>
      <c r="S393" s="19">
        <v>1.004</v>
      </c>
      <c r="T393" s="19">
        <v>0.61</v>
      </c>
      <c r="U393" s="19">
        <v>0.47020000000000001</v>
      </c>
      <c r="V393" s="19">
        <v>-0.19</v>
      </c>
      <c r="W393" s="19">
        <v>-3.3500000000000002E-2</v>
      </c>
      <c r="X393" s="19">
        <v>-0.19</v>
      </c>
      <c r="Y393" s="19">
        <v>-3.3500000000000002E-2</v>
      </c>
      <c r="Z393" s="4"/>
      <c r="AA393" s="4"/>
      <c r="AB393" s="4" t="e">
        <f ca="1">_xll.ciqfunctions.udf.CIQ("^SPX", "IQ_PRICEDATE", "7/15/2015")</f>
        <v>#NAME?</v>
      </c>
      <c r="AC393" s="16">
        <v>2107.4030475322002</v>
      </c>
    </row>
    <row r="394" spans="1:29" x14ac:dyDescent="0.35">
      <c r="A394" s="2" t="s">
        <v>404</v>
      </c>
      <c r="B394" s="4" t="s">
        <v>1475</v>
      </c>
      <c r="C394" s="4" t="s">
        <v>619</v>
      </c>
      <c r="D394" s="4" t="s">
        <v>619</v>
      </c>
      <c r="E394" s="4" t="s">
        <v>634</v>
      </c>
      <c r="F394" s="4" t="s">
        <v>634</v>
      </c>
      <c r="G394" s="14">
        <v>40.08</v>
      </c>
      <c r="H394" s="10">
        <v>9.1816010000000006</v>
      </c>
      <c r="I394" s="10" t="s">
        <v>534</v>
      </c>
      <c r="J394" s="10">
        <v>1.114965</v>
      </c>
      <c r="K394" s="15">
        <v>1.2345E-2</v>
      </c>
      <c r="L394" s="17">
        <v>5716.4266729999999</v>
      </c>
      <c r="M394" s="4" t="s">
        <v>1476</v>
      </c>
      <c r="N394" s="19">
        <v>-1.636363</v>
      </c>
      <c r="O394" s="19">
        <v>2.9784999999999999</v>
      </c>
      <c r="P394" s="19">
        <v>-0.83216699999999999</v>
      </c>
      <c r="Q394" s="19">
        <v>3.4148000000000001</v>
      </c>
      <c r="R394" s="19">
        <v>4.16</v>
      </c>
      <c r="S394" s="19">
        <v>4.1891999999999996</v>
      </c>
      <c r="T394" s="19">
        <v>4.16</v>
      </c>
      <c r="U394" s="19">
        <v>3.9243999999999999</v>
      </c>
      <c r="V394" s="19">
        <v>3.79</v>
      </c>
      <c r="W394" s="19">
        <v>3.722</v>
      </c>
      <c r="X394" s="19">
        <v>3.79</v>
      </c>
      <c r="Y394" s="19">
        <v>3.722</v>
      </c>
      <c r="Z394" s="4"/>
      <c r="AA394" s="4"/>
      <c r="AB394" s="4" t="e">
        <f ca="1">_xll.ciqfunctions.udf.CIQ("^SPX", "IQ_PRICEDATE", "7/16/2015")</f>
        <v>#NAME?</v>
      </c>
      <c r="AC394" s="16">
        <v>2124.2864594386001</v>
      </c>
    </row>
    <row r="395" spans="1:29" x14ac:dyDescent="0.35">
      <c r="A395" s="2" t="s">
        <v>405</v>
      </c>
      <c r="B395" s="4" t="s">
        <v>1477</v>
      </c>
      <c r="C395" s="4" t="s">
        <v>669</v>
      </c>
      <c r="D395" s="4" t="s">
        <v>669</v>
      </c>
      <c r="E395" s="4" t="s">
        <v>730</v>
      </c>
      <c r="F395" s="4" t="s">
        <v>731</v>
      </c>
      <c r="G395" s="14">
        <v>59.24</v>
      </c>
      <c r="H395" s="10">
        <v>13.833671000000001</v>
      </c>
      <c r="I395" s="10" t="s">
        <v>534</v>
      </c>
      <c r="J395" s="10">
        <v>51.732027000000002</v>
      </c>
      <c r="K395" s="15">
        <v>3.3759999999999998E-2</v>
      </c>
      <c r="L395" s="17">
        <v>81995.204287999994</v>
      </c>
      <c r="M395" s="4" t="s">
        <v>1478</v>
      </c>
      <c r="N395" s="19">
        <v>-0.544929</v>
      </c>
      <c r="O395" s="19">
        <v>1.9111</v>
      </c>
      <c r="P395" s="19">
        <v>-1.084293</v>
      </c>
      <c r="Q395" s="19">
        <v>1.9665999999999999</v>
      </c>
      <c r="R395" s="19">
        <v>-1.2431829999999999</v>
      </c>
      <c r="S395" s="19">
        <v>1.5141</v>
      </c>
      <c r="T395" s="19">
        <v>-1.2431829999999999</v>
      </c>
      <c r="U395" s="19">
        <v>2.4939</v>
      </c>
      <c r="V395" s="19">
        <v>4.3099999999999996</v>
      </c>
      <c r="W395" s="19">
        <v>5.3281000000000001</v>
      </c>
      <c r="X395" s="19">
        <v>4.3099999999999996</v>
      </c>
      <c r="Y395" s="19">
        <v>5.3281000000000001</v>
      </c>
      <c r="Z395" s="4"/>
      <c r="AA395" s="4"/>
      <c r="AB395" s="4" t="e">
        <f ca="1">_xll.ciqfunctions.udf.CIQ("^SPX", "IQ_PRICEDATE", "7/17/2015")</f>
        <v>#NAME?</v>
      </c>
      <c r="AC395" s="16">
        <v>2126.6439439241999</v>
      </c>
    </row>
    <row r="396" spans="1:29" x14ac:dyDescent="0.35">
      <c r="A396" s="2" t="s">
        <v>406</v>
      </c>
      <c r="B396" s="4" t="s">
        <v>1479</v>
      </c>
      <c r="C396" s="4" t="s">
        <v>543</v>
      </c>
      <c r="D396" s="4" t="s">
        <v>664</v>
      </c>
      <c r="E396" s="4" t="s">
        <v>688</v>
      </c>
      <c r="F396" s="4" t="s">
        <v>688</v>
      </c>
      <c r="G396" s="14">
        <v>44.12</v>
      </c>
      <c r="H396" s="10">
        <v>6.7305109999999999</v>
      </c>
      <c r="I396" s="10">
        <v>10.893827</v>
      </c>
      <c r="J396" s="10">
        <v>52.791538000000003</v>
      </c>
      <c r="K396" s="15">
        <v>5.7116E-2</v>
      </c>
      <c r="L396" s="17">
        <v>12702.629790000001</v>
      </c>
      <c r="M396" s="4" t="s">
        <v>1480</v>
      </c>
      <c r="N396" s="19">
        <v>4.05</v>
      </c>
      <c r="O396" s="19">
        <v>6.1776299999999997</v>
      </c>
      <c r="P396" s="19">
        <v>2.1981009999999999</v>
      </c>
      <c r="Q396" s="19">
        <v>4.0801999999999996</v>
      </c>
      <c r="R396" s="19">
        <v>1.7144900000000001</v>
      </c>
      <c r="S396" s="19">
        <v>3.7997000000000001</v>
      </c>
      <c r="T396" s="19">
        <v>1.7144900000000001</v>
      </c>
      <c r="U396" s="19">
        <v>3.496</v>
      </c>
      <c r="V396" s="19">
        <v>4.487457</v>
      </c>
      <c r="W396" s="19">
        <v>5.2712000000000003</v>
      </c>
      <c r="X396" s="19">
        <v>4.487457</v>
      </c>
      <c r="Y396" s="19">
        <v>5.2712000000000003</v>
      </c>
      <c r="Z396" s="4"/>
      <c r="AA396" s="4"/>
      <c r="AB396" s="4" t="e">
        <f ca="1">_xll.ciqfunctions.udf.CIQ("^SPX", "IQ_PRICEDATE", "7/20/2015")</f>
        <v>#NAME?</v>
      </c>
      <c r="AC396" s="16">
        <v>2128.2835669705</v>
      </c>
    </row>
    <row r="397" spans="1:29" x14ac:dyDescent="0.35">
      <c r="A397" s="2" t="s">
        <v>407</v>
      </c>
      <c r="B397" s="4" t="s">
        <v>1481</v>
      </c>
      <c r="C397" s="4" t="s">
        <v>586</v>
      </c>
      <c r="D397" s="4" t="s">
        <v>586</v>
      </c>
      <c r="E397" s="4" t="s">
        <v>726</v>
      </c>
      <c r="F397" s="4" t="s">
        <v>727</v>
      </c>
      <c r="G397" s="14">
        <v>35.28</v>
      </c>
      <c r="H397" s="10">
        <v>11.106391</v>
      </c>
      <c r="I397" s="10" t="s">
        <v>534</v>
      </c>
      <c r="J397" s="10" t="s">
        <v>534</v>
      </c>
      <c r="K397" s="15">
        <v>1.814E-2</v>
      </c>
      <c r="L397" s="17">
        <v>5602.9004139999997</v>
      </c>
      <c r="M397" s="4" t="s">
        <v>1482</v>
      </c>
      <c r="N397" s="19">
        <v>-0.245777</v>
      </c>
      <c r="O397" s="19">
        <v>2.6915</v>
      </c>
      <c r="P397" s="19">
        <v>0.30852800000000002</v>
      </c>
      <c r="Q397" s="19">
        <v>2.3214000000000001</v>
      </c>
      <c r="R397" s="19">
        <v>1.4757199999999999</v>
      </c>
      <c r="S397" s="19">
        <v>2.8933</v>
      </c>
      <c r="T397" s="19">
        <v>1.4757199999999999</v>
      </c>
      <c r="U397" s="19">
        <v>2.4399000000000002</v>
      </c>
      <c r="V397" s="19">
        <v>1.1996249999999999</v>
      </c>
      <c r="W397" s="19">
        <v>1.9958</v>
      </c>
      <c r="X397" s="19">
        <v>1.1996249999999999</v>
      </c>
      <c r="Y397" s="19">
        <v>1.9958</v>
      </c>
      <c r="Z397" s="4"/>
      <c r="AA397" s="4"/>
      <c r="AB397" s="4" t="e">
        <f ca="1">_xll.ciqfunctions.udf.CIQ("^SPX", "IQ_PRICEDATE", "7/21/2015")</f>
        <v>#NAME?</v>
      </c>
      <c r="AC397" s="16">
        <v>2119.2099513663002</v>
      </c>
    </row>
    <row r="398" spans="1:29" x14ac:dyDescent="0.35">
      <c r="A398" s="2" t="s">
        <v>408</v>
      </c>
      <c r="B398" s="4" t="s">
        <v>1483</v>
      </c>
      <c r="C398" s="4" t="s">
        <v>619</v>
      </c>
      <c r="D398" s="4" t="s">
        <v>619</v>
      </c>
      <c r="E398" s="4" t="s">
        <v>634</v>
      </c>
      <c r="F398" s="4" t="s">
        <v>634</v>
      </c>
      <c r="G398" s="14">
        <v>115.3</v>
      </c>
      <c r="H398" s="10">
        <v>16.099806000000001</v>
      </c>
      <c r="I398" s="10" t="s">
        <v>534</v>
      </c>
      <c r="J398" s="10">
        <v>2.7174070000000001</v>
      </c>
      <c r="K398" s="15">
        <v>3.1049000000000004E-2</v>
      </c>
      <c r="L398" s="17">
        <v>31529.758938999999</v>
      </c>
      <c r="M398" s="4" t="s">
        <v>1484</v>
      </c>
      <c r="N398" s="19">
        <v>-2.5682659999999999</v>
      </c>
      <c r="O398" s="19">
        <v>5.6677</v>
      </c>
      <c r="P398" s="19">
        <v>1.01</v>
      </c>
      <c r="Q398" s="19">
        <v>5.4333</v>
      </c>
      <c r="R398" s="19">
        <v>5.46</v>
      </c>
      <c r="S398" s="19">
        <v>5.0349000000000004</v>
      </c>
      <c r="T398" s="19">
        <v>5.46</v>
      </c>
      <c r="U398" s="19">
        <v>5.2542999999999997</v>
      </c>
      <c r="V398" s="19">
        <v>4.63</v>
      </c>
      <c r="W398" s="19">
        <v>4.7480000000000002</v>
      </c>
      <c r="X398" s="19">
        <v>4.63</v>
      </c>
      <c r="Y398" s="19">
        <v>4.7480000000000002</v>
      </c>
      <c r="Z398" s="4"/>
      <c r="AA398" s="4"/>
      <c r="AB398" s="4" t="e">
        <f ca="1">_xll.ciqfunctions.udf.CIQ("^SPX", "IQ_PRICEDATE", "7/22/2015")</f>
        <v>#NAME?</v>
      </c>
      <c r="AC398" s="16">
        <v>2114.1512378338002</v>
      </c>
    </row>
    <row r="399" spans="1:29" x14ac:dyDescent="0.35">
      <c r="A399" s="2" t="s">
        <v>409</v>
      </c>
      <c r="B399" s="4" t="s">
        <v>1485</v>
      </c>
      <c r="C399" s="4" t="s">
        <v>601</v>
      </c>
      <c r="D399" s="4" t="s">
        <v>601</v>
      </c>
      <c r="E399" s="4" t="s">
        <v>602</v>
      </c>
      <c r="F399" s="4" t="s">
        <v>1026</v>
      </c>
      <c r="G399" s="14">
        <v>172.75</v>
      </c>
      <c r="H399" s="10">
        <v>16.715260000000001</v>
      </c>
      <c r="I399" s="10">
        <v>23.805133000000001</v>
      </c>
      <c r="J399" s="10">
        <v>16.050348</v>
      </c>
      <c r="K399" s="15">
        <v>4.6308999999999996E-2</v>
      </c>
      <c r="L399" s="17">
        <v>53417.354738000002</v>
      </c>
      <c r="M399" s="4" t="s">
        <v>1486</v>
      </c>
      <c r="N399" s="19">
        <v>7.2568380000000001</v>
      </c>
      <c r="O399" s="19">
        <v>7.2000999999999999</v>
      </c>
      <c r="P399" s="19">
        <v>6.24</v>
      </c>
      <c r="Q399" s="19">
        <v>6.5951000000000004</v>
      </c>
      <c r="R399" s="19">
        <v>5.87</v>
      </c>
      <c r="S399" s="19">
        <v>6.6962999999999999</v>
      </c>
      <c r="T399" s="19">
        <v>5.87</v>
      </c>
      <c r="U399" s="19">
        <v>5.9370000000000003</v>
      </c>
      <c r="V399" s="19">
        <v>4.4279130000000002</v>
      </c>
      <c r="W399" s="19">
        <v>5.2740999999999998</v>
      </c>
      <c r="X399" s="19">
        <v>4.4279130000000002</v>
      </c>
      <c r="Y399" s="19">
        <v>5.2740999999999998</v>
      </c>
      <c r="Z399" s="4"/>
      <c r="AA399" s="4"/>
      <c r="AB399" s="4" t="e">
        <f ca="1">_xll.ciqfunctions.udf.CIQ("^SPX", "IQ_PRICEDATE", "7/23/2015")</f>
        <v>#NAME?</v>
      </c>
      <c r="AC399" s="16">
        <v>2102.1479844647001</v>
      </c>
    </row>
    <row r="400" spans="1:29" x14ac:dyDescent="0.35">
      <c r="A400" s="2" t="s">
        <v>410</v>
      </c>
      <c r="B400" s="4" t="s">
        <v>1487</v>
      </c>
      <c r="C400" s="4" t="s">
        <v>543</v>
      </c>
      <c r="D400" s="4" t="s">
        <v>565</v>
      </c>
      <c r="E400" s="4" t="s">
        <v>565</v>
      </c>
      <c r="F400" s="4" t="s">
        <v>566</v>
      </c>
      <c r="G400" s="14">
        <v>88.38</v>
      </c>
      <c r="H400" s="10">
        <v>8.9610749999999992</v>
      </c>
      <c r="I400" s="10">
        <v>17.842344000000001</v>
      </c>
      <c r="J400" s="10">
        <v>5.057925</v>
      </c>
      <c r="K400" s="15">
        <v>1.4482E-2</v>
      </c>
      <c r="L400" s="17">
        <v>15818.388946999999</v>
      </c>
      <c r="M400" s="4" t="s">
        <v>1488</v>
      </c>
      <c r="N400" s="19">
        <v>4.9533849999999999</v>
      </c>
      <c r="O400" s="19">
        <v>7.6551</v>
      </c>
      <c r="P400" s="19">
        <v>4.413761</v>
      </c>
      <c r="Q400" s="19">
        <v>7.2417400000000001</v>
      </c>
      <c r="R400" s="19">
        <v>4.7264020000000002</v>
      </c>
      <c r="S400" s="19">
        <v>6.15604</v>
      </c>
      <c r="T400" s="19">
        <v>4.7264020000000002</v>
      </c>
      <c r="U400" s="19">
        <v>6.26959</v>
      </c>
      <c r="V400" s="19">
        <v>2.38</v>
      </c>
      <c r="W400" s="19">
        <v>4.4965000000000002</v>
      </c>
      <c r="X400" s="19">
        <v>2.38</v>
      </c>
      <c r="Y400" s="19">
        <v>4.4965000000000002</v>
      </c>
      <c r="Z400" s="4"/>
      <c r="AA400" s="4"/>
      <c r="AB400" s="4" t="e">
        <f ca="1">_xll.ciqfunctions.udf.CIQ("^SPX", "IQ_PRICEDATE", "7/24/2015")</f>
        <v>#NAME?</v>
      </c>
      <c r="AC400" s="16">
        <v>2079.6492126245998</v>
      </c>
    </row>
    <row r="401" spans="1:29" x14ac:dyDescent="0.35">
      <c r="A401" s="2" t="s">
        <v>411</v>
      </c>
      <c r="B401" s="4" t="s">
        <v>1489</v>
      </c>
      <c r="C401" s="4" t="s">
        <v>601</v>
      </c>
      <c r="D401" s="4" t="s">
        <v>601</v>
      </c>
      <c r="E401" s="4" t="s">
        <v>602</v>
      </c>
      <c r="F401" s="4" t="s">
        <v>603</v>
      </c>
      <c r="G401" s="14">
        <v>92.17</v>
      </c>
      <c r="H401" s="10">
        <v>20.455514999999998</v>
      </c>
      <c r="I401" s="10">
        <v>26.907028</v>
      </c>
      <c r="J401" s="10">
        <v>1.3171660000000001</v>
      </c>
      <c r="K401" s="15">
        <v>3.526E-2</v>
      </c>
      <c r="L401" s="17">
        <v>7889.1989800000001</v>
      </c>
      <c r="M401" s="4" t="s">
        <v>1490</v>
      </c>
      <c r="N401" s="19">
        <v>3.4254989999999998</v>
      </c>
      <c r="O401" s="19">
        <v>1.4849000000000001</v>
      </c>
      <c r="P401" s="19">
        <v>0.87443300000000002</v>
      </c>
      <c r="Q401" s="19">
        <v>2.1</v>
      </c>
      <c r="R401" s="19">
        <v>2.3367619999999998</v>
      </c>
      <c r="S401" s="19">
        <v>1.2424999999999999</v>
      </c>
      <c r="T401" s="19">
        <v>2.3367619999999998</v>
      </c>
      <c r="U401" s="19">
        <v>0.65110000000000001</v>
      </c>
      <c r="V401" s="19">
        <v>3.3513269999999999</v>
      </c>
      <c r="W401" s="19">
        <v>1.8984000000000001</v>
      </c>
      <c r="X401" s="19">
        <v>3.3513269999999999</v>
      </c>
      <c r="Y401" s="19">
        <v>1.8984000000000001</v>
      </c>
      <c r="Z401" s="4"/>
      <c r="AA401" s="4"/>
      <c r="AB401" s="4" t="e">
        <f ca="1">_xll.ciqfunctions.udf.CIQ("^SPX", "IQ_PRICEDATE", "7/27/2015")</f>
        <v>#NAME?</v>
      </c>
      <c r="AC401" s="16">
        <v>2067.6418261434001</v>
      </c>
    </row>
    <row r="402" spans="1:29" x14ac:dyDescent="0.35">
      <c r="A402" s="2" t="s">
        <v>412</v>
      </c>
      <c r="B402" s="4" t="s">
        <v>1491</v>
      </c>
      <c r="C402" s="4" t="s">
        <v>525</v>
      </c>
      <c r="D402" s="4" t="s">
        <v>526</v>
      </c>
      <c r="E402" s="4" t="s">
        <v>803</v>
      </c>
      <c r="F402" s="4" t="s">
        <v>948</v>
      </c>
      <c r="G402" s="14">
        <v>167.57</v>
      </c>
      <c r="H402" s="10">
        <v>10.087440000000001</v>
      </c>
      <c r="I402" s="10">
        <v>16.020188000000001</v>
      </c>
      <c r="J402" s="10">
        <v>4.8684079999999996</v>
      </c>
      <c r="K402" s="15">
        <v>1.9573E-2</v>
      </c>
      <c r="L402" s="17">
        <v>9451.3134699999991</v>
      </c>
      <c r="M402" s="4" t="s">
        <v>1492</v>
      </c>
      <c r="N402" s="19">
        <v>10.459927</v>
      </c>
      <c r="O402" s="19">
        <v>12.326700000000001</v>
      </c>
      <c r="P402" s="19">
        <v>9.52</v>
      </c>
      <c r="Q402" s="19">
        <v>10.6473</v>
      </c>
      <c r="R402" s="19">
        <v>9.1999999999999993</v>
      </c>
      <c r="S402" s="19">
        <v>9.8010999999999999</v>
      </c>
      <c r="T402" s="19">
        <v>9.1999999999999993</v>
      </c>
      <c r="U402" s="19">
        <v>8.8339999999999996</v>
      </c>
      <c r="V402" s="19">
        <v>6.7795030000000001</v>
      </c>
      <c r="W402" s="19">
        <v>7.5033000000000003</v>
      </c>
      <c r="X402" s="19">
        <v>6.7795030000000001</v>
      </c>
      <c r="Y402" s="19">
        <v>7.5033000000000003</v>
      </c>
      <c r="Z402" s="4"/>
      <c r="AA402" s="4"/>
      <c r="AB402" s="4" t="e">
        <f ca="1">_xll.ciqfunctions.udf.CIQ("^SPX", "IQ_PRICEDATE", "7/28/2015")</f>
        <v>#NAME?</v>
      </c>
      <c r="AC402" s="16">
        <v>2093.253342511</v>
      </c>
    </row>
    <row r="403" spans="1:29" x14ac:dyDescent="0.35">
      <c r="A403" s="2" t="s">
        <v>413</v>
      </c>
      <c r="B403" s="4" t="s">
        <v>1493</v>
      </c>
      <c r="C403" s="4" t="s">
        <v>525</v>
      </c>
      <c r="D403" s="4" t="s">
        <v>594</v>
      </c>
      <c r="E403" s="4" t="s">
        <v>595</v>
      </c>
      <c r="F403" s="4" t="s">
        <v>595</v>
      </c>
      <c r="G403" s="14">
        <v>59.2</v>
      </c>
      <c r="H403" s="10">
        <v>8.0103709999999992</v>
      </c>
      <c r="I403" s="10">
        <v>9.6756700000000002</v>
      </c>
      <c r="J403" s="10">
        <v>3.934895</v>
      </c>
      <c r="K403" s="15">
        <v>1.081E-2</v>
      </c>
      <c r="L403" s="17">
        <v>33922.736047999999</v>
      </c>
      <c r="M403" s="4" t="s">
        <v>1494</v>
      </c>
      <c r="N403" s="19">
        <v>6.1184390000000004</v>
      </c>
      <c r="O403" s="19">
        <v>4.5202999999999998</v>
      </c>
      <c r="P403" s="19">
        <v>5.79</v>
      </c>
      <c r="Q403" s="19">
        <v>4.2991999999999999</v>
      </c>
      <c r="R403" s="19">
        <v>3.5481829999999999</v>
      </c>
      <c r="S403" s="19">
        <v>3.4277000000000002</v>
      </c>
      <c r="T403" s="19">
        <v>3.5481829999999999</v>
      </c>
      <c r="U403" s="19">
        <v>4.0465</v>
      </c>
      <c r="V403" s="19">
        <v>1.637931</v>
      </c>
      <c r="W403" s="19">
        <v>2.7282999999999999</v>
      </c>
      <c r="X403" s="19">
        <v>1.637931</v>
      </c>
      <c r="Y403" s="19">
        <v>2.7282999999999999</v>
      </c>
      <c r="Z403" s="4"/>
      <c r="AA403" s="4"/>
      <c r="AB403" s="4" t="e">
        <f ca="1">_xll.ciqfunctions.udf.CIQ("^SPX", "IQ_PRICEDATE", "7/29/2015")</f>
        <v>#NAME?</v>
      </c>
      <c r="AC403" s="16">
        <v>2108.5685642213002</v>
      </c>
    </row>
    <row r="404" spans="1:29" x14ac:dyDescent="0.35">
      <c r="A404" s="2" t="s">
        <v>414</v>
      </c>
      <c r="B404" s="4" t="s">
        <v>1495</v>
      </c>
      <c r="C404" s="4" t="s">
        <v>525</v>
      </c>
      <c r="D404" s="4" t="s">
        <v>526</v>
      </c>
      <c r="E404" s="4" t="s">
        <v>803</v>
      </c>
      <c r="F404" s="4" t="s">
        <v>948</v>
      </c>
      <c r="G404" s="14">
        <v>123.57</v>
      </c>
      <c r="H404" s="10">
        <v>11.257039000000001</v>
      </c>
      <c r="I404" s="10">
        <v>18.57386</v>
      </c>
      <c r="J404" s="10" t="s">
        <v>534</v>
      </c>
      <c r="K404" s="15">
        <v>2.1364000000000001E-2</v>
      </c>
      <c r="L404" s="17">
        <v>18907.421356999999</v>
      </c>
      <c r="M404" s="4" t="s">
        <v>1496</v>
      </c>
      <c r="N404" s="19">
        <v>6.6528980000000004</v>
      </c>
      <c r="O404" s="19">
        <v>8.4849999999999994</v>
      </c>
      <c r="P404" s="19">
        <v>8.0399999999999991</v>
      </c>
      <c r="Q404" s="19">
        <v>8.1202000000000005</v>
      </c>
      <c r="R404" s="19">
        <v>6.51</v>
      </c>
      <c r="S404" s="19">
        <v>6.7171000000000003</v>
      </c>
      <c r="T404" s="19">
        <v>6.51</v>
      </c>
      <c r="U404" s="19">
        <v>6.4880000000000004</v>
      </c>
      <c r="V404" s="19">
        <v>4.4186930000000002</v>
      </c>
      <c r="W404" s="19">
        <v>5.9595000000000002</v>
      </c>
      <c r="X404" s="19">
        <v>4.4186930000000002</v>
      </c>
      <c r="Y404" s="19">
        <v>5.9595000000000002</v>
      </c>
      <c r="Z404" s="4"/>
      <c r="AA404" s="4"/>
      <c r="AB404" s="4" t="e">
        <f ca="1">_xll.ciqfunctions.udf.CIQ("^SPX", "IQ_PRICEDATE", "7/30/2015")</f>
        <v>#NAME?</v>
      </c>
      <c r="AC404" s="16">
        <v>2108.6299535420999</v>
      </c>
    </row>
    <row r="405" spans="1:29" x14ac:dyDescent="0.35">
      <c r="A405" s="2" t="s">
        <v>415</v>
      </c>
      <c r="B405" s="4" t="s">
        <v>1497</v>
      </c>
      <c r="C405" s="4" t="s">
        <v>559</v>
      </c>
      <c r="D405" s="4" t="s">
        <v>798</v>
      </c>
      <c r="E405" s="4" t="s">
        <v>799</v>
      </c>
      <c r="F405" s="4" t="s">
        <v>839</v>
      </c>
      <c r="G405" s="14">
        <v>59.1</v>
      </c>
      <c r="H405" s="10">
        <v>15.665952000000001</v>
      </c>
      <c r="I405" s="10">
        <v>18.452586</v>
      </c>
      <c r="J405" s="10" t="s">
        <v>534</v>
      </c>
      <c r="K405" s="15">
        <v>2.4365000000000001E-2</v>
      </c>
      <c r="L405" s="17">
        <v>79731.81</v>
      </c>
      <c r="M405" s="4" t="s">
        <v>1498</v>
      </c>
      <c r="N405" s="19">
        <v>3.2028029999999998</v>
      </c>
      <c r="O405" s="19">
        <v>2.5272000000000001</v>
      </c>
      <c r="P405" s="19">
        <v>3.016486</v>
      </c>
      <c r="Q405" s="19">
        <v>2.3214899999999998</v>
      </c>
      <c r="R405" s="19">
        <v>1.9</v>
      </c>
      <c r="S405" s="19">
        <v>2.1384500000000002</v>
      </c>
      <c r="T405" s="19">
        <v>1.9</v>
      </c>
      <c r="U405" s="19">
        <v>1.8896599999999999</v>
      </c>
      <c r="V405" s="19">
        <v>1.6437349999999999</v>
      </c>
      <c r="W405" s="19">
        <v>1.5526800000000001</v>
      </c>
      <c r="X405" s="19">
        <v>1.6437349999999999</v>
      </c>
      <c r="Y405" s="19">
        <v>1.5526800000000001</v>
      </c>
      <c r="Z405" s="4"/>
      <c r="AA405" s="4"/>
      <c r="AB405" s="4" t="e">
        <f ca="1">_xll.ciqfunctions.udf.CIQ("^SPX", "IQ_PRICEDATE", "7/31/2015")</f>
        <v>#NAME?</v>
      </c>
      <c r="AC405" s="16">
        <v>2103.8353651370999</v>
      </c>
    </row>
    <row r="406" spans="1:29" x14ac:dyDescent="0.35">
      <c r="A406" s="2" t="s">
        <v>416</v>
      </c>
      <c r="B406" s="4" t="s">
        <v>1499</v>
      </c>
      <c r="C406" s="4" t="s">
        <v>573</v>
      </c>
      <c r="D406" s="4" t="s">
        <v>574</v>
      </c>
      <c r="E406" s="4" t="s">
        <v>575</v>
      </c>
      <c r="F406" s="4" t="s">
        <v>576</v>
      </c>
      <c r="G406" s="14">
        <v>82.15</v>
      </c>
      <c r="H406" s="10">
        <v>0</v>
      </c>
      <c r="I406" s="10">
        <v>13.574719999999999</v>
      </c>
      <c r="J406" s="10">
        <v>2.5250149999999998</v>
      </c>
      <c r="K406" s="15">
        <v>2.2884000000000002E-2</v>
      </c>
      <c r="L406" s="17">
        <v>31168.977164</v>
      </c>
      <c r="M406" s="4" t="s">
        <v>1500</v>
      </c>
      <c r="N406" s="19">
        <v>6.0516899999999998</v>
      </c>
      <c r="O406" s="19">
        <v>7.7119999999999997</v>
      </c>
      <c r="P406" s="19">
        <v>5.24</v>
      </c>
      <c r="Q406" s="19">
        <v>6.907</v>
      </c>
      <c r="R406" s="19">
        <v>4.97</v>
      </c>
      <c r="S406" s="19">
        <v>5.5077999999999996</v>
      </c>
      <c r="T406" s="19">
        <v>4.97</v>
      </c>
      <c r="U406" s="19">
        <v>5.0037000000000003</v>
      </c>
      <c r="V406" s="19">
        <v>4.53</v>
      </c>
      <c r="W406" s="19">
        <v>5.1422999999999996</v>
      </c>
      <c r="X406" s="19">
        <v>4.53</v>
      </c>
      <c r="Y406" s="19">
        <v>5.1422999999999996</v>
      </c>
      <c r="Z406" s="4"/>
      <c r="AA406" s="4"/>
      <c r="AB406" s="4" t="e">
        <f ca="1">_xll.ciqfunctions.udf.CIQ("^SPX", "IQ_PRICEDATE", "8/3/2015")</f>
        <v>#NAME?</v>
      </c>
      <c r="AC406" s="16">
        <v>2098.0396633670998</v>
      </c>
    </row>
    <row r="407" spans="1:29" x14ac:dyDescent="0.35">
      <c r="A407" s="2" t="s">
        <v>417</v>
      </c>
      <c r="B407" s="4" t="s">
        <v>1501</v>
      </c>
      <c r="C407" s="4" t="s">
        <v>525</v>
      </c>
      <c r="D407" s="4" t="s">
        <v>855</v>
      </c>
      <c r="E407" s="4" t="s">
        <v>856</v>
      </c>
      <c r="F407" s="4" t="s">
        <v>1450</v>
      </c>
      <c r="G407" s="14">
        <v>53.75</v>
      </c>
      <c r="H407" s="10">
        <v>10.560729</v>
      </c>
      <c r="I407" s="10">
        <v>27.860004</v>
      </c>
      <c r="J407" s="10" t="s">
        <v>534</v>
      </c>
      <c r="K407" s="15">
        <v>0</v>
      </c>
      <c r="L407" s="17">
        <v>4616.468175</v>
      </c>
      <c r="M407" s="4" t="s">
        <v>1502</v>
      </c>
      <c r="N407" s="19">
        <v>1.929289</v>
      </c>
      <c r="O407" s="19">
        <v>4.3295000000000003</v>
      </c>
      <c r="P407" s="19">
        <v>0.27</v>
      </c>
      <c r="Q407" s="19">
        <v>4.4885000000000002</v>
      </c>
      <c r="R407" s="19">
        <v>2.08</v>
      </c>
      <c r="S407" s="19">
        <v>4.6181000000000001</v>
      </c>
      <c r="T407" s="19">
        <v>2.08</v>
      </c>
      <c r="U407" s="19">
        <v>4.7899000000000003</v>
      </c>
      <c r="V407" s="19">
        <v>3.7899989999999999</v>
      </c>
      <c r="W407" s="19">
        <v>4.6071</v>
      </c>
      <c r="X407" s="19">
        <v>3.7899989999999999</v>
      </c>
      <c r="Y407" s="19">
        <v>4.6071</v>
      </c>
      <c r="Z407" s="4"/>
      <c r="AA407" s="4"/>
      <c r="AB407" s="4" t="e">
        <f ca="1">_xll.ciqfunctions.udf.CIQ("^SPX", "IQ_PRICEDATE", "8/4/2015")</f>
        <v>#NAME?</v>
      </c>
      <c r="AC407" s="16">
        <v>2093.3239169262001</v>
      </c>
    </row>
    <row r="408" spans="1:29" x14ac:dyDescent="0.35">
      <c r="A408" s="2" t="s">
        <v>418</v>
      </c>
      <c r="B408" s="4" t="s">
        <v>1503</v>
      </c>
      <c r="C408" s="4" t="s">
        <v>530</v>
      </c>
      <c r="D408" s="4" t="s">
        <v>531</v>
      </c>
      <c r="E408" s="4" t="s">
        <v>532</v>
      </c>
      <c r="F408" s="4" t="s">
        <v>533</v>
      </c>
      <c r="G408" s="14">
        <v>176.23</v>
      </c>
      <c r="H408" s="10">
        <v>19.974844000000001</v>
      </c>
      <c r="I408" s="10">
        <v>62.233204999999998</v>
      </c>
      <c r="J408" s="10" t="s">
        <v>534</v>
      </c>
      <c r="K408" s="15">
        <v>1.0666999999999999E-2</v>
      </c>
      <c r="L408" s="17">
        <v>65908.344758000007</v>
      </c>
      <c r="M408" s="4" t="s">
        <v>1504</v>
      </c>
      <c r="N408" s="19">
        <v>2.8317679999999998</v>
      </c>
      <c r="O408" s="19">
        <v>7.5571000000000002</v>
      </c>
      <c r="P408" s="19">
        <v>2.68</v>
      </c>
      <c r="Q408" s="19">
        <v>6.9295999999999998</v>
      </c>
      <c r="R408" s="19">
        <v>4.3499999999999996</v>
      </c>
      <c r="S408" s="19">
        <v>6.2773000000000003</v>
      </c>
      <c r="T408" s="19">
        <v>4.3499999999999996</v>
      </c>
      <c r="U408" s="19">
        <v>5.4596999999999998</v>
      </c>
      <c r="V408" s="19">
        <v>1.34</v>
      </c>
      <c r="W408" s="19">
        <v>5.0968</v>
      </c>
      <c r="X408" s="19">
        <v>1.34</v>
      </c>
      <c r="Y408" s="19">
        <v>5.0968</v>
      </c>
      <c r="Z408" s="4"/>
      <c r="AA408" s="4"/>
      <c r="AB408" s="4" t="e">
        <f ca="1">_xll.ciqfunctions.udf.CIQ("^SPX", "IQ_PRICEDATE", "8/5/2015")</f>
        <v>#NAME?</v>
      </c>
      <c r="AC408" s="16">
        <v>2099.8422217912998</v>
      </c>
    </row>
    <row r="409" spans="1:29" x14ac:dyDescent="0.35">
      <c r="A409" s="2" t="s">
        <v>419</v>
      </c>
      <c r="B409" s="4" t="s">
        <v>1505</v>
      </c>
      <c r="C409" s="4" t="s">
        <v>573</v>
      </c>
      <c r="D409" s="4" t="s">
        <v>737</v>
      </c>
      <c r="E409" s="4" t="s">
        <v>737</v>
      </c>
      <c r="F409" s="4" t="s">
        <v>743</v>
      </c>
      <c r="G409" s="14">
        <v>62.42</v>
      </c>
      <c r="H409" s="10">
        <v>0</v>
      </c>
      <c r="I409" s="10">
        <v>11.747455</v>
      </c>
      <c r="J409" s="10">
        <v>1.8328139999999999</v>
      </c>
      <c r="K409" s="15">
        <v>3.2041E-2</v>
      </c>
      <c r="L409" s="17">
        <v>28758.766599999999</v>
      </c>
      <c r="M409" s="4" t="s">
        <v>1506</v>
      </c>
      <c r="N409" s="19">
        <v>5.313491</v>
      </c>
      <c r="O409" s="19">
        <v>5.5731999999999999</v>
      </c>
      <c r="P409" s="19">
        <v>4.47</v>
      </c>
      <c r="Q409" s="19">
        <v>4.3282999999999996</v>
      </c>
      <c r="R409" s="19">
        <v>3.6</v>
      </c>
      <c r="S409" s="19">
        <v>3.6676000000000002</v>
      </c>
      <c r="T409" s="19">
        <v>3.6</v>
      </c>
      <c r="U409" s="19">
        <v>3.5158</v>
      </c>
      <c r="V409" s="19">
        <v>3.23</v>
      </c>
      <c r="W409" s="19">
        <v>3.1966000000000001</v>
      </c>
      <c r="X409" s="19">
        <v>3.23</v>
      </c>
      <c r="Y409" s="19">
        <v>3.1966000000000001</v>
      </c>
      <c r="Z409" s="4"/>
      <c r="AA409" s="4"/>
      <c r="AB409" s="4" t="e">
        <f ca="1">_xll.ciqfunctions.udf.CIQ("^SPX", "IQ_PRICEDATE", "8/6/2015")</f>
        <v>#NAME?</v>
      </c>
      <c r="AC409" s="16">
        <v>2083.5585172903002</v>
      </c>
    </row>
    <row r="410" spans="1:29" x14ac:dyDescent="0.35">
      <c r="A410" s="2" t="s">
        <v>420</v>
      </c>
      <c r="B410" s="4" t="s">
        <v>1507</v>
      </c>
      <c r="C410" s="4" t="s">
        <v>573</v>
      </c>
      <c r="D410" s="4" t="s">
        <v>737</v>
      </c>
      <c r="E410" s="4" t="s">
        <v>737</v>
      </c>
      <c r="F410" s="4" t="s">
        <v>743</v>
      </c>
      <c r="G410" s="14">
        <v>296.98</v>
      </c>
      <c r="H410" s="10">
        <v>0</v>
      </c>
      <c r="I410" s="10">
        <v>22.780117000000001</v>
      </c>
      <c r="J410" s="10">
        <v>3.392801</v>
      </c>
      <c r="K410" s="15">
        <v>0</v>
      </c>
      <c r="L410" s="17">
        <v>15803.415614</v>
      </c>
      <c r="M410" s="4" t="s">
        <v>1508</v>
      </c>
      <c r="N410" s="19">
        <v>13.036807</v>
      </c>
      <c r="O410" s="19">
        <v>19.271699999999999</v>
      </c>
      <c r="P410" s="19">
        <v>9.1999999999999993</v>
      </c>
      <c r="Q410" s="19">
        <v>11.307</v>
      </c>
      <c r="R410" s="19">
        <v>7.31</v>
      </c>
      <c r="S410" s="19">
        <v>7.7786</v>
      </c>
      <c r="T410" s="19">
        <v>7.31</v>
      </c>
      <c r="U410" s="19">
        <v>6.8251999999999997</v>
      </c>
      <c r="V410" s="19">
        <v>5.31</v>
      </c>
      <c r="W410" s="19">
        <v>5.3982999999999999</v>
      </c>
      <c r="X410" s="19">
        <v>5.31</v>
      </c>
      <c r="Y410" s="19">
        <v>5.3982999999999999</v>
      </c>
      <c r="Z410" s="4"/>
      <c r="AA410" s="4"/>
      <c r="AB410" s="4" t="e">
        <f ca="1">_xll.ciqfunctions.udf.CIQ("^SPX", "IQ_PRICEDATE", "8/7/2015")</f>
        <v>#NAME?</v>
      </c>
      <c r="AC410" s="16">
        <v>2077.5684171683001</v>
      </c>
    </row>
    <row r="411" spans="1:29" x14ac:dyDescent="0.35">
      <c r="A411" s="2" t="s">
        <v>421</v>
      </c>
      <c r="B411" s="4" t="s">
        <v>1509</v>
      </c>
      <c r="C411" s="4" t="s">
        <v>543</v>
      </c>
      <c r="D411" s="4" t="s">
        <v>544</v>
      </c>
      <c r="E411" s="4" t="s">
        <v>555</v>
      </c>
      <c r="F411" s="4" t="s">
        <v>782</v>
      </c>
      <c r="G411" s="14">
        <v>20.57</v>
      </c>
      <c r="H411" s="10">
        <v>12.554335</v>
      </c>
      <c r="I411" s="10">
        <v>11.577239000000001</v>
      </c>
      <c r="J411" s="10" t="s">
        <v>534</v>
      </c>
      <c r="K411" s="15">
        <v>1.4584E-2</v>
      </c>
      <c r="L411" s="17">
        <v>12785.049988999999</v>
      </c>
      <c r="M411" s="4" t="s">
        <v>1510</v>
      </c>
      <c r="N411" s="19">
        <v>1.776762</v>
      </c>
      <c r="O411" s="19">
        <v>1.5720000000000001</v>
      </c>
      <c r="P411" s="19">
        <v>1.5471250000000001</v>
      </c>
      <c r="Q411" s="19">
        <v>1.83</v>
      </c>
      <c r="R411" s="19">
        <v>-1.7213579999999999</v>
      </c>
      <c r="S411" s="19">
        <v>1.3633999999999999</v>
      </c>
      <c r="T411" s="19">
        <v>-1.7213579999999999</v>
      </c>
      <c r="U411" s="19">
        <v>1.0382</v>
      </c>
      <c r="V411" s="19">
        <v>0.83640300000000001</v>
      </c>
      <c r="W411" s="19">
        <v>1.952</v>
      </c>
      <c r="X411" s="19">
        <v>0.83640300000000001</v>
      </c>
      <c r="Y411" s="19">
        <v>1.952</v>
      </c>
      <c r="Z411" s="4"/>
      <c r="AA411" s="4"/>
      <c r="AB411" s="4" t="e">
        <f ca="1">_xll.ciqfunctions.udf.CIQ("^SPX", "IQ_PRICEDATE", "8/10/2015")</f>
        <v>#NAME?</v>
      </c>
      <c r="AC411" s="16">
        <v>2104.1825034717999</v>
      </c>
    </row>
    <row r="412" spans="1:29" x14ac:dyDescent="0.35">
      <c r="A412" s="2" t="s">
        <v>422</v>
      </c>
      <c r="B412" s="4" t="s">
        <v>1511</v>
      </c>
      <c r="C412" s="4" t="s">
        <v>573</v>
      </c>
      <c r="D412" s="4" t="s">
        <v>574</v>
      </c>
      <c r="E412" s="4" t="s">
        <v>641</v>
      </c>
      <c r="F412" s="4" t="s">
        <v>641</v>
      </c>
      <c r="G412" s="14">
        <v>30.07</v>
      </c>
      <c r="H412" s="10">
        <v>0</v>
      </c>
      <c r="I412" s="10">
        <v>10.258984999999999</v>
      </c>
      <c r="J412" s="10">
        <v>1.785873</v>
      </c>
      <c r="K412" s="15">
        <v>2.7934E-2</v>
      </c>
      <c r="L412" s="17">
        <v>22272.431388000001</v>
      </c>
      <c r="M412" s="4" t="s">
        <v>1512</v>
      </c>
      <c r="N412" s="19">
        <v>2.9310890000000001</v>
      </c>
      <c r="O412" s="19">
        <v>3.6911999999999998</v>
      </c>
      <c r="P412" s="19">
        <v>2.42</v>
      </c>
      <c r="Q412" s="19">
        <v>2.9068000000000001</v>
      </c>
      <c r="R412" s="19">
        <v>2.71</v>
      </c>
      <c r="S412" s="19">
        <v>2.9849000000000001</v>
      </c>
      <c r="T412" s="19">
        <v>2.71</v>
      </c>
      <c r="U412" s="19">
        <v>2.75</v>
      </c>
      <c r="V412" s="19">
        <v>2.78</v>
      </c>
      <c r="W412" s="19">
        <v>2.5200999999999998</v>
      </c>
      <c r="X412" s="19">
        <v>2.78</v>
      </c>
      <c r="Y412" s="19">
        <v>2.5200999999999998</v>
      </c>
      <c r="Z412" s="4"/>
      <c r="AA412" s="4"/>
      <c r="AB412" s="4" t="e">
        <f ca="1">_xll.ciqfunctions.udf.CIQ("^SPX", "IQ_PRICEDATE", "8/11/2015")</f>
        <v>#NAME?</v>
      </c>
      <c r="AC412" s="16">
        <v>2084.0735079156998</v>
      </c>
    </row>
    <row r="413" spans="1:29" x14ac:dyDescent="0.35">
      <c r="A413" s="2" t="s">
        <v>423</v>
      </c>
      <c r="B413" s="4" t="s">
        <v>1513</v>
      </c>
      <c r="C413" s="4" t="s">
        <v>543</v>
      </c>
      <c r="D413" s="4" t="s">
        <v>544</v>
      </c>
      <c r="E413" s="4" t="s">
        <v>555</v>
      </c>
      <c r="F413" s="4" t="s">
        <v>556</v>
      </c>
      <c r="G413" s="14">
        <v>89.57</v>
      </c>
      <c r="H413" s="10">
        <v>25.671937</v>
      </c>
      <c r="I413" s="10">
        <v>241.57442699999999</v>
      </c>
      <c r="J413" s="10" t="s">
        <v>534</v>
      </c>
      <c r="K413" s="15">
        <v>0</v>
      </c>
      <c r="L413" s="17">
        <v>13309.036744000001</v>
      </c>
      <c r="M413" s="4" t="s">
        <v>1514</v>
      </c>
      <c r="N413" s="19">
        <v>0.37077599999999999</v>
      </c>
      <c r="O413" s="19">
        <v>3.9087000000000001</v>
      </c>
      <c r="P413" s="19">
        <v>0.88</v>
      </c>
      <c r="Q413" s="19">
        <v>3.5009999999999999</v>
      </c>
      <c r="R413" s="19">
        <v>1.73</v>
      </c>
      <c r="S413" s="19">
        <v>3.2007500000000002</v>
      </c>
      <c r="T413" s="19">
        <v>1.73</v>
      </c>
      <c r="U413" s="19">
        <v>2.9549099999999999</v>
      </c>
      <c r="V413" s="19">
        <v>1.64</v>
      </c>
      <c r="W413" s="19">
        <v>2.69</v>
      </c>
      <c r="X413" s="19">
        <v>1.64</v>
      </c>
      <c r="Y413" s="19">
        <v>2.69</v>
      </c>
      <c r="Z413" s="4"/>
      <c r="AA413" s="4"/>
      <c r="AB413" s="4" t="e">
        <f ca="1">_xll.ciqfunctions.udf.CIQ("^SPX", "IQ_PRICEDATE", "8/12/2015")</f>
        <v>#NAME?</v>
      </c>
      <c r="AC413" s="16">
        <v>2086.0464367455002</v>
      </c>
    </row>
    <row r="414" spans="1:29" x14ac:dyDescent="0.35">
      <c r="A414" s="2" t="s">
        <v>424</v>
      </c>
      <c r="B414" s="4" t="s">
        <v>1515</v>
      </c>
      <c r="C414" s="4" t="s">
        <v>626</v>
      </c>
      <c r="D414" s="4" t="s">
        <v>894</v>
      </c>
      <c r="E414" s="4" t="s">
        <v>894</v>
      </c>
      <c r="F414" s="4" t="s">
        <v>1516</v>
      </c>
      <c r="G414" s="14">
        <v>70.38</v>
      </c>
      <c r="H414" s="10">
        <v>13.652329999999999</v>
      </c>
      <c r="I414" s="10">
        <v>26.066666000000001</v>
      </c>
      <c r="J414" s="10" t="s">
        <v>534</v>
      </c>
      <c r="K414" s="15">
        <v>2.0459999999999999E-2</v>
      </c>
      <c r="L414" s="17">
        <v>36646.111455999999</v>
      </c>
      <c r="M414" s="4" t="s">
        <v>1517</v>
      </c>
      <c r="N414" s="19">
        <v>2.7</v>
      </c>
      <c r="O414" s="19">
        <v>3.5036</v>
      </c>
      <c r="P414" s="19">
        <v>2.226518</v>
      </c>
      <c r="Q414" s="19">
        <v>2.8266</v>
      </c>
      <c r="R414" s="19">
        <v>1.834436</v>
      </c>
      <c r="S414" s="19">
        <v>2.5177999999999998</v>
      </c>
      <c r="T414" s="19">
        <v>1.834436</v>
      </c>
      <c r="U414" s="19">
        <v>1.9779</v>
      </c>
      <c r="V414" s="19">
        <v>1.470086</v>
      </c>
      <c r="W414" s="19">
        <v>1.9001999999999999</v>
      </c>
      <c r="X414" s="19">
        <v>1.470086</v>
      </c>
      <c r="Y414" s="19">
        <v>1.9001999999999999</v>
      </c>
      <c r="Z414" s="4"/>
      <c r="AA414" s="4"/>
      <c r="AB414" s="4" t="e">
        <f ca="1">_xll.ciqfunctions.udf.CIQ("^SPX", "IQ_PRICEDATE", "8/13/2015")</f>
        <v>#NAME?</v>
      </c>
      <c r="AC414" s="16">
        <v>2083.3873035974002</v>
      </c>
    </row>
    <row r="415" spans="1:29" x14ac:dyDescent="0.35">
      <c r="A415" s="2" t="s">
        <v>425</v>
      </c>
      <c r="B415" s="4" t="s">
        <v>1518</v>
      </c>
      <c r="C415" s="4" t="s">
        <v>573</v>
      </c>
      <c r="D415" s="4" t="s">
        <v>574</v>
      </c>
      <c r="E415" s="4" t="s">
        <v>575</v>
      </c>
      <c r="F415" s="4" t="s">
        <v>576</v>
      </c>
      <c r="G415" s="14">
        <v>102.66</v>
      </c>
      <c r="H415" s="10">
        <v>10.073513999999999</v>
      </c>
      <c r="I415" s="10">
        <v>15.833651</v>
      </c>
      <c r="J415" s="10">
        <v>4.5816319999999999</v>
      </c>
      <c r="K415" s="15">
        <v>2.7274E-2</v>
      </c>
      <c r="L415" s="17">
        <v>24965.957569999999</v>
      </c>
      <c r="M415" s="4" t="s">
        <v>1519</v>
      </c>
      <c r="N415" s="19">
        <v>6.4836590000000003</v>
      </c>
      <c r="O415" s="19">
        <v>7.5735000000000001</v>
      </c>
      <c r="P415" s="19">
        <v>5.97</v>
      </c>
      <c r="Q415" s="19">
        <v>5.6021000000000001</v>
      </c>
      <c r="R415" s="19">
        <v>4.75</v>
      </c>
      <c r="S415" s="19">
        <v>4.8513999999999999</v>
      </c>
      <c r="T415" s="19">
        <v>4.75</v>
      </c>
      <c r="U415" s="19">
        <v>4.5837000000000003</v>
      </c>
      <c r="V415" s="19">
        <v>4.55</v>
      </c>
      <c r="W415" s="19">
        <v>4.7064000000000004</v>
      </c>
      <c r="X415" s="19">
        <v>4.55</v>
      </c>
      <c r="Y415" s="19">
        <v>4.7064000000000004</v>
      </c>
      <c r="Z415" s="4"/>
      <c r="AA415" s="4"/>
      <c r="AB415" s="4" t="e">
        <f ca="1">_xll.ciqfunctions.udf.CIQ("^SPX", "IQ_PRICEDATE", "8/14/2015")</f>
        <v>#NAME?</v>
      </c>
      <c r="AC415" s="16">
        <v>2091.5436408942001</v>
      </c>
    </row>
    <row r="416" spans="1:29" x14ac:dyDescent="0.35">
      <c r="A416" s="2" t="s">
        <v>426</v>
      </c>
      <c r="B416" s="4" t="s">
        <v>1520</v>
      </c>
      <c r="C416" s="4" t="s">
        <v>549</v>
      </c>
      <c r="D416" s="4" t="s">
        <v>550</v>
      </c>
      <c r="E416" s="4" t="s">
        <v>551</v>
      </c>
      <c r="F416" s="4" t="s">
        <v>552</v>
      </c>
      <c r="G416" s="14">
        <v>132.06</v>
      </c>
      <c r="H416" s="10">
        <v>59.969042000000002</v>
      </c>
      <c r="I416" s="10">
        <v>82.561235999999994</v>
      </c>
      <c r="J416" s="10">
        <v>22.838864000000001</v>
      </c>
      <c r="K416" s="15">
        <v>0</v>
      </c>
      <c r="L416" s="17">
        <v>15032.154337</v>
      </c>
      <c r="M416" s="4" t="s">
        <v>1521</v>
      </c>
      <c r="N416" s="19">
        <v>1.59954</v>
      </c>
      <c r="O416" s="19">
        <v>5.4131999999999998</v>
      </c>
      <c r="P416" s="19">
        <v>1.633982</v>
      </c>
      <c r="Q416" s="19">
        <v>3.8226</v>
      </c>
      <c r="R416" s="19">
        <v>0.16561600000000001</v>
      </c>
      <c r="S416" s="19">
        <v>1.6736</v>
      </c>
      <c r="T416" s="19">
        <v>0.16561600000000001</v>
      </c>
      <c r="U416" s="19">
        <v>1.1617999999999999</v>
      </c>
      <c r="V416" s="19">
        <v>-0.83181799999999995</v>
      </c>
      <c r="W416" s="19">
        <v>1.8036000000000001</v>
      </c>
      <c r="X416" s="19">
        <v>-0.83181799999999995</v>
      </c>
      <c r="Y416" s="19">
        <v>1.8036000000000001</v>
      </c>
      <c r="Z416" s="4"/>
      <c r="AA416" s="4"/>
      <c r="AB416" s="4" t="e">
        <f ca="1">_xll.ciqfunctions.udf.CIQ("^SPX", "IQ_PRICEDATE", "8/17/2015")</f>
        <v>#NAME?</v>
      </c>
      <c r="AC416" s="16">
        <v>2102.4363504756002</v>
      </c>
    </row>
    <row r="417" spans="1:29" x14ac:dyDescent="0.35">
      <c r="A417" s="2" t="s">
        <v>427</v>
      </c>
      <c r="B417" s="4" t="s">
        <v>1522</v>
      </c>
      <c r="C417" s="4" t="s">
        <v>559</v>
      </c>
      <c r="D417" s="4" t="s">
        <v>912</v>
      </c>
      <c r="E417" s="4" t="s">
        <v>1097</v>
      </c>
      <c r="F417" s="4" t="s">
        <v>1098</v>
      </c>
      <c r="G417" s="14">
        <v>43.99</v>
      </c>
      <c r="H417" s="10">
        <v>11.194981</v>
      </c>
      <c r="I417" s="10">
        <v>31.876811</v>
      </c>
      <c r="J417" s="10" t="s">
        <v>534</v>
      </c>
      <c r="K417" s="15">
        <v>3.0688E-2</v>
      </c>
      <c r="L417" s="17">
        <v>12740.810855</v>
      </c>
      <c r="M417" s="4" t="s">
        <v>1523</v>
      </c>
      <c r="N417" s="19">
        <v>1.38</v>
      </c>
      <c r="O417" s="19">
        <v>2.7761100000000001</v>
      </c>
      <c r="P417" s="19">
        <v>1.116808</v>
      </c>
      <c r="Q417" s="19">
        <v>2.4628000000000001</v>
      </c>
      <c r="R417" s="19">
        <v>1.8221339999999999</v>
      </c>
      <c r="S417" s="19">
        <v>2.1831</v>
      </c>
      <c r="T417" s="19">
        <v>1.8221339999999999</v>
      </c>
      <c r="U417" s="19">
        <v>1.9338</v>
      </c>
      <c r="V417" s="19">
        <v>2.0517210000000001</v>
      </c>
      <c r="W417" s="19">
        <v>1.8629</v>
      </c>
      <c r="X417" s="19">
        <v>2.0517210000000001</v>
      </c>
      <c r="Y417" s="19">
        <v>1.8629</v>
      </c>
      <c r="Z417" s="4"/>
      <c r="AA417" s="4"/>
      <c r="AB417" s="4" t="e">
        <f ca="1">_xll.ciqfunctions.udf.CIQ("^SPX", "IQ_PRICEDATE", "8/18/2015")</f>
        <v>#NAME?</v>
      </c>
      <c r="AC417" s="16">
        <v>2096.9193711046</v>
      </c>
    </row>
    <row r="418" spans="1:29" x14ac:dyDescent="0.35">
      <c r="A418" s="2" t="s">
        <v>428</v>
      </c>
      <c r="B418" s="4" t="s">
        <v>1524</v>
      </c>
      <c r="C418" s="4" t="s">
        <v>559</v>
      </c>
      <c r="D418" s="4" t="s">
        <v>560</v>
      </c>
      <c r="E418" s="4" t="s">
        <v>940</v>
      </c>
      <c r="F418" s="4" t="s">
        <v>941</v>
      </c>
      <c r="G418" s="14">
        <v>84.42</v>
      </c>
      <c r="H418" s="10">
        <v>8.2758509999999994</v>
      </c>
      <c r="I418" s="10">
        <v>14.801658</v>
      </c>
      <c r="J418" s="10">
        <v>3.9772940000000001</v>
      </c>
      <c r="K418" s="15">
        <v>3.0324E-2</v>
      </c>
      <c r="L418" s="17">
        <v>44434.550323000003</v>
      </c>
      <c r="M418" s="4" t="s">
        <v>1525</v>
      </c>
      <c r="N418" s="19">
        <v>5.7034149999999997</v>
      </c>
      <c r="O418" s="19">
        <v>5.5453000000000001</v>
      </c>
      <c r="P418" s="19">
        <v>4.7610070000000002</v>
      </c>
      <c r="Q418" s="19">
        <v>4.2606000000000002</v>
      </c>
      <c r="R418" s="19">
        <v>5.4889349999999997</v>
      </c>
      <c r="S418" s="19">
        <v>5.4146000000000001</v>
      </c>
      <c r="T418" s="19">
        <v>5.4889349999999997</v>
      </c>
      <c r="U418" s="19">
        <v>5.0492999999999997</v>
      </c>
      <c r="V418" s="19">
        <v>4.2760059999999998</v>
      </c>
      <c r="W418" s="19">
        <v>3.7113999999999998</v>
      </c>
      <c r="X418" s="19">
        <v>4.2760059999999998</v>
      </c>
      <c r="Y418" s="19">
        <v>3.7113999999999998</v>
      </c>
      <c r="Z418" s="4"/>
      <c r="AA418" s="4"/>
      <c r="AB418" s="4" t="e">
        <f ca="1">_xll.ciqfunctions.udf.CIQ("^SPX", "IQ_PRICEDATE", "8/19/2015")</f>
        <v>#NAME?</v>
      </c>
      <c r="AC418" s="16">
        <v>2079.6106568018999</v>
      </c>
    </row>
    <row r="419" spans="1:29" x14ac:dyDescent="0.35">
      <c r="A419" s="2" t="s">
        <v>429</v>
      </c>
      <c r="B419" s="4" t="s">
        <v>1526</v>
      </c>
      <c r="C419" s="4" t="s">
        <v>543</v>
      </c>
      <c r="D419" s="4" t="s">
        <v>664</v>
      </c>
      <c r="E419" s="4" t="s">
        <v>665</v>
      </c>
      <c r="F419" s="4" t="s">
        <v>1174</v>
      </c>
      <c r="G419" s="14">
        <v>79.55</v>
      </c>
      <c r="H419" s="10">
        <v>9.9439469999999996</v>
      </c>
      <c r="I419" s="10">
        <v>21.150727</v>
      </c>
      <c r="J419" s="10">
        <v>12.725485000000001</v>
      </c>
      <c r="K419" s="15">
        <v>2.2124000000000001E-2</v>
      </c>
      <c r="L419" s="17">
        <v>27719.892767000001</v>
      </c>
      <c r="M419" s="4" t="s">
        <v>1527</v>
      </c>
      <c r="N419" s="19">
        <v>3.7610999999999999</v>
      </c>
      <c r="O419" s="19">
        <v>5.7514000000000003</v>
      </c>
      <c r="P419" s="19">
        <v>3.4455290000000001</v>
      </c>
      <c r="Q419" s="19">
        <v>5.2727899999999996</v>
      </c>
      <c r="R419" s="19">
        <v>5.5997500000000002</v>
      </c>
      <c r="S419" s="19">
        <v>4.35914</v>
      </c>
      <c r="T419" s="19">
        <v>5.5997500000000002</v>
      </c>
      <c r="U419" s="19">
        <v>3.9870299999999999</v>
      </c>
      <c r="V419" s="19">
        <v>4.1699270000000004</v>
      </c>
      <c r="W419" s="19">
        <v>4.2041700000000004</v>
      </c>
      <c r="X419" s="19">
        <v>4.1699270000000004</v>
      </c>
      <c r="Y419" s="19">
        <v>4.2041700000000004</v>
      </c>
      <c r="Z419" s="4"/>
      <c r="AA419" s="4"/>
      <c r="AB419" s="4" t="e">
        <f ca="1">_xll.ciqfunctions.udf.CIQ("^SPX", "IQ_PRICEDATE", "8/20/2015")</f>
        <v>#NAME?</v>
      </c>
      <c r="AC419" s="16">
        <v>2035.7341442458001</v>
      </c>
    </row>
    <row r="420" spans="1:29" x14ac:dyDescent="0.35">
      <c r="A420" s="2" t="s">
        <v>430</v>
      </c>
      <c r="B420" s="4" t="s">
        <v>1528</v>
      </c>
      <c r="C420" s="4" t="s">
        <v>669</v>
      </c>
      <c r="D420" s="4" t="s">
        <v>669</v>
      </c>
      <c r="E420" s="4" t="s">
        <v>730</v>
      </c>
      <c r="F420" s="4" t="s">
        <v>731</v>
      </c>
      <c r="G420" s="14">
        <v>29.75</v>
      </c>
      <c r="H420" s="10">
        <v>6.1323049999999997</v>
      </c>
      <c r="I420" s="10">
        <v>83.140270000000001</v>
      </c>
      <c r="J420" s="10">
        <v>4.9993210000000001</v>
      </c>
      <c r="K420" s="15">
        <v>1.7478E-2</v>
      </c>
      <c r="L420" s="17">
        <v>13367.502199</v>
      </c>
      <c r="M420" s="4" t="s">
        <v>1529</v>
      </c>
      <c r="N420" s="19">
        <v>0.35782900000000001</v>
      </c>
      <c r="O420" s="19">
        <v>1.4746999999999999</v>
      </c>
      <c r="P420" s="19">
        <v>0.24</v>
      </c>
      <c r="Q420" s="19">
        <v>1.4136</v>
      </c>
      <c r="R420" s="19">
        <v>3.155875</v>
      </c>
      <c r="S420" s="19">
        <v>0</v>
      </c>
      <c r="T420" s="19">
        <v>3.155875</v>
      </c>
      <c r="U420" s="19">
        <v>0</v>
      </c>
      <c r="V420" s="19">
        <v>4.4177049999999998</v>
      </c>
      <c r="W420" s="19">
        <v>0</v>
      </c>
      <c r="X420" s="19">
        <v>4.4177049999999998</v>
      </c>
      <c r="Y420" s="19">
        <v>0</v>
      </c>
      <c r="Z420" s="4"/>
      <c r="AA420" s="4"/>
      <c r="AB420" s="4" t="e">
        <f ca="1">_xll.ciqfunctions.udf.CIQ("^SPX", "IQ_PRICEDATE", "8/21/2015")</f>
        <v>#NAME?</v>
      </c>
      <c r="AC420" s="16">
        <v>1970.8890645414001</v>
      </c>
    </row>
    <row r="421" spans="1:29" x14ac:dyDescent="0.35">
      <c r="A421" s="2" t="s">
        <v>431</v>
      </c>
      <c r="B421" s="4" t="s">
        <v>1530</v>
      </c>
      <c r="C421" s="4" t="s">
        <v>543</v>
      </c>
      <c r="D421" s="4" t="s">
        <v>565</v>
      </c>
      <c r="E421" s="4" t="s">
        <v>565</v>
      </c>
      <c r="F421" s="4" t="s">
        <v>566</v>
      </c>
      <c r="G421" s="14">
        <v>101.54</v>
      </c>
      <c r="H421" s="10">
        <v>13.291926999999999</v>
      </c>
      <c r="I421" s="10">
        <v>23.360717000000001</v>
      </c>
      <c r="J421" s="10">
        <v>18.376128000000001</v>
      </c>
      <c r="K421" s="15">
        <v>3.0331999999999998E-2</v>
      </c>
      <c r="L421" s="17">
        <v>98716.687611000001</v>
      </c>
      <c r="M421" s="4" t="s">
        <v>1531</v>
      </c>
      <c r="N421" s="19">
        <v>4.3466129999999996</v>
      </c>
      <c r="O421" s="19">
        <v>5.9795999999999996</v>
      </c>
      <c r="P421" s="19">
        <v>3.605731</v>
      </c>
      <c r="Q421" s="19">
        <v>4.6287000000000003</v>
      </c>
      <c r="R421" s="19">
        <v>3.4779620000000002</v>
      </c>
      <c r="S421" s="19">
        <v>3.5226999999999999</v>
      </c>
      <c r="T421" s="19">
        <v>3.4779620000000002</v>
      </c>
      <c r="U421" s="19">
        <v>3.0630999999999999</v>
      </c>
      <c r="V421" s="19">
        <v>2.572222</v>
      </c>
      <c r="W421" s="19">
        <v>3.0369000000000002</v>
      </c>
      <c r="X421" s="19">
        <v>2.572222</v>
      </c>
      <c r="Y421" s="19">
        <v>3.0369000000000002</v>
      </c>
      <c r="Z421" s="4"/>
      <c r="AA421" s="4"/>
      <c r="AB421" s="4" t="e">
        <f ca="1">_xll.ciqfunctions.udf.CIQ("^SPX", "IQ_PRICEDATE", "8/24/2015")</f>
        <v>#NAME?</v>
      </c>
      <c r="AC421" s="16">
        <v>1893.2139388332</v>
      </c>
    </row>
    <row r="422" spans="1:29" x14ac:dyDescent="0.35">
      <c r="A422" s="2" t="s">
        <v>432</v>
      </c>
      <c r="B422" s="4" t="s">
        <v>1532</v>
      </c>
      <c r="C422" s="4" t="s">
        <v>525</v>
      </c>
      <c r="D422" s="4" t="s">
        <v>526</v>
      </c>
      <c r="E422" s="4" t="s">
        <v>703</v>
      </c>
      <c r="F422" s="4" t="s">
        <v>703</v>
      </c>
      <c r="G422" s="14">
        <v>64.78</v>
      </c>
      <c r="H422" s="10">
        <v>12.349684</v>
      </c>
      <c r="I422" s="10">
        <v>36.645721999999999</v>
      </c>
      <c r="J422" s="10">
        <v>5.110741</v>
      </c>
      <c r="K422" s="15">
        <v>1.2339999999999999E-3</v>
      </c>
      <c r="L422" s="17">
        <v>16092.053631999999</v>
      </c>
      <c r="M422" s="4" t="s">
        <v>1533</v>
      </c>
      <c r="N422" s="19">
        <v>1.7677369999999999</v>
      </c>
      <c r="O422" s="19">
        <v>3.4117999999999999</v>
      </c>
      <c r="P422" s="19">
        <v>1.1399999999999999</v>
      </c>
      <c r="Q422" s="19">
        <v>2.6858</v>
      </c>
      <c r="R422" s="19">
        <v>3.09</v>
      </c>
      <c r="S422" s="19">
        <v>2.8826999999999998</v>
      </c>
      <c r="T422" s="19">
        <v>3.09</v>
      </c>
      <c r="U422" s="19">
        <v>2.7608000000000001</v>
      </c>
      <c r="V422" s="19">
        <v>1.9911080000000001</v>
      </c>
      <c r="W422" s="19">
        <v>2.4639000000000002</v>
      </c>
      <c r="X422" s="19">
        <v>1.9911080000000001</v>
      </c>
      <c r="Y422" s="19">
        <v>2.4639000000000002</v>
      </c>
      <c r="Z422" s="4"/>
      <c r="AA422" s="4"/>
      <c r="AB422" s="4" t="e">
        <f ca="1">_xll.ciqfunctions.udf.CIQ("^SPX", "IQ_PRICEDATE", "8/25/2015")</f>
        <v>#NAME?</v>
      </c>
      <c r="AC422" s="16">
        <v>1867.6109248626999</v>
      </c>
    </row>
    <row r="423" spans="1:29" x14ac:dyDescent="0.35">
      <c r="A423" s="2" t="s">
        <v>433</v>
      </c>
      <c r="B423" s="4" t="s">
        <v>1534</v>
      </c>
      <c r="C423" s="4" t="s">
        <v>619</v>
      </c>
      <c r="D423" s="4" t="s">
        <v>619</v>
      </c>
      <c r="E423" s="4" t="s">
        <v>1354</v>
      </c>
      <c r="F423" s="4" t="s">
        <v>1355</v>
      </c>
      <c r="G423" s="14">
        <v>15.08</v>
      </c>
      <c r="H423" s="10">
        <v>8.4477840000000004</v>
      </c>
      <c r="I423" s="10">
        <v>40.654460999999998</v>
      </c>
      <c r="J423" s="10">
        <v>5.2256970000000003</v>
      </c>
      <c r="K423" s="15">
        <v>3.4481999999999999E-2</v>
      </c>
      <c r="L423" s="17">
        <v>9978.1866669999999</v>
      </c>
      <c r="M423" s="4" t="s">
        <v>1535</v>
      </c>
      <c r="N423" s="19">
        <v>0.37093100000000001</v>
      </c>
      <c r="O423" s="19">
        <v>1.3411</v>
      </c>
      <c r="P423" s="19">
        <v>-0.77</v>
      </c>
      <c r="Q423" s="19">
        <v>1.2398</v>
      </c>
      <c r="R423" s="19">
        <v>-0.04</v>
      </c>
      <c r="S423" s="19">
        <v>1.252</v>
      </c>
      <c r="T423" s="19">
        <v>-0.04</v>
      </c>
      <c r="U423" s="19">
        <v>1.2125999999999999</v>
      </c>
      <c r="V423" s="19">
        <v>0.97</v>
      </c>
      <c r="W423" s="19">
        <v>1.2941</v>
      </c>
      <c r="X423" s="19">
        <v>0.97</v>
      </c>
      <c r="Y423" s="19">
        <v>1.2941</v>
      </c>
      <c r="Z423" s="4"/>
      <c r="AA423" s="4"/>
      <c r="AB423" s="4" t="e">
        <f ca="1">_xll.ciqfunctions.udf.CIQ("^SPX", "IQ_PRICEDATE", "8/26/2015")</f>
        <v>#NAME?</v>
      </c>
      <c r="AC423" s="16">
        <v>1940.5107172512</v>
      </c>
    </row>
    <row r="424" spans="1:29" x14ac:dyDescent="0.35">
      <c r="A424" s="2" t="s">
        <v>434</v>
      </c>
      <c r="B424" s="4" t="s">
        <v>1536</v>
      </c>
      <c r="C424" s="4" t="s">
        <v>573</v>
      </c>
      <c r="D424" s="4" t="s">
        <v>579</v>
      </c>
      <c r="E424" s="4" t="s">
        <v>579</v>
      </c>
      <c r="F424" s="4" t="s">
        <v>842</v>
      </c>
      <c r="G424" s="14">
        <v>95.75</v>
      </c>
      <c r="H424" s="10">
        <v>7.9077229999999998</v>
      </c>
      <c r="I424" s="10">
        <v>10.059168</v>
      </c>
      <c r="J424" s="10">
        <v>1.8381879999999999</v>
      </c>
      <c r="K424" s="15">
        <v>1.9216E-2</v>
      </c>
      <c r="L424" s="17">
        <v>33151.747990999997</v>
      </c>
      <c r="M424" s="4" t="s">
        <v>1537</v>
      </c>
      <c r="N424" s="19">
        <v>9.5186790000000006</v>
      </c>
      <c r="O424" s="19">
        <v>8.8592999999999993</v>
      </c>
      <c r="P424" s="19">
        <v>8.36</v>
      </c>
      <c r="Q424" s="19">
        <v>6.9157000000000002</v>
      </c>
      <c r="R424" s="19">
        <v>4.67</v>
      </c>
      <c r="S424" s="19">
        <v>5.8446999999999996</v>
      </c>
      <c r="T424" s="19">
        <v>4.67</v>
      </c>
      <c r="U424" s="19">
        <v>5.1920000000000002</v>
      </c>
      <c r="V424" s="19">
        <v>6.27</v>
      </c>
      <c r="W424" s="19">
        <v>5.6212</v>
      </c>
      <c r="X424" s="19">
        <v>6.27</v>
      </c>
      <c r="Y424" s="19">
        <v>5.6212</v>
      </c>
      <c r="Z424" s="4"/>
      <c r="AA424" s="4"/>
      <c r="AB424" s="4" t="e">
        <f ca="1">_xll.ciqfunctions.udf.CIQ("^SPX", "IQ_PRICEDATE", "8/27/2015")</f>
        <v>#NAME?</v>
      </c>
      <c r="AC424" s="16">
        <v>1987.6624923115</v>
      </c>
    </row>
    <row r="425" spans="1:29" x14ac:dyDescent="0.35">
      <c r="A425" s="2" t="s">
        <v>435</v>
      </c>
      <c r="B425" s="4" t="s">
        <v>1538</v>
      </c>
      <c r="C425" s="4" t="s">
        <v>573</v>
      </c>
      <c r="D425" s="4" t="s">
        <v>574</v>
      </c>
      <c r="E425" s="4" t="s">
        <v>575</v>
      </c>
      <c r="F425" s="4" t="s">
        <v>576</v>
      </c>
      <c r="G425" s="14">
        <v>49.15</v>
      </c>
      <c r="H425" s="10">
        <v>0</v>
      </c>
      <c r="I425" s="10">
        <v>11.81385</v>
      </c>
      <c r="J425" s="10">
        <v>3.1329940000000001</v>
      </c>
      <c r="K425" s="15">
        <v>2.2787000000000002E-2</v>
      </c>
      <c r="L425" s="17">
        <v>49147.276450999998</v>
      </c>
      <c r="M425" s="4" t="s">
        <v>1539</v>
      </c>
      <c r="N425" s="19">
        <v>4.1603709999999996</v>
      </c>
      <c r="O425" s="19">
        <v>4.2137000000000002</v>
      </c>
      <c r="P425" s="19">
        <v>3.72</v>
      </c>
      <c r="Q425" s="19">
        <v>3.8774999999999999</v>
      </c>
      <c r="R425" s="19">
        <v>3.15</v>
      </c>
      <c r="S425" s="19">
        <v>3.4152</v>
      </c>
      <c r="T425" s="19">
        <v>3.15</v>
      </c>
      <c r="U425" s="19">
        <v>2.9577</v>
      </c>
      <c r="V425" s="19">
        <v>2.15</v>
      </c>
      <c r="W425" s="19">
        <v>2.5171000000000001</v>
      </c>
      <c r="X425" s="19">
        <v>2.15</v>
      </c>
      <c r="Y425" s="19">
        <v>2.5171000000000001</v>
      </c>
      <c r="Z425" s="4"/>
      <c r="AA425" s="4"/>
      <c r="AB425" s="4" t="e">
        <f ca="1">_xll.ciqfunctions.udf.CIQ("^SPX", "IQ_PRICEDATE", "8/28/2015")</f>
        <v>#NAME?</v>
      </c>
      <c r="AC425" s="16">
        <v>1988.8714072271</v>
      </c>
    </row>
    <row r="426" spans="1:29" x14ac:dyDescent="0.35">
      <c r="A426" s="2" t="s">
        <v>436</v>
      </c>
      <c r="B426" s="4" t="s">
        <v>1540</v>
      </c>
      <c r="C426" s="4" t="s">
        <v>525</v>
      </c>
      <c r="D426" s="4" t="s">
        <v>526</v>
      </c>
      <c r="E426" s="4" t="s">
        <v>703</v>
      </c>
      <c r="F426" s="4" t="s">
        <v>703</v>
      </c>
      <c r="G426" s="14">
        <v>365.5</v>
      </c>
      <c r="H426" s="10">
        <v>16.268211999999998</v>
      </c>
      <c r="I426" s="10">
        <v>22.956282999999999</v>
      </c>
      <c r="J426" s="10" t="s">
        <v>534</v>
      </c>
      <c r="K426" s="15">
        <v>1.8713999999999998E-2</v>
      </c>
      <c r="L426" s="17">
        <v>209982.78876699999</v>
      </c>
      <c r="M426" s="4" t="s">
        <v>1541</v>
      </c>
      <c r="N426" s="19">
        <v>15.921567</v>
      </c>
      <c r="O426" s="19">
        <v>15.833299999999999</v>
      </c>
      <c r="P426" s="19">
        <v>13.43</v>
      </c>
      <c r="Q426" s="19">
        <v>10.849</v>
      </c>
      <c r="R426" s="19">
        <v>7.61</v>
      </c>
      <c r="S426" s="19">
        <v>9.0985999999999994</v>
      </c>
      <c r="T426" s="19">
        <v>7.61</v>
      </c>
      <c r="U426" s="19">
        <v>9.1153999999999993</v>
      </c>
      <c r="V426" s="19">
        <v>7.38</v>
      </c>
      <c r="W426" s="19">
        <v>8.4928000000000008</v>
      </c>
      <c r="X426" s="19">
        <v>7.38</v>
      </c>
      <c r="Y426" s="19">
        <v>8.4928000000000008</v>
      </c>
      <c r="Z426" s="4"/>
      <c r="AA426" s="4"/>
      <c r="AB426" s="4" t="e">
        <f ca="1">_xll.ciqfunctions.udf.CIQ("^SPX", "IQ_PRICEDATE", "8/31/2015")</f>
        <v>#NAME?</v>
      </c>
      <c r="AC426" s="16">
        <v>1972.1846887109</v>
      </c>
    </row>
    <row r="427" spans="1:29" x14ac:dyDescent="0.35">
      <c r="A427" s="2" t="s">
        <v>437</v>
      </c>
      <c r="B427" s="4" t="s">
        <v>1542</v>
      </c>
      <c r="C427" s="4" t="s">
        <v>573</v>
      </c>
      <c r="D427" s="4" t="s">
        <v>574</v>
      </c>
      <c r="E427" s="4" t="s">
        <v>575</v>
      </c>
      <c r="F427" s="4" t="s">
        <v>963</v>
      </c>
      <c r="G427" s="14">
        <v>48.04</v>
      </c>
      <c r="H427" s="10">
        <v>0</v>
      </c>
      <c r="I427" s="10">
        <v>21.928412999999999</v>
      </c>
      <c r="J427" s="10">
        <v>3.1202899999999998</v>
      </c>
      <c r="K427" s="15">
        <v>1.0824E-2</v>
      </c>
      <c r="L427" s="17">
        <v>64905.056095</v>
      </c>
      <c r="M427" s="4" t="s">
        <v>1543</v>
      </c>
      <c r="N427" s="19">
        <v>2.1907649999999999</v>
      </c>
      <c r="O427" s="19">
        <v>2.7970000000000002</v>
      </c>
      <c r="P427" s="19">
        <v>1.61</v>
      </c>
      <c r="Q427" s="19">
        <v>1.8414999999999999</v>
      </c>
      <c r="R427" s="19">
        <v>1.31</v>
      </c>
      <c r="S427" s="19">
        <v>1.5119</v>
      </c>
      <c r="T427" s="19">
        <v>1.31</v>
      </c>
      <c r="U427" s="19">
        <v>1.2218</v>
      </c>
      <c r="V427" s="19">
        <v>0.95</v>
      </c>
      <c r="W427" s="19">
        <v>1.0673999999999999</v>
      </c>
      <c r="X427" s="19">
        <v>0.95</v>
      </c>
      <c r="Y427" s="19">
        <v>1.0673999999999999</v>
      </c>
      <c r="Z427" s="4"/>
      <c r="AA427" s="4"/>
      <c r="AB427" s="4" t="e">
        <f ca="1">_xll.ciqfunctions.udf.CIQ("^SPX", "IQ_PRICEDATE", "9/1/2015")</f>
        <v>#NAME?</v>
      </c>
      <c r="AC427" s="16">
        <v>1913.8526947388</v>
      </c>
    </row>
    <row r="428" spans="1:29" x14ac:dyDescent="0.35">
      <c r="A428" s="2" t="s">
        <v>438</v>
      </c>
      <c r="B428" s="4" t="s">
        <v>1544</v>
      </c>
      <c r="C428" s="4" t="s">
        <v>626</v>
      </c>
      <c r="D428" s="4" t="s">
        <v>845</v>
      </c>
      <c r="E428" s="4" t="s">
        <v>846</v>
      </c>
      <c r="F428" s="4" t="s">
        <v>846</v>
      </c>
      <c r="G428" s="14">
        <v>149.43</v>
      </c>
      <c r="H428" s="10">
        <v>16.537621000000001</v>
      </c>
      <c r="I428" s="10">
        <v>23.870607</v>
      </c>
      <c r="J428" s="10" t="s">
        <v>534</v>
      </c>
      <c r="K428" s="15">
        <v>2.5697000000000001E-2</v>
      </c>
      <c r="L428" s="17">
        <v>19080.757345000002</v>
      </c>
      <c r="M428" s="4" t="s">
        <v>1545</v>
      </c>
      <c r="N428" s="19">
        <v>6.26</v>
      </c>
      <c r="O428" s="19">
        <v>6.4449699999999996</v>
      </c>
      <c r="P428" s="19">
        <v>6.0693510000000002</v>
      </c>
      <c r="Q428" s="19">
        <v>5.6807999999999996</v>
      </c>
      <c r="R428" s="19">
        <v>4.9698950000000002</v>
      </c>
      <c r="S428" s="19">
        <v>5.4089999999999998</v>
      </c>
      <c r="T428" s="19">
        <v>4.9698950000000002</v>
      </c>
      <c r="U428" s="19">
        <v>4.9394</v>
      </c>
      <c r="V428" s="19">
        <v>4.5105890000000004</v>
      </c>
      <c r="W428" s="19">
        <v>4.5160999999999998</v>
      </c>
      <c r="X428" s="19">
        <v>4.5105890000000004</v>
      </c>
      <c r="Y428" s="19">
        <v>4.5160999999999998</v>
      </c>
      <c r="Z428" s="4"/>
      <c r="AA428" s="4"/>
      <c r="AB428" s="4" t="e">
        <f ca="1">_xll.ciqfunctions.udf.CIQ("^SPX", "IQ_PRICEDATE", "9/2/2015")</f>
        <v>#NAME?</v>
      </c>
      <c r="AC428" s="16">
        <v>1948.8626025962999</v>
      </c>
    </row>
    <row r="429" spans="1:29" x14ac:dyDescent="0.35">
      <c r="A429" s="2" t="s">
        <v>439</v>
      </c>
      <c r="B429" s="4" t="s">
        <v>1546</v>
      </c>
      <c r="C429" s="4" t="s">
        <v>626</v>
      </c>
      <c r="D429" s="4" t="s">
        <v>627</v>
      </c>
      <c r="E429" s="4" t="s">
        <v>775</v>
      </c>
      <c r="F429" s="4" t="s">
        <v>1298</v>
      </c>
      <c r="G429" s="14">
        <v>45.86</v>
      </c>
      <c r="H429" s="10">
        <v>18.702285</v>
      </c>
      <c r="I429" s="10">
        <v>90.363106999999999</v>
      </c>
      <c r="J429" s="10">
        <v>133.49945500000001</v>
      </c>
      <c r="K429" s="15">
        <v>3.4016000000000005E-2</v>
      </c>
      <c r="L429" s="17">
        <v>195039.023419</v>
      </c>
      <c r="M429" s="4" t="s">
        <v>1547</v>
      </c>
      <c r="N429" s="19">
        <v>0.50750799999999996</v>
      </c>
      <c r="O429" s="19">
        <v>2.1431</v>
      </c>
      <c r="P429" s="19">
        <v>0.26849200000000001</v>
      </c>
      <c r="Q429" s="19">
        <v>1.9507000000000001</v>
      </c>
      <c r="R429" s="19">
        <v>1.49</v>
      </c>
      <c r="S429" s="19">
        <v>1.9345000000000001</v>
      </c>
      <c r="T429" s="19">
        <v>1.49</v>
      </c>
      <c r="U429" s="19">
        <v>2.0082</v>
      </c>
      <c r="V429" s="19">
        <v>1.6</v>
      </c>
      <c r="W429" s="19">
        <v>2.0051000000000001</v>
      </c>
      <c r="X429" s="19">
        <v>1.6</v>
      </c>
      <c r="Y429" s="19">
        <v>2.0051000000000001</v>
      </c>
      <c r="Z429" s="4"/>
      <c r="AA429" s="4"/>
      <c r="AB429" s="4" t="e">
        <f ca="1">_xll.ciqfunctions.udf.CIQ("^SPX", "IQ_PRICEDATE", "9/3/2015")</f>
        <v>#NAME?</v>
      </c>
      <c r="AC429" s="16">
        <v>1951.1277803734999</v>
      </c>
    </row>
    <row r="430" spans="1:29" x14ac:dyDescent="0.35">
      <c r="A430" s="2" t="s">
        <v>440</v>
      </c>
      <c r="B430" s="4" t="s">
        <v>1548</v>
      </c>
      <c r="C430" s="4" t="s">
        <v>530</v>
      </c>
      <c r="D430" s="4" t="s">
        <v>531</v>
      </c>
      <c r="E430" s="4" t="s">
        <v>532</v>
      </c>
      <c r="F430" s="4" t="s">
        <v>608</v>
      </c>
      <c r="G430" s="14">
        <v>264.27999999999997</v>
      </c>
      <c r="H430" s="10">
        <v>19.112124000000001</v>
      </c>
      <c r="I430" s="10">
        <v>102.52654099999999</v>
      </c>
      <c r="J430" s="10" t="s">
        <v>534</v>
      </c>
      <c r="K430" s="15">
        <v>2.2700000000000002E-4</v>
      </c>
      <c r="L430" s="17">
        <v>12986.635158999999</v>
      </c>
      <c r="M430" s="4" t="s">
        <v>1549</v>
      </c>
      <c r="N430" s="19">
        <v>2.577674</v>
      </c>
      <c r="O430" s="19">
        <v>11.926</v>
      </c>
      <c r="P430" s="19">
        <v>7.52</v>
      </c>
      <c r="Q430" s="19">
        <v>11.5067</v>
      </c>
      <c r="R430" s="19">
        <v>5.59</v>
      </c>
      <c r="S430" s="19">
        <v>9.1911199999999997</v>
      </c>
      <c r="T430" s="19">
        <v>5.59</v>
      </c>
      <c r="U430" s="19">
        <v>7.7448600000000001</v>
      </c>
      <c r="V430" s="19">
        <v>5.51</v>
      </c>
      <c r="W430" s="19">
        <v>7.5372700000000004</v>
      </c>
      <c r="X430" s="19">
        <v>5.51</v>
      </c>
      <c r="Y430" s="19">
        <v>7.5372700000000004</v>
      </c>
      <c r="Z430" s="4"/>
      <c r="AA430" s="4"/>
      <c r="AB430" s="4" t="e">
        <f ca="1">_xll.ciqfunctions.udf.CIQ("^SPX", "IQ_PRICEDATE", "9/4/2015")</f>
        <v>#NAME?</v>
      </c>
      <c r="AC430" s="16">
        <v>1921.2244033136001</v>
      </c>
    </row>
    <row r="431" spans="1:29" x14ac:dyDescent="0.35">
      <c r="A431" s="2" t="s">
        <v>441</v>
      </c>
      <c r="B431" s="4" t="s">
        <v>1550</v>
      </c>
      <c r="C431" s="4" t="s">
        <v>626</v>
      </c>
      <c r="D431" s="4" t="s">
        <v>845</v>
      </c>
      <c r="E431" s="4" t="s">
        <v>898</v>
      </c>
      <c r="F431" s="4" t="s">
        <v>898</v>
      </c>
      <c r="G431" s="14">
        <v>128.82</v>
      </c>
      <c r="H431" s="10">
        <v>17.230432</v>
      </c>
      <c r="I431" s="10">
        <v>43.667796000000003</v>
      </c>
      <c r="J431" s="10">
        <v>31.827508999999999</v>
      </c>
      <c r="K431" s="15">
        <v>1.1798999999999999E-2</v>
      </c>
      <c r="L431" s="17">
        <v>47204.676488999998</v>
      </c>
      <c r="M431" s="4" t="s">
        <v>1551</v>
      </c>
      <c r="N431" s="19">
        <v>2.95</v>
      </c>
      <c r="O431" s="19">
        <v>4.7648099999999998</v>
      </c>
      <c r="P431" s="19">
        <v>2.8703150000000002</v>
      </c>
      <c r="Q431" s="19">
        <v>4.2493999999999996</v>
      </c>
      <c r="R431" s="19">
        <v>2.8938329999999999</v>
      </c>
      <c r="S431" s="19">
        <v>3.4948000000000001</v>
      </c>
      <c r="T431" s="19">
        <v>2.8938329999999999</v>
      </c>
      <c r="U431" s="19">
        <v>3.2808000000000002</v>
      </c>
      <c r="V431" s="19">
        <v>2.9039860000000002</v>
      </c>
      <c r="W431" s="19">
        <v>3.0964</v>
      </c>
      <c r="X431" s="19">
        <v>2.9039860000000002</v>
      </c>
      <c r="Y431" s="19">
        <v>3.0964</v>
      </c>
      <c r="Z431" s="4"/>
      <c r="AA431" s="4"/>
      <c r="AB431" s="4" t="e">
        <f ca="1">_xll.ciqfunctions.udf.CIQ("^SPX", "IQ_PRICEDATE", "9/8/2015")</f>
        <v>#NAME?</v>
      </c>
      <c r="AC431" s="16">
        <v>1969.4145121332001</v>
      </c>
    </row>
    <row r="432" spans="1:29" x14ac:dyDescent="0.35">
      <c r="A432" s="2" t="s">
        <v>442</v>
      </c>
      <c r="B432" s="4" t="s">
        <v>1552</v>
      </c>
      <c r="C432" s="4" t="s">
        <v>559</v>
      </c>
      <c r="D432" s="4" t="s">
        <v>560</v>
      </c>
      <c r="E432" s="4" t="s">
        <v>561</v>
      </c>
      <c r="F432" s="4" t="s">
        <v>1051</v>
      </c>
      <c r="G432" s="14">
        <v>27.13</v>
      </c>
      <c r="H432" s="10">
        <v>5.1922379999999997</v>
      </c>
      <c r="I432" s="10">
        <v>11.899122</v>
      </c>
      <c r="J432" s="10">
        <v>3.1272600000000002</v>
      </c>
      <c r="K432" s="15">
        <v>3.5753E-2</v>
      </c>
      <c r="L432" s="17">
        <v>10437.135745</v>
      </c>
      <c r="M432" s="4" t="s">
        <v>1553</v>
      </c>
      <c r="N432" s="19">
        <v>2.2799999999999998</v>
      </c>
      <c r="O432" s="19">
        <v>2.6046999999999998</v>
      </c>
      <c r="P432" s="19">
        <v>2.1695669999999998</v>
      </c>
      <c r="Q432" s="19">
        <v>2.1579000000000002</v>
      </c>
      <c r="R432" s="19">
        <v>1.6796</v>
      </c>
      <c r="S432" s="19">
        <v>2.0004</v>
      </c>
      <c r="T432" s="19">
        <v>1.6796</v>
      </c>
      <c r="U432" s="19">
        <v>2.3855</v>
      </c>
      <c r="V432" s="19">
        <v>2.7887849999999998</v>
      </c>
      <c r="W432" s="19">
        <v>2.9359999999999999</v>
      </c>
      <c r="X432" s="19">
        <v>2.7887849999999998</v>
      </c>
      <c r="Y432" s="19">
        <v>2.9359999999999999</v>
      </c>
      <c r="Z432" s="4"/>
      <c r="AA432" s="4"/>
      <c r="AB432" s="4" t="e">
        <f ca="1">_xll.ciqfunctions.udf.CIQ("^SPX", "IQ_PRICEDATE", "9/9/2015")</f>
        <v>#NAME?</v>
      </c>
      <c r="AC432" s="16">
        <v>1942.0378135220001</v>
      </c>
    </row>
    <row r="433" spans="1:29" x14ac:dyDescent="0.35">
      <c r="A433" s="2" t="s">
        <v>443</v>
      </c>
      <c r="B433" s="4" t="s">
        <v>1554</v>
      </c>
      <c r="C433" s="4" t="s">
        <v>573</v>
      </c>
      <c r="D433" s="4" t="s">
        <v>574</v>
      </c>
      <c r="E433" s="4" t="s">
        <v>575</v>
      </c>
      <c r="F433" s="4" t="s">
        <v>963</v>
      </c>
      <c r="G433" s="14">
        <v>228.28</v>
      </c>
      <c r="H433" s="10">
        <v>0</v>
      </c>
      <c r="I433" s="10">
        <v>16.653438999999999</v>
      </c>
      <c r="J433" s="10">
        <v>1.16072</v>
      </c>
      <c r="K433" s="15">
        <v>1.4017E-2</v>
      </c>
      <c r="L433" s="17">
        <v>86188.535271000001</v>
      </c>
      <c r="M433" s="4" t="s">
        <v>1555</v>
      </c>
      <c r="N433" s="19">
        <v>13.707679000000001</v>
      </c>
      <c r="O433" s="19">
        <v>24.1952</v>
      </c>
      <c r="P433" s="19">
        <v>9.0075769999999995</v>
      </c>
      <c r="Q433" s="19">
        <v>19.676500000000001</v>
      </c>
      <c r="R433" s="19">
        <v>16.288208999999998</v>
      </c>
      <c r="S433" s="19">
        <v>17.8263</v>
      </c>
      <c r="T433" s="19">
        <v>16.288208999999998</v>
      </c>
      <c r="U433" s="19">
        <v>18.084700000000002</v>
      </c>
      <c r="V433" s="19">
        <v>17.068892000000002</v>
      </c>
      <c r="W433" s="19">
        <v>16.5594</v>
      </c>
      <c r="X433" s="19">
        <v>17.068892000000002</v>
      </c>
      <c r="Y433" s="19">
        <v>16.5594</v>
      </c>
      <c r="Z433" s="4"/>
      <c r="AA433" s="4"/>
      <c r="AB433" s="4" t="e">
        <f ca="1">_xll.ciqfunctions.udf.CIQ("^SPX", "IQ_PRICEDATE", "9/10/2015")</f>
        <v>#NAME?</v>
      </c>
      <c r="AC433" s="16">
        <v>1952.2868084032</v>
      </c>
    </row>
    <row r="434" spans="1:29" x14ac:dyDescent="0.35">
      <c r="A434" s="2" t="s">
        <v>444</v>
      </c>
      <c r="B434" s="4" t="s">
        <v>1556</v>
      </c>
      <c r="C434" s="4" t="s">
        <v>559</v>
      </c>
      <c r="D434" s="4" t="s">
        <v>694</v>
      </c>
      <c r="E434" s="4" t="s">
        <v>695</v>
      </c>
      <c r="F434" s="4" t="s">
        <v>1557</v>
      </c>
      <c r="G434" s="14">
        <v>21.45</v>
      </c>
      <c r="H434" s="10">
        <v>5.3609790000000004</v>
      </c>
      <c r="I434" s="10">
        <v>19.983733000000001</v>
      </c>
      <c r="J434" s="10">
        <v>1.2959430000000001</v>
      </c>
      <c r="K434" s="15">
        <v>2.9836000000000001E-2</v>
      </c>
      <c r="L434" s="17">
        <v>5083.9877299999998</v>
      </c>
      <c r="M434" s="4" t="s">
        <v>1558</v>
      </c>
      <c r="N434" s="19">
        <v>1.0733729999999999</v>
      </c>
      <c r="O434" s="19">
        <v>3.2141000000000002</v>
      </c>
      <c r="P434" s="19">
        <v>1.37</v>
      </c>
      <c r="Q434" s="19">
        <v>3.4752999999999998</v>
      </c>
      <c r="R434" s="19">
        <v>4.74</v>
      </c>
      <c r="S434" s="19">
        <v>4.1307</v>
      </c>
      <c r="T434" s="19">
        <v>4.74</v>
      </c>
      <c r="U434" s="19">
        <v>3.7967</v>
      </c>
      <c r="V434" s="19">
        <v>8.7885299999999997</v>
      </c>
      <c r="W434" s="19">
        <v>3.0832999999999999</v>
      </c>
      <c r="X434" s="19">
        <v>8.7885299999999997</v>
      </c>
      <c r="Y434" s="19">
        <v>3.0832999999999999</v>
      </c>
      <c r="Z434" s="4"/>
      <c r="AA434" s="4"/>
      <c r="AB434" s="4" t="e">
        <f ca="1">_xll.ciqfunctions.udf.CIQ("^SPX", "IQ_PRICEDATE", "9/11/2015")</f>
        <v>#NAME?</v>
      </c>
      <c r="AC434" s="16">
        <v>1961.0456719107001</v>
      </c>
    </row>
    <row r="435" spans="1:29" x14ac:dyDescent="0.35">
      <c r="A435" s="2" t="s">
        <v>445</v>
      </c>
      <c r="B435" s="4" t="s">
        <v>1559</v>
      </c>
      <c r="C435" s="4" t="s">
        <v>573</v>
      </c>
      <c r="D435" s="4" t="s">
        <v>579</v>
      </c>
      <c r="E435" s="4" t="s">
        <v>579</v>
      </c>
      <c r="F435" s="4" t="s">
        <v>644</v>
      </c>
      <c r="G435" s="14">
        <v>46.76</v>
      </c>
      <c r="H435" s="10">
        <v>8.8489000000000004</v>
      </c>
      <c r="I435" s="10">
        <v>37.314295999999999</v>
      </c>
      <c r="J435" s="10">
        <v>1.582778</v>
      </c>
      <c r="K435" s="15">
        <v>2.5661999999999997E-2</v>
      </c>
      <c r="L435" s="17">
        <v>16759.677958</v>
      </c>
      <c r="M435" s="4" t="s">
        <v>1560</v>
      </c>
      <c r="N435" s="19">
        <v>1.253139</v>
      </c>
      <c r="O435" s="19">
        <v>4.7042999999999999</v>
      </c>
      <c r="P435" s="19">
        <v>-0.72037300000000004</v>
      </c>
      <c r="Q435" s="19">
        <v>3.7298</v>
      </c>
      <c r="R435" s="19">
        <v>1.55</v>
      </c>
      <c r="S435" s="19">
        <v>3.8207</v>
      </c>
      <c r="T435" s="19">
        <v>1.55</v>
      </c>
      <c r="U435" s="19">
        <v>3.8062</v>
      </c>
      <c r="V435" s="19">
        <v>2.93</v>
      </c>
      <c r="W435" s="19">
        <v>3.6341999999999999</v>
      </c>
      <c r="X435" s="19">
        <v>2.93</v>
      </c>
      <c r="Y435" s="19">
        <v>3.6341999999999999</v>
      </c>
      <c r="Z435" s="4"/>
      <c r="AA435" s="4"/>
      <c r="AB435" s="4" t="e">
        <f ca="1">_xll.ciqfunctions.udf.CIQ("^SPX", "IQ_PRICEDATE", "9/14/2015")</f>
        <v>#NAME?</v>
      </c>
      <c r="AC435" s="16">
        <v>1953.0260841301999</v>
      </c>
    </row>
    <row r="436" spans="1:29" x14ac:dyDescent="0.35">
      <c r="A436" s="2" t="s">
        <v>446</v>
      </c>
      <c r="B436" s="4" t="s">
        <v>1561</v>
      </c>
      <c r="C436" s="4" t="s">
        <v>626</v>
      </c>
      <c r="D436" s="4" t="s">
        <v>627</v>
      </c>
      <c r="E436" s="4" t="s">
        <v>699</v>
      </c>
      <c r="F436" s="4" t="s">
        <v>789</v>
      </c>
      <c r="G436" s="14">
        <v>105.19</v>
      </c>
      <c r="H436" s="10">
        <v>13.619052</v>
      </c>
      <c r="I436" s="10">
        <v>21.644304000000002</v>
      </c>
      <c r="J436" s="10" t="s">
        <v>534</v>
      </c>
      <c r="K436" s="15">
        <v>2.7454999999999997E-2</v>
      </c>
      <c r="L436" s="17">
        <v>22017.604175</v>
      </c>
      <c r="M436" s="4" t="s">
        <v>1562</v>
      </c>
      <c r="N436" s="19">
        <v>4.8599389999999998</v>
      </c>
      <c r="O436" s="19">
        <v>5.5034000000000001</v>
      </c>
      <c r="P436" s="19">
        <v>3.66</v>
      </c>
      <c r="Q436" s="19">
        <v>5.0721999999999996</v>
      </c>
      <c r="R436" s="19">
        <v>3.34</v>
      </c>
      <c r="S436" s="19">
        <v>4.5460000000000003</v>
      </c>
      <c r="T436" s="19">
        <v>3.34</v>
      </c>
      <c r="U436" s="19">
        <v>4.2995999999999999</v>
      </c>
      <c r="V436" s="19">
        <v>3.77</v>
      </c>
      <c r="W436" s="19">
        <v>4.3806000000000003</v>
      </c>
      <c r="X436" s="19">
        <v>3.77</v>
      </c>
      <c r="Y436" s="19">
        <v>4.3806000000000003</v>
      </c>
      <c r="Z436" s="4"/>
      <c r="AA436" s="4"/>
      <c r="AB436" s="4" t="e">
        <f ca="1">_xll.ciqfunctions.udf.CIQ("^SPX", "IQ_PRICEDATE", "9/15/2015")</f>
        <v>#NAME?</v>
      </c>
      <c r="AC436" s="16">
        <v>1978.0866505581</v>
      </c>
    </row>
    <row r="437" spans="1:29" x14ac:dyDescent="0.35">
      <c r="A437" s="2" t="s">
        <v>447</v>
      </c>
      <c r="B437" s="4" t="s">
        <v>1563</v>
      </c>
      <c r="C437" s="4" t="s">
        <v>559</v>
      </c>
      <c r="D437" s="4" t="s">
        <v>560</v>
      </c>
      <c r="E437" s="4" t="s">
        <v>561</v>
      </c>
      <c r="F437" s="4" t="s">
        <v>1235</v>
      </c>
      <c r="G437" s="14">
        <v>185.17</v>
      </c>
      <c r="H437" s="10">
        <v>13.549714</v>
      </c>
      <c r="I437" s="10">
        <v>21.832609000000001</v>
      </c>
      <c r="J437" s="10" t="s">
        <v>534</v>
      </c>
      <c r="K437" s="15">
        <v>2.2248999999999998E-2</v>
      </c>
      <c r="L437" s="17">
        <v>211860.06771599999</v>
      </c>
      <c r="M437" s="4" t="s">
        <v>1564</v>
      </c>
      <c r="N437" s="19">
        <v>8.4813500000000008</v>
      </c>
      <c r="O437" s="19">
        <v>9.9509000000000007</v>
      </c>
      <c r="P437" s="19">
        <v>7.1997479999999996</v>
      </c>
      <c r="Q437" s="19">
        <v>8.0988000000000007</v>
      </c>
      <c r="R437" s="19">
        <v>6.1596469999999997</v>
      </c>
      <c r="S437" s="19">
        <v>6.9504999999999999</v>
      </c>
      <c r="T437" s="19">
        <v>6.1596469999999997</v>
      </c>
      <c r="U437" s="19">
        <v>5.9935999999999998</v>
      </c>
      <c r="V437" s="19">
        <v>4.3822999999999999</v>
      </c>
      <c r="W437" s="19">
        <v>5.0602999999999998</v>
      </c>
      <c r="X437" s="19">
        <v>4.3822999999999999</v>
      </c>
      <c r="Y437" s="19">
        <v>5.0602999999999998</v>
      </c>
      <c r="Z437" s="4"/>
      <c r="AA437" s="4"/>
      <c r="AB437" s="4" t="e">
        <f ca="1">_xll.ciqfunctions.udf.CIQ("^SPX", "IQ_PRICEDATE", "9/16/2015")</f>
        <v>#NAME?</v>
      </c>
      <c r="AC437" s="16">
        <v>1995.3107086494999</v>
      </c>
    </row>
    <row r="438" spans="1:29" x14ac:dyDescent="0.35">
      <c r="A438" s="2" t="s">
        <v>448</v>
      </c>
      <c r="B438" s="4" t="s">
        <v>1565</v>
      </c>
      <c r="C438" s="4" t="s">
        <v>549</v>
      </c>
      <c r="D438" s="4" t="s">
        <v>550</v>
      </c>
      <c r="E438" s="4" t="s">
        <v>814</v>
      </c>
      <c r="F438" s="4" t="s">
        <v>1367</v>
      </c>
      <c r="G438" s="14">
        <v>22.2</v>
      </c>
      <c r="H438" s="10">
        <v>8.8184699999999996</v>
      </c>
      <c r="I438" s="10">
        <v>14.991481</v>
      </c>
      <c r="J438" s="10" t="s">
        <v>534</v>
      </c>
      <c r="K438" s="15">
        <v>3.7837000000000003E-2</v>
      </c>
      <c r="L438" s="17">
        <v>8520.0363240000006</v>
      </c>
      <c r="M438" s="4" t="s">
        <v>1566</v>
      </c>
      <c r="N438" s="19">
        <v>1.4808410000000001</v>
      </c>
      <c r="O438" s="19">
        <v>1.7865</v>
      </c>
      <c r="P438" s="19">
        <v>1.46</v>
      </c>
      <c r="Q438" s="19">
        <v>1.5042</v>
      </c>
      <c r="R438" s="19">
        <v>1.49</v>
      </c>
      <c r="S438" s="19">
        <v>1.3581000000000001</v>
      </c>
      <c r="T438" s="19">
        <v>1.49</v>
      </c>
      <c r="U438" s="19">
        <v>1.2754000000000001</v>
      </c>
      <c r="V438" s="19">
        <v>1.1200000000000001</v>
      </c>
      <c r="W438" s="19">
        <v>1.111</v>
      </c>
      <c r="X438" s="19">
        <v>1.1200000000000001</v>
      </c>
      <c r="Y438" s="19">
        <v>1.111</v>
      </c>
      <c r="Z438" s="4"/>
      <c r="AA438" s="4"/>
      <c r="AB438" s="4" t="e">
        <f ca="1">_xll.ciqfunctions.udf.CIQ("^SPX", "IQ_PRICEDATE", "9/17/2015")</f>
        <v>#NAME?</v>
      </c>
      <c r="AC438" s="16">
        <v>1990.2042737638001</v>
      </c>
    </row>
    <row r="439" spans="1:29" x14ac:dyDescent="0.35">
      <c r="A439" s="2" t="s">
        <v>449</v>
      </c>
      <c r="B439" s="4" t="s">
        <v>1567</v>
      </c>
      <c r="C439" s="4" t="s">
        <v>626</v>
      </c>
      <c r="D439" s="4" t="s">
        <v>627</v>
      </c>
      <c r="E439" s="4" t="s">
        <v>699</v>
      </c>
      <c r="F439" s="4" t="s">
        <v>789</v>
      </c>
      <c r="G439" s="14">
        <v>103.8</v>
      </c>
      <c r="H439" s="10">
        <v>11.016263</v>
      </c>
      <c r="I439" s="10">
        <v>8.7798149999999993</v>
      </c>
      <c r="J439" s="10" t="s">
        <v>534</v>
      </c>
      <c r="K439" s="15">
        <v>3.2754999999999999E-2</v>
      </c>
      <c r="L439" s="17">
        <v>11805.958728</v>
      </c>
      <c r="M439" s="4" t="s">
        <v>1568</v>
      </c>
      <c r="N439" s="19">
        <v>11.822571999999999</v>
      </c>
      <c r="O439" s="19">
        <v>8.4360999999999997</v>
      </c>
      <c r="P439" s="19">
        <v>4.9415750000000003</v>
      </c>
      <c r="Q439" s="19">
        <v>8.1940000000000008</v>
      </c>
      <c r="R439" s="19">
        <v>6.1326689999999999</v>
      </c>
      <c r="S439" s="19">
        <v>7.8440000000000003</v>
      </c>
      <c r="T439" s="19">
        <v>6.1326689999999999</v>
      </c>
      <c r="U439" s="19">
        <v>6.1154999999999999</v>
      </c>
      <c r="V439" s="19">
        <v>5.4619790000000004</v>
      </c>
      <c r="W439" s="19">
        <v>5.7008000000000001</v>
      </c>
      <c r="X439" s="19">
        <v>5.4619790000000004</v>
      </c>
      <c r="Y439" s="19">
        <v>5.7008000000000001</v>
      </c>
      <c r="Z439" s="4"/>
      <c r="AA439" s="4"/>
      <c r="AB439" s="4" t="e">
        <f ca="1">_xll.ciqfunctions.udf.CIQ("^SPX", "IQ_PRICEDATE", "9/18/2015")</f>
        <v>#NAME?</v>
      </c>
      <c r="AC439" s="16">
        <v>1958.0328294343999</v>
      </c>
    </row>
    <row r="440" spans="1:29" x14ac:dyDescent="0.35">
      <c r="A440" s="2" t="s">
        <v>450</v>
      </c>
      <c r="B440" s="4" t="s">
        <v>1569</v>
      </c>
      <c r="C440" s="4" t="s">
        <v>626</v>
      </c>
      <c r="D440" s="4" t="s">
        <v>627</v>
      </c>
      <c r="E440" s="4" t="s">
        <v>699</v>
      </c>
      <c r="F440" s="4" t="s">
        <v>789</v>
      </c>
      <c r="G440" s="14">
        <v>56.4</v>
      </c>
      <c r="H440" s="10">
        <v>12.288691</v>
      </c>
      <c r="I440" s="10">
        <v>6.4719179999999996</v>
      </c>
      <c r="J440" s="10" t="s">
        <v>534</v>
      </c>
      <c r="K440" s="15">
        <v>4.4325999999999997E-2</v>
      </c>
      <c r="L440" s="17">
        <v>68765.600227999996</v>
      </c>
      <c r="M440" s="4" t="s">
        <v>1570</v>
      </c>
      <c r="N440" s="19">
        <v>8.7145720000000004</v>
      </c>
      <c r="O440" s="19">
        <v>3.7258</v>
      </c>
      <c r="P440" s="19">
        <v>8.9499999999999993</v>
      </c>
      <c r="Q440" s="19">
        <v>3.8</v>
      </c>
      <c r="R440" s="19">
        <v>2.81</v>
      </c>
      <c r="S440" s="19">
        <v>3.7938999999999998</v>
      </c>
      <c r="T440" s="19">
        <v>2.81</v>
      </c>
      <c r="U440" s="19">
        <v>2.6663000000000001</v>
      </c>
      <c r="V440" s="19">
        <v>-0.17</v>
      </c>
      <c r="W440" s="19">
        <v>0</v>
      </c>
      <c r="X440" s="19">
        <v>-0.17</v>
      </c>
      <c r="Y440" s="19">
        <v>0</v>
      </c>
      <c r="Z440" s="4"/>
      <c r="AA440" s="4"/>
      <c r="AB440" s="4" t="e">
        <f ca="1">_xll.ciqfunctions.udf.CIQ("^SPX", "IQ_PRICEDATE", "9/21/2015")</f>
        <v>#NAME?</v>
      </c>
      <c r="AC440" s="16">
        <v>1966.9702715327001</v>
      </c>
    </row>
    <row r="441" spans="1:29" x14ac:dyDescent="0.35">
      <c r="A441" s="2" t="s">
        <v>451</v>
      </c>
      <c r="B441" s="4" t="s">
        <v>1571</v>
      </c>
      <c r="C441" s="4" t="s">
        <v>626</v>
      </c>
      <c r="D441" s="4" t="s">
        <v>894</v>
      </c>
      <c r="E441" s="4" t="s">
        <v>894</v>
      </c>
      <c r="F441" s="4" t="s">
        <v>1572</v>
      </c>
      <c r="G441" s="14">
        <v>27.29</v>
      </c>
      <c r="H441" s="10">
        <v>7.1209189999999998</v>
      </c>
      <c r="I441" s="10">
        <v>6.2582389999999997</v>
      </c>
      <c r="J441" s="10">
        <v>7.0870410000000001</v>
      </c>
      <c r="K441" s="15">
        <v>2.052E-2</v>
      </c>
      <c r="L441" s="17">
        <v>21761.557087000001</v>
      </c>
      <c r="M441" s="4" t="s">
        <v>1573</v>
      </c>
      <c r="N441" s="19">
        <v>4.3606509999999998</v>
      </c>
      <c r="O441" s="19">
        <v>2.1631</v>
      </c>
      <c r="P441" s="19">
        <v>1.6846129999999999</v>
      </c>
      <c r="Q441" s="19">
        <v>2.0297000000000001</v>
      </c>
      <c r="R441" s="19">
        <v>2.0807440000000001</v>
      </c>
      <c r="S441" s="19">
        <v>2.1358000000000001</v>
      </c>
      <c r="T441" s="19">
        <v>2.0807440000000001</v>
      </c>
      <c r="U441" s="19">
        <v>2.1724999999999999</v>
      </c>
      <c r="V441" s="19">
        <v>1.605483</v>
      </c>
      <c r="W441" s="19">
        <v>1.7989999999999999</v>
      </c>
      <c r="X441" s="19">
        <v>1.605483</v>
      </c>
      <c r="Y441" s="19">
        <v>1.7989999999999999</v>
      </c>
      <c r="Z441" s="4"/>
      <c r="AA441" s="4"/>
      <c r="AB441" s="4" t="e">
        <f ca="1">_xll.ciqfunctions.udf.CIQ("^SPX", "IQ_PRICEDATE", "9/22/2015")</f>
        <v>#NAME?</v>
      </c>
      <c r="AC441" s="16">
        <v>1942.7441268069999</v>
      </c>
    </row>
    <row r="442" spans="1:29" x14ac:dyDescent="0.35">
      <c r="A442" s="2" t="s">
        <v>452</v>
      </c>
      <c r="B442" s="4" t="s">
        <v>1574</v>
      </c>
      <c r="C442" s="4" t="s">
        <v>586</v>
      </c>
      <c r="D442" s="4" t="s">
        <v>586</v>
      </c>
      <c r="E442" s="4" t="s">
        <v>587</v>
      </c>
      <c r="F442" s="4" t="s">
        <v>830</v>
      </c>
      <c r="G442" s="14">
        <v>33.049999999999997</v>
      </c>
      <c r="H442" s="10">
        <v>11.300969</v>
      </c>
      <c r="I442" s="10" t="s">
        <v>534</v>
      </c>
      <c r="J442" s="10">
        <v>1.506122</v>
      </c>
      <c r="K442" s="15">
        <v>3.0249999999999999E-3</v>
      </c>
      <c r="L442" s="17">
        <v>12739.383</v>
      </c>
      <c r="M442" s="4" t="s">
        <v>1575</v>
      </c>
      <c r="N442" s="19">
        <v>-0.25414900000000001</v>
      </c>
      <c r="O442" s="19">
        <v>2.2004999999999999</v>
      </c>
      <c r="P442" s="19">
        <v>-0.31</v>
      </c>
      <c r="Q442" s="19">
        <v>1.0253000000000001</v>
      </c>
      <c r="R442" s="19">
        <v>0.849885</v>
      </c>
      <c r="S442" s="19">
        <v>0.85129999999999995</v>
      </c>
      <c r="T442" s="19">
        <v>0.849885</v>
      </c>
      <c r="U442" s="19">
        <v>2.5206</v>
      </c>
      <c r="V442" s="19">
        <v>2.68</v>
      </c>
      <c r="W442" s="19">
        <v>2.9106000000000001</v>
      </c>
      <c r="X442" s="19">
        <v>2.68</v>
      </c>
      <c r="Y442" s="19">
        <v>2.9106000000000001</v>
      </c>
      <c r="Z442" s="4"/>
      <c r="AA442" s="4"/>
      <c r="AB442" s="4" t="e">
        <f ca="1">_xll.ciqfunctions.udf.CIQ("^SPX", "IQ_PRICEDATE", "9/23/2015")</f>
        <v>#NAME?</v>
      </c>
      <c r="AC442" s="16">
        <v>1938.7592864579999</v>
      </c>
    </row>
    <row r="443" spans="1:29" x14ac:dyDescent="0.35">
      <c r="A443" s="2" t="s">
        <v>453</v>
      </c>
      <c r="B443" s="4" t="s">
        <v>1576</v>
      </c>
      <c r="C443" s="4" t="s">
        <v>573</v>
      </c>
      <c r="D443" s="4" t="s">
        <v>737</v>
      </c>
      <c r="E443" s="4" t="s">
        <v>737</v>
      </c>
      <c r="F443" s="4" t="s">
        <v>743</v>
      </c>
      <c r="G443" s="14">
        <v>127.33</v>
      </c>
      <c r="H443" s="10">
        <v>0</v>
      </c>
      <c r="I443" s="10">
        <v>10.470926</v>
      </c>
      <c r="J443" s="10">
        <v>1.55461</v>
      </c>
      <c r="K443" s="15">
        <v>2.9843000000000001E-2</v>
      </c>
      <c r="L443" s="17">
        <v>58826.46</v>
      </c>
      <c r="M443" s="4" t="s">
        <v>1577</v>
      </c>
      <c r="N443" s="19">
        <v>12.160337</v>
      </c>
      <c r="O443" s="19">
        <v>11.237299999999999</v>
      </c>
      <c r="P443" s="19">
        <v>10.364197000000001</v>
      </c>
      <c r="Q443" s="19">
        <v>9.1697000000000006</v>
      </c>
      <c r="R443" s="19">
        <v>7.3</v>
      </c>
      <c r="S443" s="19">
        <v>7.4806999999999997</v>
      </c>
      <c r="T443" s="19">
        <v>7.3</v>
      </c>
      <c r="U443" s="19">
        <v>7.1966000000000001</v>
      </c>
      <c r="V443" s="19">
        <v>7.2960890000000003</v>
      </c>
      <c r="W443" s="19">
        <v>7.0872000000000002</v>
      </c>
      <c r="X443" s="19">
        <v>7.2960890000000003</v>
      </c>
      <c r="Y443" s="19">
        <v>7.0872000000000002</v>
      </c>
      <c r="Z443" s="4"/>
      <c r="AA443" s="4"/>
      <c r="AB443" s="4" t="e">
        <f ca="1">_xll.ciqfunctions.udf.CIQ("^SPX", "IQ_PRICEDATE", "9/24/2015")</f>
        <v>#NAME?</v>
      </c>
      <c r="AC443" s="16">
        <v>1932.2411739508</v>
      </c>
    </row>
    <row r="444" spans="1:29" x14ac:dyDescent="0.35">
      <c r="A444" s="2" t="s">
        <v>454</v>
      </c>
      <c r="B444" s="4" t="s">
        <v>1578</v>
      </c>
      <c r="C444" s="4" t="s">
        <v>626</v>
      </c>
      <c r="D444" s="4" t="s">
        <v>845</v>
      </c>
      <c r="E444" s="4" t="s">
        <v>846</v>
      </c>
      <c r="F444" s="4" t="s">
        <v>846</v>
      </c>
      <c r="G444" s="14">
        <v>81.142799999999994</v>
      </c>
      <c r="H444" s="10">
        <v>12.759328</v>
      </c>
      <c r="I444" s="10">
        <v>22.305382999999999</v>
      </c>
      <c r="J444" s="10" t="s">
        <v>534</v>
      </c>
      <c r="K444" s="15">
        <v>3.5045E-2</v>
      </c>
      <c r="L444" s="17">
        <v>203762.57595900001</v>
      </c>
      <c r="M444" s="4" t="s">
        <v>1579</v>
      </c>
      <c r="N444" s="19">
        <v>3.6699660000000001</v>
      </c>
      <c r="O444" s="19">
        <v>4.3838400000000002</v>
      </c>
      <c r="P444" s="19">
        <v>3.7485819999999999</v>
      </c>
      <c r="Q444" s="19">
        <v>4.2313000000000001</v>
      </c>
      <c r="R444" s="19">
        <v>3.454097</v>
      </c>
      <c r="S444" s="19">
        <v>3.9472999999999998</v>
      </c>
      <c r="T444" s="19">
        <v>3.454097</v>
      </c>
      <c r="U444" s="19">
        <v>3.8786</v>
      </c>
      <c r="V444" s="19">
        <v>3.5824760000000002</v>
      </c>
      <c r="W444" s="19">
        <v>4.4438000000000004</v>
      </c>
      <c r="X444" s="19">
        <v>3.5824760000000002</v>
      </c>
      <c r="Y444" s="19">
        <v>4.4438000000000004</v>
      </c>
      <c r="Z444" s="4"/>
      <c r="AA444" s="4"/>
      <c r="AB444" s="4" t="e">
        <f ca="1">_xll.ciqfunctions.udf.CIQ("^SPX", "IQ_PRICEDATE", "9/25/2015")</f>
        <v>#NAME?</v>
      </c>
      <c r="AC444" s="16">
        <v>1931.3399031875999</v>
      </c>
    </row>
    <row r="445" spans="1:29" x14ac:dyDescent="0.35">
      <c r="A445" s="2" t="s">
        <v>455</v>
      </c>
      <c r="B445" s="4" t="s">
        <v>1580</v>
      </c>
      <c r="C445" s="4" t="s">
        <v>573</v>
      </c>
      <c r="D445" s="4" t="s">
        <v>579</v>
      </c>
      <c r="E445" s="4" t="s">
        <v>579</v>
      </c>
      <c r="F445" s="4" t="s">
        <v>842</v>
      </c>
      <c r="G445" s="14">
        <v>70.63</v>
      </c>
      <c r="H445" s="10">
        <v>11.252679000000001</v>
      </c>
      <c r="I445" s="10">
        <v>14.210038000000001</v>
      </c>
      <c r="J445" s="10">
        <v>3.7124760000000001</v>
      </c>
      <c r="K445" s="15">
        <v>1.5923E-2</v>
      </c>
      <c r="L445" s="17">
        <v>41184.353000000003</v>
      </c>
      <c r="M445" s="4" t="s">
        <v>1581</v>
      </c>
      <c r="N445" s="19">
        <v>4.9704300000000003</v>
      </c>
      <c r="O445" s="19">
        <v>4.5716999999999999</v>
      </c>
      <c r="P445" s="19">
        <v>2.72</v>
      </c>
      <c r="Q445" s="19">
        <v>2.8906999999999998</v>
      </c>
      <c r="R445" s="19">
        <v>1.76</v>
      </c>
      <c r="S445" s="19">
        <v>1.9379</v>
      </c>
      <c r="T445" s="19">
        <v>1.76</v>
      </c>
      <c r="U445" s="19">
        <v>1.9179999999999999</v>
      </c>
      <c r="V445" s="19">
        <v>2.15</v>
      </c>
      <c r="W445" s="19">
        <v>1.7692000000000001</v>
      </c>
      <c r="X445" s="19">
        <v>2.15</v>
      </c>
      <c r="Y445" s="19">
        <v>1.7692000000000001</v>
      </c>
      <c r="Z445" s="4"/>
      <c r="AA445" s="4"/>
      <c r="AB445" s="4" t="e">
        <f ca="1">_xll.ciqfunctions.udf.CIQ("^SPX", "IQ_PRICEDATE", "9/28/2015")</f>
        <v>#NAME?</v>
      </c>
      <c r="AC445" s="16">
        <v>1881.7689706629001</v>
      </c>
    </row>
    <row r="446" spans="1:29" x14ac:dyDescent="0.35">
      <c r="A446" s="2" t="s">
        <v>456</v>
      </c>
      <c r="B446" s="4" t="s">
        <v>1582</v>
      </c>
      <c r="C446" s="4" t="s">
        <v>586</v>
      </c>
      <c r="D446" s="4" t="s">
        <v>586</v>
      </c>
      <c r="E446" s="4" t="s">
        <v>587</v>
      </c>
      <c r="F446" s="4" t="s">
        <v>598</v>
      </c>
      <c r="G446" s="14">
        <v>410.67</v>
      </c>
      <c r="H446" s="10">
        <v>17.408747999999999</v>
      </c>
      <c r="I446" s="10">
        <v>20.940460999999999</v>
      </c>
      <c r="J446" s="10" t="s">
        <v>534</v>
      </c>
      <c r="K446" s="15">
        <v>8.3759999999999998E-3</v>
      </c>
      <c r="L446" s="17">
        <v>38147.440196000003</v>
      </c>
      <c r="M446" s="4" t="s">
        <v>1583</v>
      </c>
      <c r="N446" s="19">
        <v>19.611315999999999</v>
      </c>
      <c r="O446" s="19">
        <v>20.756699999999999</v>
      </c>
      <c r="P446" s="19">
        <v>19.109998999999998</v>
      </c>
      <c r="Q446" s="19">
        <v>17.8202</v>
      </c>
      <c r="R446" s="19">
        <v>11.989998999999999</v>
      </c>
      <c r="S446" s="19">
        <v>13.2418</v>
      </c>
      <c r="T446" s="19">
        <v>11.989998999999999</v>
      </c>
      <c r="U446" s="19">
        <v>12.311400000000001</v>
      </c>
      <c r="V446" s="19">
        <v>8.7699990000000003</v>
      </c>
      <c r="W446" s="19">
        <v>10.5313</v>
      </c>
      <c r="X446" s="19">
        <v>8.7699990000000003</v>
      </c>
      <c r="Y446" s="19">
        <v>10.5313</v>
      </c>
      <c r="Z446" s="4"/>
      <c r="AA446" s="4"/>
      <c r="AB446" s="4" t="e">
        <f ca="1">_xll.ciqfunctions.udf.CIQ("^SPX", "IQ_PRICEDATE", "9/29/2015")</f>
        <v>#NAME?</v>
      </c>
      <c r="AC446" s="16">
        <v>1884.0851818742001</v>
      </c>
    </row>
    <row r="447" spans="1:29" x14ac:dyDescent="0.35">
      <c r="A447" s="2" t="s">
        <v>457</v>
      </c>
      <c r="B447" s="4" t="s">
        <v>1584</v>
      </c>
      <c r="C447" s="4" t="s">
        <v>619</v>
      </c>
      <c r="D447" s="4" t="s">
        <v>619</v>
      </c>
      <c r="E447" s="4" t="s">
        <v>620</v>
      </c>
      <c r="F447" s="4" t="s">
        <v>620</v>
      </c>
      <c r="G447" s="14">
        <v>44.31</v>
      </c>
      <c r="H447" s="10">
        <v>11.736205</v>
      </c>
      <c r="I447" s="10">
        <v>19.181211999999999</v>
      </c>
      <c r="J447" s="10">
        <v>2.550449</v>
      </c>
      <c r="K447" s="15">
        <v>5.4162999999999996E-2</v>
      </c>
      <c r="L447" s="17">
        <v>44936.369837999999</v>
      </c>
      <c r="M447" s="4" t="s">
        <v>1585</v>
      </c>
      <c r="N447" s="19">
        <v>2.310073</v>
      </c>
      <c r="O447" s="19">
        <v>2.8071999999999999</v>
      </c>
      <c r="P447" s="19">
        <v>0.84</v>
      </c>
      <c r="Q447" s="19">
        <v>3.0775999999999999</v>
      </c>
      <c r="R447" s="19">
        <v>2.5499999999999998</v>
      </c>
      <c r="S447" s="19">
        <v>3.0072000000000001</v>
      </c>
      <c r="T447" s="19">
        <v>2.5499999999999998</v>
      </c>
      <c r="U447" s="19">
        <v>2.9157999999999999</v>
      </c>
      <c r="V447" s="19">
        <v>2.1800000000000002</v>
      </c>
      <c r="W447" s="19">
        <v>2.7951000000000001</v>
      </c>
      <c r="X447" s="19">
        <v>2.1800000000000002</v>
      </c>
      <c r="Y447" s="19">
        <v>2.7951000000000001</v>
      </c>
      <c r="Z447" s="4"/>
      <c r="AA447" s="4"/>
      <c r="AB447" s="4" t="e">
        <f ca="1">_xll.ciqfunctions.udf.CIQ("^SPX", "IQ_PRICEDATE", "9/30/2015")</f>
        <v>#NAME?</v>
      </c>
      <c r="AC447" s="16">
        <v>1920.0265516397001</v>
      </c>
    </row>
    <row r="448" spans="1:29" x14ac:dyDescent="0.35">
      <c r="A448" s="2" t="s">
        <v>458</v>
      </c>
      <c r="B448" s="4" t="s">
        <v>1586</v>
      </c>
      <c r="C448" s="4" t="s">
        <v>559</v>
      </c>
      <c r="D448" s="4" t="s">
        <v>560</v>
      </c>
      <c r="E448" s="4" t="s">
        <v>561</v>
      </c>
      <c r="F448" s="4" t="s">
        <v>1051</v>
      </c>
      <c r="G448" s="14">
        <v>110.8</v>
      </c>
      <c r="H448" s="10">
        <v>13.657080000000001</v>
      </c>
      <c r="I448" s="10">
        <v>23.691801999999999</v>
      </c>
      <c r="J448" s="10">
        <v>13.410314</v>
      </c>
      <c r="K448" s="15">
        <v>1.4079E-2</v>
      </c>
      <c r="L448" s="17">
        <v>68559.096296000003</v>
      </c>
      <c r="M448" s="4" t="s">
        <v>1587</v>
      </c>
      <c r="N448" s="19">
        <v>4.676723</v>
      </c>
      <c r="O448" s="19">
        <v>5.1369999999999996</v>
      </c>
      <c r="P448" s="19">
        <v>3.7037079999999998</v>
      </c>
      <c r="Q448" s="19">
        <v>4.1898999999999997</v>
      </c>
      <c r="R448" s="19">
        <v>3.4140440000000001</v>
      </c>
      <c r="S448" s="19">
        <v>3.7023999999999999</v>
      </c>
      <c r="T448" s="19">
        <v>3.4140440000000001</v>
      </c>
      <c r="U448" s="19">
        <v>3.5104000000000002</v>
      </c>
      <c r="V448" s="19">
        <v>3.02162</v>
      </c>
      <c r="W448" s="19">
        <v>3.4154</v>
      </c>
      <c r="X448" s="19">
        <v>3.02162</v>
      </c>
      <c r="Y448" s="19">
        <v>3.4154</v>
      </c>
      <c r="Z448" s="4"/>
      <c r="AA448" s="4"/>
      <c r="AB448" s="4" t="e">
        <f ca="1">_xll.ciqfunctions.udf.CIQ("^SPX", "IQ_PRICEDATE", "10/1/2015")</f>
        <v>#NAME?</v>
      </c>
      <c r="AC448" s="16">
        <v>1923.8200536917</v>
      </c>
    </row>
    <row r="449" spans="1:29" x14ac:dyDescent="0.35">
      <c r="A449" s="2" t="s">
        <v>459</v>
      </c>
      <c r="B449" s="4" t="s">
        <v>1588</v>
      </c>
      <c r="C449" s="4" t="s">
        <v>573</v>
      </c>
      <c r="D449" s="4" t="s">
        <v>579</v>
      </c>
      <c r="E449" s="4" t="s">
        <v>579</v>
      </c>
      <c r="F449" s="4" t="s">
        <v>842</v>
      </c>
      <c r="G449" s="14">
        <v>126.44</v>
      </c>
      <c r="H449" s="10">
        <v>10.579386</v>
      </c>
      <c r="I449" s="10">
        <v>17.132691000000001</v>
      </c>
      <c r="J449" s="10">
        <v>1.845985</v>
      </c>
      <c r="K449" s="15">
        <v>2.4359000000000002E-2</v>
      </c>
      <c r="L449" s="17">
        <v>33845.867727999997</v>
      </c>
      <c r="M449" s="4" t="s">
        <v>1589</v>
      </c>
      <c r="N449" s="19">
        <v>7.3800429999999997</v>
      </c>
      <c r="O449" s="19">
        <v>10.9533</v>
      </c>
      <c r="P449" s="19">
        <v>7.33</v>
      </c>
      <c r="Q449" s="19">
        <v>8.6235999999999997</v>
      </c>
      <c r="R449" s="19">
        <v>10.28</v>
      </c>
      <c r="S449" s="19">
        <v>9.4224999999999994</v>
      </c>
      <c r="T449" s="19">
        <v>10.28</v>
      </c>
      <c r="U449" s="19">
        <v>9.6561000000000003</v>
      </c>
      <c r="V449" s="19">
        <v>10.7</v>
      </c>
      <c r="W449" s="19">
        <v>9.0736000000000008</v>
      </c>
      <c r="X449" s="19">
        <v>10.7</v>
      </c>
      <c r="Y449" s="19">
        <v>9.0736000000000008</v>
      </c>
      <c r="Z449" s="4"/>
      <c r="AA449" s="4"/>
      <c r="AB449" s="4" t="e">
        <f ca="1">_xll.ciqfunctions.udf.CIQ("^SPX", "IQ_PRICEDATE", "10/2/2015")</f>
        <v>#NAME?</v>
      </c>
      <c r="AC449" s="16">
        <v>1951.3598314296</v>
      </c>
    </row>
    <row r="450" spans="1:29" x14ac:dyDescent="0.35">
      <c r="A450" s="2" t="s">
        <v>460</v>
      </c>
      <c r="B450" s="4" t="s">
        <v>1590</v>
      </c>
      <c r="C450" s="4" t="s">
        <v>549</v>
      </c>
      <c r="D450" s="4" t="s">
        <v>550</v>
      </c>
      <c r="E450" s="4" t="s">
        <v>551</v>
      </c>
      <c r="F450" s="4" t="s">
        <v>1319</v>
      </c>
      <c r="G450" s="14">
        <v>117.13</v>
      </c>
      <c r="H450" s="10">
        <v>11.327843</v>
      </c>
      <c r="I450" s="10">
        <v>14.786587000000001</v>
      </c>
      <c r="J450" s="10">
        <v>22.268059999999998</v>
      </c>
      <c r="K450" s="15">
        <v>1.4343E-2</v>
      </c>
      <c r="L450" s="17">
        <v>174200.72526899999</v>
      </c>
      <c r="M450" s="4" t="s">
        <v>1591</v>
      </c>
      <c r="N450" s="19">
        <v>7.9213680000000002</v>
      </c>
      <c r="O450" s="19">
        <v>7.3235000000000001</v>
      </c>
      <c r="P450" s="19">
        <v>7.0114150000000004</v>
      </c>
      <c r="Q450" s="19">
        <v>6.2363600000000003</v>
      </c>
      <c r="R450" s="19">
        <v>5.5402740000000001</v>
      </c>
      <c r="S450" s="19">
        <v>5.9319699999999997</v>
      </c>
      <c r="T450" s="19">
        <v>5.5402740000000001</v>
      </c>
      <c r="U450" s="19">
        <v>5.6629300000000002</v>
      </c>
      <c r="V450" s="19">
        <v>4.4978670000000003</v>
      </c>
      <c r="W450" s="19">
        <v>4.6808100000000001</v>
      </c>
      <c r="X450" s="19">
        <v>4.4978670000000003</v>
      </c>
      <c r="Y450" s="19">
        <v>4.6808100000000001</v>
      </c>
      <c r="Z450" s="4"/>
      <c r="AA450" s="4"/>
      <c r="AB450" s="4" t="e">
        <f ca="1">_xll.ciqfunctions.udf.CIQ("^SPX", "IQ_PRICEDATE", "10/5/2015")</f>
        <v>#NAME?</v>
      </c>
      <c r="AC450" s="16">
        <v>1987.0541437813999</v>
      </c>
    </row>
    <row r="451" spans="1:29" x14ac:dyDescent="0.35">
      <c r="A451" s="2" t="s">
        <v>461</v>
      </c>
      <c r="B451" s="4" t="s">
        <v>1592</v>
      </c>
      <c r="C451" s="4" t="s">
        <v>543</v>
      </c>
      <c r="D451" s="4" t="s">
        <v>544</v>
      </c>
      <c r="E451" s="4" t="s">
        <v>545</v>
      </c>
      <c r="F451" s="4" t="s">
        <v>616</v>
      </c>
      <c r="G451" s="14">
        <v>18.420000000000002</v>
      </c>
      <c r="H451" s="10">
        <v>7.8900360000000003</v>
      </c>
      <c r="I451" s="10" t="s">
        <v>534</v>
      </c>
      <c r="J451" s="10" t="s">
        <v>534</v>
      </c>
      <c r="K451" s="15">
        <v>4.1258999999999997E-2</v>
      </c>
      <c r="L451" s="17">
        <v>8238.3570099999997</v>
      </c>
      <c r="M451" s="4" t="s">
        <v>1593</v>
      </c>
      <c r="N451" s="19">
        <v>-0.99375199999999997</v>
      </c>
      <c r="O451" s="19">
        <v>1.8697999999999999</v>
      </c>
      <c r="P451" s="19">
        <v>-1.190639</v>
      </c>
      <c r="Q451" s="19">
        <v>1.8042</v>
      </c>
      <c r="R451" s="19">
        <v>0.51</v>
      </c>
      <c r="S451" s="19">
        <v>1.7021999999999999</v>
      </c>
      <c r="T451" s="19">
        <v>0.51</v>
      </c>
      <c r="U451" s="19">
        <v>1.722</v>
      </c>
      <c r="V451" s="19">
        <v>1.59</v>
      </c>
      <c r="W451" s="19">
        <v>1.5556000000000001</v>
      </c>
      <c r="X451" s="19">
        <v>1.59</v>
      </c>
      <c r="Y451" s="19">
        <v>1.5556000000000001</v>
      </c>
      <c r="Z451" s="4"/>
      <c r="AA451" s="4"/>
      <c r="AB451" s="4" t="e">
        <f ca="1">_xll.ciqfunctions.udf.CIQ("^SPX", "IQ_PRICEDATE", "10/6/2015")</f>
        <v>#NAME?</v>
      </c>
      <c r="AC451" s="16">
        <v>1979.9150477426001</v>
      </c>
    </row>
    <row r="452" spans="1:29" x14ac:dyDescent="0.35">
      <c r="A452" s="2" t="s">
        <v>462</v>
      </c>
      <c r="B452" s="4" t="s">
        <v>1594</v>
      </c>
      <c r="C452" s="4" t="s">
        <v>669</v>
      </c>
      <c r="D452" s="4" t="s">
        <v>669</v>
      </c>
      <c r="E452" s="4" t="s">
        <v>670</v>
      </c>
      <c r="F452" s="4" t="s">
        <v>1206</v>
      </c>
      <c r="G452" s="14">
        <v>26.88</v>
      </c>
      <c r="H452" s="10">
        <v>15.143402999999999</v>
      </c>
      <c r="I452" s="10">
        <v>11.118823000000001</v>
      </c>
      <c r="J452" s="10">
        <v>23.673870999999998</v>
      </c>
      <c r="K452" s="15">
        <v>5.0595000000000001E-2</v>
      </c>
      <c r="L452" s="17">
        <v>32507.865600000001</v>
      </c>
      <c r="M452" s="4" t="s">
        <v>1595</v>
      </c>
      <c r="N452" s="19">
        <v>2.4175219999999999</v>
      </c>
      <c r="O452" s="19">
        <v>1.0054000000000001</v>
      </c>
      <c r="P452" s="19">
        <v>2.62</v>
      </c>
      <c r="Q452" s="19">
        <v>0.88419999999999999</v>
      </c>
      <c r="R452" s="19">
        <v>-0.56999999999999995</v>
      </c>
      <c r="S452" s="19">
        <v>0.78600000000000003</v>
      </c>
      <c r="T452" s="19">
        <v>-0.56999999999999995</v>
      </c>
      <c r="U452" s="19">
        <v>1.3778999999999999</v>
      </c>
      <c r="V452" s="19">
        <v>2.91</v>
      </c>
      <c r="W452" s="19">
        <v>1.2786999999999999</v>
      </c>
      <c r="X452" s="19">
        <v>2.91</v>
      </c>
      <c r="Y452" s="19">
        <v>1.2786999999999999</v>
      </c>
      <c r="Z452" s="4"/>
      <c r="AA452" s="4"/>
      <c r="AB452" s="4" t="e">
        <f ca="1">_xll.ciqfunctions.udf.CIQ("^SPX", "IQ_PRICEDATE", "10/7/2015")</f>
        <v>#NAME?</v>
      </c>
      <c r="AC452" s="16">
        <v>1995.8264815445</v>
      </c>
    </row>
    <row r="453" spans="1:29" x14ac:dyDescent="0.35">
      <c r="A453" s="2" t="s">
        <v>463</v>
      </c>
      <c r="B453" s="4" t="s">
        <v>1596</v>
      </c>
      <c r="C453" s="4" t="s">
        <v>530</v>
      </c>
      <c r="D453" s="4" t="s">
        <v>537</v>
      </c>
      <c r="E453" s="4" t="s">
        <v>583</v>
      </c>
      <c r="F453" s="4" t="s">
        <v>583</v>
      </c>
      <c r="G453" s="14">
        <v>234.65</v>
      </c>
      <c r="H453" s="10">
        <v>19.576395000000002</v>
      </c>
      <c r="I453" s="10">
        <v>39.594447000000002</v>
      </c>
      <c r="J453" s="10" t="s">
        <v>534</v>
      </c>
      <c r="K453" s="15">
        <v>2.8970000000000003E-3</v>
      </c>
      <c r="L453" s="17">
        <v>94516.140297000005</v>
      </c>
      <c r="M453" s="4" t="s">
        <v>1597</v>
      </c>
      <c r="N453" s="19">
        <v>5.926336</v>
      </c>
      <c r="O453" s="19">
        <v>11.6022</v>
      </c>
      <c r="P453" s="19">
        <v>5.6</v>
      </c>
      <c r="Q453" s="19">
        <v>10.3156</v>
      </c>
      <c r="R453" s="19">
        <v>5.0999999999999996</v>
      </c>
      <c r="S453" s="19">
        <v>8.9893999999999998</v>
      </c>
      <c r="T453" s="19">
        <v>5.0999999999999996</v>
      </c>
      <c r="U453" s="19">
        <v>7.9717000000000002</v>
      </c>
      <c r="V453" s="19">
        <v>4.71</v>
      </c>
      <c r="W453" s="19">
        <v>7.5541999999999998</v>
      </c>
      <c r="X453" s="19">
        <v>4.71</v>
      </c>
      <c r="Y453" s="19">
        <v>7.5541999999999998</v>
      </c>
      <c r="Z453" s="4"/>
      <c r="AA453" s="4"/>
      <c r="AB453" s="4" t="e">
        <f ca="1">_xll.ciqfunctions.udf.CIQ("^SPX", "IQ_PRICEDATE", "10/8/2015")</f>
        <v>#NAME?</v>
      </c>
      <c r="AC453" s="16">
        <v>2013.4308976294001</v>
      </c>
    </row>
    <row r="454" spans="1:29" x14ac:dyDescent="0.35">
      <c r="A454" s="2" t="s">
        <v>464</v>
      </c>
      <c r="B454" s="4" t="s">
        <v>1598</v>
      </c>
      <c r="C454" s="4" t="s">
        <v>559</v>
      </c>
      <c r="D454" s="4" t="s">
        <v>560</v>
      </c>
      <c r="E454" s="4" t="s">
        <v>561</v>
      </c>
      <c r="F454" s="4" t="s">
        <v>1599</v>
      </c>
      <c r="G454" s="14">
        <v>112</v>
      </c>
      <c r="H454" s="10">
        <v>12.95468</v>
      </c>
      <c r="I454" s="10">
        <v>31.044820999999999</v>
      </c>
      <c r="J454" s="10">
        <v>4.484947</v>
      </c>
      <c r="K454" s="15">
        <v>1.9642E-2</v>
      </c>
      <c r="L454" s="17">
        <v>13710.03592</v>
      </c>
      <c r="M454" s="4" t="s">
        <v>1600</v>
      </c>
      <c r="N454" s="19">
        <v>3.6076869999999999</v>
      </c>
      <c r="O454" s="19">
        <v>5.0213999999999999</v>
      </c>
      <c r="P454" s="19">
        <v>3.7218010000000001</v>
      </c>
      <c r="Q454" s="19">
        <v>4.1689999999999996</v>
      </c>
      <c r="R454" s="19">
        <v>3.571342</v>
      </c>
      <c r="S454" s="19">
        <v>3.8713000000000002</v>
      </c>
      <c r="T454" s="19">
        <v>3.571342</v>
      </c>
      <c r="U454" s="19">
        <v>4.1371000000000002</v>
      </c>
      <c r="V454" s="19">
        <v>1.4300409999999999</v>
      </c>
      <c r="W454" s="19">
        <v>4.6894999999999998</v>
      </c>
      <c r="X454" s="19">
        <v>1.4300409999999999</v>
      </c>
      <c r="Y454" s="19">
        <v>4.6894999999999998</v>
      </c>
      <c r="Z454" s="4"/>
      <c r="AA454" s="4"/>
      <c r="AB454" s="4" t="e">
        <f ca="1">_xll.ciqfunctions.udf.CIQ("^SPX", "IQ_PRICEDATE", "10/9/2015")</f>
        <v>#NAME?</v>
      </c>
      <c r="AC454" s="16">
        <v>2014.8926461318999</v>
      </c>
    </row>
    <row r="455" spans="1:29" x14ac:dyDescent="0.35">
      <c r="A455" s="2" t="s">
        <v>465</v>
      </c>
      <c r="B455" s="4" t="s">
        <v>1601</v>
      </c>
      <c r="C455" s="4" t="s">
        <v>573</v>
      </c>
      <c r="D455" s="4" t="s">
        <v>579</v>
      </c>
      <c r="E455" s="4" t="s">
        <v>579</v>
      </c>
      <c r="F455" s="4" t="s">
        <v>580</v>
      </c>
      <c r="G455" s="14">
        <v>85.83</v>
      </c>
      <c r="H455" s="10">
        <v>11.337294999999999</v>
      </c>
      <c r="I455" s="10">
        <v>6.5372880000000002</v>
      </c>
      <c r="J455" s="10">
        <v>1.8893150000000001</v>
      </c>
      <c r="K455" s="15">
        <v>7.4560000000000008E-3</v>
      </c>
      <c r="L455" s="17">
        <v>9638.416577</v>
      </c>
      <c r="M455" s="4" t="s">
        <v>1602</v>
      </c>
      <c r="N455" s="19">
        <v>13.129296</v>
      </c>
      <c r="O455" s="19">
        <v>6.2961999999999998</v>
      </c>
      <c r="P455" s="19">
        <v>12.259999000000001</v>
      </c>
      <c r="Q455" s="19">
        <v>5.0377000000000001</v>
      </c>
      <c r="R455" s="19">
        <v>4.41</v>
      </c>
      <c r="S455" s="19">
        <v>4.6266999999999996</v>
      </c>
      <c r="T455" s="19">
        <v>4.41</v>
      </c>
      <c r="U455" s="19">
        <v>4.3547000000000002</v>
      </c>
      <c r="V455" s="19">
        <v>3.9799989999999998</v>
      </c>
      <c r="W455" s="19">
        <v>4.2285000000000004</v>
      </c>
      <c r="X455" s="19">
        <v>3.9799989999999998</v>
      </c>
      <c r="Y455" s="19">
        <v>4.2285000000000004</v>
      </c>
      <c r="Z455" s="4"/>
      <c r="AA455" s="4"/>
      <c r="AB455" s="4" t="e">
        <f ca="1">_xll.ciqfunctions.udf.CIQ("^SPX", "IQ_PRICEDATE", "10/12/2015")</f>
        <v>#NAME?</v>
      </c>
      <c r="AC455" s="16">
        <v>2017.4562247174999</v>
      </c>
    </row>
    <row r="456" spans="1:29" x14ac:dyDescent="0.35">
      <c r="A456" s="2" t="s">
        <v>466</v>
      </c>
      <c r="B456" s="4" t="s">
        <v>1603</v>
      </c>
      <c r="C456" s="4" t="s">
        <v>543</v>
      </c>
      <c r="D456" s="4" t="s">
        <v>544</v>
      </c>
      <c r="E456" s="4" t="s">
        <v>545</v>
      </c>
      <c r="F456" s="4" t="s">
        <v>616</v>
      </c>
      <c r="G456" s="14">
        <v>95.35</v>
      </c>
      <c r="H456" s="10">
        <v>19.469083999999999</v>
      </c>
      <c r="I456" s="10">
        <v>27.096589000000002</v>
      </c>
      <c r="J456" s="10" t="s">
        <v>534</v>
      </c>
      <c r="K456" s="15">
        <v>5.4530000000000004E-3</v>
      </c>
      <c r="L456" s="17">
        <v>17393.559923000001</v>
      </c>
      <c r="M456" s="4" t="s">
        <v>1604</v>
      </c>
      <c r="N456" s="19">
        <v>3.5188929999999998</v>
      </c>
      <c r="O456" s="19">
        <v>4.5712000000000002</v>
      </c>
      <c r="P456" s="19">
        <v>3.161219</v>
      </c>
      <c r="Q456" s="19">
        <v>3.6002000000000001</v>
      </c>
      <c r="R456" s="19">
        <v>1.7329429999999999</v>
      </c>
      <c r="S456" s="19">
        <v>3.0804999999999998</v>
      </c>
      <c r="T456" s="19">
        <v>1.7329429999999999</v>
      </c>
      <c r="U456" s="19">
        <v>2.5766</v>
      </c>
      <c r="V456" s="19">
        <v>1.45852</v>
      </c>
      <c r="W456" s="19">
        <v>2.1427999999999998</v>
      </c>
      <c r="X456" s="19">
        <v>1.45852</v>
      </c>
      <c r="Y456" s="19">
        <v>2.1427999999999998</v>
      </c>
      <c r="Z456" s="4"/>
      <c r="AA456" s="4"/>
      <c r="AB456" s="4" t="e">
        <f ca="1">_xll.ciqfunctions.udf.CIQ("^SPX", "IQ_PRICEDATE", "10/13/2015")</f>
        <v>#NAME?</v>
      </c>
      <c r="AC456" s="16">
        <v>2003.6902857436</v>
      </c>
    </row>
    <row r="457" spans="1:29" x14ac:dyDescent="0.35">
      <c r="A457" s="2" t="s">
        <v>467</v>
      </c>
      <c r="B457" s="4" t="s">
        <v>1605</v>
      </c>
      <c r="C457" s="4" t="s">
        <v>559</v>
      </c>
      <c r="D457" s="4" t="s">
        <v>560</v>
      </c>
      <c r="E457" s="4" t="s">
        <v>561</v>
      </c>
      <c r="F457" s="4" t="s">
        <v>1599</v>
      </c>
      <c r="G457" s="14">
        <v>88.06</v>
      </c>
      <c r="H457" s="10">
        <v>12.881307</v>
      </c>
      <c r="I457" s="10">
        <v>22.919858000000001</v>
      </c>
      <c r="J457" s="10">
        <v>8.3700810000000008</v>
      </c>
      <c r="K457" s="15">
        <v>1.4081E-2</v>
      </c>
      <c r="L457" s="17">
        <v>10726.119857</v>
      </c>
      <c r="M457" s="4" t="s">
        <v>1606</v>
      </c>
      <c r="N457" s="19">
        <v>3.8420830000000001</v>
      </c>
      <c r="O457" s="19">
        <v>4.3891999999999998</v>
      </c>
      <c r="P457" s="19">
        <v>3.3</v>
      </c>
      <c r="Q457" s="19">
        <v>3.4685000000000001</v>
      </c>
      <c r="R457" s="19">
        <v>3.27</v>
      </c>
      <c r="S457" s="19">
        <v>3.4594999999999998</v>
      </c>
      <c r="T457" s="19">
        <v>3.27</v>
      </c>
      <c r="U457" s="19">
        <v>3.4003999999999999</v>
      </c>
      <c r="V457" s="19">
        <v>2.66</v>
      </c>
      <c r="W457" s="19">
        <v>2.9098999999999999</v>
      </c>
      <c r="X457" s="19">
        <v>2.66</v>
      </c>
      <c r="Y457" s="19">
        <v>2.9098999999999999</v>
      </c>
      <c r="Z457" s="4"/>
      <c r="AA457" s="4"/>
      <c r="AB457" s="4" t="e">
        <f ca="1">_xll.ciqfunctions.udf.CIQ("^SPX", "IQ_PRICEDATE", "10/14/2015")</f>
        <v>#NAME?</v>
      </c>
      <c r="AC457" s="16">
        <v>1994.2423705799999</v>
      </c>
    </row>
    <row r="458" spans="1:29" x14ac:dyDescent="0.35">
      <c r="A458" s="2" t="s">
        <v>468</v>
      </c>
      <c r="B458" s="4" t="s">
        <v>1607</v>
      </c>
      <c r="C458" s="4" t="s">
        <v>525</v>
      </c>
      <c r="D458" s="4" t="s">
        <v>526</v>
      </c>
      <c r="E458" s="4" t="s">
        <v>703</v>
      </c>
      <c r="F458" s="4" t="s">
        <v>703</v>
      </c>
      <c r="G458" s="14">
        <v>347.78</v>
      </c>
      <c r="H458" s="10">
        <v>16.753229999999999</v>
      </c>
      <c r="I458" s="10">
        <v>24.205611999999999</v>
      </c>
      <c r="J458" s="10" t="s">
        <v>534</v>
      </c>
      <c r="K458" s="15">
        <v>0</v>
      </c>
      <c r="L458" s="17">
        <v>18303.207199</v>
      </c>
      <c r="M458" s="4" t="s">
        <v>1608</v>
      </c>
      <c r="N458" s="19">
        <v>14.367742</v>
      </c>
      <c r="O458" s="19">
        <v>16.288699999999999</v>
      </c>
      <c r="P458" s="19">
        <v>12.69909</v>
      </c>
      <c r="Q458" s="19">
        <v>13.372640000000001</v>
      </c>
      <c r="R458" s="19">
        <v>8.5559060000000002</v>
      </c>
      <c r="S458" s="19">
        <v>12.1408</v>
      </c>
      <c r="T458" s="19">
        <v>8.5559060000000002</v>
      </c>
      <c r="U458" s="19">
        <v>10.626720000000001</v>
      </c>
      <c r="V458" s="19">
        <v>3.3478279999999998</v>
      </c>
      <c r="W458" s="19">
        <v>8.3816699999999997</v>
      </c>
      <c r="X458" s="19">
        <v>3.3478279999999998</v>
      </c>
      <c r="Y458" s="19">
        <v>8.3816699999999997</v>
      </c>
      <c r="Z458" s="4"/>
      <c r="AA458" s="4"/>
      <c r="AB458" s="4" t="e">
        <f ca="1">_xll.ciqfunctions.udf.CIQ("^SPX", "IQ_PRICEDATE", "10/15/2015")</f>
        <v>#NAME?</v>
      </c>
      <c r="AC458" s="16">
        <v>2023.8617836236999</v>
      </c>
    </row>
    <row r="459" spans="1:29" x14ac:dyDescent="0.35">
      <c r="A459" s="2" t="s">
        <v>469</v>
      </c>
      <c r="B459" s="4" t="s">
        <v>1609</v>
      </c>
      <c r="C459" s="4" t="s">
        <v>549</v>
      </c>
      <c r="D459" s="4" t="s">
        <v>550</v>
      </c>
      <c r="E459" s="4" t="s">
        <v>623</v>
      </c>
      <c r="F459" s="4" t="s">
        <v>623</v>
      </c>
      <c r="G459" s="14">
        <v>47.16</v>
      </c>
      <c r="H459" s="10">
        <v>34.371181999999997</v>
      </c>
      <c r="I459" s="10" t="s">
        <v>534</v>
      </c>
      <c r="J459" s="10">
        <v>14.541498000000001</v>
      </c>
      <c r="K459" s="15">
        <v>0</v>
      </c>
      <c r="L459" s="17">
        <v>6486.7297719999997</v>
      </c>
      <c r="M459" s="4" t="s">
        <v>1610</v>
      </c>
      <c r="N459" s="19">
        <v>-0.16770399999999999</v>
      </c>
      <c r="O459" s="19">
        <v>1.4690000000000001</v>
      </c>
      <c r="P459" s="19">
        <v>-0.14000000000000001</v>
      </c>
      <c r="Q459" s="19">
        <v>1.0461</v>
      </c>
      <c r="R459" s="19">
        <v>0.82</v>
      </c>
      <c r="S459" s="19">
        <v>1.5522</v>
      </c>
      <c r="T459" s="19">
        <v>0.82</v>
      </c>
      <c r="U459" s="19">
        <v>2.157</v>
      </c>
      <c r="V459" s="19">
        <v>1.55</v>
      </c>
      <c r="W459" s="19">
        <v>2.4192999999999998</v>
      </c>
      <c r="X459" s="19">
        <v>1.55</v>
      </c>
      <c r="Y459" s="19">
        <v>2.4192999999999998</v>
      </c>
      <c r="Z459" s="4"/>
      <c r="AA459" s="4"/>
      <c r="AB459" s="4" t="e">
        <f ca="1">_xll.ciqfunctions.udf.CIQ("^SPX", "IQ_PRICEDATE", "10/16/2015")</f>
        <v>#NAME?</v>
      </c>
      <c r="AC459" s="16">
        <v>2033.1103965692</v>
      </c>
    </row>
    <row r="460" spans="1:29" x14ac:dyDescent="0.35">
      <c r="A460" s="2" t="s">
        <v>470</v>
      </c>
      <c r="B460" s="4" t="s">
        <v>1611</v>
      </c>
      <c r="C460" s="4" t="s">
        <v>549</v>
      </c>
      <c r="D460" s="4" t="s">
        <v>550</v>
      </c>
      <c r="E460" s="4" t="s">
        <v>551</v>
      </c>
      <c r="F460" s="4" t="s">
        <v>1319</v>
      </c>
      <c r="G460" s="14">
        <v>45.46</v>
      </c>
      <c r="H460" s="10">
        <v>14.55697</v>
      </c>
      <c r="I460" s="10">
        <v>0</v>
      </c>
      <c r="J460" s="10">
        <v>0</v>
      </c>
      <c r="K460" s="15">
        <v>0</v>
      </c>
      <c r="L460" s="17">
        <v>84608.020678999994</v>
      </c>
      <c r="M460" s="4" t="s">
        <v>1331</v>
      </c>
      <c r="N460" s="19">
        <v>2.41</v>
      </c>
      <c r="O460" s="19">
        <v>2.0968399999999998</v>
      </c>
      <c r="P460" s="19">
        <v>2.1397729999999999</v>
      </c>
      <c r="Q460" s="19">
        <v>2.0568</v>
      </c>
      <c r="R460" s="19">
        <v>1.6462760000000001</v>
      </c>
      <c r="S460" s="19">
        <v>1.929</v>
      </c>
      <c r="T460" s="19">
        <v>1.6462760000000001</v>
      </c>
      <c r="U460" s="19">
        <v>1.9152</v>
      </c>
      <c r="V460" s="19">
        <v>4.213857</v>
      </c>
      <c r="W460" s="19">
        <v>1.78</v>
      </c>
      <c r="X460" s="19">
        <v>4.213857</v>
      </c>
      <c r="Y460" s="19">
        <v>1.78</v>
      </c>
      <c r="Z460" s="4"/>
      <c r="AA460" s="4"/>
      <c r="AB460" s="4" t="e">
        <f ca="1">_xll.ciqfunctions.udf.CIQ("^SPX", "IQ_PRICEDATE", "10/19/2015")</f>
        <v>#NAME?</v>
      </c>
      <c r="AC460" s="16">
        <v>2033.6644048101</v>
      </c>
    </row>
    <row r="461" spans="1:29" x14ac:dyDescent="0.35">
      <c r="A461" s="2" t="s">
        <v>471</v>
      </c>
      <c r="B461" s="4" t="s">
        <v>1611</v>
      </c>
      <c r="C461" s="4" t="s">
        <v>549</v>
      </c>
      <c r="D461" s="4" t="s">
        <v>550</v>
      </c>
      <c r="E461" s="4" t="s">
        <v>551</v>
      </c>
      <c r="F461" s="4" t="s">
        <v>1319</v>
      </c>
      <c r="G461" s="14">
        <v>45.83</v>
      </c>
      <c r="H461" s="10">
        <v>14.55697</v>
      </c>
      <c r="I461" s="10">
        <v>19.016597000000001</v>
      </c>
      <c r="J461" s="10" t="s">
        <v>534</v>
      </c>
      <c r="K461" s="15">
        <v>7.8549999999999991E-3</v>
      </c>
      <c r="L461" s="17">
        <v>84608.020678999994</v>
      </c>
      <c r="M461" s="4" t="s">
        <v>1331</v>
      </c>
      <c r="N461" s="19">
        <v>2.41</v>
      </c>
      <c r="O461" s="19">
        <v>2.0968399999999998</v>
      </c>
      <c r="P461" s="19">
        <v>2.1397729999999999</v>
      </c>
      <c r="Q461" s="19">
        <v>2.0568</v>
      </c>
      <c r="R461" s="19">
        <v>1.6462760000000001</v>
      </c>
      <c r="S461" s="19">
        <v>1.929</v>
      </c>
      <c r="T461" s="19">
        <v>1.6462760000000001</v>
      </c>
      <c r="U461" s="19">
        <v>1.9152</v>
      </c>
      <c r="V461" s="19">
        <v>4.213857</v>
      </c>
      <c r="W461" s="19">
        <v>1.7846</v>
      </c>
      <c r="X461" s="19">
        <v>4.213857</v>
      </c>
      <c r="Y461" s="19">
        <v>1.7846</v>
      </c>
      <c r="Z461" s="4"/>
      <c r="AA461" s="4"/>
      <c r="AB461" s="4" t="e">
        <f ca="1">_xll.ciqfunctions.udf.CIQ("^SPX", "IQ_PRICEDATE", "10/20/2015")</f>
        <v>#NAME?</v>
      </c>
      <c r="AC461" s="16">
        <v>2030.7671635219001</v>
      </c>
    </row>
    <row r="462" spans="1:29" x14ac:dyDescent="0.35">
      <c r="A462" s="2" t="s">
        <v>472</v>
      </c>
      <c r="B462" s="4" t="s">
        <v>1612</v>
      </c>
      <c r="C462" s="4" t="s">
        <v>549</v>
      </c>
      <c r="D462" s="4" t="s">
        <v>550</v>
      </c>
      <c r="E462" s="4" t="s">
        <v>623</v>
      </c>
      <c r="F462" s="4" t="s">
        <v>623</v>
      </c>
      <c r="G462" s="14">
        <v>29.55</v>
      </c>
      <c r="H462" s="10">
        <v>33.006252000000003</v>
      </c>
      <c r="I462" s="10">
        <v>95.597655000000003</v>
      </c>
      <c r="J462" s="10">
        <v>5.1907290000000001</v>
      </c>
      <c r="K462" s="15">
        <v>0</v>
      </c>
      <c r="L462" s="17">
        <v>22308.772499999999</v>
      </c>
      <c r="M462" s="4" t="s">
        <v>1613</v>
      </c>
      <c r="N462" s="19">
        <v>0.30910799999999999</v>
      </c>
      <c r="O462" s="19">
        <v>0.6915</v>
      </c>
      <c r="P462" s="19">
        <v>-0.15</v>
      </c>
      <c r="Q462" s="19">
        <v>0.42959999999999998</v>
      </c>
      <c r="R462" s="19">
        <v>-0.65069100000000002</v>
      </c>
      <c r="S462" s="19">
        <v>0.55520000000000003</v>
      </c>
      <c r="T462" s="19">
        <v>-0.65069100000000002</v>
      </c>
      <c r="U462" s="19">
        <v>0.43809999999999999</v>
      </c>
      <c r="V462" s="19">
        <v>-0.96</v>
      </c>
      <c r="W462" s="19">
        <v>0.24909999999999999</v>
      </c>
      <c r="X462" s="19">
        <v>-0.96</v>
      </c>
      <c r="Y462" s="19">
        <v>0.24909999999999999</v>
      </c>
      <c r="Z462" s="4"/>
      <c r="AA462" s="4"/>
      <c r="AB462" s="4" t="e">
        <f ca="1">_xll.ciqfunctions.udf.CIQ("^SPX", "IQ_PRICEDATE", "10/21/2015")</f>
        <v>#NAME?</v>
      </c>
      <c r="AC462" s="16">
        <v>2018.941033007</v>
      </c>
    </row>
    <row r="463" spans="1:29" x14ac:dyDescent="0.35">
      <c r="A463" s="2" t="s">
        <v>473</v>
      </c>
      <c r="B463" s="4" t="s">
        <v>1614</v>
      </c>
      <c r="C463" s="4" t="s">
        <v>626</v>
      </c>
      <c r="D463" s="4" t="s">
        <v>627</v>
      </c>
      <c r="E463" s="4" t="s">
        <v>699</v>
      </c>
      <c r="F463" s="4" t="s">
        <v>789</v>
      </c>
      <c r="G463" s="14">
        <v>61.97</v>
      </c>
      <c r="H463" s="10">
        <v>7.8864830000000001</v>
      </c>
      <c r="I463" s="10">
        <v>7.9492050000000001</v>
      </c>
      <c r="J463" s="10" t="s">
        <v>534</v>
      </c>
      <c r="K463" s="15">
        <v>1.9363999999999999E-2</v>
      </c>
      <c r="L463" s="17">
        <v>22676.699452000001</v>
      </c>
      <c r="M463" s="4" t="s">
        <v>1615</v>
      </c>
      <c r="N463" s="19">
        <v>7.7957479999999997</v>
      </c>
      <c r="O463" s="19">
        <v>5.7884000000000002</v>
      </c>
      <c r="P463" s="19">
        <v>7.6092820000000003</v>
      </c>
      <c r="Q463" s="19">
        <v>5.8586299999999998</v>
      </c>
      <c r="R463" s="19">
        <v>4.9569989999999997</v>
      </c>
      <c r="S463" s="19">
        <v>4.8356599999999998</v>
      </c>
      <c r="T463" s="19">
        <v>4.9569989999999997</v>
      </c>
      <c r="U463" s="19">
        <v>3.6011600000000001</v>
      </c>
      <c r="V463" s="19">
        <v>2.4127529999999999</v>
      </c>
      <c r="W463" s="19">
        <v>3.4053800000000001</v>
      </c>
      <c r="X463" s="19">
        <v>2.4127529999999999</v>
      </c>
      <c r="Y463" s="19">
        <v>3.4053800000000001</v>
      </c>
      <c r="Z463" s="4"/>
      <c r="AA463" s="4"/>
      <c r="AB463" s="4" t="e">
        <f ca="1">_xll.ciqfunctions.udf.CIQ("^SPX", "IQ_PRICEDATE", "10/22/2015")</f>
        <v>#NAME?</v>
      </c>
      <c r="AC463" s="16">
        <v>2052.5088261477999</v>
      </c>
    </row>
    <row r="464" spans="1:29" x14ac:dyDescent="0.35">
      <c r="A464" s="2" t="s">
        <v>474</v>
      </c>
      <c r="B464" s="4" t="s">
        <v>1616</v>
      </c>
      <c r="C464" s="4" t="s">
        <v>573</v>
      </c>
      <c r="D464" s="4" t="s">
        <v>737</v>
      </c>
      <c r="E464" s="4" t="s">
        <v>737</v>
      </c>
      <c r="F464" s="4" t="s">
        <v>738</v>
      </c>
      <c r="G464" s="14">
        <v>52.9</v>
      </c>
      <c r="H464" s="10">
        <v>0</v>
      </c>
      <c r="I464" s="10">
        <v>13.809882999999999</v>
      </c>
      <c r="J464" s="10">
        <v>2.529703</v>
      </c>
      <c r="K464" s="15">
        <v>2.7976999999999998E-2</v>
      </c>
      <c r="L464" s="17">
        <v>85856.7</v>
      </c>
      <c r="M464" s="4" t="s">
        <v>1617</v>
      </c>
      <c r="N464" s="19">
        <v>4.0007149999999996</v>
      </c>
      <c r="O464" s="19">
        <v>4.1962000000000002</v>
      </c>
      <c r="P464" s="19">
        <v>3.51</v>
      </c>
      <c r="Q464" s="19">
        <v>3.6615000000000002</v>
      </c>
      <c r="R464" s="19">
        <v>3.24</v>
      </c>
      <c r="S464" s="19">
        <v>3.3683000000000001</v>
      </c>
      <c r="T464" s="19">
        <v>3.24</v>
      </c>
      <c r="U464" s="19">
        <v>3.3271000000000002</v>
      </c>
      <c r="V464" s="19">
        <v>3.08</v>
      </c>
      <c r="W464" s="19">
        <v>3.2099000000000002</v>
      </c>
      <c r="X464" s="19">
        <v>3.08</v>
      </c>
      <c r="Y464" s="19">
        <v>3.2099000000000002</v>
      </c>
      <c r="Z464" s="4"/>
      <c r="AA464" s="4"/>
      <c r="AB464" s="4" t="e">
        <f ca="1">_xll.ciqfunctions.udf.CIQ("^SPX", "IQ_PRICEDATE", "10/23/2015")</f>
        <v>#NAME?</v>
      </c>
      <c r="AC464" s="16">
        <v>2075.1512780694002</v>
      </c>
    </row>
    <row r="465" spans="1:29" x14ac:dyDescent="0.35">
      <c r="A465" s="2" t="s">
        <v>475</v>
      </c>
      <c r="B465" s="4" t="s">
        <v>1618</v>
      </c>
      <c r="C465" s="4" t="s">
        <v>601</v>
      </c>
      <c r="D465" s="4" t="s">
        <v>601</v>
      </c>
      <c r="E465" s="4" t="s">
        <v>602</v>
      </c>
      <c r="F465" s="4" t="s">
        <v>685</v>
      </c>
      <c r="G465" s="14">
        <v>39.049999999999997</v>
      </c>
      <c r="H465" s="10">
        <v>23.943628</v>
      </c>
      <c r="I465" s="10">
        <v>57.430692999999998</v>
      </c>
      <c r="J465" s="10">
        <v>3.8551389999999999</v>
      </c>
      <c r="K465" s="15">
        <v>3.3034000000000001E-2</v>
      </c>
      <c r="L465" s="17">
        <v>10452.861161999999</v>
      </c>
      <c r="M465" s="4" t="s">
        <v>1619</v>
      </c>
      <c r="N465" s="19">
        <v>0.67995000000000005</v>
      </c>
      <c r="O465" s="19">
        <v>0.30149999999999999</v>
      </c>
      <c r="P465" s="19">
        <v>0.44</v>
      </c>
      <c r="Q465" s="19">
        <v>0.30809999999999998</v>
      </c>
      <c r="R465" s="19">
        <v>1.08</v>
      </c>
      <c r="S465" s="19">
        <v>0.23449999999999999</v>
      </c>
      <c r="T465" s="19">
        <v>1.08</v>
      </c>
      <c r="U465" s="19">
        <v>0.32969999999999999</v>
      </c>
      <c r="V465" s="19">
        <v>0.59</v>
      </c>
      <c r="W465" s="19">
        <v>0.14799999999999999</v>
      </c>
      <c r="X465" s="19">
        <v>0.59</v>
      </c>
      <c r="Y465" s="19">
        <v>0.14799999999999999</v>
      </c>
      <c r="Z465" s="4"/>
      <c r="AA465" s="4"/>
      <c r="AB465" s="4" t="e">
        <f ca="1">_xll.ciqfunctions.udf.CIQ("^SPX", "IQ_PRICEDATE", "10/26/2015")</f>
        <v>#NAME?</v>
      </c>
      <c r="AC465" s="16">
        <v>2071.1815203360002</v>
      </c>
    </row>
    <row r="466" spans="1:29" x14ac:dyDescent="0.35">
      <c r="A466" s="2" t="s">
        <v>476</v>
      </c>
      <c r="B466" s="4" t="s">
        <v>1620</v>
      </c>
      <c r="C466" s="4" t="s">
        <v>559</v>
      </c>
      <c r="D466" s="4" t="s">
        <v>560</v>
      </c>
      <c r="E466" s="4" t="s">
        <v>561</v>
      </c>
      <c r="F466" s="4" t="s">
        <v>1599</v>
      </c>
      <c r="G466" s="14">
        <v>281.92</v>
      </c>
      <c r="H466" s="10">
        <v>15.164898000000001</v>
      </c>
      <c r="I466" s="10">
        <v>27.505901000000001</v>
      </c>
      <c r="J466" s="10">
        <v>9.3127270000000006</v>
      </c>
      <c r="K466" s="15">
        <v>0</v>
      </c>
      <c r="L466" s="17">
        <v>16850.470885999999</v>
      </c>
      <c r="M466" s="4" t="s">
        <v>1621</v>
      </c>
      <c r="N466" s="19">
        <v>10.249437</v>
      </c>
      <c r="O466" s="19">
        <v>11.7638</v>
      </c>
      <c r="P466" s="19">
        <v>7.8250469999999996</v>
      </c>
      <c r="Q466" s="19">
        <v>9.4501000000000008</v>
      </c>
      <c r="R466" s="19">
        <v>5.9660380000000002</v>
      </c>
      <c r="S466" s="19">
        <v>7.4290000000000003</v>
      </c>
      <c r="T466" s="19">
        <v>5.9660380000000002</v>
      </c>
      <c r="U466" s="19">
        <v>5.4147999999999996</v>
      </c>
      <c r="V466" s="19">
        <v>3.729069</v>
      </c>
      <c r="W466" s="19">
        <v>4.3217999999999996</v>
      </c>
      <c r="X466" s="19">
        <v>3.729069</v>
      </c>
      <c r="Y466" s="19">
        <v>4.3217999999999996</v>
      </c>
      <c r="Z466" s="4"/>
      <c r="AA466" s="4"/>
      <c r="AB466" s="4" t="e">
        <f ca="1">_xll.ciqfunctions.udf.CIQ("^SPX", "IQ_PRICEDATE", "10/27/2015")</f>
        <v>#NAME?</v>
      </c>
      <c r="AC466" s="16">
        <v>2065.8922884034</v>
      </c>
    </row>
    <row r="467" spans="1:29" x14ac:dyDescent="0.35">
      <c r="A467" s="2" t="s">
        <v>477</v>
      </c>
      <c r="B467" s="4" t="s">
        <v>1622</v>
      </c>
      <c r="C467" s="4" t="s">
        <v>559</v>
      </c>
      <c r="D467" s="4" t="s">
        <v>912</v>
      </c>
      <c r="E467" s="4" t="s">
        <v>1097</v>
      </c>
      <c r="F467" s="4" t="s">
        <v>1098</v>
      </c>
      <c r="G467" s="14">
        <v>17.559999999999999</v>
      </c>
      <c r="H467" s="10">
        <v>26.577881000000001</v>
      </c>
      <c r="I467" s="10">
        <v>0</v>
      </c>
      <c r="J467" s="10">
        <v>0</v>
      </c>
      <c r="K467" s="15">
        <v>0</v>
      </c>
      <c r="L467" s="17">
        <v>8157.1402959999996</v>
      </c>
      <c r="M467" s="4" t="s">
        <v>1623</v>
      </c>
      <c r="N467" s="19">
        <v>-0.36042000000000002</v>
      </c>
      <c r="O467" s="19">
        <v>0.27500000000000002</v>
      </c>
      <c r="P467" s="19">
        <v>-0.11</v>
      </c>
      <c r="Q467" s="19">
        <v>0.15</v>
      </c>
      <c r="R467" s="19">
        <v>0.45</v>
      </c>
      <c r="S467" s="19">
        <v>0.65780000000000005</v>
      </c>
      <c r="T467" s="19">
        <v>0.45</v>
      </c>
      <c r="U467" s="19">
        <v>0</v>
      </c>
      <c r="V467" s="19">
        <v>0.47</v>
      </c>
      <c r="W467" s="19">
        <v>0</v>
      </c>
      <c r="X467" s="19">
        <v>0.47</v>
      </c>
      <c r="Y467" s="19">
        <v>0</v>
      </c>
      <c r="Z467" s="4"/>
      <c r="AA467" s="4"/>
      <c r="AB467" s="4" t="e">
        <f ca="1">_xll.ciqfunctions.udf.CIQ("^SPX", "IQ_PRICEDATE", "10/28/2015")</f>
        <v>#NAME?</v>
      </c>
      <c r="AC467" s="16">
        <v>2090.3538814400999</v>
      </c>
    </row>
    <row r="468" spans="1:29" x14ac:dyDescent="0.35">
      <c r="A468" s="2" t="s">
        <v>478</v>
      </c>
      <c r="B468" s="4" t="s">
        <v>1622</v>
      </c>
      <c r="C468" s="4" t="s">
        <v>559</v>
      </c>
      <c r="D468" s="4" t="s">
        <v>912</v>
      </c>
      <c r="E468" s="4" t="s">
        <v>1097</v>
      </c>
      <c r="F468" s="4" t="s">
        <v>1098</v>
      </c>
      <c r="G468" s="14">
        <v>19.12</v>
      </c>
      <c r="H468" s="10">
        <v>26.577881000000001</v>
      </c>
      <c r="I468" s="10" t="s">
        <v>534</v>
      </c>
      <c r="J468" s="10">
        <v>6.4106880000000004</v>
      </c>
      <c r="K468" s="15">
        <v>0</v>
      </c>
      <c r="L468" s="17">
        <v>8157.1402959999996</v>
      </c>
      <c r="M468" s="4" t="s">
        <v>1623</v>
      </c>
      <c r="N468" s="19">
        <v>-0.36042000000000002</v>
      </c>
      <c r="O468" s="19">
        <v>0.2432</v>
      </c>
      <c r="P468" s="19">
        <v>-0.11</v>
      </c>
      <c r="Q468" s="19">
        <v>0.14019999999999999</v>
      </c>
      <c r="R468" s="19">
        <v>0.45</v>
      </c>
      <c r="S468" s="19">
        <v>0.63149999999999995</v>
      </c>
      <c r="T468" s="19">
        <v>0.45</v>
      </c>
      <c r="U468" s="19">
        <v>0.60629999999999995</v>
      </c>
      <c r="V468" s="19">
        <v>0.47</v>
      </c>
      <c r="W468" s="19">
        <v>0.55289999999999995</v>
      </c>
      <c r="X468" s="19">
        <v>0.47</v>
      </c>
      <c r="Y468" s="19">
        <v>0.55289999999999995</v>
      </c>
      <c r="Z468" s="4"/>
      <c r="AA468" s="4"/>
      <c r="AB468" s="4" t="e">
        <f ca="1">_xll.ciqfunctions.udf.CIQ("^SPX", "IQ_PRICEDATE", "10/29/2015")</f>
        <v>#NAME?</v>
      </c>
      <c r="AC468" s="16">
        <v>2089.4074019073</v>
      </c>
    </row>
    <row r="469" spans="1:29" x14ac:dyDescent="0.35">
      <c r="A469" s="2" t="s">
        <v>479</v>
      </c>
      <c r="B469" s="4" t="s">
        <v>1624</v>
      </c>
      <c r="C469" s="4" t="s">
        <v>525</v>
      </c>
      <c r="D469" s="4" t="s">
        <v>594</v>
      </c>
      <c r="E469" s="4" t="s">
        <v>903</v>
      </c>
      <c r="F469" s="4" t="s">
        <v>904</v>
      </c>
      <c r="G469" s="14">
        <v>149.88999999999999</v>
      </c>
      <c r="H469" s="10">
        <v>12.510600999999999</v>
      </c>
      <c r="I469" s="10">
        <v>10.383309000000001</v>
      </c>
      <c r="J469" s="10">
        <v>5.7536160000000001</v>
      </c>
      <c r="K469" s="15">
        <v>2.1347999999999999E-2</v>
      </c>
      <c r="L469" s="17">
        <v>110842.822961</v>
      </c>
      <c r="M469" s="4" t="s">
        <v>1625</v>
      </c>
      <c r="N469" s="19">
        <v>14.435667</v>
      </c>
      <c r="O469" s="19">
        <v>8.2949999999999999</v>
      </c>
      <c r="P469" s="19">
        <v>13.36</v>
      </c>
      <c r="Q469" s="19">
        <v>6.2483000000000004</v>
      </c>
      <c r="R469" s="19">
        <v>5.07</v>
      </c>
      <c r="S469" s="19">
        <v>5.4150999999999998</v>
      </c>
      <c r="T469" s="19">
        <v>5.07</v>
      </c>
      <c r="U469" s="19">
        <v>5.8707000000000003</v>
      </c>
      <c r="V469" s="19">
        <v>5.75</v>
      </c>
      <c r="W469" s="19">
        <v>6.2869999999999999</v>
      </c>
      <c r="X469" s="19">
        <v>5.75</v>
      </c>
      <c r="Y469" s="19">
        <v>6.2869999999999999</v>
      </c>
      <c r="Z469" s="4"/>
      <c r="AA469" s="4"/>
      <c r="AB469" s="4" t="e">
        <f ca="1">_xll.ciqfunctions.udf.CIQ("^SPX", "IQ_PRICEDATE", "10/30/2015")</f>
        <v>#NAME?</v>
      </c>
      <c r="AC469" s="16">
        <v>2079.3598374672001</v>
      </c>
    </row>
    <row r="470" spans="1:29" x14ac:dyDescent="0.35">
      <c r="A470" s="2" t="s">
        <v>480</v>
      </c>
      <c r="B470" s="4" t="s">
        <v>1626</v>
      </c>
      <c r="C470" s="4" t="s">
        <v>525</v>
      </c>
      <c r="D470" s="4" t="s">
        <v>594</v>
      </c>
      <c r="E470" s="4" t="s">
        <v>595</v>
      </c>
      <c r="F470" s="4" t="s">
        <v>595</v>
      </c>
      <c r="G470" s="14">
        <v>88.49</v>
      </c>
      <c r="H470" s="10">
        <v>6.0404059999999999</v>
      </c>
      <c r="I470" s="10">
        <v>11.162362</v>
      </c>
      <c r="J470" s="10">
        <v>33.695047000000002</v>
      </c>
      <c r="K470" s="15">
        <v>0</v>
      </c>
      <c r="L470" s="17">
        <v>24110.375818</v>
      </c>
      <c r="M470" s="4" t="s">
        <v>1627</v>
      </c>
      <c r="N470" s="19">
        <v>7.9275330000000004</v>
      </c>
      <c r="O470" s="19">
        <v>8.7324000000000002</v>
      </c>
      <c r="P470" s="19">
        <v>7.02</v>
      </c>
      <c r="Q470" s="19">
        <v>6.2331000000000003</v>
      </c>
      <c r="R470" s="19">
        <v>6.85</v>
      </c>
      <c r="S470" s="19">
        <v>6.5766</v>
      </c>
      <c r="T470" s="19">
        <v>6.85</v>
      </c>
      <c r="U470" s="19">
        <v>9.4006000000000007</v>
      </c>
      <c r="V470" s="19">
        <v>2.9330250000000002</v>
      </c>
      <c r="W470" s="19">
        <v>7.9301000000000004</v>
      </c>
      <c r="X470" s="19">
        <v>2.9330250000000002</v>
      </c>
      <c r="Y470" s="19">
        <v>7.9301000000000004</v>
      </c>
      <c r="Z470" s="4"/>
      <c r="AA470" s="4"/>
      <c r="AB470" s="4" t="e">
        <f ca="1">_xll.ciqfunctions.udf.CIQ("^SPX", "IQ_PRICEDATE", "11/2/2015")</f>
        <v>#NAME?</v>
      </c>
      <c r="AC470" s="16">
        <v>2104.0490473793998</v>
      </c>
    </row>
    <row r="471" spans="1:29" x14ac:dyDescent="0.35">
      <c r="A471" s="2" t="s">
        <v>481</v>
      </c>
      <c r="B471" s="4" t="s">
        <v>1628</v>
      </c>
      <c r="C471" s="4" t="s">
        <v>525</v>
      </c>
      <c r="D471" s="4" t="s">
        <v>594</v>
      </c>
      <c r="E471" s="4" t="s">
        <v>779</v>
      </c>
      <c r="F471" s="4" t="s">
        <v>779</v>
      </c>
      <c r="G471" s="14">
        <v>118.01</v>
      </c>
      <c r="H471" s="10">
        <v>12.263819</v>
      </c>
      <c r="I471" s="10">
        <v>19.838377000000001</v>
      </c>
      <c r="J471" s="10" t="s">
        <v>534</v>
      </c>
      <c r="K471" s="15">
        <v>3.0844E-2</v>
      </c>
      <c r="L471" s="17">
        <v>101529.280289</v>
      </c>
      <c r="M471" s="4" t="s">
        <v>1629</v>
      </c>
      <c r="N471" s="19">
        <v>5.9485710000000003</v>
      </c>
      <c r="O471" s="19">
        <v>7.4805000000000001</v>
      </c>
      <c r="P471" s="19">
        <v>5.61</v>
      </c>
      <c r="Q471" s="19">
        <v>6.3202999999999996</v>
      </c>
      <c r="R471" s="19">
        <v>3.87</v>
      </c>
      <c r="S471" s="19">
        <v>6.0423999999999998</v>
      </c>
      <c r="T471" s="19">
        <v>3.87</v>
      </c>
      <c r="U471" s="19">
        <v>5.5875000000000004</v>
      </c>
      <c r="V471" s="19">
        <v>3.28</v>
      </c>
      <c r="W471" s="19">
        <v>5.4767000000000001</v>
      </c>
      <c r="X471" s="19">
        <v>3.28</v>
      </c>
      <c r="Y471" s="19">
        <v>5.4767000000000001</v>
      </c>
      <c r="Z471" s="4"/>
      <c r="AA471" s="4"/>
      <c r="AB471" s="4" t="e">
        <f ca="1">_xll.ciqfunctions.udf.CIQ("^SPX", "IQ_PRICEDATE", "11/3/2015")</f>
        <v>#NAME?</v>
      </c>
      <c r="AC471" s="16">
        <v>2109.7875229148999</v>
      </c>
    </row>
    <row r="472" spans="1:29" x14ac:dyDescent="0.35">
      <c r="A472" s="2" t="s">
        <v>482</v>
      </c>
      <c r="B472" s="4" t="s">
        <v>1630</v>
      </c>
      <c r="C472" s="4" t="s">
        <v>525</v>
      </c>
      <c r="D472" s="4" t="s">
        <v>526</v>
      </c>
      <c r="E472" s="4" t="s">
        <v>1023</v>
      </c>
      <c r="F472" s="4" t="s">
        <v>1023</v>
      </c>
      <c r="G472" s="14">
        <v>139.04</v>
      </c>
      <c r="H472" s="10">
        <v>8.6262190000000007</v>
      </c>
      <c r="I472" s="10">
        <v>6.98733</v>
      </c>
      <c r="J472" s="10" t="s">
        <v>534</v>
      </c>
      <c r="K472" s="15">
        <v>0</v>
      </c>
      <c r="L472" s="17">
        <v>11276.508562999999</v>
      </c>
      <c r="M472" s="4" t="s">
        <v>1631</v>
      </c>
      <c r="N472" s="19">
        <v>19.898873999999999</v>
      </c>
      <c r="O472" s="19">
        <v>16.346900000000002</v>
      </c>
      <c r="P472" s="19">
        <v>15.73</v>
      </c>
      <c r="Q472" s="19">
        <v>12.0929</v>
      </c>
      <c r="R472" s="19">
        <v>6.45</v>
      </c>
      <c r="S472" s="19">
        <v>8.5184999999999995</v>
      </c>
      <c r="T472" s="19">
        <v>6.45</v>
      </c>
      <c r="U472" s="19">
        <v>8.6806000000000001</v>
      </c>
      <c r="V472" s="19">
        <v>5.15</v>
      </c>
      <c r="W472" s="19">
        <v>7.9267000000000003</v>
      </c>
      <c r="X472" s="19">
        <v>5.15</v>
      </c>
      <c r="Y472" s="19">
        <v>7.9267000000000003</v>
      </c>
      <c r="Z472" s="4"/>
      <c r="AA472" s="4"/>
      <c r="AB472" s="4" t="e">
        <f ca="1">_xll.ciqfunctions.udf.CIQ("^SPX", "IQ_PRICEDATE", "11/4/2015")</f>
        <v>#NAME?</v>
      </c>
      <c r="AC472" s="16">
        <v>2102.3136815055</v>
      </c>
    </row>
    <row r="473" spans="1:29" x14ac:dyDescent="0.35">
      <c r="A473" s="2" t="s">
        <v>483</v>
      </c>
      <c r="B473" s="4" t="s">
        <v>1632</v>
      </c>
      <c r="C473" s="4" t="s">
        <v>525</v>
      </c>
      <c r="D473" s="4" t="s">
        <v>526</v>
      </c>
      <c r="E473" s="4" t="s">
        <v>703</v>
      </c>
      <c r="F473" s="4" t="s">
        <v>703</v>
      </c>
      <c r="G473" s="14">
        <v>130.07</v>
      </c>
      <c r="H473" s="10">
        <v>11.715342</v>
      </c>
      <c r="I473" s="10">
        <v>20.481677000000001</v>
      </c>
      <c r="J473" s="10" t="s">
        <v>534</v>
      </c>
      <c r="K473" s="15">
        <v>2.1526E-2</v>
      </c>
      <c r="L473" s="17">
        <v>104068.13357999999</v>
      </c>
      <c r="M473" s="4" t="s">
        <v>1633</v>
      </c>
      <c r="N473" s="19">
        <v>6.3505539999999998</v>
      </c>
      <c r="O473" s="19">
        <v>7.3339999999999996</v>
      </c>
      <c r="P473" s="19">
        <v>5.7</v>
      </c>
      <c r="Q473" s="19">
        <v>6.6734</v>
      </c>
      <c r="R473" s="19">
        <v>6.13</v>
      </c>
      <c r="S473" s="19">
        <v>6.4573</v>
      </c>
      <c r="T473" s="19">
        <v>6.13</v>
      </c>
      <c r="U473" s="19">
        <v>6.3377999999999997</v>
      </c>
      <c r="V473" s="19">
        <v>6.65</v>
      </c>
      <c r="W473" s="19">
        <v>6.8353000000000002</v>
      </c>
      <c r="X473" s="19">
        <v>6.65</v>
      </c>
      <c r="Y473" s="19">
        <v>6.8353000000000002</v>
      </c>
      <c r="Z473" s="4"/>
      <c r="AA473" s="4"/>
      <c r="AB473" s="4" t="e">
        <f ca="1">_xll.ciqfunctions.udf.CIQ("^SPX", "IQ_PRICEDATE", "11/5/2015")</f>
        <v>#NAME?</v>
      </c>
      <c r="AC473" s="16">
        <v>2099.9291454118002</v>
      </c>
    </row>
    <row r="474" spans="1:29" x14ac:dyDescent="0.35">
      <c r="A474" s="2" t="s">
        <v>484</v>
      </c>
      <c r="B474" s="4" t="s">
        <v>1634</v>
      </c>
      <c r="C474" s="4" t="s">
        <v>530</v>
      </c>
      <c r="D474" s="4" t="s">
        <v>531</v>
      </c>
      <c r="E474" s="4" t="s">
        <v>569</v>
      </c>
      <c r="F474" s="4" t="s">
        <v>570</v>
      </c>
      <c r="G474" s="14">
        <v>267.3</v>
      </c>
      <c r="H474" s="10">
        <v>15.143921000000001</v>
      </c>
      <c r="I474" s="10">
        <v>20.972270000000002</v>
      </c>
      <c r="J474" s="10">
        <v>4.9957390000000004</v>
      </c>
      <c r="K474" s="15">
        <v>1.3468000000000001E-2</v>
      </c>
      <c r="L474" s="17">
        <v>257269.12993</v>
      </c>
      <c r="M474" s="4" t="s">
        <v>1635</v>
      </c>
      <c r="N474" s="19">
        <v>12.745400999999999</v>
      </c>
      <c r="O474" s="19">
        <v>13.480700000000001</v>
      </c>
      <c r="P474" s="19">
        <v>10.72</v>
      </c>
      <c r="Q474" s="19">
        <v>10.5776</v>
      </c>
      <c r="R474" s="19">
        <v>7.25</v>
      </c>
      <c r="S474" s="19">
        <v>9.1264000000000003</v>
      </c>
      <c r="T474" s="19">
        <v>7.25</v>
      </c>
      <c r="U474" s="19">
        <v>7.1228999999999996</v>
      </c>
      <c r="V474" s="19">
        <v>5.7</v>
      </c>
      <c r="W474" s="19">
        <v>6.0094000000000003</v>
      </c>
      <c r="X474" s="19">
        <v>5.7</v>
      </c>
      <c r="Y474" s="19">
        <v>6.0094000000000003</v>
      </c>
      <c r="Z474" s="4"/>
      <c r="AA474" s="4"/>
      <c r="AB474" s="4" t="e">
        <f ca="1">_xll.ciqfunctions.udf.CIQ("^SPX", "IQ_PRICEDATE", "11/6/2015")</f>
        <v>#NAME?</v>
      </c>
      <c r="AC474" s="16">
        <v>2099.2034899273999</v>
      </c>
    </row>
    <row r="475" spans="1:29" x14ac:dyDescent="0.35">
      <c r="A475" s="2" t="s">
        <v>485</v>
      </c>
      <c r="B475" s="4" t="s">
        <v>1636</v>
      </c>
      <c r="C475" s="4" t="s">
        <v>530</v>
      </c>
      <c r="D475" s="4" t="s">
        <v>531</v>
      </c>
      <c r="E475" s="4" t="s">
        <v>569</v>
      </c>
      <c r="F475" s="4" t="s">
        <v>1109</v>
      </c>
      <c r="G475" s="14">
        <v>125.64</v>
      </c>
      <c r="H475" s="10">
        <v>9.2370059999999992</v>
      </c>
      <c r="I475" s="10">
        <v>14.724497</v>
      </c>
      <c r="J475" s="10">
        <v>7.8062399999999998</v>
      </c>
      <c r="K475" s="15">
        <v>3.1830000000000001E-3</v>
      </c>
      <c r="L475" s="17">
        <v>11727.777281999999</v>
      </c>
      <c r="M475" s="4" t="s">
        <v>1637</v>
      </c>
      <c r="N475" s="19">
        <v>8.5327190000000002</v>
      </c>
      <c r="O475" s="19">
        <v>9.8560999999999996</v>
      </c>
      <c r="P475" s="19">
        <v>7.81</v>
      </c>
      <c r="Q475" s="19">
        <v>7.7785000000000002</v>
      </c>
      <c r="R475" s="19">
        <v>7.14</v>
      </c>
      <c r="S475" s="19">
        <v>7.8731999999999998</v>
      </c>
      <c r="T475" s="19">
        <v>7.14</v>
      </c>
      <c r="U475" s="19">
        <v>7.2564000000000002</v>
      </c>
      <c r="V475" s="19">
        <v>5.42</v>
      </c>
      <c r="W475" s="19">
        <v>6.2946999999999997</v>
      </c>
      <c r="X475" s="19">
        <v>5.42</v>
      </c>
      <c r="Y475" s="19">
        <v>6.2946999999999997</v>
      </c>
      <c r="Z475" s="4"/>
      <c r="AA475" s="4"/>
      <c r="AB475" s="4" t="e">
        <f ca="1">_xll.ciqfunctions.udf.CIQ("^SPX", "IQ_PRICEDATE", "11/9/2015")</f>
        <v>#NAME?</v>
      </c>
      <c r="AC475" s="16">
        <v>2078.5799955810999</v>
      </c>
    </row>
    <row r="476" spans="1:29" x14ac:dyDescent="0.35">
      <c r="A476" s="2" t="s">
        <v>486</v>
      </c>
      <c r="B476" s="4" t="s">
        <v>1638</v>
      </c>
      <c r="C476" s="4" t="s">
        <v>573</v>
      </c>
      <c r="D476" s="4" t="s">
        <v>579</v>
      </c>
      <c r="E476" s="4" t="s">
        <v>579</v>
      </c>
      <c r="F476" s="4" t="s">
        <v>580</v>
      </c>
      <c r="G476" s="14">
        <v>37.99</v>
      </c>
      <c r="H476" s="10">
        <v>6.8335710000000001</v>
      </c>
      <c r="I476" s="10">
        <v>7.8813599999999999</v>
      </c>
      <c r="J476" s="10">
        <v>0.91294699999999995</v>
      </c>
      <c r="K476" s="15">
        <v>2.7374999999999997E-2</v>
      </c>
      <c r="L476" s="17">
        <v>8308.6141950000001</v>
      </c>
      <c r="M476" s="4" t="s">
        <v>1639</v>
      </c>
      <c r="N476" s="19">
        <v>4.8202340000000001</v>
      </c>
      <c r="O476" s="19">
        <v>5.2515000000000001</v>
      </c>
      <c r="P476" s="19">
        <v>4.37</v>
      </c>
      <c r="Q476" s="19">
        <v>4.3682999999999996</v>
      </c>
      <c r="R476" s="19">
        <v>3.95</v>
      </c>
      <c r="S476" s="19">
        <v>4.0128000000000004</v>
      </c>
      <c r="T476" s="19">
        <v>3.95</v>
      </c>
      <c r="U476" s="19">
        <v>3.7507999999999999</v>
      </c>
      <c r="V476" s="19">
        <v>1.57</v>
      </c>
      <c r="W476" s="19">
        <v>3.5983999999999998</v>
      </c>
      <c r="X476" s="19">
        <v>1.57</v>
      </c>
      <c r="Y476" s="19">
        <v>3.5983999999999998</v>
      </c>
      <c r="Z476" s="4"/>
      <c r="AA476" s="4"/>
      <c r="AB476" s="4" t="e">
        <f ca="1">_xll.ciqfunctions.udf.CIQ("^SPX", "IQ_PRICEDATE", "11/10/2015")</f>
        <v>#NAME?</v>
      </c>
      <c r="AC476" s="16">
        <v>2081.7171869949998</v>
      </c>
    </row>
    <row r="477" spans="1:29" x14ac:dyDescent="0.35">
      <c r="A477" s="2" t="s">
        <v>487</v>
      </c>
      <c r="B477" s="4" t="s">
        <v>1640</v>
      </c>
      <c r="C477" s="4" t="s">
        <v>559</v>
      </c>
      <c r="D477" s="4" t="s">
        <v>912</v>
      </c>
      <c r="E477" s="4" t="s">
        <v>1097</v>
      </c>
      <c r="F477" s="4" t="s">
        <v>1098</v>
      </c>
      <c r="G477" s="14">
        <v>89.28</v>
      </c>
      <c r="H477" s="10">
        <v>22.716733000000001</v>
      </c>
      <c r="I477" s="10">
        <v>32.698134000000003</v>
      </c>
      <c r="J477" s="10" t="s">
        <v>534</v>
      </c>
      <c r="K477" s="15">
        <v>2.0609000000000002E-2</v>
      </c>
      <c r="L477" s="17">
        <v>35396.040044000001</v>
      </c>
      <c r="M477" s="4" t="s">
        <v>1641</v>
      </c>
      <c r="N477" s="19">
        <v>2.7304309999999998</v>
      </c>
      <c r="O477" s="19">
        <v>3.7210999999999999</v>
      </c>
      <c r="P477" s="19">
        <v>1.79</v>
      </c>
      <c r="Q477" s="19">
        <v>0</v>
      </c>
      <c r="R477" s="19">
        <v>2.56</v>
      </c>
      <c r="S477" s="19">
        <v>3.3176000000000001</v>
      </c>
      <c r="T477" s="19">
        <v>2.56</v>
      </c>
      <c r="U477" s="19">
        <v>3.3953000000000002</v>
      </c>
      <c r="V477" s="19">
        <v>2.9210950000000002</v>
      </c>
      <c r="W477" s="19">
        <v>3.3620999999999999</v>
      </c>
      <c r="X477" s="19">
        <v>2.9210950000000002</v>
      </c>
      <c r="Y477" s="19">
        <v>3.3620999999999999</v>
      </c>
      <c r="Z477" s="4"/>
      <c r="AA477" s="4"/>
      <c r="AB477" s="4" t="e">
        <f ca="1">_xll.ciqfunctions.udf.CIQ("^SPX", "IQ_PRICEDATE", "11/11/2015")</f>
        <v>#NAME?</v>
      </c>
      <c r="AC477" s="16">
        <v>2075.0031674296001</v>
      </c>
    </row>
    <row r="478" spans="1:29" x14ac:dyDescent="0.35">
      <c r="A478" s="2" t="s">
        <v>488</v>
      </c>
      <c r="B478" s="4" t="s">
        <v>1642</v>
      </c>
      <c r="C478" s="4" t="s">
        <v>669</v>
      </c>
      <c r="D478" s="4" t="s">
        <v>669</v>
      </c>
      <c r="E478" s="4" t="s">
        <v>670</v>
      </c>
      <c r="F478" s="4" t="s">
        <v>1126</v>
      </c>
      <c r="G478" s="14">
        <v>103.74</v>
      </c>
      <c r="H478" s="10">
        <v>7.8735460000000002</v>
      </c>
      <c r="I478" s="10">
        <v>9.9935130000000001</v>
      </c>
      <c r="J478" s="10">
        <v>2.0416460000000001</v>
      </c>
      <c r="K478" s="15">
        <v>3.0845999999999998E-2</v>
      </c>
      <c r="L478" s="17">
        <v>44338.271321</v>
      </c>
      <c r="M478" s="4" t="s">
        <v>1643</v>
      </c>
      <c r="N478" s="19">
        <v>10.380732999999999</v>
      </c>
      <c r="O478" s="19">
        <v>7.9870000000000001</v>
      </c>
      <c r="P478" s="19">
        <v>9.155405</v>
      </c>
      <c r="Q478" s="19">
        <v>6.4138000000000002</v>
      </c>
      <c r="R478" s="19">
        <v>4.9331889999999996</v>
      </c>
      <c r="S478" s="19">
        <v>5.3204000000000002</v>
      </c>
      <c r="T478" s="19">
        <v>4.9331889999999996</v>
      </c>
      <c r="U478" s="19">
        <v>7.7972999999999999</v>
      </c>
      <c r="V478" s="19">
        <v>6.969811</v>
      </c>
      <c r="W478" s="19">
        <v>5.5865</v>
      </c>
      <c r="X478" s="19">
        <v>6.969811</v>
      </c>
      <c r="Y478" s="19">
        <v>5.5865</v>
      </c>
      <c r="Z478" s="4"/>
      <c r="AA478" s="4"/>
      <c r="AB478" s="4" t="e">
        <f ca="1">_xll.ciqfunctions.udf.CIQ("^SPX", "IQ_PRICEDATE", "11/12/2015")</f>
        <v>#NAME?</v>
      </c>
      <c r="AC478" s="16">
        <v>2045.9655657082999</v>
      </c>
    </row>
    <row r="479" spans="1:29" x14ac:dyDescent="0.35">
      <c r="A479" s="2" t="s">
        <v>489</v>
      </c>
      <c r="B479" s="4" t="s">
        <v>1644</v>
      </c>
      <c r="C479" s="4" t="s">
        <v>530</v>
      </c>
      <c r="D479" s="4" t="s">
        <v>531</v>
      </c>
      <c r="E479" s="4" t="s">
        <v>532</v>
      </c>
      <c r="F479" s="4" t="s">
        <v>533</v>
      </c>
      <c r="G479" s="14">
        <v>108.65</v>
      </c>
      <c r="H479" s="10">
        <v>15.774485</v>
      </c>
      <c r="I479" s="10">
        <v>70.377876999999998</v>
      </c>
      <c r="J479" s="10">
        <v>8.4399990000000003</v>
      </c>
      <c r="K479" s="15">
        <v>0</v>
      </c>
      <c r="L479" s="17">
        <v>9946.6328329999997</v>
      </c>
      <c r="M479" s="4" t="s">
        <v>1645</v>
      </c>
      <c r="N479" s="19">
        <v>1.543809</v>
      </c>
      <c r="O479" s="19">
        <v>4.6231</v>
      </c>
      <c r="P479" s="19">
        <v>1.4744889999999999</v>
      </c>
      <c r="Q479" s="19">
        <v>4.3349200000000003</v>
      </c>
      <c r="R479" s="19">
        <v>2.7396310000000001</v>
      </c>
      <c r="S479" s="19">
        <v>4.9473099999999999</v>
      </c>
      <c r="T479" s="19">
        <v>2.7396310000000001</v>
      </c>
      <c r="U479" s="19">
        <v>4.4569799999999997</v>
      </c>
      <c r="V479" s="19">
        <v>3.83</v>
      </c>
      <c r="W479" s="19">
        <v>4.28667</v>
      </c>
      <c r="X479" s="19">
        <v>3.83</v>
      </c>
      <c r="Y479" s="19">
        <v>4.28667</v>
      </c>
      <c r="Z479" s="4"/>
      <c r="AA479" s="4"/>
      <c r="AB479" s="4" t="e">
        <f ca="1">_xll.ciqfunctions.udf.CIQ("^SPX", "IQ_PRICEDATE", "11/13/2015")</f>
        <v>#NAME?</v>
      </c>
      <c r="AC479" s="16">
        <v>2023.0394329712001</v>
      </c>
    </row>
    <row r="480" spans="1:29" x14ac:dyDescent="0.35">
      <c r="A480" s="2" t="s">
        <v>490</v>
      </c>
      <c r="B480" s="4" t="s">
        <v>1646</v>
      </c>
      <c r="C480" s="4" t="s">
        <v>601</v>
      </c>
      <c r="D480" s="4" t="s">
        <v>601</v>
      </c>
      <c r="E480" s="4" t="s">
        <v>602</v>
      </c>
      <c r="F480" s="4" t="s">
        <v>1112</v>
      </c>
      <c r="G480" s="14">
        <v>55.34</v>
      </c>
      <c r="H480" s="10">
        <v>16.212135</v>
      </c>
      <c r="I480" s="10">
        <v>15.912929999999999</v>
      </c>
      <c r="J480" s="10">
        <v>2.210531</v>
      </c>
      <c r="K480" s="15">
        <v>5.7100999999999999E-2</v>
      </c>
      <c r="L480" s="17">
        <v>19725.335310999999</v>
      </c>
      <c r="M480" s="4" t="s">
        <v>1647</v>
      </c>
      <c r="N480" s="19">
        <v>3.4776750000000001</v>
      </c>
      <c r="O480" s="19">
        <v>1.458</v>
      </c>
      <c r="P480" s="19">
        <v>3.7803059999999999</v>
      </c>
      <c r="Q480" s="19">
        <v>2.1423999999999999</v>
      </c>
      <c r="R480" s="19">
        <v>1.862646</v>
      </c>
      <c r="S480" s="19">
        <v>1.7329000000000001</v>
      </c>
      <c r="T480" s="19">
        <v>1.862646</v>
      </c>
      <c r="U480" s="19">
        <v>2.2925</v>
      </c>
      <c r="V480" s="19">
        <v>1.26</v>
      </c>
      <c r="W480" s="19">
        <v>1.7635000000000001</v>
      </c>
      <c r="X480" s="19">
        <v>1.26</v>
      </c>
      <c r="Y480" s="19">
        <v>1.7635000000000001</v>
      </c>
      <c r="Z480" s="4"/>
      <c r="AA480" s="4"/>
      <c r="AB480" s="4" t="e">
        <f ca="1">_xll.ciqfunctions.udf.CIQ("^SPX", "IQ_PRICEDATE", "11/16/2015")</f>
        <v>#NAME?</v>
      </c>
      <c r="AC480" s="16">
        <v>2053.1850023665002</v>
      </c>
    </row>
    <row r="481" spans="1:29" x14ac:dyDescent="0.35">
      <c r="A481" s="2" t="s">
        <v>491</v>
      </c>
      <c r="B481" s="4" t="s">
        <v>1648</v>
      </c>
      <c r="C481" s="4" t="s">
        <v>543</v>
      </c>
      <c r="D481" s="4" t="s">
        <v>544</v>
      </c>
      <c r="E481" s="4" t="s">
        <v>545</v>
      </c>
      <c r="F481" s="4" t="s">
        <v>591</v>
      </c>
      <c r="G481" s="14">
        <v>145.88999999999999</v>
      </c>
      <c r="H481" s="10">
        <v>23.443836000000001</v>
      </c>
      <c r="I481" s="10">
        <v>37.612108999999997</v>
      </c>
      <c r="J481" s="10" t="s">
        <v>534</v>
      </c>
      <c r="K481" s="15">
        <v>0</v>
      </c>
      <c r="L481" s="17">
        <v>17786.702219999999</v>
      </c>
      <c r="M481" s="4" t="s">
        <v>1649</v>
      </c>
      <c r="N481" s="19">
        <v>3.8788040000000001</v>
      </c>
      <c r="O481" s="19">
        <v>4.9401999999999999</v>
      </c>
      <c r="P481" s="19">
        <v>3.68</v>
      </c>
      <c r="Q481" s="19">
        <v>4.1257000000000001</v>
      </c>
      <c r="R481" s="19">
        <v>3.42</v>
      </c>
      <c r="S481" s="19">
        <v>3.7134999999999998</v>
      </c>
      <c r="T481" s="19">
        <v>3.42</v>
      </c>
      <c r="U481" s="19">
        <v>3.3492999999999999</v>
      </c>
      <c r="V481" s="19">
        <v>2.52</v>
      </c>
      <c r="W481" s="19">
        <v>2.9845999999999999</v>
      </c>
      <c r="X481" s="19">
        <v>2.52</v>
      </c>
      <c r="Y481" s="19">
        <v>2.9845999999999999</v>
      </c>
      <c r="Z481" s="4"/>
      <c r="AA481" s="4"/>
      <c r="AB481" s="4" t="e">
        <f ca="1">_xll.ciqfunctions.udf.CIQ("^SPX", "IQ_PRICEDATE", "11/17/2015")</f>
        <v>#NAME?</v>
      </c>
      <c r="AC481" s="16">
        <v>2050.4358729730002</v>
      </c>
    </row>
    <row r="482" spans="1:29" x14ac:dyDescent="0.35">
      <c r="A482" s="2" t="s">
        <v>492</v>
      </c>
      <c r="B482" s="4" t="s">
        <v>1650</v>
      </c>
      <c r="C482" s="4" t="s">
        <v>525</v>
      </c>
      <c r="D482" s="4" t="s">
        <v>855</v>
      </c>
      <c r="E482" s="4" t="s">
        <v>990</v>
      </c>
      <c r="F482" s="4" t="s">
        <v>991</v>
      </c>
      <c r="G482" s="14">
        <v>117.08</v>
      </c>
      <c r="H482" s="10">
        <v>20.977004000000001</v>
      </c>
      <c r="I482" s="10">
        <v>32.241213000000002</v>
      </c>
      <c r="J482" s="10" t="s">
        <v>534</v>
      </c>
      <c r="K482" s="15">
        <v>0</v>
      </c>
      <c r="L482" s="17">
        <v>19284.06076</v>
      </c>
      <c r="M482" s="4" t="s">
        <v>1651</v>
      </c>
      <c r="N482" s="19">
        <v>3.6313770000000001</v>
      </c>
      <c r="O482" s="19">
        <v>4.3449</v>
      </c>
      <c r="P482" s="19">
        <v>3.29</v>
      </c>
      <c r="Q482" s="19">
        <v>3.4033000000000002</v>
      </c>
      <c r="R482" s="19">
        <v>2.639999</v>
      </c>
      <c r="S482" s="19">
        <v>3.2696999999999998</v>
      </c>
      <c r="T482" s="19">
        <v>2.639999</v>
      </c>
      <c r="U482" s="19">
        <v>3.1248</v>
      </c>
      <c r="V482" s="19">
        <v>2.0999989999999999</v>
      </c>
      <c r="W482" s="19">
        <v>2.6181999999999999</v>
      </c>
      <c r="X482" s="19">
        <v>2.0999989999999999</v>
      </c>
      <c r="Y482" s="19">
        <v>2.6181999999999999</v>
      </c>
      <c r="Z482" s="4"/>
      <c r="AA482" s="4"/>
      <c r="AB482" s="4" t="e">
        <f ca="1">_xll.ciqfunctions.udf.CIQ("^SPX", "IQ_PRICEDATE", "11/18/2015")</f>
        <v>#NAME?</v>
      </c>
      <c r="AC482" s="16">
        <v>2083.5810116775001</v>
      </c>
    </row>
    <row r="483" spans="1:29" x14ac:dyDescent="0.35">
      <c r="A483" s="2" t="s">
        <v>493</v>
      </c>
      <c r="B483" s="4" t="s">
        <v>1652</v>
      </c>
      <c r="C483" s="4" t="s">
        <v>549</v>
      </c>
      <c r="D483" s="4" t="s">
        <v>713</v>
      </c>
      <c r="E483" s="4" t="s">
        <v>714</v>
      </c>
      <c r="F483" s="4" t="s">
        <v>715</v>
      </c>
      <c r="G483" s="14">
        <v>53.96</v>
      </c>
      <c r="H483" s="10">
        <v>7.2628959999999996</v>
      </c>
      <c r="I483" s="10">
        <v>7.1606040000000002</v>
      </c>
      <c r="J483" s="10" t="s">
        <v>534</v>
      </c>
      <c r="K483" s="15">
        <v>4.4662E-2</v>
      </c>
      <c r="L483" s="17">
        <v>222959.24530000001</v>
      </c>
      <c r="M483" s="4" t="s">
        <v>1653</v>
      </c>
      <c r="N483" s="19">
        <v>7.5356769999999997</v>
      </c>
      <c r="O483" s="19">
        <v>4.6574999999999998</v>
      </c>
      <c r="P483" s="19">
        <v>7.36</v>
      </c>
      <c r="Q483" s="19">
        <v>3.8620000000000001</v>
      </c>
      <c r="R483" s="19">
        <v>3.21</v>
      </c>
      <c r="S483" s="19">
        <v>3.9784000000000002</v>
      </c>
      <c r="T483" s="19">
        <v>3.21</v>
      </c>
      <c r="U483" s="19">
        <v>3.9689999999999999</v>
      </c>
      <c r="V483" s="19">
        <v>2.42</v>
      </c>
      <c r="W483" s="19">
        <v>3.6232000000000002</v>
      </c>
      <c r="X483" s="19">
        <v>2.42</v>
      </c>
      <c r="Y483" s="19">
        <v>3.6232000000000002</v>
      </c>
      <c r="Z483" s="4"/>
      <c r="AA483" s="4"/>
      <c r="AB483" s="4" t="e">
        <f ca="1">_xll.ciqfunctions.udf.CIQ("^SPX", "IQ_PRICEDATE", "11/19/2015")</f>
        <v>#NAME?</v>
      </c>
      <c r="AC483" s="16">
        <v>2081.2376959506</v>
      </c>
    </row>
    <row r="484" spans="1:29" x14ac:dyDescent="0.35">
      <c r="A484" s="2" t="s">
        <v>494</v>
      </c>
      <c r="B484" s="4" t="s">
        <v>1654</v>
      </c>
      <c r="C484" s="4" t="s">
        <v>530</v>
      </c>
      <c r="D484" s="4" t="s">
        <v>537</v>
      </c>
      <c r="E484" s="4" t="s">
        <v>538</v>
      </c>
      <c r="F484" s="4" t="s">
        <v>538</v>
      </c>
      <c r="G484" s="14">
        <v>185.48</v>
      </c>
      <c r="H484" s="10">
        <v>77.546757999999997</v>
      </c>
      <c r="I484" s="10">
        <v>114.964044</v>
      </c>
      <c r="J484" s="10">
        <v>18.135213</v>
      </c>
      <c r="K484" s="15">
        <v>0</v>
      </c>
      <c r="L484" s="17">
        <v>47401.257486000002</v>
      </c>
      <c r="M484" s="4" t="s">
        <v>1655</v>
      </c>
      <c r="N484" s="19">
        <v>1.6133740000000001</v>
      </c>
      <c r="O484" s="19">
        <v>4.2511000000000001</v>
      </c>
      <c r="P484" s="19">
        <v>1.0393760000000001</v>
      </c>
      <c r="Q484" s="19">
        <v>2.4992999999999999</v>
      </c>
      <c r="R484" s="19">
        <v>-0.46</v>
      </c>
      <c r="S484" s="19">
        <v>1.4767999999999999</v>
      </c>
      <c r="T484" s="19">
        <v>-0.46</v>
      </c>
      <c r="U484" s="19">
        <v>2.0221</v>
      </c>
      <c r="V484" s="19">
        <v>-3.14</v>
      </c>
      <c r="W484" s="19">
        <v>-1.1392</v>
      </c>
      <c r="X484" s="19">
        <v>-3.14</v>
      </c>
      <c r="Y484" s="19">
        <v>-1.1392</v>
      </c>
      <c r="Z484" s="4"/>
      <c r="AA484" s="4"/>
      <c r="AB484" s="4" t="e">
        <f ca="1">_xll.ciqfunctions.udf.CIQ("^SPX", "IQ_PRICEDATE", "11/20/2015")</f>
        <v>#NAME?</v>
      </c>
      <c r="AC484" s="16">
        <v>2089.1662231912001</v>
      </c>
    </row>
    <row r="485" spans="1:29" x14ac:dyDescent="0.35">
      <c r="A485" s="2" t="s">
        <v>495</v>
      </c>
      <c r="B485" s="4" t="s">
        <v>1656</v>
      </c>
      <c r="C485" s="4" t="s">
        <v>549</v>
      </c>
      <c r="D485" s="4" t="s">
        <v>550</v>
      </c>
      <c r="E485" s="4" t="s">
        <v>551</v>
      </c>
      <c r="F485" s="4" t="s">
        <v>1319</v>
      </c>
      <c r="G485" s="14">
        <v>33.409999999999997</v>
      </c>
      <c r="H485" s="10">
        <v>7.8846720000000001</v>
      </c>
      <c r="I485" s="10">
        <v>6.8094950000000001</v>
      </c>
      <c r="J485" s="10" t="s">
        <v>534</v>
      </c>
      <c r="K485" s="15">
        <v>2.3944E-2</v>
      </c>
      <c r="L485" s="17">
        <v>13601.552202000001</v>
      </c>
      <c r="M485" s="4" t="s">
        <v>1657</v>
      </c>
      <c r="N485" s="19">
        <v>4.9063840000000001</v>
      </c>
      <c r="O485" s="19">
        <v>4.2169999999999996</v>
      </c>
      <c r="P485" s="19">
        <v>4.9987180000000002</v>
      </c>
      <c r="Q485" s="19">
        <v>3.71123</v>
      </c>
      <c r="R485" s="19">
        <v>3.479705</v>
      </c>
      <c r="S485" s="19">
        <v>3.8408199999999999</v>
      </c>
      <c r="T485" s="19">
        <v>3.479705</v>
      </c>
      <c r="U485" s="19">
        <v>5.8085000000000004</v>
      </c>
      <c r="V485" s="19">
        <v>5.4438579999999996</v>
      </c>
      <c r="W485" s="19">
        <v>5.9686500000000002</v>
      </c>
      <c r="X485" s="19">
        <v>5.4438579999999996</v>
      </c>
      <c r="Y485" s="19">
        <v>5.9686500000000002</v>
      </c>
      <c r="Z485" s="4"/>
      <c r="AA485" s="4"/>
      <c r="AB485" s="4" t="e">
        <f ca="1">_xll.ciqfunctions.udf.CIQ("^SPX", "IQ_PRICEDATE", "11/23/2015")</f>
        <v>#NAME?</v>
      </c>
      <c r="AC485" s="16">
        <v>2086.5899735126</v>
      </c>
    </row>
    <row r="486" spans="1:29" x14ac:dyDescent="0.35">
      <c r="A486" s="2" t="s">
        <v>496</v>
      </c>
      <c r="B486" s="4" t="s">
        <v>1658</v>
      </c>
      <c r="C486" s="4" t="s">
        <v>543</v>
      </c>
      <c r="D486" s="4" t="s">
        <v>544</v>
      </c>
      <c r="E486" s="4" t="s">
        <v>545</v>
      </c>
      <c r="F486" s="4" t="s">
        <v>616</v>
      </c>
      <c r="G486" s="14">
        <v>142.44999999999999</v>
      </c>
      <c r="H486" s="10">
        <v>23.925962999999999</v>
      </c>
      <c r="I486" s="10">
        <v>34.781806000000003</v>
      </c>
      <c r="J486" s="10" t="s">
        <v>534</v>
      </c>
      <c r="K486" s="15">
        <v>5.8960000000000002E-3</v>
      </c>
      <c r="L486" s="17">
        <v>316967.62491200003</v>
      </c>
      <c r="M486" s="4" t="s">
        <v>1659</v>
      </c>
      <c r="N486" s="19">
        <v>4.0955320000000004</v>
      </c>
      <c r="O486" s="19">
        <v>5.0887000000000002</v>
      </c>
      <c r="P486" s="19">
        <v>3.0100920000000002</v>
      </c>
      <c r="Q486" s="19">
        <v>4.0919999999999996</v>
      </c>
      <c r="R486" s="19">
        <v>2.534287</v>
      </c>
      <c r="S486" s="19">
        <v>3.2856100000000001</v>
      </c>
      <c r="T486" s="19">
        <v>2.534287</v>
      </c>
      <c r="U486" s="19">
        <v>2.86551</v>
      </c>
      <c r="V486" s="19">
        <v>2.2663869999999999</v>
      </c>
      <c r="W486" s="19">
        <v>2.6007699999999998</v>
      </c>
      <c r="X486" s="19">
        <v>2.2663869999999999</v>
      </c>
      <c r="Y486" s="19">
        <v>2.6007699999999998</v>
      </c>
      <c r="Z486" s="4"/>
      <c r="AA486" s="4"/>
      <c r="AB486" s="4" t="e">
        <f ca="1">_xll.ciqfunctions.udf.CIQ("^SPX", "IQ_PRICEDATE", "11/24/2015")</f>
        <v>#NAME?</v>
      </c>
      <c r="AC486" s="16">
        <v>2089.1399159965999</v>
      </c>
    </row>
    <row r="487" spans="1:29" x14ac:dyDescent="0.35">
      <c r="A487" s="2" t="s">
        <v>497</v>
      </c>
      <c r="B487" s="4" t="s">
        <v>1660</v>
      </c>
      <c r="C487" s="4" t="s">
        <v>601</v>
      </c>
      <c r="D487" s="4" t="s">
        <v>601</v>
      </c>
      <c r="E487" s="4" t="s">
        <v>602</v>
      </c>
      <c r="F487" s="4" t="s">
        <v>603</v>
      </c>
      <c r="G487" s="14">
        <v>68.349999999999994</v>
      </c>
      <c r="H487" s="10">
        <v>24.936315</v>
      </c>
      <c r="I487" s="10">
        <v>94.639275999999995</v>
      </c>
      <c r="J487" s="10">
        <v>4.0080280000000004</v>
      </c>
      <c r="K487" s="15">
        <v>3.6868999999999999E-2</v>
      </c>
      <c r="L487" s="17">
        <v>13002.764361</v>
      </c>
      <c r="M487" s="4" t="s">
        <v>1661</v>
      </c>
      <c r="N487" s="19">
        <v>0.72221599999999997</v>
      </c>
      <c r="O487" s="19">
        <v>1.8225</v>
      </c>
      <c r="P487" s="19">
        <v>0.91723699999999997</v>
      </c>
      <c r="Q487" s="19">
        <v>0.87250000000000005</v>
      </c>
      <c r="R487" s="19">
        <v>2.2058330000000002</v>
      </c>
      <c r="S487" s="19">
        <v>1.9</v>
      </c>
      <c r="T487" s="19">
        <v>2.2058330000000002</v>
      </c>
      <c r="U487" s="19">
        <v>1.8129</v>
      </c>
      <c r="V487" s="19">
        <v>1.0476650000000001</v>
      </c>
      <c r="W487" s="19">
        <v>2.3056000000000001</v>
      </c>
      <c r="X487" s="19">
        <v>1.0476650000000001</v>
      </c>
      <c r="Y487" s="19">
        <v>2.3056000000000001</v>
      </c>
      <c r="Z487" s="4"/>
      <c r="AA487" s="4"/>
      <c r="AB487" s="4" t="e">
        <f ca="1">_xll.ciqfunctions.udf.CIQ("^SPX", "IQ_PRICEDATE", "11/25/2015")</f>
        <v>#NAME?</v>
      </c>
      <c r="AC487" s="16">
        <v>2088.8725782168999</v>
      </c>
    </row>
    <row r="488" spans="1:29" x14ac:dyDescent="0.35">
      <c r="A488" s="2" t="s">
        <v>498</v>
      </c>
      <c r="B488" s="4" t="s">
        <v>1662</v>
      </c>
      <c r="C488" s="4" t="s">
        <v>586</v>
      </c>
      <c r="D488" s="4" t="s">
        <v>586</v>
      </c>
      <c r="E488" s="4" t="s">
        <v>1255</v>
      </c>
      <c r="F488" s="4" t="s">
        <v>1255</v>
      </c>
      <c r="G488" s="14">
        <v>96.23</v>
      </c>
      <c r="H488" s="10">
        <v>15.757125</v>
      </c>
      <c r="I488" s="10">
        <v>19.865272000000001</v>
      </c>
      <c r="J488" s="10">
        <v>18.188842000000001</v>
      </c>
      <c r="K488" s="15">
        <v>1.1637999999999999E-2</v>
      </c>
      <c r="L488" s="17">
        <v>12728.167826999999</v>
      </c>
      <c r="M488" s="4" t="s">
        <v>1663</v>
      </c>
      <c r="N488" s="19">
        <v>4.8441320000000001</v>
      </c>
      <c r="O488" s="19">
        <v>4.5279999999999996</v>
      </c>
      <c r="P488" s="19">
        <v>4.4000000000000004</v>
      </c>
      <c r="Q488" s="19">
        <v>3.6493000000000002</v>
      </c>
      <c r="R488" s="19">
        <v>3.11</v>
      </c>
      <c r="S488" s="19">
        <v>3.8281000000000001</v>
      </c>
      <c r="T488" s="19">
        <v>3.11</v>
      </c>
      <c r="U488" s="19">
        <v>3.0171999999999999</v>
      </c>
      <c r="V488" s="19">
        <v>1.56</v>
      </c>
      <c r="W488" s="19">
        <v>1.6067</v>
      </c>
      <c r="X488" s="19">
        <v>1.56</v>
      </c>
      <c r="Y488" s="19">
        <v>1.6067</v>
      </c>
      <c r="Z488" s="4"/>
      <c r="AA488" s="4"/>
      <c r="AB488" s="4" t="e">
        <f ca="1">_xll.ciqfunctions.udf.CIQ("^SPX", "IQ_PRICEDATE", "11/27/2015")</f>
        <v>#NAME?</v>
      </c>
      <c r="AC488" s="16">
        <v>2090.1067763177998</v>
      </c>
    </row>
    <row r="489" spans="1:29" x14ac:dyDescent="0.35">
      <c r="A489" s="2" t="s">
        <v>499</v>
      </c>
      <c r="B489" s="4" t="s">
        <v>1664</v>
      </c>
      <c r="C489" s="4" t="s">
        <v>525</v>
      </c>
      <c r="D489" s="4" t="s">
        <v>526</v>
      </c>
      <c r="E489" s="4" t="s">
        <v>1023</v>
      </c>
      <c r="F489" s="4" t="s">
        <v>1023</v>
      </c>
      <c r="G489" s="14">
        <v>279.33999999999997</v>
      </c>
      <c r="H489" s="10">
        <v>11.163596</v>
      </c>
      <c r="I489" s="10">
        <v>22.046399999999998</v>
      </c>
      <c r="J489" s="10">
        <v>13.212698</v>
      </c>
      <c r="K489" s="15">
        <v>1.9474000000000002E-2</v>
      </c>
      <c r="L489" s="17">
        <v>15732.558134000001</v>
      </c>
      <c r="M489" s="4" t="s">
        <v>1665</v>
      </c>
      <c r="N489" s="19">
        <v>12.670548999999999</v>
      </c>
      <c r="O489" s="19">
        <v>16.826599999999999</v>
      </c>
      <c r="P489" s="19">
        <v>10.021217999999999</v>
      </c>
      <c r="Q489" s="19">
        <v>10.725300000000001</v>
      </c>
      <c r="R489" s="19">
        <v>9.8705239999999996</v>
      </c>
      <c r="S489" s="19">
        <v>11.629099999999999</v>
      </c>
      <c r="T489" s="19">
        <v>9.8705239999999996</v>
      </c>
      <c r="U489" s="19">
        <v>11.494400000000001</v>
      </c>
      <c r="V489" s="19">
        <v>11.448254</v>
      </c>
      <c r="W489" s="19">
        <v>13.0946</v>
      </c>
      <c r="X489" s="19">
        <v>11.448254</v>
      </c>
      <c r="Y489" s="19">
        <v>13.0946</v>
      </c>
      <c r="Z489" s="4"/>
      <c r="AA489" s="4"/>
      <c r="AB489" s="4" t="e">
        <f ca="1">_xll.ciqfunctions.udf.CIQ("^SPX", "IQ_PRICEDATE", "11/30/2015")</f>
        <v>#NAME?</v>
      </c>
      <c r="AC489" s="16">
        <v>2080.4068286182001</v>
      </c>
    </row>
    <row r="490" spans="1:29" x14ac:dyDescent="0.35">
      <c r="A490" s="2" t="s">
        <v>500</v>
      </c>
      <c r="B490" s="4" t="s">
        <v>1666</v>
      </c>
      <c r="C490" s="4" t="s">
        <v>626</v>
      </c>
      <c r="D490" s="4" t="s">
        <v>894</v>
      </c>
      <c r="E490" s="4" t="s">
        <v>894</v>
      </c>
      <c r="F490" s="4" t="s">
        <v>1667</v>
      </c>
      <c r="G490" s="14">
        <v>76.98</v>
      </c>
      <c r="H490" s="10">
        <v>10.75353</v>
      </c>
      <c r="I490" s="10">
        <v>15.243563999999999</v>
      </c>
      <c r="J490" s="10" t="s">
        <v>534</v>
      </c>
      <c r="K490" s="15">
        <v>2.2863000000000001E-2</v>
      </c>
      <c r="L490" s="17">
        <v>73066.684288000004</v>
      </c>
      <c r="M490" s="4" t="s">
        <v>1668</v>
      </c>
      <c r="N490" s="19">
        <v>5.05</v>
      </c>
      <c r="O490" s="19">
        <v>6.4755200000000004</v>
      </c>
      <c r="P490" s="19">
        <v>3.6254430000000002</v>
      </c>
      <c r="Q490" s="19">
        <v>5.5603199999999999</v>
      </c>
      <c r="R490" s="19">
        <v>3.779487</v>
      </c>
      <c r="S490" s="19">
        <v>5.0083799999999998</v>
      </c>
      <c r="T490" s="19">
        <v>3.779487</v>
      </c>
      <c r="U490" s="19">
        <v>4.43675</v>
      </c>
      <c r="V490" s="19">
        <v>2.1374249999999999</v>
      </c>
      <c r="W490" s="19">
        <v>3.7660999999999998</v>
      </c>
      <c r="X490" s="19">
        <v>2.1374249999999999</v>
      </c>
      <c r="Y490" s="19">
        <v>3.7660999999999998</v>
      </c>
      <c r="Z490" s="4"/>
      <c r="AA490" s="4"/>
      <c r="AB490" s="4" t="e">
        <f ca="1">_xll.ciqfunctions.udf.CIQ("^SPX", "IQ_PRICEDATE", "12/1/2015")</f>
        <v>#NAME?</v>
      </c>
      <c r="AC490" s="16">
        <v>2102.6326700487998</v>
      </c>
    </row>
    <row r="491" spans="1:29" x14ac:dyDescent="0.35">
      <c r="A491" s="2" t="s">
        <v>501</v>
      </c>
      <c r="B491" s="4" t="s">
        <v>1669</v>
      </c>
      <c r="C491" s="4" t="s">
        <v>626</v>
      </c>
      <c r="D491" s="4" t="s">
        <v>894</v>
      </c>
      <c r="E491" s="4" t="s">
        <v>894</v>
      </c>
      <c r="F491" s="4" t="s">
        <v>895</v>
      </c>
      <c r="G491" s="14">
        <v>96.56</v>
      </c>
      <c r="H491" s="10">
        <v>9.9191029999999998</v>
      </c>
      <c r="I491" s="10">
        <v>55.231521999999998</v>
      </c>
      <c r="J491" s="10">
        <v>5.3126550000000003</v>
      </c>
      <c r="K491" s="15">
        <v>2.1541000000000001E-2</v>
      </c>
      <c r="L491" s="17">
        <v>282798.610659</v>
      </c>
      <c r="M491" s="4" t="s">
        <v>1670</v>
      </c>
      <c r="N491" s="19">
        <v>1.7482770000000001</v>
      </c>
      <c r="O491" s="19">
        <v>4.6669999999999998</v>
      </c>
      <c r="P491" s="19">
        <v>3.7670509999999999</v>
      </c>
      <c r="Q491" s="19">
        <v>4.6426999999999996</v>
      </c>
      <c r="R491" s="19">
        <v>4.6100260000000004</v>
      </c>
      <c r="S491" s="19">
        <v>4.2832999999999997</v>
      </c>
      <c r="T491" s="19">
        <v>4.6100260000000004</v>
      </c>
      <c r="U491" s="19">
        <v>4.2538999999999998</v>
      </c>
      <c r="V491" s="19">
        <v>4.750127</v>
      </c>
      <c r="W491" s="19">
        <v>5.1368999999999998</v>
      </c>
      <c r="X491" s="19">
        <v>4.750127</v>
      </c>
      <c r="Y491" s="19">
        <v>5.1368999999999998</v>
      </c>
      <c r="Z491" s="4"/>
      <c r="AA491" s="4"/>
      <c r="AB491" s="4" t="e">
        <f ca="1">_xll.ciqfunctions.udf.CIQ("^SPX", "IQ_PRICEDATE", "12/2/2015")</f>
        <v>#NAME?</v>
      </c>
      <c r="AC491" s="16">
        <v>2079.5062206969001</v>
      </c>
    </row>
    <row r="492" spans="1:29" x14ac:dyDescent="0.35">
      <c r="A492" s="2" t="s">
        <v>502</v>
      </c>
      <c r="B492" s="4" t="s">
        <v>1671</v>
      </c>
      <c r="C492" s="4" t="s">
        <v>525</v>
      </c>
      <c r="D492" s="4" t="s">
        <v>855</v>
      </c>
      <c r="E492" s="4" t="s">
        <v>856</v>
      </c>
      <c r="F492" s="4" t="s">
        <v>1450</v>
      </c>
      <c r="G492" s="14">
        <v>90.14</v>
      </c>
      <c r="H492" s="10">
        <v>11.949517</v>
      </c>
      <c r="I492" s="10">
        <v>18.051817</v>
      </c>
      <c r="J492" s="10" t="s">
        <v>534</v>
      </c>
      <c r="K492" s="15">
        <v>2.0634E-2</v>
      </c>
      <c r="L492" s="17">
        <v>38644.546774000002</v>
      </c>
      <c r="M492" s="4" t="s">
        <v>1672</v>
      </c>
      <c r="N492" s="19">
        <v>4.9934029999999998</v>
      </c>
      <c r="O492" s="19">
        <v>4.2054999999999998</v>
      </c>
      <c r="P492" s="19">
        <v>4.41</v>
      </c>
      <c r="Q492" s="19">
        <v>3.4104999999999999</v>
      </c>
      <c r="R492" s="19">
        <v>2.65</v>
      </c>
      <c r="S492" s="19">
        <v>3.0979000000000001</v>
      </c>
      <c r="T492" s="19">
        <v>2.65</v>
      </c>
      <c r="U492" s="19">
        <v>2.7223999999999999</v>
      </c>
      <c r="V492" s="19">
        <v>2.79</v>
      </c>
      <c r="W492" s="19">
        <v>2.4539</v>
      </c>
      <c r="X492" s="19">
        <v>2.79</v>
      </c>
      <c r="Y492" s="19">
        <v>2.4539</v>
      </c>
      <c r="Z492" s="4"/>
      <c r="AA492" s="4"/>
      <c r="AB492" s="4" t="e">
        <f ca="1">_xll.ciqfunctions.udf.CIQ("^SPX", "IQ_PRICEDATE", "12/3/2015")</f>
        <v>#NAME?</v>
      </c>
      <c r="AC492" s="16">
        <v>2049.6156274238001</v>
      </c>
    </row>
    <row r="493" spans="1:29" x14ac:dyDescent="0.35">
      <c r="A493" s="2" t="s">
        <v>503</v>
      </c>
      <c r="B493" s="4" t="s">
        <v>1673</v>
      </c>
      <c r="C493" s="4" t="s">
        <v>530</v>
      </c>
      <c r="D493" s="4" t="s">
        <v>537</v>
      </c>
      <c r="E493" s="4" t="s">
        <v>583</v>
      </c>
      <c r="F493" s="4" t="s">
        <v>583</v>
      </c>
      <c r="G493" s="14">
        <v>188.98</v>
      </c>
      <c r="H493" s="10">
        <v>16.346229999999998</v>
      </c>
      <c r="I493" s="10">
        <v>297.58146099999999</v>
      </c>
      <c r="J493" s="10">
        <v>10.402588</v>
      </c>
      <c r="K493" s="15">
        <v>0</v>
      </c>
      <c r="L493" s="17">
        <v>14564.122227</v>
      </c>
      <c r="M493" s="4" t="s">
        <v>1674</v>
      </c>
      <c r="N493" s="19">
        <v>0.63505299999999998</v>
      </c>
      <c r="O493" s="19">
        <v>8.4959000000000007</v>
      </c>
      <c r="P493" s="19">
        <v>0.25</v>
      </c>
      <c r="Q493" s="19">
        <v>7.8643000000000001</v>
      </c>
      <c r="R493" s="19">
        <v>6.41</v>
      </c>
      <c r="S493" s="19">
        <v>6.9462000000000002</v>
      </c>
      <c r="T493" s="19">
        <v>6.41</v>
      </c>
      <c r="U493" s="19">
        <v>6.2279999999999998</v>
      </c>
      <c r="V493" s="19">
        <v>5.07</v>
      </c>
      <c r="W493" s="19">
        <v>5.7339000000000002</v>
      </c>
      <c r="X493" s="19">
        <v>5.07</v>
      </c>
      <c r="Y493" s="19">
        <v>5.7339000000000002</v>
      </c>
      <c r="Z493" s="4"/>
      <c r="AA493" s="4"/>
      <c r="AB493" s="4" t="e">
        <f ca="1">_xll.ciqfunctions.udf.CIQ("^SPX", "IQ_PRICEDATE", "12/4/2015")</f>
        <v>#NAME?</v>
      </c>
      <c r="AC493" s="16">
        <v>2091.6874238329001</v>
      </c>
    </row>
    <row r="494" spans="1:29" x14ac:dyDescent="0.35">
      <c r="A494" s="2" t="s">
        <v>504</v>
      </c>
      <c r="B494" s="4" t="s">
        <v>1675</v>
      </c>
      <c r="C494" s="4" t="s">
        <v>619</v>
      </c>
      <c r="D494" s="4" t="s">
        <v>619</v>
      </c>
      <c r="E494" s="4" t="s">
        <v>634</v>
      </c>
      <c r="F494" s="4" t="s">
        <v>634</v>
      </c>
      <c r="G494" s="14">
        <v>69.260000000000005</v>
      </c>
      <c r="H494" s="10">
        <v>12.406553000000001</v>
      </c>
      <c r="I494" s="10">
        <v>17.314155</v>
      </c>
      <c r="J494" s="10">
        <v>3.2749649999999999</v>
      </c>
      <c r="K494" s="15">
        <v>3.1907999999999999E-2</v>
      </c>
      <c r="L494" s="17">
        <v>21853.846608</v>
      </c>
      <c r="M494" s="4" t="s">
        <v>1676</v>
      </c>
      <c r="N494" s="19">
        <v>4.0001949999999997</v>
      </c>
      <c r="O494" s="19">
        <v>3.1867000000000001</v>
      </c>
      <c r="P494" s="19">
        <v>3.79</v>
      </c>
      <c r="Q494" s="19">
        <v>2.8016999999999999</v>
      </c>
      <c r="R494" s="19">
        <v>2.96</v>
      </c>
      <c r="S494" s="19">
        <v>3.0007999999999999</v>
      </c>
      <c r="T494" s="19">
        <v>2.96</v>
      </c>
      <c r="U494" s="19">
        <v>2.9009999999999998</v>
      </c>
      <c r="V494" s="19">
        <v>2.59</v>
      </c>
      <c r="W494" s="19">
        <v>2.6379999999999999</v>
      </c>
      <c r="X494" s="19">
        <v>2.59</v>
      </c>
      <c r="Y494" s="19">
        <v>2.6379999999999999</v>
      </c>
      <c r="Z494" s="4"/>
      <c r="AA494" s="4"/>
      <c r="AB494" s="4" t="e">
        <f ca="1">_xll.ciqfunctions.udf.CIQ("^SPX", "IQ_PRICEDATE", "12/7/2015")</f>
        <v>#NAME?</v>
      </c>
      <c r="AC494" s="16">
        <v>2077.0715971645</v>
      </c>
    </row>
    <row r="495" spans="1:29" x14ac:dyDescent="0.35">
      <c r="A495" s="2" t="s">
        <v>505</v>
      </c>
      <c r="B495" s="4" t="s">
        <v>1677</v>
      </c>
      <c r="C495" s="4" t="s">
        <v>530</v>
      </c>
      <c r="D495" s="4" t="s">
        <v>531</v>
      </c>
      <c r="E495" s="4" t="s">
        <v>569</v>
      </c>
      <c r="F495" s="4" t="s">
        <v>570</v>
      </c>
      <c r="G495" s="14">
        <v>316.22000000000003</v>
      </c>
      <c r="H495" s="10">
        <v>14.804938999999999</v>
      </c>
      <c r="I495" s="10">
        <v>29.396553999999998</v>
      </c>
      <c r="J495" s="10">
        <v>8.5905140000000006</v>
      </c>
      <c r="K495" s="15">
        <v>0</v>
      </c>
      <c r="L495" s="17">
        <v>15803.066355999999</v>
      </c>
      <c r="M495" s="4" t="s">
        <v>1678</v>
      </c>
      <c r="N495" s="19">
        <v>10.757042999999999</v>
      </c>
      <c r="O495" s="19">
        <v>11.8165</v>
      </c>
      <c r="P495" s="19">
        <v>8.31</v>
      </c>
      <c r="Q495" s="19">
        <v>7.1138000000000003</v>
      </c>
      <c r="R495" s="19">
        <v>5.4299989999999996</v>
      </c>
      <c r="S495" s="19">
        <v>5.7760999999999996</v>
      </c>
      <c r="T495" s="19">
        <v>5.4299989999999996</v>
      </c>
      <c r="U495" s="19">
        <v>4.1718000000000002</v>
      </c>
      <c r="V495" s="19">
        <v>1.439999</v>
      </c>
      <c r="W495" s="19">
        <v>3.2279</v>
      </c>
      <c r="X495" s="19">
        <v>1.439999</v>
      </c>
      <c r="Y495" s="19">
        <v>3.2279</v>
      </c>
      <c r="Z495" s="4"/>
      <c r="AA495" s="4"/>
      <c r="AB495" s="4" t="e">
        <f ca="1">_xll.ciqfunctions.udf.CIQ("^SPX", "IQ_PRICEDATE", "12/8/2015")</f>
        <v>#NAME?</v>
      </c>
      <c r="AC495" s="16">
        <v>2063.5936443579999</v>
      </c>
    </row>
    <row r="496" spans="1:29" x14ac:dyDescent="0.35">
      <c r="A496" s="2" t="s">
        <v>506</v>
      </c>
      <c r="B496" s="4" t="s">
        <v>1679</v>
      </c>
      <c r="C496" s="4" t="s">
        <v>573</v>
      </c>
      <c r="D496" s="4" t="s">
        <v>737</v>
      </c>
      <c r="E496" s="4" t="s">
        <v>737</v>
      </c>
      <c r="F496" s="4" t="s">
        <v>738</v>
      </c>
      <c r="G496" s="14">
        <v>54.46</v>
      </c>
      <c r="H496" s="10">
        <v>0</v>
      </c>
      <c r="I496" s="10">
        <v>12.863689000000001</v>
      </c>
      <c r="J496" s="10">
        <v>1.7036370000000001</v>
      </c>
      <c r="K496" s="15">
        <v>3.1581999999999999E-2</v>
      </c>
      <c r="L496" s="17">
        <v>256591.614565</v>
      </c>
      <c r="M496" s="4" t="s">
        <v>1680</v>
      </c>
      <c r="N496" s="19">
        <v>4.2336220000000004</v>
      </c>
      <c r="O496" s="19">
        <v>4.9833999999999996</v>
      </c>
      <c r="P496" s="19">
        <v>4.0999999999999996</v>
      </c>
      <c r="Q496" s="19">
        <v>4.21</v>
      </c>
      <c r="R496" s="19">
        <v>3.99</v>
      </c>
      <c r="S496" s="19">
        <v>4.0696000000000003</v>
      </c>
      <c r="T496" s="19">
        <v>3.99</v>
      </c>
      <c r="U496" s="19">
        <v>4.3079999999999998</v>
      </c>
      <c r="V496" s="19">
        <v>4.0999999999999996</v>
      </c>
      <c r="W496" s="19">
        <v>4.1635999999999997</v>
      </c>
      <c r="X496" s="19">
        <v>4.0999999999999996</v>
      </c>
      <c r="Y496" s="19">
        <v>4.1635999999999997</v>
      </c>
      <c r="Z496" s="4"/>
      <c r="AA496" s="4"/>
      <c r="AB496" s="4" t="e">
        <f ca="1">_xll.ciqfunctions.udf.CIQ("^SPX", "IQ_PRICEDATE", "12/9/2015")</f>
        <v>#NAME?</v>
      </c>
      <c r="AC496" s="16">
        <v>2047.6231907509</v>
      </c>
    </row>
    <row r="497" spans="1:29" x14ac:dyDescent="0.35">
      <c r="A497" s="2" t="s">
        <v>507</v>
      </c>
      <c r="B497" s="4" t="s">
        <v>1681</v>
      </c>
      <c r="C497" s="4" t="s">
        <v>601</v>
      </c>
      <c r="D497" s="4" t="s">
        <v>601</v>
      </c>
      <c r="E497" s="4" t="s">
        <v>602</v>
      </c>
      <c r="F497" s="4" t="s">
        <v>1112</v>
      </c>
      <c r="G497" s="14">
        <v>63.39</v>
      </c>
      <c r="H497" s="10">
        <v>18.80396</v>
      </c>
      <c r="I497" s="10">
        <v>42.432161000000001</v>
      </c>
      <c r="J497" s="10">
        <v>1.790556</v>
      </c>
      <c r="K497" s="15">
        <v>5.4897999999999995E-2</v>
      </c>
      <c r="L497" s="17">
        <v>23582.841228000001</v>
      </c>
      <c r="M497" s="4" t="s">
        <v>1682</v>
      </c>
      <c r="N497" s="19">
        <v>1.493914</v>
      </c>
      <c r="O497" s="19">
        <v>1.7748999999999999</v>
      </c>
      <c r="P497" s="19">
        <v>1.26</v>
      </c>
      <c r="Q497" s="19">
        <v>1.9384999999999999</v>
      </c>
      <c r="R497" s="19">
        <v>2.81</v>
      </c>
      <c r="S497" s="19">
        <v>2.0253999999999999</v>
      </c>
      <c r="T497" s="19">
        <v>2.81</v>
      </c>
      <c r="U497" s="19">
        <v>2.0743999999999998</v>
      </c>
      <c r="V497" s="19">
        <v>1.43</v>
      </c>
      <c r="W497" s="19">
        <v>1.7971999999999999</v>
      </c>
      <c r="X497" s="19">
        <v>1.43</v>
      </c>
      <c r="Y497" s="19">
        <v>1.7971999999999999</v>
      </c>
      <c r="Z497" s="4"/>
      <c r="AA497" s="4"/>
      <c r="AB497" s="4" t="e">
        <f ca="1">_xll.ciqfunctions.udf.CIQ("^SPX", "IQ_PRICEDATE", "12/10/2015")</f>
        <v>#NAME?</v>
      </c>
      <c r="AC497" s="16">
        <v>2052.2323464843998</v>
      </c>
    </row>
    <row r="498" spans="1:29" x14ac:dyDescent="0.35">
      <c r="A498" s="2" t="s">
        <v>508</v>
      </c>
      <c r="B498" s="4" t="s">
        <v>1683</v>
      </c>
      <c r="C498" s="4" t="s">
        <v>543</v>
      </c>
      <c r="D498" s="4" t="s">
        <v>664</v>
      </c>
      <c r="E498" s="4" t="s">
        <v>688</v>
      </c>
      <c r="F498" s="4" t="s">
        <v>688</v>
      </c>
      <c r="G498" s="14">
        <v>55.76</v>
      </c>
      <c r="H498" s="10">
        <v>3.789034</v>
      </c>
      <c r="I498" s="10">
        <v>25.345454</v>
      </c>
      <c r="J498" s="10" t="s">
        <v>534</v>
      </c>
      <c r="K498" s="15">
        <v>3.5868000000000004E-2</v>
      </c>
      <c r="L498" s="17">
        <v>16181.834591999999</v>
      </c>
      <c r="M498" s="4" t="s">
        <v>1684</v>
      </c>
      <c r="N498" s="19">
        <v>2.2000000000000002</v>
      </c>
      <c r="O498" s="19">
        <v>11.08517</v>
      </c>
      <c r="P498" s="19">
        <v>1.2828569999999999</v>
      </c>
      <c r="Q498" s="19">
        <v>13.1929</v>
      </c>
      <c r="R498" s="19">
        <v>-1.590225</v>
      </c>
      <c r="S498" s="19">
        <v>7.5510000000000002</v>
      </c>
      <c r="T498" s="19">
        <v>-1.590225</v>
      </c>
      <c r="U498" s="19">
        <v>6.4825999999999997</v>
      </c>
      <c r="V498" s="19">
        <v>6.3886539999999998</v>
      </c>
      <c r="W498" s="19">
        <v>8.3619000000000003</v>
      </c>
      <c r="X498" s="19">
        <v>6.3886539999999998</v>
      </c>
      <c r="Y498" s="19">
        <v>8.3619000000000003</v>
      </c>
      <c r="Z498" s="4"/>
      <c r="AA498" s="4"/>
      <c r="AB498" s="4" t="e">
        <f ca="1">_xll.ciqfunctions.udf.CIQ("^SPX", "IQ_PRICEDATE", "12/11/2015")</f>
        <v>#NAME?</v>
      </c>
      <c r="AC498" s="16">
        <v>2012.3736975981999</v>
      </c>
    </row>
    <row r="499" spans="1:29" x14ac:dyDescent="0.35">
      <c r="A499" s="2" t="s">
        <v>509</v>
      </c>
      <c r="B499" s="4" t="s">
        <v>1685</v>
      </c>
      <c r="C499" s="4" t="s">
        <v>586</v>
      </c>
      <c r="D499" s="4" t="s">
        <v>586</v>
      </c>
      <c r="E499" s="4" t="s">
        <v>726</v>
      </c>
      <c r="F499" s="4" t="s">
        <v>727</v>
      </c>
      <c r="G499" s="14">
        <v>43.15</v>
      </c>
      <c r="H499" s="10">
        <v>6.2156349999999998</v>
      </c>
      <c r="I499" s="10">
        <v>6.1487489999999996</v>
      </c>
      <c r="J499" s="10">
        <v>4.1790700000000003</v>
      </c>
      <c r="K499" s="15">
        <v>3.986E-2</v>
      </c>
      <c r="L499" s="17">
        <v>10880.396556</v>
      </c>
      <c r="M499" s="4" t="s">
        <v>1686</v>
      </c>
      <c r="N499" s="19">
        <v>7.0176869999999996</v>
      </c>
      <c r="O499" s="19">
        <v>4.5194000000000001</v>
      </c>
      <c r="P499" s="19">
        <v>6.8642789999999998</v>
      </c>
      <c r="Q499" s="19">
        <v>3.69842</v>
      </c>
      <c r="R499" s="19">
        <v>0.78283700000000001</v>
      </c>
      <c r="S499" s="19">
        <v>2.8839299999999999</v>
      </c>
      <c r="T499" s="19">
        <v>0.78283700000000001</v>
      </c>
      <c r="U499" s="19">
        <v>3.4999799999999999</v>
      </c>
      <c r="V499" s="19">
        <v>3.4198819999999999</v>
      </c>
      <c r="W499" s="19">
        <v>0</v>
      </c>
      <c r="X499" s="19">
        <v>3.4198819999999999</v>
      </c>
      <c r="Y499" s="19">
        <v>0</v>
      </c>
      <c r="Z499" s="4"/>
      <c r="AA499" s="4"/>
      <c r="AB499" s="4" t="e">
        <f ca="1">_xll.ciqfunctions.udf.CIQ("^SPX", "IQ_PRICEDATE", "12/14/2015")</f>
        <v>#NAME?</v>
      </c>
      <c r="AC499" s="16">
        <v>2021.9395528923001</v>
      </c>
    </row>
    <row r="500" spans="1:29" x14ac:dyDescent="0.35">
      <c r="A500" s="2" t="s">
        <v>510</v>
      </c>
      <c r="B500" s="4" t="s">
        <v>1687</v>
      </c>
      <c r="C500" s="4" t="s">
        <v>601</v>
      </c>
      <c r="D500" s="4" t="s">
        <v>601</v>
      </c>
      <c r="E500" s="4" t="s">
        <v>602</v>
      </c>
      <c r="F500" s="4" t="s">
        <v>647</v>
      </c>
      <c r="G500" s="14">
        <v>28.31</v>
      </c>
      <c r="H500" s="10">
        <v>12.434979999999999</v>
      </c>
      <c r="I500" s="10">
        <v>21.777542</v>
      </c>
      <c r="J500" s="10">
        <v>2.3210649999999999</v>
      </c>
      <c r="K500" s="15">
        <v>4.8038999999999998E-2</v>
      </c>
      <c r="L500" s="17">
        <v>21449.908372000002</v>
      </c>
      <c r="M500" s="4" t="s">
        <v>1688</v>
      </c>
      <c r="N500" s="19">
        <v>1.299963</v>
      </c>
      <c r="O500" s="19">
        <v>1.4287000000000001</v>
      </c>
      <c r="P500" s="19">
        <v>0.77</v>
      </c>
      <c r="Q500" s="19">
        <v>1.3319000000000001</v>
      </c>
      <c r="R500" s="19">
        <v>0.54692700000000005</v>
      </c>
      <c r="S500" s="19">
        <v>0.95009999999999994</v>
      </c>
      <c r="T500" s="19">
        <v>0.54692700000000005</v>
      </c>
      <c r="U500" s="19">
        <v>1.3554999999999999</v>
      </c>
      <c r="V500" s="19">
        <v>1.02</v>
      </c>
      <c r="W500" s="19">
        <v>1.5382</v>
      </c>
      <c r="X500" s="19">
        <v>1.02</v>
      </c>
      <c r="Y500" s="19">
        <v>1.5382</v>
      </c>
      <c r="Z500" s="4"/>
      <c r="AA500" s="4"/>
      <c r="AB500" s="4" t="e">
        <f ca="1">_xll.ciqfunctions.udf.CIQ("^SPX", "IQ_PRICEDATE", "12/15/2015")</f>
        <v>#NAME?</v>
      </c>
      <c r="AC500" s="16">
        <v>2043.4090355479</v>
      </c>
    </row>
    <row r="501" spans="1:29" x14ac:dyDescent="0.35">
      <c r="A501" s="2" t="s">
        <v>511</v>
      </c>
      <c r="B501" s="4" t="s">
        <v>1689</v>
      </c>
      <c r="C501" s="4" t="s">
        <v>559</v>
      </c>
      <c r="D501" s="4" t="s">
        <v>912</v>
      </c>
      <c r="E501" s="4" t="s">
        <v>913</v>
      </c>
      <c r="F501" s="4" t="s">
        <v>1690</v>
      </c>
      <c r="G501" s="14">
        <v>108.34</v>
      </c>
      <c r="H501" s="10">
        <v>6.8716980000000003</v>
      </c>
      <c r="I501" s="10" t="s">
        <v>534</v>
      </c>
      <c r="J501" s="10" t="s">
        <v>534</v>
      </c>
      <c r="K501" s="15">
        <v>4.2458000000000003E-2</v>
      </c>
      <c r="L501" s="17">
        <v>6994.7823969999999</v>
      </c>
      <c r="M501" s="4" t="s">
        <v>1691</v>
      </c>
      <c r="N501" s="19">
        <v>-7.8101330000000004</v>
      </c>
      <c r="O501" s="19">
        <v>15.3749</v>
      </c>
      <c r="P501" s="19">
        <v>4.7</v>
      </c>
      <c r="Q501" s="19">
        <v>15.2408</v>
      </c>
      <c r="R501" s="19">
        <v>11.5</v>
      </c>
      <c r="S501" s="19">
        <v>15.3256</v>
      </c>
      <c r="T501" s="19">
        <v>11.5</v>
      </c>
      <c r="U501" s="19">
        <v>13.565</v>
      </c>
      <c r="V501" s="19">
        <v>8.17</v>
      </c>
      <c r="W501" s="19">
        <v>13.270799999999999</v>
      </c>
      <c r="X501" s="19">
        <v>8.17</v>
      </c>
      <c r="Y501" s="19">
        <v>13.270799999999999</v>
      </c>
      <c r="Z501" s="4"/>
      <c r="AA501" s="4"/>
      <c r="AB501" s="4" t="e">
        <f ca="1">_xll.ciqfunctions.udf.CIQ("^SPX", "IQ_PRICEDATE", "12/16/2015")</f>
        <v>#NAME?</v>
      </c>
      <c r="AC501" s="16">
        <v>2073.0661474443</v>
      </c>
    </row>
    <row r="502" spans="1:29" x14ac:dyDescent="0.35">
      <c r="A502" s="2" t="s">
        <v>512</v>
      </c>
      <c r="B502" s="4" t="s">
        <v>1692</v>
      </c>
      <c r="C502" s="4" t="s">
        <v>573</v>
      </c>
      <c r="D502" s="4" t="s">
        <v>579</v>
      </c>
      <c r="E502" s="4" t="s">
        <v>579</v>
      </c>
      <c r="F502" s="4" t="s">
        <v>680</v>
      </c>
      <c r="G502" s="14">
        <v>139.83000000000001</v>
      </c>
      <c r="H502" s="10">
        <v>15.80805</v>
      </c>
      <c r="I502" s="10">
        <v>40.348899000000003</v>
      </c>
      <c r="J502" s="10" t="s">
        <v>534</v>
      </c>
      <c r="K502" s="15">
        <v>1.7162999999999998E-2</v>
      </c>
      <c r="L502" s="17">
        <v>18285.502261000001</v>
      </c>
      <c r="M502" s="4" t="s">
        <v>1693</v>
      </c>
      <c r="N502" s="19">
        <v>3.465522</v>
      </c>
      <c r="O502" s="19">
        <v>9.9396000000000004</v>
      </c>
      <c r="P502" s="19">
        <v>4.18</v>
      </c>
      <c r="Q502" s="19">
        <v>9.4406999999999996</v>
      </c>
      <c r="R502" s="19">
        <v>3.26</v>
      </c>
      <c r="S502" s="19">
        <v>8.0762</v>
      </c>
      <c r="T502" s="19">
        <v>3.26</v>
      </c>
      <c r="U502" s="19">
        <v>0</v>
      </c>
      <c r="V502" s="19">
        <v>5.32</v>
      </c>
      <c r="W502" s="19">
        <v>0</v>
      </c>
      <c r="X502" s="19">
        <v>5.32</v>
      </c>
      <c r="Y502" s="19">
        <v>0</v>
      </c>
      <c r="Z502" s="4"/>
      <c r="AA502" s="4"/>
      <c r="AB502" s="4" t="e">
        <f ca="1">_xll.ciqfunctions.udf.CIQ("^SPX", "IQ_PRICEDATE", "12/17/2015")</f>
        <v>#NAME?</v>
      </c>
      <c r="AC502" s="16">
        <v>2041.887884854</v>
      </c>
    </row>
    <row r="503" spans="1:29" x14ac:dyDescent="0.35">
      <c r="A503" s="2" t="s">
        <v>513</v>
      </c>
      <c r="B503" s="4" t="s">
        <v>1694</v>
      </c>
      <c r="C503" s="4" t="s">
        <v>559</v>
      </c>
      <c r="D503" s="4" t="s">
        <v>798</v>
      </c>
      <c r="E503" s="4" t="s">
        <v>799</v>
      </c>
      <c r="F503" s="4" t="s">
        <v>1278</v>
      </c>
      <c r="G503" s="14">
        <v>118.29</v>
      </c>
      <c r="H503" s="10">
        <v>11.048524</v>
      </c>
      <c r="I503" s="10">
        <v>23.552980999999999</v>
      </c>
      <c r="J503" s="10">
        <v>8.5634069999999998</v>
      </c>
      <c r="K503" s="15">
        <v>2.5360999999999998E-2</v>
      </c>
      <c r="L503" s="17">
        <v>12851.025600000001</v>
      </c>
      <c r="M503" s="4" t="s">
        <v>1695</v>
      </c>
      <c r="N503" s="19">
        <v>5.0222939999999996</v>
      </c>
      <c r="O503" s="19">
        <v>7.5259999999999998</v>
      </c>
      <c r="P503" s="19">
        <v>7.28</v>
      </c>
      <c r="Q503" s="19">
        <v>6.2252000000000001</v>
      </c>
      <c r="R503" s="19">
        <v>2.38</v>
      </c>
      <c r="S503" s="19">
        <v>3.8769999999999998</v>
      </c>
      <c r="T503" s="19">
        <v>2.38</v>
      </c>
      <c r="U503" s="19">
        <v>3.3106</v>
      </c>
      <c r="V503" s="19">
        <v>7.18</v>
      </c>
      <c r="W503" s="19">
        <v>7.8071000000000002</v>
      </c>
      <c r="X503" s="19">
        <v>7.18</v>
      </c>
      <c r="Y503" s="19">
        <v>7.8071000000000002</v>
      </c>
      <c r="Z503" s="4"/>
      <c r="AA503" s="4"/>
      <c r="AB503" s="4" t="e">
        <f ca="1">_xll.ciqfunctions.udf.CIQ("^SPX", "IQ_PRICEDATE", "12/18/2015")</f>
        <v>#NAME?</v>
      </c>
      <c r="AC503" s="16">
        <v>2005.5497169122</v>
      </c>
    </row>
    <row r="504" spans="1:29" x14ac:dyDescent="0.35">
      <c r="A504" s="2" t="s">
        <v>514</v>
      </c>
      <c r="B504" s="4" t="s">
        <v>1696</v>
      </c>
      <c r="C504" s="4" t="s">
        <v>619</v>
      </c>
      <c r="D504" s="4" t="s">
        <v>619</v>
      </c>
      <c r="E504" s="4" t="s">
        <v>620</v>
      </c>
      <c r="F504" s="4" t="s">
        <v>620</v>
      </c>
      <c r="G504" s="14">
        <v>48.24</v>
      </c>
      <c r="H504" s="10">
        <v>10.704734</v>
      </c>
      <c r="I504" s="10">
        <v>19.935523</v>
      </c>
      <c r="J504" s="10">
        <v>2.1072320000000002</v>
      </c>
      <c r="K504" s="15">
        <v>3.1509000000000002E-2</v>
      </c>
      <c r="L504" s="17">
        <v>24558.362042000001</v>
      </c>
      <c r="M504" s="4" t="s">
        <v>1697</v>
      </c>
      <c r="N504" s="19">
        <v>2.4198010000000001</v>
      </c>
      <c r="O504" s="19">
        <v>2.4657</v>
      </c>
      <c r="P504" s="19">
        <v>2.25</v>
      </c>
      <c r="Q504" s="19">
        <v>2.3925000000000001</v>
      </c>
      <c r="R504" s="19">
        <v>2.2071540000000001</v>
      </c>
      <c r="S504" s="19">
        <v>2.3207</v>
      </c>
      <c r="T504" s="19">
        <v>2.2071540000000001</v>
      </c>
      <c r="U504" s="19">
        <v>2.1543999999999999</v>
      </c>
      <c r="V504" s="19">
        <v>2.0270160000000002</v>
      </c>
      <c r="W504" s="19">
        <v>2.1198000000000001</v>
      </c>
      <c r="X504" s="19">
        <v>2.0270160000000002</v>
      </c>
      <c r="Y504" s="19">
        <v>2.1198000000000001</v>
      </c>
      <c r="Z504" s="4"/>
      <c r="AA504" s="4"/>
      <c r="AB504" s="4" t="e">
        <f ca="1">_xll.ciqfunctions.udf.CIQ("^SPX", "IQ_PRICEDATE", "12/21/2015")</f>
        <v>#NAME?</v>
      </c>
      <c r="AC504" s="16">
        <v>2021.149974271</v>
      </c>
    </row>
    <row r="505" spans="1:29" x14ac:dyDescent="0.35">
      <c r="A505" s="2" t="s">
        <v>515</v>
      </c>
      <c r="B505" s="4" t="s">
        <v>1698</v>
      </c>
      <c r="C505" s="4" t="s">
        <v>543</v>
      </c>
      <c r="D505" s="4" t="s">
        <v>664</v>
      </c>
      <c r="E505" s="4" t="s">
        <v>688</v>
      </c>
      <c r="F505" s="4" t="s">
        <v>688</v>
      </c>
      <c r="G505" s="14">
        <v>26.74</v>
      </c>
      <c r="H505" s="10">
        <v>7.9548810000000003</v>
      </c>
      <c r="I505" s="10">
        <v>67.428026000000003</v>
      </c>
      <c r="J505" s="10">
        <v>5.5189490000000001</v>
      </c>
      <c r="K505" s="15">
        <v>3.7397E-2</v>
      </c>
      <c r="L505" s="17">
        <v>6821.4203399999997</v>
      </c>
      <c r="M505" s="4" t="s">
        <v>1699</v>
      </c>
      <c r="N505" s="19">
        <v>0.39657100000000001</v>
      </c>
      <c r="O505" s="19">
        <v>3.3176999999999999</v>
      </c>
      <c r="P505" s="19">
        <v>0.699847</v>
      </c>
      <c r="Q505" s="19">
        <v>3.4445999999999999</v>
      </c>
      <c r="R505" s="19">
        <v>2.33</v>
      </c>
      <c r="S505" s="19">
        <v>4.4778000000000002</v>
      </c>
      <c r="T505" s="19">
        <v>2.33</v>
      </c>
      <c r="U505" s="19">
        <v>3.9329999999999998</v>
      </c>
      <c r="V505" s="19">
        <v>3.44</v>
      </c>
      <c r="W505" s="19">
        <v>4.3785999999999996</v>
      </c>
      <c r="X505" s="19">
        <v>3.44</v>
      </c>
      <c r="Y505" s="19">
        <v>4.3785999999999996</v>
      </c>
      <c r="Z505" s="4"/>
      <c r="AA505" s="4"/>
      <c r="AB505" s="4" t="e">
        <f ca="1">_xll.ciqfunctions.udf.CIQ("^SPX", "IQ_PRICEDATE", "12/22/2015")</f>
        <v>#NAME?</v>
      </c>
      <c r="AC505" s="16">
        <v>2038.9675363017</v>
      </c>
    </row>
    <row r="506" spans="1:29" x14ac:dyDescent="0.35">
      <c r="A506" s="2" t="s">
        <v>516</v>
      </c>
      <c r="B506" s="4" t="s">
        <v>1700</v>
      </c>
      <c r="C506" s="4" t="s">
        <v>543</v>
      </c>
      <c r="D506" s="4" t="s">
        <v>565</v>
      </c>
      <c r="E506" s="4" t="s">
        <v>565</v>
      </c>
      <c r="F506" s="4" t="s">
        <v>566</v>
      </c>
      <c r="G506" s="14">
        <v>77.72</v>
      </c>
      <c r="H506" s="10">
        <v>19.407254999999999</v>
      </c>
      <c r="I506" s="10">
        <v>36.374051000000001</v>
      </c>
      <c r="J506" s="10">
        <v>8.9510799999999993</v>
      </c>
      <c r="K506" s="15">
        <v>1.8527999999999999E-2</v>
      </c>
      <c r="L506" s="17">
        <v>19656.441650000001</v>
      </c>
      <c r="M506" s="4" t="s">
        <v>1701</v>
      </c>
      <c r="N506" s="19">
        <v>2.1366879999999999</v>
      </c>
      <c r="O506" s="19">
        <v>3.0413999999999999</v>
      </c>
      <c r="P506" s="19">
        <v>1.87778</v>
      </c>
      <c r="Q506" s="19">
        <v>2.7130999999999998</v>
      </c>
      <c r="R506" s="19">
        <v>2.2800929999999999</v>
      </c>
      <c r="S506" s="19">
        <v>2.2185000000000001</v>
      </c>
      <c r="T506" s="19">
        <v>2.2800929999999999</v>
      </c>
      <c r="U506" s="19">
        <v>2.0966999999999998</v>
      </c>
      <c r="V506" s="19">
        <v>2.3768690000000001</v>
      </c>
      <c r="W506" s="19">
        <v>2.5421</v>
      </c>
      <c r="X506" s="19">
        <v>2.3768690000000001</v>
      </c>
      <c r="Y506" s="19">
        <v>2.5421</v>
      </c>
      <c r="Z506" s="4"/>
      <c r="AA506" s="4"/>
      <c r="AB506" s="4" t="e">
        <f ca="1">_xll.ciqfunctions.udf.CIQ("^SPX", "IQ_PRICEDATE", "12/23/2015")</f>
        <v>#NAME?</v>
      </c>
      <c r="AC506" s="16">
        <v>2064.2920493832999</v>
      </c>
    </row>
    <row r="507" spans="1:29" x14ac:dyDescent="0.35">
      <c r="A507" s="2" t="s">
        <v>517</v>
      </c>
      <c r="B507" s="4" t="s">
        <v>1702</v>
      </c>
      <c r="C507" s="4" t="s">
        <v>525</v>
      </c>
      <c r="D507" s="4" t="s">
        <v>526</v>
      </c>
      <c r="E507" s="4" t="s">
        <v>803</v>
      </c>
      <c r="F507" s="4" t="s">
        <v>948</v>
      </c>
      <c r="G507" s="14">
        <v>71.34</v>
      </c>
      <c r="H507" s="10">
        <v>17.062275</v>
      </c>
      <c r="I507" s="10">
        <v>34.972456000000001</v>
      </c>
      <c r="J507" s="10" t="s">
        <v>534</v>
      </c>
      <c r="K507" s="15">
        <v>1.1774E-2</v>
      </c>
      <c r="L507" s="17">
        <v>12813.926788999999</v>
      </c>
      <c r="M507" s="4" t="s">
        <v>1703</v>
      </c>
      <c r="N507" s="19">
        <v>2.0398909999999999</v>
      </c>
      <c r="O507" s="19">
        <v>3.1448</v>
      </c>
      <c r="P507" s="19">
        <v>1.83</v>
      </c>
      <c r="Q507" s="19">
        <v>2.7027000000000001</v>
      </c>
      <c r="R507" s="19">
        <v>1.45</v>
      </c>
      <c r="S507" s="19">
        <v>2.2791999999999999</v>
      </c>
      <c r="T507" s="19">
        <v>1.45</v>
      </c>
      <c r="U507" s="19">
        <v>1.9641999999999999</v>
      </c>
      <c r="V507" s="19">
        <v>1.83</v>
      </c>
      <c r="W507" s="19">
        <v>2.0855999999999999</v>
      </c>
      <c r="X507" s="19">
        <v>1.83</v>
      </c>
      <c r="Y507" s="19">
        <v>2.0855999999999999</v>
      </c>
      <c r="Z507" s="4"/>
      <c r="AA507" s="4"/>
      <c r="AB507" s="4" t="e">
        <f ca="1">_xll.ciqfunctions.udf.CIQ("^SPX", "IQ_PRICEDATE", "12/24/2015")</f>
        <v>#NAME?</v>
      </c>
      <c r="AC507" s="16">
        <v>2060.9882998510998</v>
      </c>
    </row>
    <row r="508" spans="1:29" x14ac:dyDescent="0.35">
      <c r="A508" s="2" t="s">
        <v>518</v>
      </c>
      <c r="B508" s="4" t="s">
        <v>1704</v>
      </c>
      <c r="C508" s="4" t="s">
        <v>559</v>
      </c>
      <c r="D508" s="4" t="s">
        <v>798</v>
      </c>
      <c r="E508" s="4" t="s">
        <v>799</v>
      </c>
      <c r="F508" s="4" t="s">
        <v>839</v>
      </c>
      <c r="G508" s="14">
        <v>91.36</v>
      </c>
      <c r="H508" s="10">
        <v>19.761140999999999</v>
      </c>
      <c r="I508" s="10">
        <v>19.427921999999999</v>
      </c>
      <c r="J508" s="10" t="s">
        <v>534</v>
      </c>
      <c r="K508" s="15">
        <v>1.5761000000000001E-2</v>
      </c>
      <c r="L508" s="17">
        <v>28993.615290000002</v>
      </c>
      <c r="M508" s="4" t="s">
        <v>1705</v>
      </c>
      <c r="N508" s="19">
        <v>4.7025100000000002</v>
      </c>
      <c r="O508" s="19">
        <v>3.4847999999999999</v>
      </c>
      <c r="P508" s="19">
        <v>3.77</v>
      </c>
      <c r="Q508" s="19">
        <v>3.0038999999999998</v>
      </c>
      <c r="R508" s="19">
        <v>2.54</v>
      </c>
      <c r="S508" s="19">
        <v>2.6415000000000002</v>
      </c>
      <c r="T508" s="19">
        <v>2.54</v>
      </c>
      <c r="U508" s="19">
        <v>3.3469000000000002</v>
      </c>
      <c r="V508" s="19">
        <v>2.2200000000000002</v>
      </c>
      <c r="W508" s="19">
        <v>3.2593000000000001</v>
      </c>
      <c r="X508" s="19">
        <v>2.2200000000000002</v>
      </c>
      <c r="Y508" s="19">
        <v>3.2593000000000001</v>
      </c>
      <c r="Z508" s="4"/>
      <c r="AA508" s="4"/>
      <c r="AB508" s="4" t="e">
        <f ca="1">_xll.ciqfunctions.udf.CIQ("^SPX", "IQ_PRICEDATE", "12/28/2015")</f>
        <v>#NAME?</v>
      </c>
      <c r="AC508" s="16">
        <v>2056.5007436105002</v>
      </c>
    </row>
    <row r="509" spans="1:29" x14ac:dyDescent="0.35">
      <c r="A509" s="2" t="s">
        <v>519</v>
      </c>
      <c r="B509" s="4" t="s">
        <v>1706</v>
      </c>
      <c r="C509" s="4" t="s">
        <v>530</v>
      </c>
      <c r="D509" s="4" t="s">
        <v>531</v>
      </c>
      <c r="E509" s="4" t="s">
        <v>532</v>
      </c>
      <c r="F509" s="4" t="s">
        <v>533</v>
      </c>
      <c r="G509" s="14">
        <v>128.32</v>
      </c>
      <c r="H509" s="10">
        <v>12.999884</v>
      </c>
      <c r="I509" s="10">
        <v>15.522086</v>
      </c>
      <c r="J509" s="10" t="s">
        <v>534</v>
      </c>
      <c r="K509" s="15">
        <v>7.4809999999999998E-3</v>
      </c>
      <c r="L509" s="17">
        <v>26111.287462</v>
      </c>
      <c r="M509" s="4" t="s">
        <v>1707</v>
      </c>
      <c r="N509" s="19">
        <v>8.2669300000000003</v>
      </c>
      <c r="O509" s="19">
        <v>7.7969999999999997</v>
      </c>
      <c r="P509" s="19">
        <v>8.9</v>
      </c>
      <c r="Q509" s="19">
        <v>8.0152000000000001</v>
      </c>
      <c r="R509" s="19">
        <v>1.51</v>
      </c>
      <c r="S509" s="19">
        <v>8.4641000000000002</v>
      </c>
      <c r="T509" s="19">
        <v>1.51</v>
      </c>
      <c r="U509" s="19">
        <v>7.7148000000000003</v>
      </c>
      <c r="V509" s="19">
        <v>4.2</v>
      </c>
      <c r="W509" s="19">
        <v>6.2442000000000002</v>
      </c>
      <c r="X509" s="19">
        <v>4.2</v>
      </c>
      <c r="Y509" s="19">
        <v>6.2442000000000002</v>
      </c>
      <c r="Z509" s="4"/>
      <c r="AA509" s="4"/>
      <c r="AB509" s="4" t="e">
        <f ca="1">_xll.ciqfunctions.udf.CIQ("^SPX", "IQ_PRICEDATE", "12/29/2015")</f>
        <v>#NAME?</v>
      </c>
      <c r="AC509" s="16">
        <v>2078.3618660811999</v>
      </c>
    </row>
    <row r="510" spans="1:29" x14ac:dyDescent="0.35">
      <c r="A510" s="2" t="s">
        <v>520</v>
      </c>
      <c r="B510" s="4" t="s">
        <v>1708</v>
      </c>
      <c r="C510" s="4" t="s">
        <v>573</v>
      </c>
      <c r="D510" s="4" t="s">
        <v>737</v>
      </c>
      <c r="E510" s="4" t="s">
        <v>737</v>
      </c>
      <c r="F510" s="4" t="s">
        <v>743</v>
      </c>
      <c r="G510" s="14">
        <v>48.44</v>
      </c>
      <c r="H510" s="10">
        <v>0</v>
      </c>
      <c r="I510" s="10">
        <v>14.997112</v>
      </c>
      <c r="J510" s="10">
        <v>1.5670170000000001</v>
      </c>
      <c r="K510" s="15">
        <v>2.4771999999999999E-2</v>
      </c>
      <c r="L510" s="17">
        <v>9416.8721650000007</v>
      </c>
      <c r="M510" s="4" t="s">
        <v>1709</v>
      </c>
      <c r="N510" s="19">
        <v>3.2299549999999999</v>
      </c>
      <c r="O510" s="19">
        <v>3.9287000000000001</v>
      </c>
      <c r="P510" s="19">
        <v>2.6</v>
      </c>
      <c r="Q510" s="19">
        <v>3.0489000000000002</v>
      </c>
      <c r="R510" s="19">
        <v>1.99</v>
      </c>
      <c r="S510" s="19">
        <v>2.2408000000000001</v>
      </c>
      <c r="T510" s="19">
        <v>1.99</v>
      </c>
      <c r="U510" s="19">
        <v>1.8608</v>
      </c>
      <c r="V510" s="19">
        <v>1.68</v>
      </c>
      <c r="W510" s="19">
        <v>1.6911</v>
      </c>
      <c r="X510" s="19">
        <v>1.68</v>
      </c>
      <c r="Y510" s="19">
        <v>1.6911</v>
      </c>
      <c r="Z510" s="4"/>
      <c r="AA510" s="4"/>
      <c r="AB510" s="4" t="e">
        <f ca="1">_xll.ciqfunctions.udf.CIQ("^SPX", "IQ_PRICEDATE", "12/30/2015")</f>
        <v>#NAME?</v>
      </c>
      <c r="AC510" s="16">
        <v>2063.3552153075002</v>
      </c>
    </row>
    <row r="511" spans="1:29" x14ac:dyDescent="0.35">
      <c r="A511" s="2" t="s">
        <v>521</v>
      </c>
      <c r="B511" s="4" t="s">
        <v>1710</v>
      </c>
      <c r="C511" s="4" t="s">
        <v>530</v>
      </c>
      <c r="D511" s="4" t="s">
        <v>537</v>
      </c>
      <c r="E511" s="4" t="s">
        <v>613</v>
      </c>
      <c r="F511" s="4" t="s">
        <v>613</v>
      </c>
      <c r="G511" s="14">
        <v>92.79</v>
      </c>
      <c r="H511" s="10">
        <v>22.173931</v>
      </c>
      <c r="I511" s="10">
        <v>40.750521999999997</v>
      </c>
      <c r="J511" s="10" t="s">
        <v>534</v>
      </c>
      <c r="K511" s="15">
        <v>5.4310000000000001E-3</v>
      </c>
      <c r="L511" s="17">
        <v>44708.430679999998</v>
      </c>
      <c r="M511" s="4" t="s">
        <v>1711</v>
      </c>
      <c r="N511" s="19">
        <v>2.2770260000000002</v>
      </c>
      <c r="O511" s="19">
        <v>3.2164999999999999</v>
      </c>
      <c r="P511" s="19">
        <v>1.75</v>
      </c>
      <c r="Q511" s="19">
        <v>2.6215999999999999</v>
      </c>
      <c r="R511" s="19">
        <v>1.65</v>
      </c>
      <c r="S511" s="19">
        <v>2.1951999999999998</v>
      </c>
      <c r="T511" s="19">
        <v>1.65</v>
      </c>
      <c r="U511" s="19">
        <v>1.8044</v>
      </c>
      <c r="V511" s="19">
        <v>1.1599999999999999</v>
      </c>
      <c r="W511" s="19">
        <v>1.5689</v>
      </c>
      <c r="X511" s="19">
        <v>1.1599999999999999</v>
      </c>
      <c r="Y511" s="19">
        <v>1.5689</v>
      </c>
      <c r="Z511" s="4"/>
      <c r="AA511" s="4"/>
      <c r="AB511" s="4" t="e">
        <f ca="1">_xll.ciqfunctions.udf.CIQ("^SPX", "IQ_PRICEDATE", "12/31/2015")</f>
        <v>#NAME?</v>
      </c>
      <c r="AC511" s="16">
        <v>2043.9368626606999</v>
      </c>
    </row>
    <row r="512" spans="1:29" x14ac:dyDescent="0.35">
      <c r="Z512" s="4"/>
      <c r="AA512" s="4"/>
      <c r="AB512" s="4" t="e">
        <f ca="1">_xll.ciqfunctions.udf.CIQ("^SPX", "IQ_PRICEDATE", "1/4/2016")</f>
        <v>#NAME?</v>
      </c>
      <c r="AC512" s="16">
        <v>2012.6593712480001</v>
      </c>
    </row>
    <row r="513" spans="26:29" x14ac:dyDescent="0.35">
      <c r="Z513" s="4"/>
      <c r="AA513" s="4"/>
      <c r="AB513" s="4" t="e">
        <f ca="1">_xll.ciqfunctions.udf.CIQ("^SPX", "IQ_PRICEDATE", "1/5/2016")</f>
        <v>#NAME?</v>
      </c>
      <c r="AC513" s="16">
        <v>2016.7144265541999</v>
      </c>
    </row>
    <row r="514" spans="26:29" x14ac:dyDescent="0.35">
      <c r="Z514" s="4"/>
      <c r="AA514" s="4"/>
      <c r="AB514" s="4" t="e">
        <f ca="1">_xll.ciqfunctions.udf.CIQ("^SPX", "IQ_PRICEDATE", "1/6/2016")</f>
        <v>#NAME?</v>
      </c>
      <c r="AC514" s="16">
        <v>1990.2622927555001</v>
      </c>
    </row>
    <row r="515" spans="26:29" x14ac:dyDescent="0.35">
      <c r="Z515" s="4"/>
      <c r="AA515" s="4"/>
      <c r="AB515" s="4" t="e">
        <f ca="1">_xll.ciqfunctions.udf.CIQ("^SPX", "IQ_PRICEDATE", "1/7/2016")</f>
        <v>#NAME?</v>
      </c>
      <c r="AC515" s="16">
        <v>1943.0937024861</v>
      </c>
    </row>
    <row r="516" spans="26:29" x14ac:dyDescent="0.35">
      <c r="Z516" s="4"/>
      <c r="AA516" s="4"/>
      <c r="AB516" s="4" t="e">
        <f ca="1">_xll.ciqfunctions.udf.CIQ("^SPX", "IQ_PRICEDATE", "1/8/2016")</f>
        <v>#NAME?</v>
      </c>
      <c r="AC516" s="16">
        <v>1922.0347926740001</v>
      </c>
    </row>
    <row r="517" spans="26:29" x14ac:dyDescent="0.35">
      <c r="Z517" s="4"/>
      <c r="AA517" s="4"/>
      <c r="AB517" s="4" t="e">
        <f ca="1">_xll.ciqfunctions.udf.CIQ("^SPX", "IQ_PRICEDATE", "1/11/2016")</f>
        <v>#NAME?</v>
      </c>
      <c r="AC517" s="16">
        <v>1923.6748213450001</v>
      </c>
    </row>
    <row r="518" spans="26:29" x14ac:dyDescent="0.35">
      <c r="Z518" s="4"/>
      <c r="AA518" s="4"/>
      <c r="AB518" s="4" t="e">
        <f ca="1">_xll.ciqfunctions.udf.CIQ("^SPX", "IQ_PRICEDATE", "1/12/2016")</f>
        <v>#NAME?</v>
      </c>
      <c r="AC518" s="16">
        <v>1938.6789320655</v>
      </c>
    </row>
    <row r="519" spans="26:29" x14ac:dyDescent="0.35">
      <c r="Z519" s="4"/>
      <c r="AA519" s="4"/>
      <c r="AB519" s="4" t="e">
        <f ca="1">_xll.ciqfunctions.udf.CIQ("^SPX", "IQ_PRICEDATE", "1/13/2016")</f>
        <v>#NAME?</v>
      </c>
      <c r="AC519" s="16">
        <v>1890.2789148177999</v>
      </c>
    </row>
    <row r="520" spans="26:29" x14ac:dyDescent="0.35">
      <c r="Z520" s="4"/>
      <c r="AA520" s="4"/>
      <c r="AB520" s="4" t="e">
        <f ca="1">_xll.ciqfunctions.udf.CIQ("^SPX", "IQ_PRICEDATE", "1/14/2016")</f>
        <v>#NAME?</v>
      </c>
      <c r="AC520" s="16">
        <v>1921.8357608706001</v>
      </c>
    </row>
    <row r="521" spans="26:29" x14ac:dyDescent="0.35">
      <c r="Z521" s="4"/>
      <c r="AA521" s="4"/>
      <c r="AB521" s="4" t="e">
        <f ca="1">_xll.ciqfunctions.udf.CIQ("^SPX", "IQ_PRICEDATE", "1/15/2016")</f>
        <v>#NAME?</v>
      </c>
      <c r="AC521" s="16">
        <v>1880.3277963866999</v>
      </c>
    </row>
    <row r="522" spans="26:29" x14ac:dyDescent="0.35">
      <c r="Z522" s="4"/>
      <c r="AA522" s="4"/>
      <c r="AB522" s="4" t="e">
        <f ca="1">_xll.ciqfunctions.udf.CIQ("^SPX", "IQ_PRICEDATE", "1/19/2016")</f>
        <v>#NAME?</v>
      </c>
      <c r="AC522" s="16">
        <v>1881.3332441622999</v>
      </c>
    </row>
    <row r="523" spans="26:29" x14ac:dyDescent="0.35">
      <c r="Z523" s="4"/>
      <c r="AA523" s="4"/>
      <c r="AB523" s="4" t="e">
        <f ca="1">_xll.ciqfunctions.udf.CIQ("^SPX", "IQ_PRICEDATE", "1/20/2016")</f>
        <v>#NAME?</v>
      </c>
      <c r="AC523" s="16">
        <v>1859.3284619461999</v>
      </c>
    </row>
    <row r="524" spans="26:29" x14ac:dyDescent="0.35">
      <c r="Z524" s="4"/>
      <c r="AA524" s="4"/>
      <c r="AB524" s="4" t="e">
        <f ca="1">_xll.ciqfunctions.udf.CIQ("^SPX", "IQ_PRICEDATE", "1/21/2016")</f>
        <v>#NAME?</v>
      </c>
      <c r="AC524" s="16">
        <v>1868.9863167763001</v>
      </c>
    </row>
    <row r="525" spans="26:29" x14ac:dyDescent="0.35">
      <c r="Z525" s="4"/>
      <c r="AA525" s="4"/>
      <c r="AB525" s="4" t="e">
        <f ca="1">_xll.ciqfunctions.udf.CIQ("^SPX", "IQ_PRICEDATE", "1/22/2016")</f>
        <v>#NAME?</v>
      </c>
      <c r="AC525" s="16">
        <v>1906.9040755857</v>
      </c>
    </row>
    <row r="526" spans="26:29" x14ac:dyDescent="0.35">
      <c r="Z526" s="4"/>
      <c r="AA526" s="4"/>
      <c r="AB526" s="4" t="e">
        <f ca="1">_xll.ciqfunctions.udf.CIQ("^SPX", "IQ_PRICEDATE", "1/25/2016")</f>
        <v>#NAME?</v>
      </c>
      <c r="AC526" s="16">
        <v>1877.0775714959</v>
      </c>
    </row>
    <row r="527" spans="26:29" x14ac:dyDescent="0.35">
      <c r="Z527" s="4"/>
      <c r="AA527" s="4"/>
      <c r="AB527" s="4" t="e">
        <f ca="1">_xll.ciqfunctions.udf.CIQ("^SPX", "IQ_PRICEDATE", "1/26/2016")</f>
        <v>#NAME?</v>
      </c>
      <c r="AC527" s="16">
        <v>1903.6306483067999</v>
      </c>
    </row>
    <row r="528" spans="26:29" x14ac:dyDescent="0.35">
      <c r="Z528" s="4"/>
      <c r="AA528" s="4"/>
      <c r="AB528" s="4" t="e">
        <f ca="1">_xll.ciqfunctions.udf.CIQ("^SPX", "IQ_PRICEDATE", "1/27/2016")</f>
        <v>#NAME?</v>
      </c>
      <c r="AC528" s="16">
        <v>1882.9462651834001</v>
      </c>
    </row>
    <row r="529" spans="26:29" x14ac:dyDescent="0.35">
      <c r="Z529" s="4"/>
      <c r="AA529" s="4"/>
      <c r="AB529" s="4" t="e">
        <f ca="1">_xll.ciqfunctions.udf.CIQ("^SPX", "IQ_PRICEDATE", "1/28/2016")</f>
        <v>#NAME?</v>
      </c>
      <c r="AC529" s="16">
        <v>1893.3567082853999</v>
      </c>
    </row>
    <row r="530" spans="26:29" x14ac:dyDescent="0.35">
      <c r="Z530" s="4"/>
      <c r="AA530" s="4"/>
      <c r="AB530" s="4" t="e">
        <f ca="1">_xll.ciqfunctions.udf.CIQ("^SPX", "IQ_PRICEDATE", "1/29/2016")</f>
        <v>#NAME?</v>
      </c>
      <c r="AC530" s="16">
        <v>1940.2396778185</v>
      </c>
    </row>
    <row r="531" spans="26:29" x14ac:dyDescent="0.35">
      <c r="Z531" s="4"/>
      <c r="AA531" s="4"/>
      <c r="AB531" s="4" t="e">
        <f ca="1">_xll.ciqfunctions.udf.CIQ("^SPX", "IQ_PRICEDATE", "2/1/2016")</f>
        <v>#NAME?</v>
      </c>
      <c r="AC531" s="16">
        <v>1939.3793162679001</v>
      </c>
    </row>
    <row r="532" spans="26:29" x14ac:dyDescent="0.35">
      <c r="Z532" s="4"/>
      <c r="AA532" s="4"/>
      <c r="AB532" s="4" t="e">
        <f ca="1">_xll.ciqfunctions.udf.CIQ("^SPX", "IQ_PRICEDATE", "2/2/2016")</f>
        <v>#NAME?</v>
      </c>
      <c r="AC532" s="16">
        <v>1903.0315127425999</v>
      </c>
    </row>
    <row r="533" spans="26:29" x14ac:dyDescent="0.35">
      <c r="Z533" s="4"/>
      <c r="AA533" s="4"/>
      <c r="AB533" s="4" t="e">
        <f ca="1">_xll.ciqfunctions.udf.CIQ("^SPX", "IQ_PRICEDATE", "2/3/2016")</f>
        <v>#NAME?</v>
      </c>
      <c r="AC533" s="16">
        <v>1912.5336076968999</v>
      </c>
    </row>
    <row r="534" spans="26:29" x14ac:dyDescent="0.35">
      <c r="Z534" s="4"/>
      <c r="AA534" s="4"/>
      <c r="AB534" s="4" t="e">
        <f ca="1">_xll.ciqfunctions.udf.CIQ("^SPX", "IQ_PRICEDATE", "2/4/2016")</f>
        <v>#NAME?</v>
      </c>
      <c r="AC534" s="16">
        <v>1915.4467916985</v>
      </c>
    </row>
    <row r="535" spans="26:29" x14ac:dyDescent="0.35">
      <c r="Z535" s="4"/>
      <c r="AA535" s="4"/>
      <c r="AB535" s="4" t="e">
        <f ca="1">_xll.ciqfunctions.udf.CIQ("^SPX", "IQ_PRICEDATE", "2/5/2016")</f>
        <v>#NAME?</v>
      </c>
      <c r="AC535" s="16">
        <v>1880.0539328839</v>
      </c>
    </row>
    <row r="536" spans="26:29" x14ac:dyDescent="0.35">
      <c r="Z536" s="4"/>
      <c r="AA536" s="4"/>
      <c r="AB536" s="4" t="e">
        <f ca="1">_xll.ciqfunctions.udf.CIQ("^SPX", "IQ_PRICEDATE", "2/8/2016")</f>
        <v>#NAME?</v>
      </c>
      <c r="AC536" s="16">
        <v>1853.4350189577001</v>
      </c>
    </row>
    <row r="537" spans="26:29" x14ac:dyDescent="0.35">
      <c r="Z537" s="4"/>
      <c r="AA537" s="4"/>
      <c r="AB537" s="4" t="e">
        <f ca="1">_xll.ciqfunctions.udf.CIQ("^SPX", "IQ_PRICEDATE", "2/9/2016")</f>
        <v>#NAME?</v>
      </c>
      <c r="AC537" s="16">
        <v>1852.209817315</v>
      </c>
    </row>
    <row r="538" spans="26:29" x14ac:dyDescent="0.35">
      <c r="Z538" s="4"/>
      <c r="AA538" s="4"/>
      <c r="AB538" s="4" t="e">
        <f ca="1">_xll.ciqfunctions.udf.CIQ("^SPX", "IQ_PRICEDATE", "2/10/2016")</f>
        <v>#NAME?</v>
      </c>
      <c r="AC538" s="16">
        <v>1851.8630459234</v>
      </c>
    </row>
    <row r="539" spans="26:29" x14ac:dyDescent="0.35">
      <c r="Z539" s="4"/>
      <c r="AA539" s="4"/>
      <c r="AB539" s="4" t="e">
        <f ca="1">_xll.ciqfunctions.udf.CIQ("^SPX", "IQ_PRICEDATE", "2/11/2016")</f>
        <v>#NAME?</v>
      </c>
      <c r="AC539" s="16">
        <v>1829.078345807</v>
      </c>
    </row>
    <row r="540" spans="26:29" x14ac:dyDescent="0.35">
      <c r="Z540" s="4"/>
      <c r="AA540" s="4"/>
      <c r="AB540" s="4" t="e">
        <f ca="1">_xll.ciqfunctions.udf.CIQ("^SPX", "IQ_PRICEDATE", "2/12/2016")</f>
        <v>#NAME?</v>
      </c>
      <c r="AC540" s="16">
        <v>1864.7753300898</v>
      </c>
    </row>
    <row r="541" spans="26:29" x14ac:dyDescent="0.35">
      <c r="Z541" s="4"/>
      <c r="AA541" s="4"/>
      <c r="AB541" s="4" t="e">
        <f ca="1">_xll.ciqfunctions.udf.CIQ("^SPX", "IQ_PRICEDATE", "2/16/2016")</f>
        <v>#NAME?</v>
      </c>
      <c r="AC541" s="16">
        <v>1895.5773700755999</v>
      </c>
    </row>
    <row r="542" spans="26:29" x14ac:dyDescent="0.35">
      <c r="Z542" s="4"/>
      <c r="AA542" s="4"/>
      <c r="AB542" s="4" t="e">
        <f ca="1">_xll.ciqfunctions.udf.CIQ("^SPX", "IQ_PRICEDATE", "2/17/2016")</f>
        <v>#NAME?</v>
      </c>
      <c r="AC542" s="16">
        <v>1926.8249996812001</v>
      </c>
    </row>
    <row r="543" spans="26:29" x14ac:dyDescent="0.35">
      <c r="Z543" s="4"/>
      <c r="AA543" s="4"/>
      <c r="AB543" s="4" t="e">
        <f ca="1">_xll.ciqfunctions.udf.CIQ("^SPX", "IQ_PRICEDATE", "2/18/2016")</f>
        <v>#NAME?</v>
      </c>
      <c r="AC543" s="16">
        <v>1917.8338001633999</v>
      </c>
    </row>
    <row r="544" spans="26:29" x14ac:dyDescent="0.35">
      <c r="Z544" s="4"/>
      <c r="AA544" s="4"/>
      <c r="AB544" s="4" t="e">
        <f ca="1">_xll.ciqfunctions.udf.CIQ("^SPX", "IQ_PRICEDATE", "2/19/2016")</f>
        <v>#NAME?</v>
      </c>
      <c r="AC544" s="16">
        <v>1917.7836117449999</v>
      </c>
    </row>
    <row r="545" spans="26:29" x14ac:dyDescent="0.35">
      <c r="Z545" s="4"/>
      <c r="AA545" s="4"/>
      <c r="AB545" s="4" t="e">
        <f ca="1">_xll.ciqfunctions.udf.CIQ("^SPX", "IQ_PRICEDATE", "2/22/2016")</f>
        <v>#NAME?</v>
      </c>
      <c r="AC545" s="16">
        <v>1945.5000398876</v>
      </c>
    </row>
    <row r="546" spans="26:29" x14ac:dyDescent="0.35">
      <c r="Z546" s="4"/>
      <c r="AA546" s="4"/>
      <c r="AB546" s="4" t="e">
        <f ca="1">_xll.ciqfunctions.udf.CIQ("^SPX", "IQ_PRICEDATE", "2/23/2016")</f>
        <v>#NAME?</v>
      </c>
      <c r="AC546" s="16">
        <v>1921.2684413203999</v>
      </c>
    </row>
    <row r="547" spans="26:29" x14ac:dyDescent="0.35">
      <c r="Z547" s="4"/>
      <c r="AA547" s="4"/>
      <c r="AB547" s="4" t="e">
        <f ca="1">_xll.ciqfunctions.udf.CIQ("^SPX", "IQ_PRICEDATE", "2/24/2016")</f>
        <v>#NAME?</v>
      </c>
      <c r="AC547" s="16">
        <v>1929.7976752719001</v>
      </c>
    </row>
    <row r="548" spans="26:29" x14ac:dyDescent="0.35">
      <c r="Z548" s="4"/>
      <c r="AA548" s="4"/>
      <c r="AB548" s="4" t="e">
        <f ca="1">_xll.ciqfunctions.udf.CIQ("^SPX", "IQ_PRICEDATE", "2/25/2016")</f>
        <v>#NAME?</v>
      </c>
      <c r="AC548" s="16">
        <v>1951.7006648710001</v>
      </c>
    </row>
    <row r="549" spans="26:29" x14ac:dyDescent="0.35">
      <c r="Z549" s="4"/>
      <c r="AA549" s="4"/>
      <c r="AB549" s="4" t="e">
        <f ca="1">_xll.ciqfunctions.udf.CIQ("^SPX", "IQ_PRICEDATE", "2/26/2016")</f>
        <v>#NAME?</v>
      </c>
      <c r="AC549" s="16">
        <v>1948.0538513040001</v>
      </c>
    </row>
    <row r="550" spans="26:29" x14ac:dyDescent="0.35">
      <c r="Z550" s="4"/>
      <c r="AA550" s="4"/>
      <c r="AB550" s="4" t="e">
        <f ca="1">_xll.ciqfunctions.udf.CIQ("^SPX", "IQ_PRICEDATE", "2/29/2016")</f>
        <v>#NAME?</v>
      </c>
      <c r="AC550" s="16">
        <v>1932.2263947971001</v>
      </c>
    </row>
    <row r="551" spans="26:29" x14ac:dyDescent="0.35">
      <c r="Z551" s="4"/>
      <c r="AA551" s="4"/>
      <c r="AB551" s="4" t="e">
        <f ca="1">_xll.ciqfunctions.udf.CIQ("^SPX", "IQ_PRICEDATE", "3/1/2016")</f>
        <v>#NAME?</v>
      </c>
      <c r="AC551" s="16">
        <v>1978.3481163757999</v>
      </c>
    </row>
    <row r="552" spans="26:29" x14ac:dyDescent="0.35">
      <c r="Z552" s="4"/>
      <c r="AA552" s="4"/>
      <c r="AB552" s="4" t="e">
        <f ca="1">_xll.ciqfunctions.udf.CIQ("^SPX", "IQ_PRICEDATE", "3/2/2016")</f>
        <v>#NAME?</v>
      </c>
      <c r="AC552" s="16">
        <v>1986.4547864171</v>
      </c>
    </row>
    <row r="553" spans="26:29" x14ac:dyDescent="0.35">
      <c r="Z553" s="4"/>
      <c r="AA553" s="4"/>
      <c r="AB553" s="4" t="e">
        <f ca="1">_xll.ciqfunctions.udf.CIQ("^SPX", "IQ_PRICEDATE", "3/3/2016")</f>
        <v>#NAME?</v>
      </c>
      <c r="AC553" s="16">
        <v>1993.4021399067999</v>
      </c>
    </row>
    <row r="554" spans="26:29" x14ac:dyDescent="0.35">
      <c r="Z554" s="4"/>
      <c r="AA554" s="4"/>
      <c r="AB554" s="4" t="e">
        <f ca="1">_xll.ciqfunctions.udf.CIQ("^SPX", "IQ_PRICEDATE", "3/4/2016")</f>
        <v>#NAME?</v>
      </c>
      <c r="AC554" s="16">
        <v>1999.9872258588</v>
      </c>
    </row>
    <row r="555" spans="26:29" x14ac:dyDescent="0.35">
      <c r="Z555" s="4"/>
      <c r="AA555" s="4"/>
      <c r="AB555" s="4" t="e">
        <f ca="1">_xll.ciqfunctions.udf.CIQ("^SPX", "IQ_PRICEDATE", "3/7/2016")</f>
        <v>#NAME?</v>
      </c>
      <c r="AC555" s="16">
        <v>2001.7588480310999</v>
      </c>
    </row>
    <row r="556" spans="26:29" x14ac:dyDescent="0.35">
      <c r="Z556" s="4"/>
      <c r="AA556" s="4"/>
      <c r="AB556" s="4" t="e">
        <f ca="1">_xll.ciqfunctions.udf.CIQ("^SPX", "IQ_PRICEDATE", "3/8/2016")</f>
        <v>#NAME?</v>
      </c>
      <c r="AC556" s="16">
        <v>1979.2607182705001</v>
      </c>
    </row>
    <row r="557" spans="26:29" x14ac:dyDescent="0.35">
      <c r="Z557" s="4"/>
      <c r="AA557" s="4"/>
      <c r="AB557" s="4" t="e">
        <f ca="1">_xll.ciqfunctions.udf.CIQ("^SPX", "IQ_PRICEDATE", "3/9/2016")</f>
        <v>#NAME?</v>
      </c>
      <c r="AC557" s="16">
        <v>1989.2649945042999</v>
      </c>
    </row>
    <row r="558" spans="26:29" x14ac:dyDescent="0.35">
      <c r="Z558" s="4"/>
      <c r="AA558" s="4"/>
      <c r="AB558" s="4" t="e">
        <f ca="1">_xll.ciqfunctions.udf.CIQ("^SPX", "IQ_PRICEDATE", "3/10/2016")</f>
        <v>#NAME?</v>
      </c>
      <c r="AC558" s="16">
        <v>1989.5682879162</v>
      </c>
    </row>
    <row r="559" spans="26:29" x14ac:dyDescent="0.35">
      <c r="Z559" s="4"/>
      <c r="AA559" s="4"/>
      <c r="AB559" s="4" t="e">
        <f ca="1">_xll.ciqfunctions.udf.CIQ("^SPX", "IQ_PRICEDATE", "3/11/2016")</f>
        <v>#NAME?</v>
      </c>
      <c r="AC559" s="16">
        <v>2022.1895722387001</v>
      </c>
    </row>
    <row r="560" spans="26:29" x14ac:dyDescent="0.35">
      <c r="Z560" s="4"/>
      <c r="AA560" s="4"/>
      <c r="AB560" s="4" t="e">
        <f ca="1">_xll.ciqfunctions.udf.CIQ("^SPX", "IQ_PRICEDATE", "3/14/2016")</f>
        <v>#NAME?</v>
      </c>
      <c r="AC560" s="16">
        <v>2019.6401297292</v>
      </c>
    </row>
    <row r="561" spans="26:29" x14ac:dyDescent="0.35">
      <c r="Z561" s="4"/>
      <c r="AA561" s="4"/>
      <c r="AB561" s="4" t="e">
        <f ca="1">_xll.ciqfunctions.udf.CIQ("^SPX", "IQ_PRICEDATE", "3/15/2016")</f>
        <v>#NAME?</v>
      </c>
      <c r="AC561" s="16">
        <v>2015.9279249064</v>
      </c>
    </row>
    <row r="562" spans="26:29" x14ac:dyDescent="0.35">
      <c r="Z562" s="4"/>
      <c r="AA562" s="4"/>
      <c r="AB562" s="4" t="e">
        <f ca="1">_xll.ciqfunctions.udf.CIQ("^SPX", "IQ_PRICEDATE", "3/16/2016")</f>
        <v>#NAME?</v>
      </c>
      <c r="AC562" s="16">
        <v>2027.2173933161</v>
      </c>
    </row>
    <row r="563" spans="26:29" x14ac:dyDescent="0.35">
      <c r="Z563" s="4"/>
      <c r="AA563" s="4"/>
      <c r="AB563" s="4" t="e">
        <f ca="1">_xll.ciqfunctions.udf.CIQ("^SPX", "IQ_PRICEDATE", "3/17/2016")</f>
        <v>#NAME?</v>
      </c>
      <c r="AC563" s="16">
        <v>2040.5911529636001</v>
      </c>
    </row>
    <row r="564" spans="26:29" x14ac:dyDescent="0.35">
      <c r="Z564" s="4"/>
      <c r="AA564" s="4"/>
      <c r="AB564" s="4" t="e">
        <f ca="1">_xll.ciqfunctions.udf.CIQ("^SPX", "IQ_PRICEDATE", "3/18/2016")</f>
        <v>#NAME?</v>
      </c>
      <c r="AC564" s="16">
        <v>2049.5767766017998</v>
      </c>
    </row>
    <row r="565" spans="26:29" x14ac:dyDescent="0.35">
      <c r="Z565" s="4"/>
      <c r="AA565" s="4"/>
      <c r="AB565" s="4" t="e">
        <f ca="1">_xll.ciqfunctions.udf.CIQ("^SPX", "IQ_PRICEDATE", "3/21/2016")</f>
        <v>#NAME?</v>
      </c>
      <c r="AC565" s="16">
        <v>2051.6002316302001</v>
      </c>
    </row>
    <row r="566" spans="26:29" x14ac:dyDescent="0.35">
      <c r="Z566" s="4"/>
      <c r="AA566" s="4"/>
      <c r="AB566" s="4" t="e">
        <f ca="1">_xll.ciqfunctions.udf.CIQ("^SPX", "IQ_PRICEDATE", "3/22/2016")</f>
        <v>#NAME?</v>
      </c>
      <c r="AC566" s="16">
        <v>2049.8035026558</v>
      </c>
    </row>
    <row r="567" spans="26:29" x14ac:dyDescent="0.35">
      <c r="Z567" s="4"/>
      <c r="AA567" s="4"/>
      <c r="AB567" s="4" t="e">
        <f ca="1">_xll.ciqfunctions.udf.CIQ("^SPX", "IQ_PRICEDATE", "3/23/2016")</f>
        <v>#NAME?</v>
      </c>
      <c r="AC567" s="16">
        <v>2036.7127614671999</v>
      </c>
    </row>
    <row r="568" spans="26:29" x14ac:dyDescent="0.35">
      <c r="Z568" s="4"/>
      <c r="AA568" s="4"/>
      <c r="AB568" s="4" t="e">
        <f ca="1">_xll.ciqfunctions.udf.CIQ("^SPX", "IQ_PRICEDATE", "3/24/2016")</f>
        <v>#NAME?</v>
      </c>
      <c r="AC568" s="16">
        <v>2035.9359056955</v>
      </c>
    </row>
    <row r="569" spans="26:29" x14ac:dyDescent="0.35">
      <c r="Z569" s="4"/>
      <c r="AA569" s="4"/>
      <c r="AB569" s="4" t="e">
        <f ca="1">_xll.ciqfunctions.udf.CIQ("^SPX", "IQ_PRICEDATE", "3/28/2016")</f>
        <v>#NAME?</v>
      </c>
      <c r="AC569" s="16">
        <v>2037.0494688776</v>
      </c>
    </row>
    <row r="570" spans="26:29" x14ac:dyDescent="0.35">
      <c r="Z570" s="4"/>
      <c r="AA570" s="4"/>
      <c r="AB570" s="4" t="e">
        <f ca="1">_xll.ciqfunctions.udf.CIQ("^SPX", "IQ_PRICEDATE", "3/29/2016")</f>
        <v>#NAME?</v>
      </c>
      <c r="AC570" s="16">
        <v>2055.0136334985</v>
      </c>
    </row>
    <row r="571" spans="26:29" x14ac:dyDescent="0.35">
      <c r="Z571" s="4"/>
      <c r="AA571" s="4"/>
      <c r="AB571" s="4" t="e">
        <f ca="1">_xll.ciqfunctions.udf.CIQ("^SPX", "IQ_PRICEDATE", "3/30/2016")</f>
        <v>#NAME?</v>
      </c>
      <c r="AC571" s="16">
        <v>2063.9455731809999</v>
      </c>
    </row>
    <row r="572" spans="26:29" x14ac:dyDescent="0.35">
      <c r="Z572" s="4"/>
      <c r="AA572" s="4"/>
      <c r="AB572" s="4" t="e">
        <f ca="1">_xll.ciqfunctions.udf.CIQ("^SPX", "IQ_PRICEDATE", "3/31/2016")</f>
        <v>#NAME?</v>
      </c>
      <c r="AC572" s="16">
        <v>2059.7411766012001</v>
      </c>
    </row>
    <row r="573" spans="26:29" x14ac:dyDescent="0.35">
      <c r="Z573" s="4"/>
      <c r="AA573" s="4"/>
      <c r="AB573" s="4" t="e">
        <f ca="1">_xll.ciqfunctions.udf.CIQ("^SPX", "IQ_PRICEDATE", "4/1/2016")</f>
        <v>#NAME?</v>
      </c>
      <c r="AC573" s="16">
        <v>2072.7790722503</v>
      </c>
    </row>
    <row r="574" spans="26:29" x14ac:dyDescent="0.35">
      <c r="Z574" s="4"/>
      <c r="AA574" s="4"/>
      <c r="AB574" s="4" t="e">
        <f ca="1">_xll.ciqfunctions.udf.CIQ("^SPX", "IQ_PRICEDATE", "4/4/2016")</f>
        <v>#NAME?</v>
      </c>
      <c r="AC574" s="16">
        <v>2066.1294033761001</v>
      </c>
    </row>
    <row r="575" spans="26:29" x14ac:dyDescent="0.35">
      <c r="Z575" s="4"/>
      <c r="AA575" s="4"/>
      <c r="AB575" s="4" t="e">
        <f ca="1">_xll.ciqfunctions.udf.CIQ("^SPX", "IQ_PRICEDATE", "4/5/2016")</f>
        <v>#NAME?</v>
      </c>
      <c r="AC575" s="16">
        <v>2045.1667952564001</v>
      </c>
    </row>
    <row r="576" spans="26:29" x14ac:dyDescent="0.35">
      <c r="Z576" s="4"/>
      <c r="AA576" s="4"/>
      <c r="AB576" s="4" t="e">
        <f ca="1">_xll.ciqfunctions.udf.CIQ("^SPX", "IQ_PRICEDATE", "4/6/2016")</f>
        <v>#NAME?</v>
      </c>
      <c r="AC576" s="16">
        <v>2066.6648189460998</v>
      </c>
    </row>
    <row r="577" spans="26:29" x14ac:dyDescent="0.35">
      <c r="Z577" s="4"/>
      <c r="AA577" s="4"/>
      <c r="AB577" s="4" t="e">
        <f ca="1">_xll.ciqfunctions.udf.CIQ("^SPX", "IQ_PRICEDATE", "4/7/2016")</f>
        <v>#NAME?</v>
      </c>
      <c r="AC577" s="16">
        <v>2041.9119416724</v>
      </c>
    </row>
    <row r="578" spans="26:29" x14ac:dyDescent="0.35">
      <c r="Z578" s="4"/>
      <c r="AA578" s="4"/>
      <c r="AB578" s="4" t="e">
        <f ca="1">_xll.ciqfunctions.udf.CIQ("^SPX", "IQ_PRICEDATE", "4/8/2016")</f>
        <v>#NAME?</v>
      </c>
      <c r="AC578" s="16">
        <v>2047.5971324052</v>
      </c>
    </row>
    <row r="579" spans="26:29" x14ac:dyDescent="0.35">
      <c r="Z579" s="4"/>
      <c r="AA579" s="4"/>
      <c r="AB579" s="4" t="e">
        <f ca="1">_xll.ciqfunctions.udf.CIQ("^SPX", "IQ_PRICEDATE", "4/11/2016")</f>
        <v>#NAME?</v>
      </c>
      <c r="AC579" s="16">
        <v>2041.9860446721</v>
      </c>
    </row>
    <row r="580" spans="26:29" x14ac:dyDescent="0.35">
      <c r="Z580" s="4"/>
      <c r="AA580" s="4"/>
      <c r="AB580" s="4" t="e">
        <f ca="1">_xll.ciqfunctions.udf.CIQ("^SPX", "IQ_PRICEDATE", "4/12/2016")</f>
        <v>#NAME?</v>
      </c>
      <c r="AC580" s="16">
        <v>2061.7184466693002</v>
      </c>
    </row>
    <row r="581" spans="26:29" x14ac:dyDescent="0.35">
      <c r="Z581" s="4"/>
      <c r="AA581" s="4"/>
      <c r="AB581" s="4" t="e">
        <f ca="1">_xll.ciqfunctions.udf.CIQ("^SPX", "IQ_PRICEDATE", "4/13/2016")</f>
        <v>#NAME?</v>
      </c>
      <c r="AC581" s="16">
        <v>2082.4206422921998</v>
      </c>
    </row>
    <row r="582" spans="26:29" x14ac:dyDescent="0.35">
      <c r="Z582" s="4"/>
      <c r="AA582" s="4"/>
      <c r="AB582" s="4" t="e">
        <f ca="1">_xll.ciqfunctions.udf.CIQ("^SPX", "IQ_PRICEDATE", "4/14/2016")</f>
        <v>#NAME?</v>
      </c>
      <c r="AC582" s="16">
        <v>2082.7830910424</v>
      </c>
    </row>
    <row r="583" spans="26:29" x14ac:dyDescent="0.35">
      <c r="Z583" s="4"/>
      <c r="AA583" s="4"/>
      <c r="AB583" s="4" t="e">
        <f ca="1">_xll.ciqfunctions.udf.CIQ("^SPX", "IQ_PRICEDATE", "4/15/2016")</f>
        <v>#NAME?</v>
      </c>
      <c r="AC583" s="16">
        <v>2080.7329648233999</v>
      </c>
    </row>
    <row r="584" spans="26:29" x14ac:dyDescent="0.35">
      <c r="Z584" s="4"/>
      <c r="AA584" s="4"/>
      <c r="AB584" s="4" t="e">
        <f ca="1">_xll.ciqfunctions.udf.CIQ("^SPX", "IQ_PRICEDATE", "4/18/2016")</f>
        <v>#NAME?</v>
      </c>
      <c r="AC584" s="16">
        <v>2094.3403310812</v>
      </c>
    </row>
    <row r="585" spans="26:29" x14ac:dyDescent="0.35">
      <c r="Z585" s="4"/>
      <c r="AA585" s="4"/>
      <c r="AB585" s="4" t="e">
        <f ca="1">_xll.ciqfunctions.udf.CIQ("^SPX", "IQ_PRICEDATE", "4/19/2016")</f>
        <v>#NAME?</v>
      </c>
      <c r="AC585" s="16">
        <v>2100.7987332940002</v>
      </c>
    </row>
    <row r="586" spans="26:29" x14ac:dyDescent="0.35">
      <c r="Z586" s="4"/>
      <c r="AA586" s="4"/>
      <c r="AB586" s="4" t="e">
        <f ca="1">_xll.ciqfunctions.udf.CIQ("^SPX", "IQ_PRICEDATE", "4/20/2016")</f>
        <v>#NAME?</v>
      </c>
      <c r="AC586" s="16">
        <v>2102.3966553845999</v>
      </c>
    </row>
    <row r="587" spans="26:29" x14ac:dyDescent="0.35">
      <c r="Z587" s="4"/>
      <c r="AA587" s="4"/>
      <c r="AB587" s="4" t="e">
        <f ca="1">_xll.ciqfunctions.udf.CIQ("^SPX", "IQ_PRICEDATE", "4/21/2016")</f>
        <v>#NAME?</v>
      </c>
      <c r="AC587" s="16">
        <v>2091.4836606396002</v>
      </c>
    </row>
    <row r="588" spans="26:29" x14ac:dyDescent="0.35">
      <c r="Z588" s="4"/>
      <c r="AA588" s="4"/>
      <c r="AB588" s="4" t="e">
        <f ca="1">_xll.ciqfunctions.udf.CIQ("^SPX", "IQ_PRICEDATE", "4/22/2016")</f>
        <v>#NAME?</v>
      </c>
      <c r="AC588" s="16">
        <v>2091.5801018706002</v>
      </c>
    </row>
    <row r="589" spans="26:29" x14ac:dyDescent="0.35">
      <c r="Z589" s="4"/>
      <c r="AA589" s="4"/>
      <c r="AB589" s="4" t="e">
        <f ca="1">_xll.ciqfunctions.udf.CIQ("^SPX", "IQ_PRICEDATE", "4/25/2016")</f>
        <v>#NAME?</v>
      </c>
      <c r="AC589" s="16">
        <v>2087.7944702435002</v>
      </c>
    </row>
    <row r="590" spans="26:29" x14ac:dyDescent="0.35">
      <c r="Z590" s="4"/>
      <c r="AA590" s="4"/>
      <c r="AB590" s="4" t="e">
        <f ca="1">_xll.ciqfunctions.udf.CIQ("^SPX", "IQ_PRICEDATE", "4/26/2016")</f>
        <v>#NAME?</v>
      </c>
      <c r="AC590" s="16">
        <v>2091.6985448183</v>
      </c>
    </row>
    <row r="591" spans="26:29" x14ac:dyDescent="0.35">
      <c r="Z591" s="4"/>
      <c r="AA591" s="4"/>
      <c r="AB591" s="4" t="e">
        <f ca="1">_xll.ciqfunctions.udf.CIQ("^SPX", "IQ_PRICEDATE", "4/27/2016")</f>
        <v>#NAME?</v>
      </c>
      <c r="AC591" s="16">
        <v>2095.1543936148</v>
      </c>
    </row>
    <row r="592" spans="26:29" x14ac:dyDescent="0.35">
      <c r="Z592" s="4"/>
      <c r="AA592" s="4"/>
      <c r="AB592" s="4" t="e">
        <f ca="1">_xll.ciqfunctions.udf.CIQ("^SPX", "IQ_PRICEDATE", "4/28/2016")</f>
        <v>#NAME?</v>
      </c>
      <c r="AC592" s="16">
        <v>2075.8106634737001</v>
      </c>
    </row>
    <row r="593" spans="26:29" x14ac:dyDescent="0.35">
      <c r="Z593" s="4"/>
      <c r="AA593" s="4"/>
      <c r="AB593" s="4" t="e">
        <f ca="1">_xll.ciqfunctions.udf.CIQ("^SPX", "IQ_PRICEDATE", "4/29/2016")</f>
        <v>#NAME?</v>
      </c>
      <c r="AC593" s="16">
        <v>2065.2963010051999</v>
      </c>
    </row>
    <row r="594" spans="26:29" x14ac:dyDescent="0.35">
      <c r="Z594" s="4"/>
      <c r="AA594" s="4"/>
      <c r="AB594" s="4" t="e">
        <f ca="1">_xll.ciqfunctions.udf.CIQ("^SPX", "IQ_PRICEDATE", "5/2/2016")</f>
        <v>#NAME?</v>
      </c>
      <c r="AC594" s="16">
        <v>2081.4302172006001</v>
      </c>
    </row>
    <row r="595" spans="26:29" x14ac:dyDescent="0.35">
      <c r="Z595" s="4"/>
      <c r="AA595" s="4"/>
      <c r="AB595" s="4" t="e">
        <f ca="1">_xll.ciqfunctions.udf.CIQ("^SPX", "IQ_PRICEDATE", "5/3/2016")</f>
        <v>#NAME?</v>
      </c>
      <c r="AC595" s="16">
        <v>2063.3668538899001</v>
      </c>
    </row>
    <row r="596" spans="26:29" x14ac:dyDescent="0.35">
      <c r="Z596" s="4"/>
      <c r="AA596" s="4"/>
      <c r="AB596" s="4" t="e">
        <f ca="1">_xll.ciqfunctions.udf.CIQ("^SPX", "IQ_PRICEDATE", "5/4/2016")</f>
        <v>#NAME?</v>
      </c>
      <c r="AC596" s="16">
        <v>2051.1212619793</v>
      </c>
    </row>
    <row r="597" spans="26:29" x14ac:dyDescent="0.35">
      <c r="Z597" s="4"/>
      <c r="AA597" s="4"/>
      <c r="AB597" s="4" t="e">
        <f ca="1">_xll.ciqfunctions.udf.CIQ("^SPX", "IQ_PRICEDATE", "5/5/2016")</f>
        <v>#NAME?</v>
      </c>
      <c r="AC597" s="16">
        <v>2050.6287420499002</v>
      </c>
    </row>
    <row r="598" spans="26:29" x14ac:dyDescent="0.35">
      <c r="Z598" s="4"/>
      <c r="AA598" s="4"/>
      <c r="AB598" s="4" t="e">
        <f ca="1">_xll.ciqfunctions.udf.CIQ("^SPX", "IQ_PRICEDATE", "5/6/2016")</f>
        <v>#NAME?</v>
      </c>
      <c r="AC598" s="16">
        <v>2057.1424213606001</v>
      </c>
    </row>
    <row r="599" spans="26:29" x14ac:dyDescent="0.35">
      <c r="Z599" s="4"/>
      <c r="AA599" s="4"/>
      <c r="AB599" s="4" t="e">
        <f ca="1">_xll.ciqfunctions.udf.CIQ("^SPX", "IQ_PRICEDATE", "5/9/2016")</f>
        <v>#NAME?</v>
      </c>
      <c r="AC599" s="16">
        <v>2058.6910661584002</v>
      </c>
    </row>
    <row r="600" spans="26:29" x14ac:dyDescent="0.35">
      <c r="Z600" s="4"/>
      <c r="AA600" s="4"/>
      <c r="AB600" s="4" t="e">
        <f ca="1">_xll.ciqfunctions.udf.CIQ("^SPX", "IQ_PRICEDATE", "5/10/2016")</f>
        <v>#NAME?</v>
      </c>
      <c r="AC600" s="16">
        <v>2084.3861226132999</v>
      </c>
    </row>
    <row r="601" spans="26:29" x14ac:dyDescent="0.35">
      <c r="Z601" s="4"/>
      <c r="AA601" s="4"/>
      <c r="AB601" s="4" t="e">
        <f ca="1">_xll.ciqfunctions.udf.CIQ("^SPX", "IQ_PRICEDATE", "5/11/2016")</f>
        <v>#NAME?</v>
      </c>
      <c r="AC601" s="16">
        <v>2064.4619029935998</v>
      </c>
    </row>
    <row r="602" spans="26:29" x14ac:dyDescent="0.35">
      <c r="Z602" s="4"/>
      <c r="AA602" s="4"/>
      <c r="AB602" s="4" t="e">
        <f ca="1">_xll.ciqfunctions.udf.CIQ("^SPX", "IQ_PRICEDATE", "5/12/2016")</f>
        <v>#NAME?</v>
      </c>
      <c r="AC602" s="16">
        <v>2064.1074656146002</v>
      </c>
    </row>
    <row r="603" spans="26:29" x14ac:dyDescent="0.35">
      <c r="Z603" s="4"/>
      <c r="AA603" s="4"/>
      <c r="AB603" s="4" t="e">
        <f ca="1">_xll.ciqfunctions.udf.CIQ("^SPX", "IQ_PRICEDATE", "5/13/2016")</f>
        <v>#NAME?</v>
      </c>
      <c r="AC603" s="16">
        <v>2046.6129226142</v>
      </c>
    </row>
    <row r="604" spans="26:29" x14ac:dyDescent="0.35">
      <c r="Z604" s="4"/>
      <c r="AA604" s="4"/>
      <c r="AB604" s="4" t="e">
        <f ca="1">_xll.ciqfunctions.udf.CIQ("^SPX", "IQ_PRICEDATE", "5/16/2016")</f>
        <v>#NAME?</v>
      </c>
      <c r="AC604" s="16">
        <v>2066.6571610419001</v>
      </c>
    </row>
    <row r="605" spans="26:29" x14ac:dyDescent="0.35">
      <c r="Z605" s="4"/>
      <c r="AA605" s="4"/>
      <c r="AB605" s="4" t="e">
        <f ca="1">_xll.ciqfunctions.udf.CIQ("^SPX", "IQ_PRICEDATE", "5/17/2016")</f>
        <v>#NAME?</v>
      </c>
      <c r="AC605" s="16">
        <v>2047.2058127273999</v>
      </c>
    </row>
    <row r="606" spans="26:29" x14ac:dyDescent="0.35">
      <c r="Z606" s="4"/>
      <c r="AA606" s="4"/>
      <c r="AB606" s="4" t="e">
        <f ca="1">_xll.ciqfunctions.udf.CIQ("^SPX", "IQ_PRICEDATE", "5/18/2016")</f>
        <v>#NAME?</v>
      </c>
      <c r="AC606" s="16">
        <v>2047.6272305970001</v>
      </c>
    </row>
    <row r="607" spans="26:29" x14ac:dyDescent="0.35">
      <c r="Z607" s="4"/>
      <c r="AA607" s="4"/>
      <c r="AB607" s="4" t="e">
        <f ca="1">_xll.ciqfunctions.udf.CIQ("^SPX", "IQ_PRICEDATE", "5/19/2016")</f>
        <v>#NAME?</v>
      </c>
      <c r="AC607" s="16">
        <v>2040.0398896362001</v>
      </c>
    </row>
    <row r="608" spans="26:29" x14ac:dyDescent="0.35">
      <c r="Z608" s="4"/>
      <c r="AA608" s="4"/>
      <c r="AB608" s="4" t="e">
        <f ca="1">_xll.ciqfunctions.udf.CIQ("^SPX", "IQ_PRICEDATE", "5/20/2016")</f>
        <v>#NAME?</v>
      </c>
      <c r="AC608" s="16">
        <v>2052.3180528978</v>
      </c>
    </row>
    <row r="609" spans="26:29" x14ac:dyDescent="0.35">
      <c r="Z609" s="4"/>
      <c r="AA609" s="4"/>
      <c r="AB609" s="4" t="e">
        <f ca="1">_xll.ciqfunctions.udf.CIQ("^SPX", "IQ_PRICEDATE", "5/23/2016")</f>
        <v>#NAME?</v>
      </c>
      <c r="AC609" s="16">
        <v>2048.0432790190998</v>
      </c>
    </row>
    <row r="610" spans="26:29" x14ac:dyDescent="0.35">
      <c r="Z610" s="4"/>
      <c r="AA610" s="4"/>
      <c r="AB610" s="4" t="e">
        <f ca="1">_xll.ciqfunctions.udf.CIQ("^SPX", "IQ_PRICEDATE", "5/24/2016")</f>
        <v>#NAME?</v>
      </c>
      <c r="AC610" s="16">
        <v>2076.0578170170002</v>
      </c>
    </row>
    <row r="611" spans="26:29" x14ac:dyDescent="0.35">
      <c r="Z611" s="4"/>
      <c r="AA611" s="4"/>
      <c r="AB611" s="4" t="e">
        <f ca="1">_xll.ciqfunctions.udf.CIQ("^SPX", "IQ_PRICEDATE", "5/25/2016")</f>
        <v>#NAME?</v>
      </c>
      <c r="AC611" s="16">
        <v>2090.5430039206999</v>
      </c>
    </row>
    <row r="612" spans="26:29" x14ac:dyDescent="0.35">
      <c r="Z612" s="4"/>
      <c r="AA612" s="4"/>
      <c r="AB612" s="4" t="e">
        <f ca="1">_xll.ciqfunctions.udf.CIQ("^SPX", "IQ_PRICEDATE", "5/26/2016")</f>
        <v>#NAME?</v>
      </c>
      <c r="AC612" s="16">
        <v>2090.1009750070002</v>
      </c>
    </row>
    <row r="613" spans="26:29" x14ac:dyDescent="0.35">
      <c r="Z613" s="4"/>
      <c r="AA613" s="4"/>
      <c r="AB613" s="4" t="e">
        <f ca="1">_xll.ciqfunctions.udf.CIQ("^SPX", "IQ_PRICEDATE", "5/27/2016")</f>
        <v>#NAME?</v>
      </c>
      <c r="AC613" s="16">
        <v>2099.0604609477</v>
      </c>
    </row>
    <row r="614" spans="26:29" x14ac:dyDescent="0.35">
      <c r="Z614" s="4"/>
      <c r="AA614" s="4"/>
      <c r="AB614" s="4" t="e">
        <f ca="1">_xll.ciqfunctions.udf.CIQ("^SPX", "IQ_PRICEDATE", "5/31/2016")</f>
        <v>#NAME?</v>
      </c>
      <c r="AC614" s="16">
        <v>2096.9641950705</v>
      </c>
    </row>
    <row r="615" spans="26:29" x14ac:dyDescent="0.35">
      <c r="Z615" s="4"/>
      <c r="AA615" s="4"/>
      <c r="AB615" s="4" t="e">
        <f ca="1">_xll.ciqfunctions.udf.CIQ("^SPX", "IQ_PRICEDATE", "6/1/2016")</f>
        <v>#NAME?</v>
      </c>
      <c r="AC615" s="16">
        <v>2099.3299950290998</v>
      </c>
    </row>
    <row r="616" spans="26:29" x14ac:dyDescent="0.35">
      <c r="Z616" s="4"/>
      <c r="AA616" s="4"/>
      <c r="AB616" s="4" t="e">
        <f ca="1">_xll.ciqfunctions.udf.CIQ("^SPX", "IQ_PRICEDATE", "6/2/2016")</f>
        <v>#NAME?</v>
      </c>
      <c r="AC616" s="16">
        <v>2105.2643409194998</v>
      </c>
    </row>
    <row r="617" spans="26:29" x14ac:dyDescent="0.35">
      <c r="Z617" s="4"/>
      <c r="AA617" s="4"/>
      <c r="AB617" s="4" t="e">
        <f ca="1">_xll.ciqfunctions.udf.CIQ("^SPX", "IQ_PRICEDATE", "6/3/2016")</f>
        <v>#NAME?</v>
      </c>
      <c r="AC617" s="16">
        <v>2099.1285740266999</v>
      </c>
    </row>
    <row r="618" spans="26:29" x14ac:dyDescent="0.35">
      <c r="Z618" s="4"/>
      <c r="AA618" s="4"/>
      <c r="AB618" s="4" t="e">
        <f ca="1">_xll.ciqfunctions.udf.CIQ("^SPX", "IQ_PRICEDATE", "6/6/2016")</f>
        <v>#NAME?</v>
      </c>
      <c r="AC618" s="16">
        <v>2109.4068447715999</v>
      </c>
    </row>
    <row r="619" spans="26:29" x14ac:dyDescent="0.35">
      <c r="Z619" s="4"/>
      <c r="AA619" s="4"/>
      <c r="AB619" s="4" t="e">
        <f ca="1">_xll.ciqfunctions.udf.CIQ("^SPX", "IQ_PRICEDATE", "6/7/2016")</f>
        <v>#NAME?</v>
      </c>
      <c r="AC619" s="16">
        <v>2112.1270716708</v>
      </c>
    </row>
    <row r="620" spans="26:29" x14ac:dyDescent="0.35">
      <c r="Z620" s="4"/>
      <c r="AA620" s="4"/>
      <c r="AB620" s="4" t="e">
        <f ca="1">_xll.ciqfunctions.udf.CIQ("^SPX", "IQ_PRICEDATE", "6/8/2016")</f>
        <v>#NAME?</v>
      </c>
      <c r="AC620" s="16">
        <v>2119.1182685772001</v>
      </c>
    </row>
    <row r="621" spans="26:29" x14ac:dyDescent="0.35">
      <c r="Z621" s="4"/>
      <c r="AA621" s="4"/>
      <c r="AB621" s="4" t="e">
        <f ca="1">_xll.ciqfunctions.udf.CIQ("^SPX", "IQ_PRICEDATE", "6/9/2016")</f>
        <v>#NAME?</v>
      </c>
      <c r="AC621" s="16">
        <v>2115.4777557885</v>
      </c>
    </row>
    <row r="622" spans="26:29" x14ac:dyDescent="0.35">
      <c r="Z622" s="4"/>
      <c r="AA622" s="4"/>
      <c r="AB622" s="4" t="e">
        <f ca="1">_xll.ciqfunctions.udf.CIQ("^SPX", "IQ_PRICEDATE", "6/10/2016")</f>
        <v>#NAME?</v>
      </c>
      <c r="AC622" s="16">
        <v>2096.0710133092002</v>
      </c>
    </row>
    <row r="623" spans="26:29" x14ac:dyDescent="0.35">
      <c r="Z623" s="4"/>
      <c r="AA623" s="4"/>
      <c r="AB623" s="4" t="e">
        <f ca="1">_xll.ciqfunctions.udf.CIQ("^SPX", "IQ_PRICEDATE", "6/13/2016")</f>
        <v>#NAME?</v>
      </c>
      <c r="AC623" s="16">
        <v>2079.0589804432002</v>
      </c>
    </row>
    <row r="624" spans="26:29" x14ac:dyDescent="0.35">
      <c r="Z624" s="4"/>
      <c r="AA624" s="4"/>
      <c r="AB624" s="4" t="e">
        <f ca="1">_xll.ciqfunctions.udf.CIQ("^SPX", "IQ_PRICEDATE", "6/14/2016")</f>
        <v>#NAME?</v>
      </c>
      <c r="AC624" s="16">
        <v>2075.3159582056001</v>
      </c>
    </row>
    <row r="625" spans="26:29" x14ac:dyDescent="0.35">
      <c r="Z625" s="4"/>
      <c r="AA625" s="4"/>
      <c r="AB625" s="4" t="e">
        <f ca="1">_xll.ciqfunctions.udf.CIQ("^SPX", "IQ_PRICEDATE", "6/15/2016")</f>
        <v>#NAME?</v>
      </c>
      <c r="AC625" s="16">
        <v>2071.5022827118</v>
      </c>
    </row>
    <row r="626" spans="26:29" x14ac:dyDescent="0.35">
      <c r="Z626" s="4"/>
      <c r="AA626" s="4"/>
      <c r="AB626" s="4" t="e">
        <f ca="1">_xll.ciqfunctions.udf.CIQ("^SPX", "IQ_PRICEDATE", "6/16/2016")</f>
        <v>#NAME?</v>
      </c>
      <c r="AC626" s="16">
        <v>2077.9938893249</v>
      </c>
    </row>
    <row r="627" spans="26:29" x14ac:dyDescent="0.35">
      <c r="Z627" s="4"/>
      <c r="AA627" s="4"/>
      <c r="AB627" s="4" t="e">
        <f ca="1">_xll.ciqfunctions.udf.CIQ("^SPX", "IQ_PRICEDATE", "6/17/2016")</f>
        <v>#NAME?</v>
      </c>
      <c r="AC627" s="16">
        <v>2071.2196945688002</v>
      </c>
    </row>
    <row r="628" spans="26:29" x14ac:dyDescent="0.35">
      <c r="Z628" s="4"/>
      <c r="AA628" s="4"/>
      <c r="AB628" s="4" t="e">
        <f ca="1">_xll.ciqfunctions.udf.CIQ("^SPX", "IQ_PRICEDATE", "6/20/2016")</f>
        <v>#NAME?</v>
      </c>
      <c r="AC628" s="16">
        <v>2083.2490307027001</v>
      </c>
    </row>
    <row r="629" spans="26:29" x14ac:dyDescent="0.35">
      <c r="Z629" s="4"/>
      <c r="AA629" s="4"/>
      <c r="AB629" s="4" t="e">
        <f ca="1">_xll.ciqfunctions.udf.CIQ("^SPX", "IQ_PRICEDATE", "6/21/2016")</f>
        <v>#NAME?</v>
      </c>
      <c r="AC629" s="16">
        <v>2088.8995479027999</v>
      </c>
    </row>
    <row r="630" spans="26:29" x14ac:dyDescent="0.35">
      <c r="Z630" s="4"/>
      <c r="AA630" s="4"/>
      <c r="AB630" s="4" t="e">
        <f ca="1">_xll.ciqfunctions.udf.CIQ("^SPX", "IQ_PRICEDATE", "6/22/2016")</f>
        <v>#NAME?</v>
      </c>
      <c r="AC630" s="16">
        <v>2085.4497233948</v>
      </c>
    </row>
    <row r="631" spans="26:29" x14ac:dyDescent="0.35">
      <c r="Z631" s="4"/>
      <c r="AA631" s="4"/>
      <c r="AB631" s="4" t="e">
        <f ca="1">_xll.ciqfunctions.udf.CIQ("^SPX", "IQ_PRICEDATE", "6/23/2016")</f>
        <v>#NAME?</v>
      </c>
      <c r="AC631" s="16">
        <v>2113.3206788011998</v>
      </c>
    </row>
    <row r="632" spans="26:29" x14ac:dyDescent="0.35">
      <c r="Z632" s="4"/>
      <c r="AA632" s="4"/>
      <c r="AB632" s="4" t="e">
        <f ca="1">_xll.ciqfunctions.udf.CIQ("^SPX", "IQ_PRICEDATE", "6/24/2016")</f>
        <v>#NAME?</v>
      </c>
      <c r="AC632" s="16">
        <v>2037.4051843633999</v>
      </c>
    </row>
    <row r="633" spans="26:29" x14ac:dyDescent="0.35">
      <c r="Z633" s="4"/>
      <c r="AA633" s="4"/>
      <c r="AB633" s="4" t="e">
        <f ca="1">_xll.ciqfunctions.udf.CIQ("^SPX", "IQ_PRICEDATE", "6/27/2016")</f>
        <v>#NAME?</v>
      </c>
      <c r="AC633" s="16">
        <v>2000.5352536809</v>
      </c>
    </row>
    <row r="634" spans="26:29" x14ac:dyDescent="0.35">
      <c r="Z634" s="4"/>
      <c r="AA634" s="4"/>
      <c r="AB634" s="4" t="e">
        <f ca="1">_xll.ciqfunctions.udf.CIQ("^SPX", "IQ_PRICEDATE", "6/28/2016")</f>
        <v>#NAME?</v>
      </c>
      <c r="AC634" s="16">
        <v>2036.0912294648001</v>
      </c>
    </row>
    <row r="635" spans="26:29" x14ac:dyDescent="0.35">
      <c r="Z635" s="4"/>
      <c r="AA635" s="4"/>
      <c r="AB635" s="4" t="e">
        <f ca="1">_xll.ciqfunctions.udf.CIQ("^SPX", "IQ_PRICEDATE", "6/29/2016")</f>
        <v>#NAME?</v>
      </c>
      <c r="AC635" s="16">
        <v>2070.7713064509999</v>
      </c>
    </row>
    <row r="636" spans="26:29" x14ac:dyDescent="0.35">
      <c r="Z636" s="4"/>
      <c r="AA636" s="4"/>
      <c r="AB636" s="4" t="e">
        <f ca="1">_xll.ciqfunctions.udf.CIQ("^SPX", "IQ_PRICEDATE", "6/30/2016")</f>
        <v>#NAME?</v>
      </c>
      <c r="AC636" s="16">
        <v>2098.8552265056001</v>
      </c>
    </row>
    <row r="637" spans="26:29" x14ac:dyDescent="0.35">
      <c r="Z637" s="4"/>
      <c r="AA637" s="4"/>
      <c r="AB637" s="4" t="e">
        <f ca="1">_xll.ciqfunctions.udf.CIQ("^SPX", "IQ_PRICEDATE", "7/1/2016")</f>
        <v>#NAME?</v>
      </c>
      <c r="AC637" s="16">
        <v>2102.9534922367002</v>
      </c>
    </row>
    <row r="638" spans="26:29" x14ac:dyDescent="0.35">
      <c r="Z638" s="4"/>
      <c r="AA638" s="4"/>
      <c r="AB638" s="4" t="e">
        <f ca="1">_xll.ciqfunctions.udf.CIQ("^SPX", "IQ_PRICEDATE", "7/5/2016")</f>
        <v>#NAME?</v>
      </c>
      <c r="AC638" s="16">
        <v>2088.5460361504001</v>
      </c>
    </row>
    <row r="639" spans="26:29" x14ac:dyDescent="0.35">
      <c r="Z639" s="4"/>
      <c r="AA639" s="4"/>
      <c r="AB639" s="4" t="e">
        <f ca="1">_xll.ciqfunctions.udf.CIQ("^SPX", "IQ_PRICEDATE", "7/6/2016")</f>
        <v>#NAME?</v>
      </c>
      <c r="AC639" s="16">
        <v>2099.7342908189999</v>
      </c>
    </row>
    <row r="640" spans="26:29" x14ac:dyDescent="0.35">
      <c r="Z640" s="4"/>
      <c r="AA640" s="4"/>
      <c r="AB640" s="4" t="e">
        <f ca="1">_xll.ciqfunctions.udf.CIQ("^SPX", "IQ_PRICEDATE", "7/7/2016")</f>
        <v>#NAME?</v>
      </c>
      <c r="AC640" s="16">
        <v>2097.8997750080998</v>
      </c>
    </row>
    <row r="641" spans="26:29" x14ac:dyDescent="0.35">
      <c r="Z641" s="4"/>
      <c r="AA641" s="4"/>
      <c r="AB641" s="4" t="e">
        <f ca="1">_xll.ciqfunctions.udf.CIQ("^SPX", "IQ_PRICEDATE", "7/8/2016")</f>
        <v>#NAME?</v>
      </c>
      <c r="AC641" s="16">
        <v>2129.8979817799</v>
      </c>
    </row>
    <row r="642" spans="26:29" x14ac:dyDescent="0.35">
      <c r="Z642" s="4"/>
      <c r="AA642" s="4"/>
      <c r="AB642" s="4" t="e">
        <f ca="1">_xll.ciqfunctions.udf.CIQ("^SPX", "IQ_PRICEDATE", "7/11/2016")</f>
        <v>#NAME?</v>
      </c>
      <c r="AC642" s="16">
        <v>2137.1597218421002</v>
      </c>
    </row>
    <row r="643" spans="26:29" x14ac:dyDescent="0.35">
      <c r="Z643" s="4"/>
      <c r="AA643" s="4"/>
      <c r="AB643" s="4" t="e">
        <f ca="1">_xll.ciqfunctions.udf.CIQ("^SPX", "IQ_PRICEDATE", "7/12/2016")</f>
        <v>#NAME?</v>
      </c>
      <c r="AC643" s="16">
        <v>2152.1413985821</v>
      </c>
    </row>
    <row r="644" spans="26:29" x14ac:dyDescent="0.35">
      <c r="Z644" s="4"/>
      <c r="AA644" s="4"/>
      <c r="AB644" s="4" t="e">
        <f ca="1">_xll.ciqfunctions.udf.CIQ("^SPX", "IQ_PRICEDATE", "7/13/2016")</f>
        <v>#NAME?</v>
      </c>
      <c r="AC644" s="16">
        <v>2152.4256572170998</v>
      </c>
    </row>
    <row r="645" spans="26:29" x14ac:dyDescent="0.35">
      <c r="Z645" s="4"/>
      <c r="AA645" s="4"/>
      <c r="AB645" s="4" t="e">
        <f ca="1">_xll.ciqfunctions.udf.CIQ("^SPX", "IQ_PRICEDATE", "7/14/2016")</f>
        <v>#NAME?</v>
      </c>
      <c r="AC645" s="16">
        <v>2163.7475359771001</v>
      </c>
    </row>
    <row r="646" spans="26:29" x14ac:dyDescent="0.35">
      <c r="Z646" s="4"/>
      <c r="AA646" s="4"/>
      <c r="AB646" s="4" t="e">
        <f ca="1">_xll.ciqfunctions.udf.CIQ("^SPX", "IQ_PRICEDATE", "7/15/2016")</f>
        <v>#NAME?</v>
      </c>
      <c r="AC646" s="16">
        <v>2161.7413340346002</v>
      </c>
    </row>
    <row r="647" spans="26:29" x14ac:dyDescent="0.35">
      <c r="Z647" s="4"/>
      <c r="AA647" s="4"/>
      <c r="AB647" s="4" t="e">
        <f ca="1">_xll.ciqfunctions.udf.CIQ("^SPX", "IQ_PRICEDATE", "7/18/2016")</f>
        <v>#NAME?</v>
      </c>
      <c r="AC647" s="16">
        <v>2166.8905245819001</v>
      </c>
    </row>
    <row r="648" spans="26:29" x14ac:dyDescent="0.35">
      <c r="Z648" s="4"/>
      <c r="AA648" s="4"/>
      <c r="AB648" s="4" t="e">
        <f ca="1">_xll.ciqfunctions.udf.CIQ("^SPX", "IQ_PRICEDATE", "7/19/2016")</f>
        <v>#NAME?</v>
      </c>
      <c r="AC648" s="16">
        <v>2163.7810993285998</v>
      </c>
    </row>
    <row r="649" spans="26:29" x14ac:dyDescent="0.35">
      <c r="Z649" s="4"/>
      <c r="AA649" s="4"/>
      <c r="AB649" s="4" t="e">
        <f ca="1">_xll.ciqfunctions.udf.CIQ("^SPX", "IQ_PRICEDATE", "7/20/2016")</f>
        <v>#NAME?</v>
      </c>
      <c r="AC649" s="16">
        <v>2173.0172120746001</v>
      </c>
    </row>
    <row r="650" spans="26:29" x14ac:dyDescent="0.35">
      <c r="Z650" s="4"/>
      <c r="AA650" s="4"/>
      <c r="AB650" s="4" t="e">
        <f ca="1">_xll.ciqfunctions.udf.CIQ("^SPX", "IQ_PRICEDATE", "7/21/2016")</f>
        <v>#NAME?</v>
      </c>
      <c r="AC650" s="16">
        <v>2165.1682977928999</v>
      </c>
    </row>
    <row r="651" spans="26:29" x14ac:dyDescent="0.35">
      <c r="Z651" s="4"/>
      <c r="AA651" s="4"/>
      <c r="AB651" s="4" t="e">
        <f ca="1">_xll.ciqfunctions.udf.CIQ("^SPX", "IQ_PRICEDATE", "7/22/2016")</f>
        <v>#NAME?</v>
      </c>
      <c r="AC651" s="16">
        <v>2175.0290623578999</v>
      </c>
    </row>
    <row r="652" spans="26:29" x14ac:dyDescent="0.35">
      <c r="Z652" s="4"/>
      <c r="AA652" s="4"/>
      <c r="AB652" s="4" t="e">
        <f ca="1">_xll.ciqfunctions.udf.CIQ("^SPX", "IQ_PRICEDATE", "7/25/2016")</f>
        <v>#NAME?</v>
      </c>
      <c r="AC652" s="16">
        <v>2168.4790742916002</v>
      </c>
    </row>
    <row r="653" spans="26:29" x14ac:dyDescent="0.35">
      <c r="Z653" s="4"/>
      <c r="AA653" s="4"/>
      <c r="AB653" s="4" t="e">
        <f ca="1">_xll.ciqfunctions.udf.CIQ("^SPX", "IQ_PRICEDATE", "7/26/2016")</f>
        <v>#NAME?</v>
      </c>
      <c r="AC653" s="16">
        <v>2169.1751918772002</v>
      </c>
    </row>
    <row r="654" spans="26:29" x14ac:dyDescent="0.35">
      <c r="Z654" s="4"/>
      <c r="AA654" s="4"/>
      <c r="AB654" s="4" t="e">
        <f ca="1">_xll.ciqfunctions.udf.CIQ("^SPX", "IQ_PRICEDATE", "7/27/2016")</f>
        <v>#NAME?</v>
      </c>
      <c r="AC654" s="16">
        <v>2166.5804205416998</v>
      </c>
    </row>
    <row r="655" spans="26:29" x14ac:dyDescent="0.35">
      <c r="Z655" s="4"/>
      <c r="AA655" s="4"/>
      <c r="AB655" s="4" t="e">
        <f ca="1">_xll.ciqfunctions.udf.CIQ("^SPX", "IQ_PRICEDATE", "7/28/2016")</f>
        <v>#NAME?</v>
      </c>
      <c r="AC655" s="16">
        <v>2170.0562602812001</v>
      </c>
    </row>
    <row r="656" spans="26:29" x14ac:dyDescent="0.35">
      <c r="Z656" s="4"/>
      <c r="AA656" s="4"/>
      <c r="AB656" s="4" t="e">
        <f ca="1">_xll.ciqfunctions.udf.CIQ("^SPX", "IQ_PRICEDATE", "7/29/2016")</f>
        <v>#NAME?</v>
      </c>
      <c r="AC656" s="16">
        <v>2173.6038598884002</v>
      </c>
    </row>
    <row r="657" spans="26:29" x14ac:dyDescent="0.35">
      <c r="Z657" s="4"/>
      <c r="AA657" s="4"/>
      <c r="AB657" s="4" t="e">
        <f ca="1">_xll.ciqfunctions.udf.CIQ("^SPX", "IQ_PRICEDATE", "8/1/2016")</f>
        <v>#NAME?</v>
      </c>
      <c r="AC657" s="16">
        <v>2170.8363912995001</v>
      </c>
    </row>
    <row r="658" spans="26:29" x14ac:dyDescent="0.35">
      <c r="Z658" s="4"/>
      <c r="AA658" s="4"/>
      <c r="AB658" s="4" t="e">
        <f ca="1">_xll.ciqfunctions.udf.CIQ("^SPX", "IQ_PRICEDATE", "8/2/2016")</f>
        <v>#NAME?</v>
      </c>
      <c r="AC658" s="16">
        <v>2157.0286485708002</v>
      </c>
    </row>
    <row r="659" spans="26:29" x14ac:dyDescent="0.35">
      <c r="Z659" s="4"/>
      <c r="AA659" s="4"/>
      <c r="AB659" s="4" t="e">
        <f ca="1">_xll.ciqfunctions.udf.CIQ("^SPX", "IQ_PRICEDATE", "8/3/2016")</f>
        <v>#NAME?</v>
      </c>
      <c r="AC659" s="16">
        <v>2163.7936743816999</v>
      </c>
    </row>
    <row r="660" spans="26:29" x14ac:dyDescent="0.35">
      <c r="Z660" s="4"/>
      <c r="AA660" s="4"/>
      <c r="AB660" s="4" t="e">
        <f ca="1">_xll.ciqfunctions.udf.CIQ("^SPX", "IQ_PRICEDATE", "8/4/2016")</f>
        <v>#NAME?</v>
      </c>
      <c r="AC660" s="16">
        <v>2164.2521154255001</v>
      </c>
    </row>
    <row r="661" spans="26:29" x14ac:dyDescent="0.35">
      <c r="Z661" s="4"/>
      <c r="AA661" s="4"/>
      <c r="AB661" s="4" t="e">
        <f ca="1">_xll.ciqfunctions.udf.CIQ("^SPX", "IQ_PRICEDATE", "8/5/2016")</f>
        <v>#NAME?</v>
      </c>
      <c r="AC661" s="16">
        <v>2182.8683748860999</v>
      </c>
    </row>
    <row r="662" spans="26:29" x14ac:dyDescent="0.35">
      <c r="Z662" s="4"/>
      <c r="AA662" s="4"/>
      <c r="AB662" s="4" t="e">
        <f ca="1">_xll.ciqfunctions.udf.CIQ("^SPX", "IQ_PRICEDATE", "8/8/2016")</f>
        <v>#NAME?</v>
      </c>
      <c r="AC662" s="16">
        <v>2180.8851510447998</v>
      </c>
    </row>
    <row r="663" spans="26:29" x14ac:dyDescent="0.35">
      <c r="Z663" s="4"/>
      <c r="AA663" s="4"/>
      <c r="AB663" s="4" t="e">
        <f ca="1">_xll.ciqfunctions.udf.CIQ("^SPX", "IQ_PRICEDATE", "8/9/2016")</f>
        <v>#NAME?</v>
      </c>
      <c r="AC663" s="16">
        <v>2181.7356761885999</v>
      </c>
    </row>
    <row r="664" spans="26:29" x14ac:dyDescent="0.35">
      <c r="Z664" s="4"/>
      <c r="AA664" s="4"/>
      <c r="AB664" s="4" t="e">
        <f ca="1">_xll.ciqfunctions.udf.CIQ("^SPX", "IQ_PRICEDATE", "8/10/2016")</f>
        <v>#NAME?</v>
      </c>
      <c r="AC664" s="16">
        <v>2175.4865235992002</v>
      </c>
    </row>
    <row r="665" spans="26:29" x14ac:dyDescent="0.35">
      <c r="Z665" s="4"/>
      <c r="AA665" s="4"/>
      <c r="AB665" s="4" t="e">
        <f ca="1">_xll.ciqfunctions.udf.CIQ("^SPX", "IQ_PRICEDATE", "8/11/2016")</f>
        <v>#NAME?</v>
      </c>
      <c r="AC665" s="16">
        <v>2185.7930995977999</v>
      </c>
    </row>
    <row r="666" spans="26:29" x14ac:dyDescent="0.35">
      <c r="Z666" s="4"/>
      <c r="AA666" s="4"/>
      <c r="AB666" s="4" t="e">
        <f ca="1">_xll.ciqfunctions.udf.CIQ("^SPX", "IQ_PRICEDATE", "8/12/2016")</f>
        <v>#NAME?</v>
      </c>
      <c r="AC666" s="16">
        <v>2184.0509398489999</v>
      </c>
    </row>
    <row r="667" spans="26:29" x14ac:dyDescent="0.35">
      <c r="Z667" s="4"/>
      <c r="AA667" s="4"/>
      <c r="AB667" s="4" t="e">
        <f ca="1">_xll.ciqfunctions.udf.CIQ("^SPX", "IQ_PRICEDATE", "8/15/2016")</f>
        <v>#NAME?</v>
      </c>
      <c r="AC667" s="16">
        <v>2190.1494156013</v>
      </c>
    </row>
    <row r="668" spans="26:29" x14ac:dyDescent="0.35">
      <c r="Z668" s="4"/>
      <c r="AA668" s="4"/>
      <c r="AB668" s="4" t="e">
        <f ca="1">_xll.ciqfunctions.udf.CIQ("^SPX", "IQ_PRICEDATE", "8/16/2016")</f>
        <v>#NAME?</v>
      </c>
      <c r="AC668" s="16">
        <v>2178.1494548590999</v>
      </c>
    </row>
    <row r="669" spans="26:29" x14ac:dyDescent="0.35">
      <c r="Z669" s="4"/>
      <c r="AA669" s="4"/>
      <c r="AB669" s="4" t="e">
        <f ca="1">_xll.ciqfunctions.udf.CIQ("^SPX", "IQ_PRICEDATE", "8/17/2016")</f>
        <v>#NAME?</v>
      </c>
      <c r="AC669" s="16">
        <v>2182.2188888493001</v>
      </c>
    </row>
    <row r="670" spans="26:29" x14ac:dyDescent="0.35">
      <c r="Z670" s="4"/>
      <c r="AA670" s="4"/>
      <c r="AB670" s="4" t="e">
        <f ca="1">_xll.ciqfunctions.udf.CIQ("^SPX", "IQ_PRICEDATE", "8/18/2016")</f>
        <v>#NAME?</v>
      </c>
      <c r="AC670" s="16">
        <v>2187.0248849494001</v>
      </c>
    </row>
    <row r="671" spans="26:29" x14ac:dyDescent="0.35">
      <c r="Z671" s="4"/>
      <c r="AA671" s="4"/>
      <c r="AB671" s="4" t="e">
        <f ca="1">_xll.ciqfunctions.udf.CIQ("^SPX", "IQ_PRICEDATE", "8/19/2016")</f>
        <v>#NAME?</v>
      </c>
      <c r="AC671" s="16">
        <v>2183.8681547889</v>
      </c>
    </row>
    <row r="672" spans="26:29" x14ac:dyDescent="0.35">
      <c r="Z672" s="4"/>
      <c r="AA672" s="4"/>
      <c r="AB672" s="4" t="e">
        <f ca="1">_xll.ciqfunctions.udf.CIQ("^SPX", "IQ_PRICEDATE", "8/22/2016")</f>
        <v>#NAME?</v>
      </c>
      <c r="AC672" s="16">
        <v>2182.6395481375998</v>
      </c>
    </row>
    <row r="673" spans="26:29" x14ac:dyDescent="0.35">
      <c r="Z673" s="4"/>
      <c r="AA673" s="4"/>
      <c r="AB673" s="4" t="e">
        <f ca="1">_xll.ciqfunctions.udf.CIQ("^SPX", "IQ_PRICEDATE", "8/23/2016")</f>
        <v>#NAME?</v>
      </c>
      <c r="AC673" s="16">
        <v>2186.9017991116002</v>
      </c>
    </row>
    <row r="674" spans="26:29" x14ac:dyDescent="0.35">
      <c r="Z674" s="4"/>
      <c r="AA674" s="4"/>
      <c r="AB674" s="4" t="e">
        <f ca="1">_xll.ciqfunctions.udf.CIQ("^SPX", "IQ_PRICEDATE", "8/24/2016")</f>
        <v>#NAME?</v>
      </c>
      <c r="AC674" s="16">
        <v>2175.4370105135999</v>
      </c>
    </row>
    <row r="675" spans="26:29" x14ac:dyDescent="0.35">
      <c r="Z675" s="4"/>
      <c r="AA675" s="4"/>
      <c r="AB675" s="4" t="e">
        <f ca="1">_xll.ciqfunctions.udf.CIQ("^SPX", "IQ_PRICEDATE", "8/25/2016")</f>
        <v>#NAME?</v>
      </c>
      <c r="AC675" s="16">
        <v>2172.4656323201002</v>
      </c>
    </row>
    <row r="676" spans="26:29" x14ac:dyDescent="0.35">
      <c r="Z676" s="4"/>
      <c r="AA676" s="4"/>
      <c r="AB676" s="4" t="e">
        <f ca="1">_xll.ciqfunctions.udf.CIQ("^SPX", "IQ_PRICEDATE", "8/26/2016")</f>
        <v>#NAME?</v>
      </c>
      <c r="AC676" s="16">
        <v>2169.0402322675</v>
      </c>
    </row>
    <row r="677" spans="26:29" x14ac:dyDescent="0.35">
      <c r="Z677" s="4"/>
      <c r="AA677" s="4"/>
      <c r="AB677" s="4" t="e">
        <f ca="1">_xll.ciqfunctions.udf.CIQ("^SPX", "IQ_PRICEDATE", "8/29/2016")</f>
        <v>#NAME?</v>
      </c>
      <c r="AC677" s="16">
        <v>2180.3774091741002</v>
      </c>
    </row>
    <row r="678" spans="26:29" x14ac:dyDescent="0.35">
      <c r="Z678" s="4"/>
      <c r="AA678" s="4"/>
      <c r="AB678" s="4" t="e">
        <f ca="1">_xll.ciqfunctions.udf.CIQ("^SPX", "IQ_PRICEDATE", "8/30/2016")</f>
        <v>#NAME?</v>
      </c>
      <c r="AC678" s="16">
        <v>2176.1226464445999</v>
      </c>
    </row>
    <row r="679" spans="26:29" x14ac:dyDescent="0.35">
      <c r="Z679" s="4"/>
      <c r="AA679" s="4"/>
      <c r="AB679" s="4" t="e">
        <f ca="1">_xll.ciqfunctions.udf.CIQ("^SPX", "IQ_PRICEDATE", "8/31/2016")</f>
        <v>#NAME?</v>
      </c>
      <c r="AC679" s="16">
        <v>2170.9469576924998</v>
      </c>
    </row>
    <row r="680" spans="26:29" x14ac:dyDescent="0.35">
      <c r="Z680" s="4"/>
      <c r="AA680" s="4"/>
      <c r="AB680" s="4" t="e">
        <f ca="1">_xll.ciqfunctions.udf.CIQ("^SPX", "IQ_PRICEDATE", "9/1/2016")</f>
        <v>#NAME?</v>
      </c>
      <c r="AC680" s="16">
        <v>2170.8632592590002</v>
      </c>
    </row>
    <row r="681" spans="26:29" x14ac:dyDescent="0.35">
      <c r="Z681" s="4"/>
      <c r="AA681" s="4"/>
      <c r="AB681" s="4" t="e">
        <f ca="1">_xll.ciqfunctions.udf.CIQ("^SPX", "IQ_PRICEDATE", "9/2/2016")</f>
        <v>#NAME?</v>
      </c>
      <c r="AC681" s="16">
        <v>2179.9842025792</v>
      </c>
    </row>
    <row r="682" spans="26:29" x14ac:dyDescent="0.35">
      <c r="Z682" s="4"/>
      <c r="AA682" s="4"/>
      <c r="AB682" s="4" t="e">
        <f ca="1">_xll.ciqfunctions.udf.CIQ("^SPX", "IQ_PRICEDATE", "9/6/2016")</f>
        <v>#NAME?</v>
      </c>
      <c r="AC682" s="16">
        <v>2186.4767390838001</v>
      </c>
    </row>
    <row r="683" spans="26:29" x14ac:dyDescent="0.35">
      <c r="Z683" s="4"/>
      <c r="AA683" s="4"/>
      <c r="AB683" s="4" t="e">
        <f ca="1">_xll.ciqfunctions.udf.CIQ("^SPX", "IQ_PRICEDATE", "9/7/2016")</f>
        <v>#NAME?</v>
      </c>
      <c r="AC683" s="16">
        <v>2186.1587276337</v>
      </c>
    </row>
    <row r="684" spans="26:29" x14ac:dyDescent="0.35">
      <c r="Z684" s="4"/>
      <c r="AA684" s="4"/>
      <c r="AB684" s="4" t="e">
        <f ca="1">_xll.ciqfunctions.udf.CIQ("^SPX", "IQ_PRICEDATE", "9/8/2016")</f>
        <v>#NAME?</v>
      </c>
      <c r="AC684" s="16">
        <v>2181.2995503214001</v>
      </c>
    </row>
    <row r="685" spans="26:29" x14ac:dyDescent="0.35">
      <c r="Z685" s="4"/>
      <c r="AA685" s="4"/>
      <c r="AB685" s="4" t="e">
        <f ca="1">_xll.ciqfunctions.udf.CIQ("^SPX", "IQ_PRICEDATE", "9/9/2016")</f>
        <v>#NAME?</v>
      </c>
      <c r="AC685" s="16">
        <v>2127.8055738488001</v>
      </c>
    </row>
    <row r="686" spans="26:29" x14ac:dyDescent="0.35">
      <c r="Z686" s="4"/>
      <c r="AA686" s="4"/>
      <c r="AB686" s="4" t="e">
        <f ca="1">_xll.ciqfunctions.udf.CIQ("^SPX", "IQ_PRICEDATE", "9/12/2016")</f>
        <v>#NAME?</v>
      </c>
      <c r="AC686" s="16">
        <v>2159.0397160826001</v>
      </c>
    </row>
    <row r="687" spans="26:29" x14ac:dyDescent="0.35">
      <c r="Z687" s="4"/>
      <c r="AA687" s="4"/>
      <c r="AB687" s="4" t="e">
        <f ca="1">_xll.ciqfunctions.udf.CIQ("^SPX", "IQ_PRICEDATE", "9/13/2016")</f>
        <v>#NAME?</v>
      </c>
      <c r="AC687" s="16">
        <v>2127.0203746730999</v>
      </c>
    </row>
    <row r="688" spans="26:29" x14ac:dyDescent="0.35">
      <c r="Z688" s="4"/>
      <c r="AA688" s="4"/>
      <c r="AB688" s="4" t="e">
        <f ca="1">_xll.ciqfunctions.udf.CIQ("^SPX", "IQ_PRICEDATE", "9/14/2016")</f>
        <v>#NAME?</v>
      </c>
      <c r="AC688" s="16">
        <v>2125.7695405924001</v>
      </c>
    </row>
    <row r="689" spans="26:29" x14ac:dyDescent="0.35">
      <c r="Z689" s="4"/>
      <c r="AA689" s="4"/>
      <c r="AB689" s="4" t="e">
        <f ca="1">_xll.ciqfunctions.udf.CIQ("^SPX", "IQ_PRICEDATE", "9/15/2016")</f>
        <v>#NAME?</v>
      </c>
      <c r="AC689" s="16">
        <v>2147.2620362114999</v>
      </c>
    </row>
    <row r="690" spans="26:29" x14ac:dyDescent="0.35">
      <c r="Z690" s="4"/>
      <c r="AA690" s="4"/>
      <c r="AB690" s="4" t="e">
        <f ca="1">_xll.ciqfunctions.udf.CIQ("^SPX", "IQ_PRICEDATE", "9/16/2016")</f>
        <v>#NAME?</v>
      </c>
      <c r="AC690" s="16">
        <v>2139.1646030154002</v>
      </c>
    </row>
    <row r="691" spans="26:29" x14ac:dyDescent="0.35">
      <c r="Z691" s="4"/>
      <c r="AA691" s="4"/>
      <c r="AB691" s="4" t="e">
        <f ca="1">_xll.ciqfunctions.udf.CIQ("^SPX", "IQ_PRICEDATE", "9/19/2016")</f>
        <v>#NAME?</v>
      </c>
      <c r="AC691" s="16">
        <v>2139.1153606972998</v>
      </c>
    </row>
    <row r="692" spans="26:29" x14ac:dyDescent="0.35">
      <c r="Z692" s="4"/>
      <c r="AA692" s="4"/>
      <c r="AB692" s="4" t="e">
        <f ca="1">_xll.ciqfunctions.udf.CIQ("^SPX", "IQ_PRICEDATE", "9/20/2016")</f>
        <v>#NAME?</v>
      </c>
      <c r="AC692" s="16">
        <v>2139.7568144288998</v>
      </c>
    </row>
    <row r="693" spans="26:29" x14ac:dyDescent="0.35">
      <c r="Z693" s="4"/>
      <c r="AA693" s="4"/>
      <c r="AB693" s="4" t="e">
        <f ca="1">_xll.ciqfunctions.udf.CIQ("^SPX", "IQ_PRICEDATE", "9/21/2016")</f>
        <v>#NAME?</v>
      </c>
      <c r="AC693" s="16">
        <v>2163.1175907881998</v>
      </c>
    </row>
    <row r="694" spans="26:29" x14ac:dyDescent="0.35">
      <c r="Z694" s="4"/>
      <c r="AA694" s="4"/>
      <c r="AB694" s="4" t="e">
        <f ca="1">_xll.ciqfunctions.udf.CIQ("^SPX", "IQ_PRICEDATE", "9/22/2016")</f>
        <v>#NAME?</v>
      </c>
      <c r="AC694" s="16">
        <v>2177.1822491823</v>
      </c>
    </row>
    <row r="695" spans="26:29" x14ac:dyDescent="0.35">
      <c r="Z695" s="4"/>
      <c r="AA695" s="4"/>
      <c r="AB695" s="4" t="e">
        <f ca="1">_xll.ciqfunctions.udf.CIQ("^SPX", "IQ_PRICEDATE", "9/23/2016")</f>
        <v>#NAME?</v>
      </c>
      <c r="AC695" s="16">
        <v>2164.6948076179001</v>
      </c>
    </row>
    <row r="696" spans="26:29" x14ac:dyDescent="0.35">
      <c r="Z696" s="4"/>
      <c r="AA696" s="4"/>
      <c r="AB696" s="4" t="e">
        <f ca="1">_xll.ciqfunctions.udf.CIQ("^SPX", "IQ_PRICEDATE", "9/26/2016")</f>
        <v>#NAME?</v>
      </c>
      <c r="AC696" s="16">
        <v>2146.0973667349999</v>
      </c>
    </row>
    <row r="697" spans="26:29" x14ac:dyDescent="0.35">
      <c r="Z697" s="4"/>
      <c r="AA697" s="4"/>
      <c r="AB697" s="4" t="e">
        <f ca="1">_xll.ciqfunctions.udf.CIQ("^SPX", "IQ_PRICEDATE", "9/27/2016")</f>
        <v>#NAME?</v>
      </c>
      <c r="AC697" s="16">
        <v>2159.9280234305002</v>
      </c>
    </row>
    <row r="698" spans="26:29" x14ac:dyDescent="0.35">
      <c r="Z698" s="4"/>
      <c r="AA698" s="4"/>
      <c r="AB698" s="4" t="e">
        <f ca="1">_xll.ciqfunctions.udf.CIQ("^SPX", "IQ_PRICEDATE", "9/28/2016")</f>
        <v>#NAME?</v>
      </c>
      <c r="AC698" s="16">
        <v>2171.3693316110998</v>
      </c>
    </row>
    <row r="699" spans="26:29" x14ac:dyDescent="0.35">
      <c r="Z699" s="4"/>
      <c r="AA699" s="4"/>
      <c r="AB699" s="4" t="e">
        <f ca="1">_xll.ciqfunctions.udf.CIQ("^SPX", "IQ_PRICEDATE", "9/29/2016")</f>
        <v>#NAME?</v>
      </c>
      <c r="AC699" s="16">
        <v>2151.1314851124998</v>
      </c>
    </row>
    <row r="700" spans="26:29" x14ac:dyDescent="0.35">
      <c r="Z700" s="4"/>
      <c r="AA700" s="4"/>
      <c r="AB700" s="4" t="e">
        <f ca="1">_xll.ciqfunctions.udf.CIQ("^SPX", "IQ_PRICEDATE", "9/30/2016")</f>
        <v>#NAME?</v>
      </c>
      <c r="AC700" s="16">
        <v>2168.2720896372998</v>
      </c>
    </row>
    <row r="701" spans="26:29" x14ac:dyDescent="0.35">
      <c r="Z701" s="4"/>
      <c r="AA701" s="4"/>
      <c r="AB701" s="4" t="e">
        <f ca="1">_xll.ciqfunctions.udf.CIQ("^SPX", "IQ_PRICEDATE", "10/3/2016")</f>
        <v>#NAME?</v>
      </c>
      <c r="AC701" s="16">
        <v>2161.1966867189999</v>
      </c>
    </row>
    <row r="702" spans="26:29" x14ac:dyDescent="0.35">
      <c r="Z702" s="4"/>
      <c r="AA702" s="4"/>
      <c r="AB702" s="4" t="e">
        <f ca="1">_xll.ciqfunctions.udf.CIQ("^SPX", "IQ_PRICEDATE", "10/4/2016")</f>
        <v>#NAME?</v>
      </c>
      <c r="AC702" s="16">
        <v>2150.4896004998</v>
      </c>
    </row>
    <row r="703" spans="26:29" x14ac:dyDescent="0.35">
      <c r="Z703" s="4"/>
      <c r="AA703" s="4"/>
      <c r="AB703" s="4" t="e">
        <f ca="1">_xll.ciqfunctions.udf.CIQ("^SPX", "IQ_PRICEDATE", "10/5/2016")</f>
        <v>#NAME?</v>
      </c>
      <c r="AC703" s="16">
        <v>2159.7279982</v>
      </c>
    </row>
    <row r="704" spans="26:29" x14ac:dyDescent="0.35">
      <c r="Z704" s="4"/>
      <c r="AA704" s="4"/>
      <c r="AB704" s="4" t="e">
        <f ca="1">_xll.ciqfunctions.udf.CIQ("^SPX", "IQ_PRICEDATE", "10/6/2016")</f>
        <v>#NAME?</v>
      </c>
      <c r="AC704" s="16">
        <v>2160.7718256122998</v>
      </c>
    </row>
    <row r="705" spans="26:29" x14ac:dyDescent="0.35">
      <c r="Z705" s="4"/>
      <c r="AA705" s="4"/>
      <c r="AB705" s="4" t="e">
        <f ca="1">_xll.ciqfunctions.udf.CIQ("^SPX", "IQ_PRICEDATE", "10/7/2016")</f>
        <v>#NAME?</v>
      </c>
      <c r="AC705" s="16">
        <v>2153.7393634283999</v>
      </c>
    </row>
    <row r="706" spans="26:29" x14ac:dyDescent="0.35">
      <c r="Z706" s="4"/>
      <c r="AA706" s="4"/>
      <c r="AB706" s="4" t="e">
        <f ca="1">_xll.ciqfunctions.udf.CIQ("^SPX", "IQ_PRICEDATE", "10/10/2016")</f>
        <v>#NAME?</v>
      </c>
      <c r="AC706" s="16">
        <v>2163.6606952522998</v>
      </c>
    </row>
    <row r="707" spans="26:29" x14ac:dyDescent="0.35">
      <c r="Z707" s="4"/>
      <c r="AA707" s="4"/>
      <c r="AB707" s="4" t="e">
        <f ca="1">_xll.ciqfunctions.udf.CIQ("^SPX", "IQ_PRICEDATE", "10/11/2016")</f>
        <v>#NAME?</v>
      </c>
      <c r="AC707" s="16">
        <v>2136.7261901291999</v>
      </c>
    </row>
    <row r="708" spans="26:29" x14ac:dyDescent="0.35">
      <c r="Z708" s="4"/>
      <c r="AA708" s="4"/>
      <c r="AB708" s="4" t="e">
        <f ca="1">_xll.ciqfunctions.udf.CIQ("^SPX", "IQ_PRICEDATE", "10/12/2016")</f>
        <v>#NAME?</v>
      </c>
      <c r="AC708" s="16">
        <v>2139.1764014525002</v>
      </c>
    </row>
    <row r="709" spans="26:29" x14ac:dyDescent="0.35">
      <c r="Z709" s="4"/>
      <c r="AA709" s="4"/>
      <c r="AB709" s="4" t="e">
        <f ca="1">_xll.ciqfunctions.udf.CIQ("^SPX", "IQ_PRICEDATE", "10/13/2016")</f>
        <v>#NAME?</v>
      </c>
      <c r="AC709" s="16">
        <v>2132.5464922646001</v>
      </c>
    </row>
    <row r="710" spans="26:29" x14ac:dyDescent="0.35">
      <c r="Z710" s="4"/>
      <c r="AA710" s="4"/>
      <c r="AB710" s="4" t="e">
        <f ca="1">_xll.ciqfunctions.udf.CIQ("^SPX", "IQ_PRICEDATE", "10/14/2016")</f>
        <v>#NAME?</v>
      </c>
      <c r="AC710" s="16">
        <v>2132.9784650791999</v>
      </c>
    </row>
    <row r="711" spans="26:29" x14ac:dyDescent="0.35">
      <c r="Z711" s="4"/>
      <c r="AA711" s="4"/>
      <c r="AB711" s="4" t="e">
        <f ca="1">_xll.ciqfunctions.udf.CIQ("^SPX", "IQ_PRICEDATE", "10/17/2016")</f>
        <v>#NAME?</v>
      </c>
      <c r="AC711" s="16">
        <v>2126.5033388248999</v>
      </c>
    </row>
    <row r="712" spans="26:29" x14ac:dyDescent="0.35">
      <c r="Z712" s="4"/>
      <c r="AA712" s="4"/>
      <c r="AB712" s="4" t="e">
        <f ca="1">_xll.ciqfunctions.udf.CIQ("^SPX", "IQ_PRICEDATE", "10/18/2016")</f>
        <v>#NAME?</v>
      </c>
      <c r="AC712" s="16">
        <v>2139.6040838805998</v>
      </c>
    </row>
    <row r="713" spans="26:29" x14ac:dyDescent="0.35">
      <c r="Z713" s="4"/>
      <c r="AA713" s="4"/>
      <c r="AB713" s="4" t="e">
        <f ca="1">_xll.ciqfunctions.udf.CIQ("^SPX", "IQ_PRICEDATE", "10/19/2016")</f>
        <v>#NAME?</v>
      </c>
      <c r="AC713" s="16">
        <v>2144.29028913</v>
      </c>
    </row>
    <row r="714" spans="26:29" x14ac:dyDescent="0.35">
      <c r="Z714" s="4"/>
      <c r="AA714" s="4"/>
      <c r="AB714" s="4" t="e">
        <f ca="1">_xll.ciqfunctions.udf.CIQ("^SPX", "IQ_PRICEDATE", "10/20/2016")</f>
        <v>#NAME?</v>
      </c>
      <c r="AC714" s="16">
        <v>2141.3439113742002</v>
      </c>
    </row>
    <row r="715" spans="26:29" x14ac:dyDescent="0.35">
      <c r="Z715" s="4"/>
      <c r="AA715" s="4"/>
      <c r="AB715" s="4" t="e">
        <f ca="1">_xll.ciqfunctions.udf.CIQ("^SPX", "IQ_PRICEDATE", "10/21/2016")</f>
        <v>#NAME?</v>
      </c>
      <c r="AC715" s="16">
        <v>2141.1619114369</v>
      </c>
    </row>
    <row r="716" spans="26:29" x14ac:dyDescent="0.35">
      <c r="Z716" s="4"/>
      <c r="AA716" s="4"/>
      <c r="AB716" s="4" t="e">
        <f ca="1">_xll.ciqfunctions.udf.CIQ("^SPX", "IQ_PRICEDATE", "10/24/2016")</f>
        <v>#NAME?</v>
      </c>
      <c r="AC716" s="16">
        <v>2151.3326381175002</v>
      </c>
    </row>
    <row r="717" spans="26:29" x14ac:dyDescent="0.35">
      <c r="Z717" s="4"/>
      <c r="AA717" s="4"/>
      <c r="AB717" s="4" t="e">
        <f ca="1">_xll.ciqfunctions.udf.CIQ("^SPX", "IQ_PRICEDATE", "10/25/2016")</f>
        <v>#NAME?</v>
      </c>
      <c r="AC717" s="16">
        <v>2143.1597105159999</v>
      </c>
    </row>
    <row r="718" spans="26:29" x14ac:dyDescent="0.35">
      <c r="Z718" s="4"/>
      <c r="AA718" s="4"/>
      <c r="AB718" s="4" t="e">
        <f ca="1">_xll.ciqfunctions.udf.CIQ("^SPX", "IQ_PRICEDATE", "10/26/2016")</f>
        <v>#NAME?</v>
      </c>
      <c r="AC718" s="16">
        <v>2139.4269739450001</v>
      </c>
    </row>
    <row r="719" spans="26:29" x14ac:dyDescent="0.35">
      <c r="Z719" s="4"/>
      <c r="AA719" s="4"/>
      <c r="AB719" s="4" t="e">
        <f ca="1">_xll.ciqfunctions.udf.CIQ("^SPX", "IQ_PRICEDATE", "10/27/2016")</f>
        <v>#NAME?</v>
      </c>
      <c r="AC719" s="16">
        <v>2133.0354951606</v>
      </c>
    </row>
    <row r="720" spans="26:29" x14ac:dyDescent="0.35">
      <c r="Z720" s="4"/>
      <c r="AA720" s="4"/>
      <c r="AB720" s="4" t="e">
        <f ca="1">_xll.ciqfunctions.udf.CIQ("^SPX", "IQ_PRICEDATE", "10/28/2016")</f>
        <v>#NAME?</v>
      </c>
      <c r="AC720" s="16">
        <v>2126.4075651100002</v>
      </c>
    </row>
    <row r="721" spans="26:29" x14ac:dyDescent="0.35">
      <c r="Z721" s="4"/>
      <c r="AA721" s="4"/>
      <c r="AB721" s="4" t="e">
        <f ca="1">_xll.ciqfunctions.udf.CIQ("^SPX", "IQ_PRICEDATE", "10/31/2016")</f>
        <v>#NAME?</v>
      </c>
      <c r="AC721" s="16">
        <v>2126.1532970297999</v>
      </c>
    </row>
    <row r="722" spans="26:29" x14ac:dyDescent="0.35">
      <c r="Z722" s="4"/>
      <c r="AA722" s="4"/>
      <c r="AB722" s="4" t="e">
        <f ca="1">_xll.ciqfunctions.udf.CIQ("^SPX", "IQ_PRICEDATE", "11/1/2016")</f>
        <v>#NAME?</v>
      </c>
      <c r="AC722" s="16">
        <v>2111.7225883933002</v>
      </c>
    </row>
    <row r="723" spans="26:29" x14ac:dyDescent="0.35">
      <c r="Z723" s="4"/>
      <c r="AA723" s="4"/>
      <c r="AB723" s="4" t="e">
        <f ca="1">_xll.ciqfunctions.udf.CIQ("^SPX", "IQ_PRICEDATE", "11/2/2016")</f>
        <v>#NAME?</v>
      </c>
      <c r="AC723" s="16">
        <v>2097.9437710837001</v>
      </c>
    </row>
    <row r="724" spans="26:29" x14ac:dyDescent="0.35">
      <c r="Z724" s="4"/>
      <c r="AA724" s="4"/>
      <c r="AB724" s="4" t="e">
        <f ca="1">_xll.ciqfunctions.udf.CIQ("^SPX", "IQ_PRICEDATE", "11/3/2016")</f>
        <v>#NAME?</v>
      </c>
      <c r="AC724" s="16">
        <v>2088.6635939239</v>
      </c>
    </row>
    <row r="725" spans="26:29" x14ac:dyDescent="0.35">
      <c r="Z725" s="4"/>
      <c r="AA725" s="4"/>
      <c r="AB725" s="4" t="e">
        <f ca="1">_xll.ciqfunctions.udf.CIQ("^SPX", "IQ_PRICEDATE", "11/4/2016")</f>
        <v>#NAME?</v>
      </c>
      <c r="AC725" s="16">
        <v>2085.1763769763002</v>
      </c>
    </row>
    <row r="726" spans="26:29" x14ac:dyDescent="0.35">
      <c r="Z726" s="4"/>
      <c r="AA726" s="4"/>
      <c r="AB726" s="4" t="e">
        <f ca="1">_xll.ciqfunctions.udf.CIQ("^SPX", "IQ_PRICEDATE", "11/7/2016")</f>
        <v>#NAME?</v>
      </c>
      <c r="AC726" s="16">
        <v>2131.5235684473</v>
      </c>
    </row>
    <row r="727" spans="26:29" x14ac:dyDescent="0.35">
      <c r="Z727" s="4"/>
      <c r="AA727" s="4"/>
      <c r="AB727" s="4" t="e">
        <f ca="1">_xll.ciqfunctions.udf.CIQ("^SPX", "IQ_PRICEDATE", "11/8/2016")</f>
        <v>#NAME?</v>
      </c>
      <c r="AC727" s="16">
        <v>2139.5630090412001</v>
      </c>
    </row>
    <row r="728" spans="26:29" x14ac:dyDescent="0.35">
      <c r="Z728" s="4"/>
      <c r="AA728" s="4"/>
      <c r="AB728" s="4" t="e">
        <f ca="1">_xll.ciqfunctions.udf.CIQ("^SPX", "IQ_PRICEDATE", "11/9/2016")</f>
        <v>#NAME?</v>
      </c>
      <c r="AC728" s="16">
        <v>2163.2579034201999</v>
      </c>
    </row>
    <row r="729" spans="26:29" x14ac:dyDescent="0.35">
      <c r="Z729" s="4"/>
      <c r="AA729" s="4"/>
      <c r="AB729" s="4" t="e">
        <f ca="1">_xll.ciqfunctions.udf.CIQ("^SPX", "IQ_PRICEDATE", "11/10/2016")</f>
        <v>#NAME?</v>
      </c>
      <c r="AC729" s="16">
        <v>2167.4781297492</v>
      </c>
    </row>
    <row r="730" spans="26:29" x14ac:dyDescent="0.35">
      <c r="Z730" s="4"/>
      <c r="AA730" s="4"/>
      <c r="AB730" s="4" t="e">
        <f ca="1">_xll.ciqfunctions.udf.CIQ("^SPX", "IQ_PRICEDATE", "11/11/2016")</f>
        <v>#NAME?</v>
      </c>
      <c r="AC730" s="16">
        <v>2164.4507501910002</v>
      </c>
    </row>
    <row r="731" spans="26:29" x14ac:dyDescent="0.35">
      <c r="Z731" s="4"/>
      <c r="AA731" s="4"/>
      <c r="AB731" s="4" t="e">
        <f ca="1">_xll.ciqfunctions.udf.CIQ("^SPX", "IQ_PRICEDATE", "11/14/2016")</f>
        <v>#NAME?</v>
      </c>
      <c r="AC731" s="16">
        <v>2164.2033007483001</v>
      </c>
    </row>
    <row r="732" spans="26:29" x14ac:dyDescent="0.35">
      <c r="Z732" s="4"/>
      <c r="AA732" s="4"/>
      <c r="AB732" s="4" t="e">
        <f ca="1">_xll.ciqfunctions.udf.CIQ("^SPX", "IQ_PRICEDATE", "11/15/2016")</f>
        <v>#NAME?</v>
      </c>
      <c r="AC732" s="16">
        <v>2180.3888273936</v>
      </c>
    </row>
    <row r="733" spans="26:29" x14ac:dyDescent="0.35">
      <c r="Z733" s="4"/>
      <c r="AA733" s="4"/>
      <c r="AB733" s="4" t="e">
        <f ca="1">_xll.ciqfunctions.udf.CIQ("^SPX", "IQ_PRICEDATE", "11/16/2016")</f>
        <v>#NAME?</v>
      </c>
      <c r="AC733" s="16">
        <v>2176.9409032715998</v>
      </c>
    </row>
    <row r="734" spans="26:29" x14ac:dyDescent="0.35">
      <c r="Z734" s="4"/>
      <c r="AA734" s="4"/>
      <c r="AB734" s="4" t="e">
        <f ca="1">_xll.ciqfunctions.udf.CIQ("^SPX", "IQ_PRICEDATE", "11/17/2016")</f>
        <v>#NAME?</v>
      </c>
      <c r="AC734" s="16">
        <v>2187.1210897609999</v>
      </c>
    </row>
    <row r="735" spans="26:29" x14ac:dyDescent="0.35">
      <c r="Z735" s="4"/>
      <c r="AA735" s="4"/>
      <c r="AB735" s="4" t="e">
        <f ca="1">_xll.ciqfunctions.udf.CIQ("^SPX", "IQ_PRICEDATE", "11/18/2016")</f>
        <v>#NAME?</v>
      </c>
      <c r="AC735" s="16">
        <v>2181.9017869641998</v>
      </c>
    </row>
    <row r="736" spans="26:29" x14ac:dyDescent="0.35">
      <c r="Z736" s="4"/>
      <c r="AA736" s="4"/>
      <c r="AB736" s="4" t="e">
        <f ca="1">_xll.ciqfunctions.udf.CIQ("^SPX", "IQ_PRICEDATE", "11/21/2016")</f>
        <v>#NAME?</v>
      </c>
      <c r="AC736" s="16">
        <v>2198.1827069851001</v>
      </c>
    </row>
    <row r="737" spans="26:29" x14ac:dyDescent="0.35">
      <c r="Z737" s="4"/>
      <c r="AA737" s="4"/>
      <c r="AB737" s="4" t="e">
        <f ca="1">_xll.ciqfunctions.udf.CIQ("^SPX", "IQ_PRICEDATE", "11/22/2016")</f>
        <v>#NAME?</v>
      </c>
      <c r="AC737" s="16">
        <v>2202.9368195779002</v>
      </c>
    </row>
    <row r="738" spans="26:29" x14ac:dyDescent="0.35">
      <c r="Z738" s="4"/>
      <c r="AA738" s="4"/>
      <c r="AB738" s="4" t="e">
        <f ca="1">_xll.ciqfunctions.udf.CIQ("^SPX", "IQ_PRICEDATE", "11/23/2016")</f>
        <v>#NAME?</v>
      </c>
      <c r="AC738" s="16">
        <v>2204.7229400811002</v>
      </c>
    </row>
    <row r="739" spans="26:29" x14ac:dyDescent="0.35">
      <c r="Z739" s="4"/>
      <c r="AA739" s="4"/>
      <c r="AB739" s="4" t="e">
        <f ca="1">_xll.ciqfunctions.udf.CIQ("^SPX", "IQ_PRICEDATE", "11/25/2016")</f>
        <v>#NAME?</v>
      </c>
      <c r="AC739" s="16">
        <v>2213.3485684312</v>
      </c>
    </row>
    <row r="740" spans="26:29" x14ac:dyDescent="0.35">
      <c r="Z740" s="4"/>
      <c r="AA740" s="4"/>
      <c r="AB740" s="4" t="e">
        <f ca="1">_xll.ciqfunctions.udf.CIQ("^SPX", "IQ_PRICEDATE", "11/28/2016")</f>
        <v>#NAME?</v>
      </c>
      <c r="AC740" s="16">
        <v>2201.7204991551998</v>
      </c>
    </row>
    <row r="741" spans="26:29" x14ac:dyDescent="0.35">
      <c r="Z741" s="4"/>
      <c r="AA741" s="4"/>
      <c r="AB741" s="4" t="e">
        <f ca="1">_xll.ciqfunctions.udf.CIQ("^SPX", "IQ_PRICEDATE", "11/29/2016")</f>
        <v>#NAME?</v>
      </c>
      <c r="AC741" s="16">
        <v>2204.6616627014</v>
      </c>
    </row>
    <row r="742" spans="26:29" x14ac:dyDescent="0.35">
      <c r="Z742" s="4"/>
      <c r="AA742" s="4"/>
      <c r="AB742" s="4" t="e">
        <f ca="1">_xll.ciqfunctions.udf.CIQ("^SPX", "IQ_PRICEDATE", "11/30/2016")</f>
        <v>#NAME?</v>
      </c>
      <c r="AC742" s="16">
        <v>2198.810449088</v>
      </c>
    </row>
    <row r="743" spans="26:29" x14ac:dyDescent="0.35">
      <c r="Z743" s="4"/>
      <c r="AA743" s="4"/>
      <c r="AB743" s="4" t="e">
        <f ca="1">_xll.ciqfunctions.udf.CIQ("^SPX", "IQ_PRICEDATE", "12/1/2016")</f>
        <v>#NAME?</v>
      </c>
      <c r="AC743" s="16">
        <v>2191.0829567188998</v>
      </c>
    </row>
    <row r="744" spans="26:29" x14ac:dyDescent="0.35">
      <c r="Z744" s="4"/>
      <c r="AA744" s="4"/>
      <c r="AB744" s="4" t="e">
        <f ca="1">_xll.ciqfunctions.udf.CIQ("^SPX", "IQ_PRICEDATE", "12/2/2016")</f>
        <v>#NAME?</v>
      </c>
      <c r="AC744" s="16">
        <v>2191.9536671015999</v>
      </c>
    </row>
    <row r="745" spans="26:29" x14ac:dyDescent="0.35">
      <c r="Z745" s="4"/>
      <c r="AA745" s="4"/>
      <c r="AB745" s="4" t="e">
        <f ca="1">_xll.ciqfunctions.udf.CIQ("^SPX", "IQ_PRICEDATE", "12/5/2016")</f>
        <v>#NAME?</v>
      </c>
      <c r="AC745" s="16">
        <v>2204.7053873538998</v>
      </c>
    </row>
    <row r="746" spans="26:29" x14ac:dyDescent="0.35">
      <c r="Z746" s="4"/>
      <c r="AA746" s="4"/>
      <c r="AB746" s="4" t="e">
        <f ca="1">_xll.ciqfunctions.udf.CIQ("^SPX", "IQ_PRICEDATE", "12/6/2016")</f>
        <v>#NAME?</v>
      </c>
      <c r="AC746" s="16">
        <v>2212.2307766723002</v>
      </c>
    </row>
    <row r="747" spans="26:29" x14ac:dyDescent="0.35">
      <c r="Z747" s="4"/>
      <c r="AA747" s="4"/>
      <c r="AB747" s="4" t="e">
        <f ca="1">_xll.ciqfunctions.udf.CIQ("^SPX", "IQ_PRICEDATE", "12/7/2016")</f>
        <v>#NAME?</v>
      </c>
      <c r="AC747" s="16">
        <v>2241.3546435787998</v>
      </c>
    </row>
    <row r="748" spans="26:29" x14ac:dyDescent="0.35">
      <c r="Z748" s="4"/>
      <c r="AA748" s="4"/>
      <c r="AB748" s="4" t="e">
        <f ca="1">_xll.ciqfunctions.udf.CIQ("^SPX", "IQ_PRICEDATE", "12/8/2016")</f>
        <v>#NAME?</v>
      </c>
      <c r="AC748" s="16">
        <v>2246.1878043501001</v>
      </c>
    </row>
    <row r="749" spans="26:29" x14ac:dyDescent="0.35">
      <c r="Z749" s="4"/>
      <c r="AA749" s="4"/>
      <c r="AB749" s="4" t="e">
        <f ca="1">_xll.ciqfunctions.udf.CIQ("^SPX", "IQ_PRICEDATE", "12/9/2016")</f>
        <v>#NAME?</v>
      </c>
      <c r="AC749" s="16">
        <v>2259.5286768649999</v>
      </c>
    </row>
    <row r="750" spans="26:29" x14ac:dyDescent="0.35">
      <c r="Z750" s="4"/>
      <c r="AA750" s="4"/>
      <c r="AB750" s="4" t="e">
        <f ca="1">_xll.ciqfunctions.udf.CIQ("^SPX", "IQ_PRICEDATE", "12/12/2016")</f>
        <v>#NAME?</v>
      </c>
      <c r="AC750" s="16">
        <v>2256.9632050081</v>
      </c>
    </row>
    <row r="751" spans="26:29" x14ac:dyDescent="0.35">
      <c r="Z751" s="4"/>
      <c r="AA751" s="4"/>
      <c r="AB751" s="4" t="e">
        <f ca="1">_xll.ciqfunctions.udf.CIQ("^SPX", "IQ_PRICEDATE", "12/13/2016")</f>
        <v>#NAME?</v>
      </c>
      <c r="AC751" s="16">
        <v>2271.7208298142</v>
      </c>
    </row>
    <row r="752" spans="26:29" x14ac:dyDescent="0.35">
      <c r="Z752" s="4"/>
      <c r="AA752" s="4"/>
      <c r="AB752" s="4" t="e">
        <f ca="1">_xll.ciqfunctions.udf.CIQ("^SPX", "IQ_PRICEDATE", "12/14/2016")</f>
        <v>#NAME?</v>
      </c>
      <c r="AC752" s="16">
        <v>2253.2786260766002</v>
      </c>
    </row>
    <row r="753" spans="26:29" x14ac:dyDescent="0.35">
      <c r="Z753" s="4"/>
      <c r="AA753" s="4"/>
      <c r="AB753" s="4" t="e">
        <f ca="1">_xll.ciqfunctions.udf.CIQ("^SPX", "IQ_PRICEDATE", "12/15/2016")</f>
        <v>#NAME?</v>
      </c>
      <c r="AC753" s="16">
        <v>2262.0311726028999</v>
      </c>
    </row>
    <row r="754" spans="26:29" x14ac:dyDescent="0.35">
      <c r="Z754" s="4"/>
      <c r="AA754" s="4"/>
      <c r="AB754" s="4" t="e">
        <f ca="1">_xll.ciqfunctions.udf.CIQ("^SPX", "IQ_PRICEDATE", "12/16/2016")</f>
        <v>#NAME?</v>
      </c>
      <c r="AC754" s="16">
        <v>2258.0724023327998</v>
      </c>
    </row>
    <row r="755" spans="26:29" x14ac:dyDescent="0.35">
      <c r="Z755" s="4"/>
      <c r="AA755" s="4"/>
      <c r="AB755" s="4" t="e">
        <f ca="1">_xll.ciqfunctions.udf.CIQ("^SPX", "IQ_PRICEDATE", "12/19/2016")</f>
        <v>#NAME?</v>
      </c>
      <c r="AC755" s="16">
        <v>2262.5322334957</v>
      </c>
    </row>
    <row r="756" spans="26:29" x14ac:dyDescent="0.35">
      <c r="Z756" s="4"/>
      <c r="AA756" s="4"/>
      <c r="AB756" s="4" t="e">
        <f ca="1">_xll.ciqfunctions.udf.CIQ("^SPX", "IQ_PRICEDATE", "12/20/2016")</f>
        <v>#NAME?</v>
      </c>
      <c r="AC756" s="16">
        <v>2270.7616665307</v>
      </c>
    </row>
    <row r="757" spans="26:29" x14ac:dyDescent="0.35">
      <c r="Z757" s="4"/>
      <c r="AA757" s="4"/>
      <c r="AB757" s="4" t="e">
        <f ca="1">_xll.ciqfunctions.udf.CIQ("^SPX", "IQ_PRICEDATE", "12/21/2016")</f>
        <v>#NAME?</v>
      </c>
      <c r="AC757" s="16">
        <v>2265.1799185451</v>
      </c>
    </row>
    <row r="758" spans="26:29" x14ac:dyDescent="0.35">
      <c r="Z758" s="4"/>
      <c r="AA758" s="4"/>
      <c r="AB758" s="4" t="e">
        <f ca="1">_xll.ciqfunctions.udf.CIQ("^SPX", "IQ_PRICEDATE", "12/22/2016")</f>
        <v>#NAME?</v>
      </c>
      <c r="AC758" s="16">
        <v>2260.9571890423999</v>
      </c>
    </row>
    <row r="759" spans="26:29" x14ac:dyDescent="0.35">
      <c r="Z759" s="4"/>
      <c r="AA759" s="4"/>
      <c r="AB759" s="4" t="e">
        <f ca="1">_xll.ciqfunctions.udf.CIQ("^SPX", "IQ_PRICEDATE", "12/23/2016")</f>
        <v>#NAME?</v>
      </c>
      <c r="AC759" s="16">
        <v>2263.7886585509</v>
      </c>
    </row>
    <row r="760" spans="26:29" x14ac:dyDescent="0.35">
      <c r="Z760" s="4"/>
      <c r="AA760" s="4"/>
      <c r="AB760" s="4" t="e">
        <f ca="1">_xll.ciqfunctions.udf.CIQ("^SPX", "IQ_PRICEDATE", "12/27/2016")</f>
        <v>#NAME?</v>
      </c>
      <c r="AC760" s="16">
        <v>2268.8754977453</v>
      </c>
    </row>
    <row r="761" spans="26:29" x14ac:dyDescent="0.35">
      <c r="Z761" s="4"/>
      <c r="AA761" s="4"/>
      <c r="AB761" s="4" t="e">
        <f ca="1">_xll.ciqfunctions.udf.CIQ("^SPX", "IQ_PRICEDATE", "12/28/2016")</f>
        <v>#NAME?</v>
      </c>
      <c r="AC761" s="16">
        <v>2249.9226157214998</v>
      </c>
    </row>
    <row r="762" spans="26:29" x14ac:dyDescent="0.35">
      <c r="Z762" s="4"/>
      <c r="AA762" s="4"/>
      <c r="AB762" s="4" t="e">
        <f ca="1">_xll.ciqfunctions.udf.CIQ("^SPX", "IQ_PRICEDATE", "12/29/2016")</f>
        <v>#NAME?</v>
      </c>
      <c r="AC762" s="16">
        <v>2249.2567692778998</v>
      </c>
    </row>
    <row r="763" spans="26:29" x14ac:dyDescent="0.35">
      <c r="Z763" s="4"/>
      <c r="AA763" s="4"/>
      <c r="AB763" s="4" t="e">
        <f ca="1">_xll.ciqfunctions.udf.CIQ("^SPX", "IQ_PRICEDATE", "12/30/2016")</f>
        <v>#NAME?</v>
      </c>
      <c r="AC763" s="16">
        <v>2238.8266817076001</v>
      </c>
    </row>
    <row r="764" spans="26:29" x14ac:dyDescent="0.35">
      <c r="Z764" s="4"/>
      <c r="AA764" s="4"/>
      <c r="AB764" s="4" t="e">
        <f ca="1">_xll.ciqfunctions.udf.CIQ("^SPX", "IQ_PRICEDATE", "1/3/2017")</f>
        <v>#NAME?</v>
      </c>
      <c r="AC764" s="16">
        <v>2257.8280264107998</v>
      </c>
    </row>
    <row r="765" spans="26:29" x14ac:dyDescent="0.35">
      <c r="Z765" s="4"/>
      <c r="AA765" s="4"/>
      <c r="AB765" s="4" t="e">
        <f ca="1">_xll.ciqfunctions.udf.CIQ("^SPX", "IQ_PRICEDATE", "1/4/2017")</f>
        <v>#NAME?</v>
      </c>
      <c r="AC765" s="16">
        <v>2270.7525300621</v>
      </c>
    </row>
    <row r="766" spans="26:29" x14ac:dyDescent="0.35">
      <c r="Z766" s="4"/>
      <c r="AA766" s="4"/>
      <c r="AB766" s="4" t="e">
        <f ca="1">_xll.ciqfunctions.udf.CIQ("^SPX", "IQ_PRICEDATE", "1/5/2017")</f>
        <v>#NAME?</v>
      </c>
      <c r="AC766" s="16">
        <v>2268.9985049367001</v>
      </c>
    </row>
    <row r="767" spans="26:29" x14ac:dyDescent="0.35">
      <c r="Z767" s="4"/>
      <c r="AA767" s="4"/>
      <c r="AB767" s="4" t="e">
        <f ca="1">_xll.ciqfunctions.udf.CIQ("^SPX", "IQ_PRICEDATE", "1/6/2017")</f>
        <v>#NAME?</v>
      </c>
      <c r="AC767" s="16">
        <v>2276.9814445621</v>
      </c>
    </row>
    <row r="768" spans="26:29" x14ac:dyDescent="0.35">
      <c r="Z768" s="4"/>
      <c r="AA768" s="4"/>
      <c r="AB768" s="4" t="e">
        <f ca="1">_xll.ciqfunctions.udf.CIQ("^SPX", "IQ_PRICEDATE", "1/9/2017")</f>
        <v>#NAME?</v>
      </c>
      <c r="AC768" s="16">
        <v>2268.9042127008001</v>
      </c>
    </row>
    <row r="769" spans="26:29" x14ac:dyDescent="0.35">
      <c r="Z769" s="4"/>
      <c r="AA769" s="4"/>
      <c r="AB769" s="4" t="e">
        <f ca="1">_xll.ciqfunctions.udf.CIQ("^SPX", "IQ_PRICEDATE", "1/10/2017")</f>
        <v>#NAME?</v>
      </c>
      <c r="AC769" s="16">
        <v>2268.8994521366999</v>
      </c>
    </row>
    <row r="770" spans="26:29" x14ac:dyDescent="0.35">
      <c r="Z770" s="4"/>
      <c r="AA770" s="4"/>
      <c r="AB770" s="4" t="e">
        <f ca="1">_xll.ciqfunctions.udf.CIQ("^SPX", "IQ_PRICEDATE", "1/11/2017")</f>
        <v>#NAME?</v>
      </c>
      <c r="AC770" s="16">
        <v>2275.3158782679998</v>
      </c>
    </row>
    <row r="771" spans="26:29" x14ac:dyDescent="0.35">
      <c r="Z771" s="4"/>
      <c r="AA771" s="4"/>
      <c r="AB771" s="4" t="e">
        <f ca="1">_xll.ciqfunctions.udf.CIQ("^SPX", "IQ_PRICEDATE", "1/12/2017")</f>
        <v>#NAME?</v>
      </c>
      <c r="AC771" s="16">
        <v>2270.4428671565001</v>
      </c>
    </row>
    <row r="772" spans="26:29" x14ac:dyDescent="0.35">
      <c r="Z772" s="4"/>
      <c r="AA772" s="4"/>
      <c r="AB772" s="4" t="e">
        <f ca="1">_xll.ciqfunctions.udf.CIQ("^SPX", "IQ_PRICEDATE", "1/13/2017")</f>
        <v>#NAME?</v>
      </c>
      <c r="AC772" s="16">
        <v>2274.6377428952001</v>
      </c>
    </row>
    <row r="773" spans="26:29" x14ac:dyDescent="0.35">
      <c r="Z773" s="4"/>
      <c r="AA773" s="4"/>
      <c r="AB773" s="4" t="e">
        <f ca="1">_xll.ciqfunctions.udf.CIQ("^SPX", "IQ_PRICEDATE", "1/17/2017")</f>
        <v>#NAME?</v>
      </c>
      <c r="AC773" s="16">
        <v>2267.8886336767</v>
      </c>
    </row>
    <row r="774" spans="26:29" x14ac:dyDescent="0.35">
      <c r="Z774" s="4"/>
      <c r="AA774" s="4"/>
      <c r="AB774" s="4" t="e">
        <f ca="1">_xll.ciqfunctions.udf.CIQ("^SPX", "IQ_PRICEDATE", "1/18/2017")</f>
        <v>#NAME?</v>
      </c>
      <c r="AC774" s="16">
        <v>2271.889368823</v>
      </c>
    </row>
    <row r="775" spans="26:29" x14ac:dyDescent="0.35">
      <c r="Z775" s="4"/>
      <c r="AA775" s="4"/>
      <c r="AB775" s="4" t="e">
        <f ca="1">_xll.ciqfunctions.udf.CIQ("^SPX", "IQ_PRICEDATE", "1/19/2017")</f>
        <v>#NAME?</v>
      </c>
      <c r="AC775" s="16">
        <v>2263.6867803261998</v>
      </c>
    </row>
    <row r="776" spans="26:29" x14ac:dyDescent="0.35">
      <c r="Z776" s="4"/>
      <c r="AA776" s="4"/>
      <c r="AB776" s="4" t="e">
        <f ca="1">_xll.ciqfunctions.udf.CIQ("^SPX", "IQ_PRICEDATE", "1/20/2017")</f>
        <v>#NAME?</v>
      </c>
      <c r="AC776" s="16">
        <v>2271.3147292376998</v>
      </c>
    </row>
    <row r="777" spans="26:29" x14ac:dyDescent="0.35">
      <c r="Z777" s="4"/>
      <c r="AA777" s="4"/>
      <c r="AB777" s="4" t="e">
        <f ca="1">_xll.ciqfunctions.udf.CIQ("^SPX", "IQ_PRICEDATE", "1/23/2017")</f>
        <v>#NAME?</v>
      </c>
      <c r="AC777" s="16">
        <v>2265.2002060514001</v>
      </c>
    </row>
    <row r="778" spans="26:29" x14ac:dyDescent="0.35">
      <c r="Z778" s="4"/>
      <c r="AA778" s="4"/>
      <c r="AB778" s="4" t="e">
        <f ca="1">_xll.ciqfunctions.udf.CIQ("^SPX", "IQ_PRICEDATE", "1/24/2017")</f>
        <v>#NAME?</v>
      </c>
      <c r="AC778" s="16">
        <v>2280.0741724414002</v>
      </c>
    </row>
    <row r="779" spans="26:29" x14ac:dyDescent="0.35">
      <c r="Z779" s="4"/>
      <c r="AA779" s="4"/>
      <c r="AB779" s="4" t="e">
        <f ca="1">_xll.ciqfunctions.udf.CIQ("^SPX", "IQ_PRICEDATE", "1/25/2017")</f>
        <v>#NAME?</v>
      </c>
      <c r="AC779" s="16">
        <v>2298.3674030979</v>
      </c>
    </row>
    <row r="780" spans="26:29" x14ac:dyDescent="0.35">
      <c r="Z780" s="4"/>
      <c r="AA780" s="4"/>
      <c r="AB780" s="4" t="e">
        <f ca="1">_xll.ciqfunctions.udf.CIQ("^SPX", "IQ_PRICEDATE", "1/26/2017")</f>
        <v>#NAME?</v>
      </c>
      <c r="AC780" s="16">
        <v>2296.680835659</v>
      </c>
    </row>
    <row r="781" spans="26:29" x14ac:dyDescent="0.35">
      <c r="Z781" s="4"/>
      <c r="AA781" s="4"/>
      <c r="AB781" s="4" t="e">
        <f ca="1">_xll.ciqfunctions.udf.CIQ("^SPX", "IQ_PRICEDATE", "1/27/2017")</f>
        <v>#NAME?</v>
      </c>
      <c r="AC781" s="16">
        <v>2294.6897289069002</v>
      </c>
    </row>
    <row r="782" spans="26:29" x14ac:dyDescent="0.35">
      <c r="Z782" s="4"/>
      <c r="AA782" s="4"/>
      <c r="AB782" s="4" t="e">
        <f ca="1">_xll.ciqfunctions.udf.CIQ("^SPX", "IQ_PRICEDATE", "1/30/2017")</f>
        <v>#NAME?</v>
      </c>
      <c r="AC782" s="16">
        <v>2280.896292119</v>
      </c>
    </row>
    <row r="783" spans="26:29" x14ac:dyDescent="0.35">
      <c r="Z783" s="4"/>
      <c r="AA783" s="4"/>
      <c r="AB783" s="4" t="e">
        <f ca="1">_xll.ciqfunctions.udf.CIQ("^SPX", "IQ_PRICEDATE", "1/31/2017")</f>
        <v>#NAME?</v>
      </c>
      <c r="AC783" s="16">
        <v>2278.8668906139001</v>
      </c>
    </row>
    <row r="784" spans="26:29" x14ac:dyDescent="0.35">
      <c r="Z784" s="4"/>
      <c r="AA784" s="4"/>
      <c r="AB784" s="4" t="e">
        <f ca="1">_xll.ciqfunctions.udf.CIQ("^SPX", "IQ_PRICEDATE", "2/1/2017")</f>
        <v>#NAME?</v>
      </c>
      <c r="AC784" s="16">
        <v>2279.5542905152001</v>
      </c>
    </row>
    <row r="785" spans="26:29" x14ac:dyDescent="0.35">
      <c r="Z785" s="4"/>
      <c r="AA785" s="4"/>
      <c r="AB785" s="4" t="e">
        <f ca="1">_xll.ciqfunctions.udf.CIQ("^SPX", "IQ_PRICEDATE", "2/2/2017")</f>
        <v>#NAME?</v>
      </c>
      <c r="AC785" s="16">
        <v>2280.8503539918001</v>
      </c>
    </row>
    <row r="786" spans="26:29" x14ac:dyDescent="0.35">
      <c r="Z786" s="4"/>
      <c r="AA786" s="4"/>
      <c r="AB786" s="4" t="e">
        <f ca="1">_xll.ciqfunctions.udf.CIQ("^SPX", "IQ_PRICEDATE", "2/3/2017")</f>
        <v>#NAME?</v>
      </c>
      <c r="AC786" s="16">
        <v>2297.4158570560999</v>
      </c>
    </row>
    <row r="787" spans="26:29" x14ac:dyDescent="0.35">
      <c r="Z787" s="4"/>
      <c r="AA787" s="4"/>
      <c r="AB787" s="4" t="e">
        <f ca="1">_xll.ciqfunctions.udf.CIQ("^SPX", "IQ_PRICEDATE", "2/6/2017")</f>
        <v>#NAME?</v>
      </c>
      <c r="AC787" s="16">
        <v>2292.5583856443</v>
      </c>
    </row>
    <row r="788" spans="26:29" x14ac:dyDescent="0.35">
      <c r="Z788" s="4"/>
      <c r="AA788" s="4"/>
      <c r="AB788" s="4" t="e">
        <f ca="1">_xll.ciqfunctions.udf.CIQ("^SPX", "IQ_PRICEDATE", "2/7/2017")</f>
        <v>#NAME?</v>
      </c>
      <c r="AC788" s="16">
        <v>2293.0810794510999</v>
      </c>
    </row>
    <row r="789" spans="26:29" x14ac:dyDescent="0.35">
      <c r="Z789" s="4"/>
      <c r="AA789" s="4"/>
      <c r="AB789" s="4" t="e">
        <f ca="1">_xll.ciqfunctions.udf.CIQ("^SPX", "IQ_PRICEDATE", "2/8/2017")</f>
        <v>#NAME?</v>
      </c>
      <c r="AC789" s="16">
        <v>2294.6686139671001</v>
      </c>
    </row>
    <row r="790" spans="26:29" x14ac:dyDescent="0.35">
      <c r="Z790" s="4"/>
      <c r="AA790" s="4"/>
      <c r="AB790" s="4" t="e">
        <f ca="1">_xll.ciqfunctions.udf.CIQ("^SPX", "IQ_PRICEDATE", "2/9/2017")</f>
        <v>#NAME?</v>
      </c>
      <c r="AC790" s="16">
        <v>2307.8746485800002</v>
      </c>
    </row>
    <row r="791" spans="26:29" x14ac:dyDescent="0.35">
      <c r="Z791" s="4"/>
      <c r="AA791" s="4"/>
      <c r="AB791" s="4" t="e">
        <f ca="1">_xll.ciqfunctions.udf.CIQ("^SPX", "IQ_PRICEDATE", "2/10/2017")</f>
        <v>#NAME?</v>
      </c>
      <c r="AC791" s="16">
        <v>2316.0970695871001</v>
      </c>
    </row>
    <row r="792" spans="26:29" x14ac:dyDescent="0.35">
      <c r="Z792" s="4"/>
      <c r="AA792" s="4"/>
      <c r="AB792" s="4" t="e">
        <f ca="1">_xll.ciqfunctions.udf.CIQ("^SPX", "IQ_PRICEDATE", "2/13/2017")</f>
        <v>#NAME?</v>
      </c>
      <c r="AC792" s="16">
        <v>2328.2532652969999</v>
      </c>
    </row>
    <row r="793" spans="26:29" x14ac:dyDescent="0.35">
      <c r="Z793" s="4"/>
      <c r="AA793" s="4"/>
      <c r="AB793" s="4" t="e">
        <f ca="1">_xll.ciqfunctions.udf.CIQ("^SPX", "IQ_PRICEDATE", "2/14/2017")</f>
        <v>#NAME?</v>
      </c>
      <c r="AC793" s="16">
        <v>2337.5845739169999</v>
      </c>
    </row>
    <row r="794" spans="26:29" x14ac:dyDescent="0.35">
      <c r="Z794" s="4"/>
      <c r="AA794" s="4"/>
      <c r="AB794" s="4" t="e">
        <f ca="1">_xll.ciqfunctions.udf.CIQ("^SPX", "IQ_PRICEDATE", "2/15/2017")</f>
        <v>#NAME?</v>
      </c>
      <c r="AC794" s="16">
        <v>2349.2474085381</v>
      </c>
    </row>
    <row r="795" spans="26:29" x14ac:dyDescent="0.35">
      <c r="Z795" s="4"/>
      <c r="AA795" s="4"/>
      <c r="AB795" s="4" t="e">
        <f ca="1">_xll.ciqfunctions.udf.CIQ("^SPX", "IQ_PRICEDATE", "2/16/2017")</f>
        <v>#NAME?</v>
      </c>
      <c r="AC795" s="16">
        <v>2347.2235385903</v>
      </c>
    </row>
    <row r="796" spans="26:29" x14ac:dyDescent="0.35">
      <c r="Z796" s="4"/>
      <c r="AA796" s="4"/>
      <c r="AB796" s="4" t="e">
        <f ca="1">_xll.ciqfunctions.udf.CIQ("^SPX", "IQ_PRICEDATE", "2/17/2017")</f>
        <v>#NAME?</v>
      </c>
      <c r="AC796" s="16">
        <v>2351.1616992230001</v>
      </c>
    </row>
    <row r="797" spans="26:29" x14ac:dyDescent="0.35">
      <c r="Z797" s="4"/>
      <c r="AA797" s="4"/>
      <c r="AB797" s="4" t="e">
        <f ca="1">_xll.ciqfunctions.udf.CIQ("^SPX", "IQ_PRICEDATE", "2/21/2017")</f>
        <v>#NAME?</v>
      </c>
      <c r="AC797" s="16">
        <v>2365.3827239303</v>
      </c>
    </row>
    <row r="798" spans="26:29" x14ac:dyDescent="0.35">
      <c r="Z798" s="4"/>
      <c r="AA798" s="4"/>
      <c r="AB798" s="4" t="e">
        <f ca="1">_xll.ciqfunctions.udf.CIQ("^SPX", "IQ_PRICEDATE", "2/22/2017")</f>
        <v>#NAME?</v>
      </c>
      <c r="AC798" s="16">
        <v>2362.8215256018998</v>
      </c>
    </row>
    <row r="799" spans="26:29" x14ac:dyDescent="0.35">
      <c r="Z799" s="4"/>
      <c r="AA799" s="4"/>
      <c r="AB799" s="4" t="e">
        <f ca="1">_xll.ciqfunctions.udf.CIQ("^SPX", "IQ_PRICEDATE", "2/23/2017")</f>
        <v>#NAME?</v>
      </c>
      <c r="AC799" s="16">
        <v>2363.8066507957001</v>
      </c>
    </row>
    <row r="800" spans="26:29" x14ac:dyDescent="0.35">
      <c r="Z800" s="4"/>
      <c r="AA800" s="4"/>
      <c r="AB800" s="4" t="e">
        <f ca="1">_xll.ciqfunctions.udf.CIQ("^SPX", "IQ_PRICEDATE", "2/24/2017")</f>
        <v>#NAME?</v>
      </c>
      <c r="AC800" s="16">
        <v>2367.3442469725001</v>
      </c>
    </row>
    <row r="801" spans="26:29" x14ac:dyDescent="0.35">
      <c r="Z801" s="4"/>
      <c r="AA801" s="4"/>
      <c r="AB801" s="4" t="e">
        <f ca="1">_xll.ciqfunctions.udf.CIQ("^SPX", "IQ_PRICEDATE", "2/27/2017")</f>
        <v>#NAME?</v>
      </c>
      <c r="AC801" s="16">
        <v>2369.7502934271001</v>
      </c>
    </row>
    <row r="802" spans="26:29" x14ac:dyDescent="0.35">
      <c r="Z802" s="4"/>
      <c r="AA802" s="4"/>
      <c r="AB802" s="4" t="e">
        <f ca="1">_xll.ciqfunctions.udf.CIQ("^SPX", "IQ_PRICEDATE", "2/28/2017")</f>
        <v>#NAME?</v>
      </c>
      <c r="AC802" s="16">
        <v>2363.6381971289002</v>
      </c>
    </row>
    <row r="803" spans="26:29" x14ac:dyDescent="0.35">
      <c r="Z803" s="4"/>
      <c r="AA803" s="4"/>
      <c r="AB803" s="4" t="e">
        <f ca="1">_xll.ciqfunctions.udf.CIQ("^SPX", "IQ_PRICEDATE", "3/1/2017")</f>
        <v>#NAME?</v>
      </c>
      <c r="AC803" s="16">
        <v>2395.9571420635998</v>
      </c>
    </row>
    <row r="804" spans="26:29" x14ac:dyDescent="0.35">
      <c r="Z804" s="4"/>
      <c r="AA804" s="4"/>
      <c r="AB804" s="4" t="e">
        <f ca="1">_xll.ciqfunctions.udf.CIQ("^SPX", "IQ_PRICEDATE", "3/2/2017")</f>
        <v>#NAME?</v>
      </c>
      <c r="AC804" s="16">
        <v>2381.9182073411998</v>
      </c>
    </row>
    <row r="805" spans="26:29" x14ac:dyDescent="0.35">
      <c r="Z805" s="4"/>
      <c r="AA805" s="4"/>
      <c r="AB805" s="4" t="e">
        <f ca="1">_xll.ciqfunctions.udf.CIQ("^SPX", "IQ_PRICEDATE", "3/3/2017")</f>
        <v>#NAME?</v>
      </c>
      <c r="AC805" s="16">
        <v>2383.1170365799999</v>
      </c>
    </row>
    <row r="806" spans="26:29" x14ac:dyDescent="0.35">
      <c r="Z806" s="4"/>
      <c r="AA806" s="4"/>
      <c r="AB806" s="4" t="e">
        <f ca="1">_xll.ciqfunctions.udf.CIQ("^SPX", "IQ_PRICEDATE", "3/6/2017")</f>
        <v>#NAME?</v>
      </c>
      <c r="AC806" s="16">
        <v>2375.3111240962999</v>
      </c>
    </row>
    <row r="807" spans="26:29" x14ac:dyDescent="0.35">
      <c r="Z807" s="4"/>
      <c r="AA807" s="4"/>
      <c r="AB807" s="4" t="e">
        <f ca="1">_xll.ciqfunctions.udf.CIQ("^SPX", "IQ_PRICEDATE", "3/7/2017")</f>
        <v>#NAME?</v>
      </c>
      <c r="AC807" s="16">
        <v>2368.3942101840998</v>
      </c>
    </row>
    <row r="808" spans="26:29" x14ac:dyDescent="0.35">
      <c r="Z808" s="4"/>
      <c r="AA808" s="4"/>
      <c r="AB808" s="4" t="e">
        <f ca="1">_xll.ciqfunctions.udf.CIQ("^SPX", "IQ_PRICEDATE", "3/8/2017")</f>
        <v>#NAME?</v>
      </c>
      <c r="AC808" s="16">
        <v>2362.9769963468998</v>
      </c>
    </row>
    <row r="809" spans="26:29" x14ac:dyDescent="0.35">
      <c r="Z809" s="4"/>
      <c r="AA809" s="4"/>
      <c r="AB809" s="4" t="e">
        <f ca="1">_xll.ciqfunctions.udf.CIQ("^SPX", "IQ_PRICEDATE", "3/9/2017")</f>
        <v>#NAME?</v>
      </c>
      <c r="AC809" s="16">
        <v>2364.8697868442</v>
      </c>
    </row>
    <row r="810" spans="26:29" x14ac:dyDescent="0.35">
      <c r="Z810" s="4"/>
      <c r="AA810" s="4"/>
      <c r="AB810" s="4" t="e">
        <f ca="1">_xll.ciqfunctions.udf.CIQ("^SPX", "IQ_PRICEDATE", "3/10/2017")</f>
        <v>#NAME?</v>
      </c>
      <c r="AC810" s="16">
        <v>2372.5977517652</v>
      </c>
    </row>
    <row r="811" spans="26:29" x14ac:dyDescent="0.35">
      <c r="Z811" s="4"/>
      <c r="AA811" s="4"/>
      <c r="AB811" s="4" t="e">
        <f ca="1">_xll.ciqfunctions.udf.CIQ("^SPX", "IQ_PRICEDATE", "3/13/2017")</f>
        <v>#NAME?</v>
      </c>
      <c r="AC811" s="16">
        <v>2373.4729821412002</v>
      </c>
    </row>
    <row r="812" spans="26:29" x14ac:dyDescent="0.35">
      <c r="Z812" s="4"/>
      <c r="AA812" s="4"/>
      <c r="AB812" s="4" t="e">
        <f ca="1">_xll.ciqfunctions.udf.CIQ("^SPX", "IQ_PRICEDATE", "3/14/2017")</f>
        <v>#NAME?</v>
      </c>
      <c r="AC812" s="16">
        <v>2365.4548960461002</v>
      </c>
    </row>
    <row r="813" spans="26:29" x14ac:dyDescent="0.35">
      <c r="Z813" s="4"/>
      <c r="AA813" s="4"/>
      <c r="AB813" s="4" t="e">
        <f ca="1">_xll.ciqfunctions.udf.CIQ("^SPX", "IQ_PRICEDATE", "3/15/2017")</f>
        <v>#NAME?</v>
      </c>
      <c r="AC813" s="16">
        <v>2385.2644650697998</v>
      </c>
    </row>
    <row r="814" spans="26:29" x14ac:dyDescent="0.35">
      <c r="Z814" s="4"/>
      <c r="AA814" s="4"/>
      <c r="AB814" s="4" t="e">
        <f ca="1">_xll.ciqfunctions.udf.CIQ("^SPX", "IQ_PRICEDATE", "3/16/2017")</f>
        <v>#NAME?</v>
      </c>
      <c r="AC814" s="16">
        <v>2381.3822478676002</v>
      </c>
    </row>
    <row r="815" spans="26:29" x14ac:dyDescent="0.35">
      <c r="Z815" s="4"/>
      <c r="AA815" s="4"/>
      <c r="AB815" s="4" t="e">
        <f ca="1">_xll.ciqfunctions.udf.CIQ("^SPX", "IQ_PRICEDATE", "3/17/2017")</f>
        <v>#NAME?</v>
      </c>
      <c r="AC815" s="16">
        <v>2378.2530512992998</v>
      </c>
    </row>
    <row r="816" spans="26:29" x14ac:dyDescent="0.35">
      <c r="Z816" s="4"/>
      <c r="AA816" s="4"/>
      <c r="AB816" s="4" t="e">
        <f ca="1">_xll.ciqfunctions.udf.CIQ("^SPX", "IQ_PRICEDATE", "3/20/2017")</f>
        <v>#NAME?</v>
      </c>
      <c r="AC816" s="16">
        <v>2373.4716089251001</v>
      </c>
    </row>
    <row r="817" spans="26:29" x14ac:dyDescent="0.35">
      <c r="Z817" s="4"/>
      <c r="AA817" s="4"/>
      <c r="AB817" s="4" t="e">
        <f ca="1">_xll.ciqfunctions.udf.CIQ("^SPX", "IQ_PRICEDATE", "3/21/2017")</f>
        <v>#NAME?</v>
      </c>
      <c r="AC817" s="16">
        <v>2344.0171188897998</v>
      </c>
    </row>
    <row r="818" spans="26:29" x14ac:dyDescent="0.35">
      <c r="Z818" s="4"/>
      <c r="AA818" s="4"/>
      <c r="AB818" s="4" t="e">
        <f ca="1">_xll.ciqfunctions.udf.CIQ("^SPX", "IQ_PRICEDATE", "3/22/2017")</f>
        <v>#NAME?</v>
      </c>
      <c r="AC818" s="16">
        <v>2348.4488358253998</v>
      </c>
    </row>
    <row r="819" spans="26:29" x14ac:dyDescent="0.35">
      <c r="Z819" s="4"/>
      <c r="AA819" s="4"/>
      <c r="AB819" s="4" t="e">
        <f ca="1">_xll.ciqfunctions.udf.CIQ("^SPX", "IQ_PRICEDATE", "3/23/2017")</f>
        <v>#NAME?</v>
      </c>
      <c r="AC819" s="16">
        <v>2345.9621629387998</v>
      </c>
    </row>
    <row r="820" spans="26:29" x14ac:dyDescent="0.35">
      <c r="Z820" s="4"/>
      <c r="AA820" s="4"/>
      <c r="AB820" s="4" t="e">
        <f ca="1">_xll.ciqfunctions.udf.CIQ("^SPX", "IQ_PRICEDATE", "3/24/2017")</f>
        <v>#NAME?</v>
      </c>
      <c r="AC820" s="16">
        <v>2343.9781399113999</v>
      </c>
    </row>
    <row r="821" spans="26:29" x14ac:dyDescent="0.35">
      <c r="Z821" s="4"/>
      <c r="AA821" s="4"/>
      <c r="AB821" s="4" t="e">
        <f ca="1">_xll.ciqfunctions.udf.CIQ("^SPX", "IQ_PRICEDATE", "3/27/2017")</f>
        <v>#NAME?</v>
      </c>
      <c r="AC821" s="16">
        <v>2341.5905947084002</v>
      </c>
    </row>
    <row r="822" spans="26:29" x14ac:dyDescent="0.35">
      <c r="Z822" s="4"/>
      <c r="AA822" s="4"/>
      <c r="AB822" s="4" t="e">
        <f ca="1">_xll.ciqfunctions.udf.CIQ("^SPX", "IQ_PRICEDATE", "3/28/2017")</f>
        <v>#NAME?</v>
      </c>
      <c r="AC822" s="16">
        <v>2358.5664621082001</v>
      </c>
    </row>
    <row r="823" spans="26:29" x14ac:dyDescent="0.35">
      <c r="Z823" s="4"/>
      <c r="AA823" s="4"/>
      <c r="AB823" s="4" t="e">
        <f ca="1">_xll.ciqfunctions.udf.CIQ("^SPX", "IQ_PRICEDATE", "3/29/2017")</f>
        <v>#NAME?</v>
      </c>
      <c r="AC823" s="16">
        <v>2361.1329611063002</v>
      </c>
    </row>
    <row r="824" spans="26:29" x14ac:dyDescent="0.35">
      <c r="Z824" s="4"/>
      <c r="AA824" s="4"/>
      <c r="AB824" s="4" t="e">
        <f ca="1">_xll.ciqfunctions.udf.CIQ("^SPX", "IQ_PRICEDATE", "3/30/2017")</f>
        <v>#NAME?</v>
      </c>
      <c r="AC824" s="16">
        <v>2368.0605682130999</v>
      </c>
    </row>
    <row r="825" spans="26:29" x14ac:dyDescent="0.35">
      <c r="Z825" s="4"/>
      <c r="AA825" s="4"/>
      <c r="AB825" s="4" t="e">
        <f ca="1">_xll.ciqfunctions.udf.CIQ("^SPX", "IQ_PRICEDATE", "3/31/2017")</f>
        <v>#NAME?</v>
      </c>
      <c r="AC825" s="16">
        <v>2362.7182203972998</v>
      </c>
    </row>
    <row r="826" spans="26:29" x14ac:dyDescent="0.35">
      <c r="Z826" s="4"/>
      <c r="AA826" s="4"/>
      <c r="AB826" s="4" t="e">
        <f ca="1">_xll.ciqfunctions.udf.CIQ("^SPX", "IQ_PRICEDATE", "4/3/2017")</f>
        <v>#NAME?</v>
      </c>
      <c r="AC826" s="16">
        <v>2358.8350901079998</v>
      </c>
    </row>
    <row r="827" spans="26:29" x14ac:dyDescent="0.35">
      <c r="Z827" s="4"/>
      <c r="AA827" s="4"/>
      <c r="AB827" s="4" t="e">
        <f ca="1">_xll.ciqfunctions.udf.CIQ("^SPX", "IQ_PRICEDATE", "4/4/2017")</f>
        <v>#NAME?</v>
      </c>
      <c r="AC827" s="16">
        <v>2360.1556906116998</v>
      </c>
    </row>
    <row r="828" spans="26:29" x14ac:dyDescent="0.35">
      <c r="Z828" s="4"/>
      <c r="AA828" s="4"/>
      <c r="AB828" s="4" t="e">
        <f ca="1">_xll.ciqfunctions.udf.CIQ("^SPX", "IQ_PRICEDATE", "4/5/2017")</f>
        <v>#NAME?</v>
      </c>
      <c r="AC828" s="16">
        <v>2352.9481905326002</v>
      </c>
    </row>
    <row r="829" spans="26:29" x14ac:dyDescent="0.35">
      <c r="Z829" s="4"/>
      <c r="AA829" s="4"/>
      <c r="AB829" s="4" t="e">
        <f ca="1">_xll.ciqfunctions.udf.CIQ("^SPX", "IQ_PRICEDATE", "4/6/2017")</f>
        <v>#NAME?</v>
      </c>
      <c r="AC829" s="16">
        <v>2357.4890699420998</v>
      </c>
    </row>
    <row r="830" spans="26:29" x14ac:dyDescent="0.35">
      <c r="Z830" s="4"/>
      <c r="AA830" s="4"/>
      <c r="AB830" s="4" t="e">
        <f ca="1">_xll.ciqfunctions.udf.CIQ("^SPX", "IQ_PRICEDATE", "4/7/2017")</f>
        <v>#NAME?</v>
      </c>
      <c r="AC830" s="16">
        <v>2355.5449917134001</v>
      </c>
    </row>
    <row r="831" spans="26:29" x14ac:dyDescent="0.35">
      <c r="Z831" s="4"/>
      <c r="AA831" s="4"/>
      <c r="AB831" s="4" t="e">
        <f ca="1">_xll.ciqfunctions.udf.CIQ("^SPX", "IQ_PRICEDATE", "4/10/2017")</f>
        <v>#NAME?</v>
      </c>
      <c r="AC831" s="16">
        <v>2357.1633808413999</v>
      </c>
    </row>
    <row r="832" spans="26:29" x14ac:dyDescent="0.35">
      <c r="Z832" s="4"/>
      <c r="AA832" s="4"/>
      <c r="AB832" s="4" t="e">
        <f ca="1">_xll.ciqfunctions.udf.CIQ("^SPX", "IQ_PRICEDATE", "4/11/2017")</f>
        <v>#NAME?</v>
      </c>
      <c r="AC832" s="16">
        <v>2353.7769915017998</v>
      </c>
    </row>
    <row r="833" spans="26:29" x14ac:dyDescent="0.35">
      <c r="Z833" s="4"/>
      <c r="AA833" s="4"/>
      <c r="AB833" s="4" t="e">
        <f ca="1">_xll.ciqfunctions.udf.CIQ("^SPX", "IQ_PRICEDATE", "4/12/2017")</f>
        <v>#NAME?</v>
      </c>
      <c r="AC833" s="16">
        <v>2344.926332342</v>
      </c>
    </row>
    <row r="834" spans="26:29" x14ac:dyDescent="0.35">
      <c r="Z834" s="4"/>
      <c r="AA834" s="4"/>
      <c r="AB834" s="4" t="e">
        <f ca="1">_xll.ciqfunctions.udf.CIQ("^SPX", "IQ_PRICEDATE", "4/13/2017")</f>
        <v>#NAME?</v>
      </c>
      <c r="AC834" s="16">
        <v>2328.9533474916002</v>
      </c>
    </row>
    <row r="835" spans="26:29" x14ac:dyDescent="0.35">
      <c r="Z835" s="4"/>
      <c r="AA835" s="4"/>
      <c r="AB835" s="4" t="e">
        <f ca="1">_xll.ciqfunctions.udf.CIQ("^SPX", "IQ_PRICEDATE", "4/17/2017")</f>
        <v>#NAME?</v>
      </c>
      <c r="AC835" s="16">
        <v>2349.0102206680999</v>
      </c>
    </row>
    <row r="836" spans="26:29" x14ac:dyDescent="0.35">
      <c r="Z836" s="4"/>
      <c r="AA836" s="4"/>
      <c r="AB836" s="4" t="e">
        <f ca="1">_xll.ciqfunctions.udf.CIQ("^SPX", "IQ_PRICEDATE", "4/18/2017")</f>
        <v>#NAME?</v>
      </c>
      <c r="AC836" s="16">
        <v>2342.1878312869999</v>
      </c>
    </row>
    <row r="837" spans="26:29" x14ac:dyDescent="0.35">
      <c r="Z837" s="4"/>
      <c r="AA837" s="4"/>
      <c r="AB837" s="4" t="e">
        <f ca="1">_xll.ciqfunctions.udf.CIQ("^SPX", "IQ_PRICEDATE", "4/19/2017")</f>
        <v>#NAME?</v>
      </c>
      <c r="AC837" s="16">
        <v>2338.16598759</v>
      </c>
    </row>
    <row r="838" spans="26:29" x14ac:dyDescent="0.35">
      <c r="Z838" s="4"/>
      <c r="AA838" s="4"/>
      <c r="AB838" s="4" t="e">
        <f ca="1">_xll.ciqfunctions.udf.CIQ("^SPX", "IQ_PRICEDATE", "4/20/2017")</f>
        <v>#NAME?</v>
      </c>
      <c r="AC838" s="16">
        <v>2355.8440804402999</v>
      </c>
    </row>
    <row r="839" spans="26:29" x14ac:dyDescent="0.35">
      <c r="Z839" s="4"/>
      <c r="AA839" s="4"/>
      <c r="AB839" s="4" t="e">
        <f ca="1">_xll.ciqfunctions.udf.CIQ("^SPX", "IQ_PRICEDATE", "4/21/2017")</f>
        <v>#NAME?</v>
      </c>
      <c r="AC839" s="16">
        <v>2348.6949580619998</v>
      </c>
    </row>
    <row r="840" spans="26:29" x14ac:dyDescent="0.35">
      <c r="Z840" s="4"/>
      <c r="AA840" s="4"/>
      <c r="AB840" s="4" t="e">
        <f ca="1">_xll.ciqfunctions.udf.CIQ("^SPX", "IQ_PRICEDATE", "4/24/2017")</f>
        <v>#NAME?</v>
      </c>
      <c r="AC840" s="16">
        <v>2374.1506911319002</v>
      </c>
    </row>
    <row r="841" spans="26:29" x14ac:dyDescent="0.35">
      <c r="Z841" s="4"/>
      <c r="AA841" s="4"/>
      <c r="AB841" s="4" t="e">
        <f ca="1">_xll.ciqfunctions.udf.CIQ("^SPX", "IQ_PRICEDATE", "4/25/2017")</f>
        <v>#NAME?</v>
      </c>
      <c r="AC841" s="16">
        <v>2388.6149249553</v>
      </c>
    </row>
    <row r="842" spans="26:29" x14ac:dyDescent="0.35">
      <c r="Z842" s="4"/>
      <c r="AA842" s="4"/>
      <c r="AB842" s="4" t="e">
        <f ca="1">_xll.ciqfunctions.udf.CIQ("^SPX", "IQ_PRICEDATE", "4/26/2017")</f>
        <v>#NAME?</v>
      </c>
      <c r="AC842" s="16">
        <v>2387.4479308863001</v>
      </c>
    </row>
    <row r="843" spans="26:29" x14ac:dyDescent="0.35">
      <c r="Z843" s="4"/>
      <c r="AA843" s="4"/>
      <c r="AB843" s="4" t="e">
        <f ca="1">_xll.ciqfunctions.udf.CIQ("^SPX", "IQ_PRICEDATE", "4/27/2017")</f>
        <v>#NAME?</v>
      </c>
      <c r="AC843" s="16">
        <v>2388.7688361317</v>
      </c>
    </row>
    <row r="844" spans="26:29" x14ac:dyDescent="0.35">
      <c r="Z844" s="4"/>
      <c r="AA844" s="4"/>
      <c r="AB844" s="4" t="e">
        <f ca="1">_xll.ciqfunctions.udf.CIQ("^SPX", "IQ_PRICEDATE", "4/28/2017")</f>
        <v>#NAME?</v>
      </c>
      <c r="AC844" s="16">
        <v>2384.1955178138001</v>
      </c>
    </row>
    <row r="845" spans="26:29" x14ac:dyDescent="0.35">
      <c r="Z845" s="4"/>
      <c r="AA845" s="4"/>
      <c r="AB845" s="4" t="e">
        <f ca="1">_xll.ciqfunctions.udf.CIQ("^SPX", "IQ_PRICEDATE", "5/1/2017")</f>
        <v>#NAME?</v>
      </c>
      <c r="AC845" s="16">
        <v>2388.3271850824999</v>
      </c>
    </row>
    <row r="846" spans="26:29" x14ac:dyDescent="0.35">
      <c r="Z846" s="4"/>
      <c r="AA846" s="4"/>
      <c r="AB846" s="4" t="e">
        <f ca="1">_xll.ciqfunctions.udf.CIQ("^SPX", "IQ_PRICEDATE", "5/2/2017")</f>
        <v>#NAME?</v>
      </c>
      <c r="AC846" s="16">
        <v>2391.1659415048998</v>
      </c>
    </row>
    <row r="847" spans="26:29" x14ac:dyDescent="0.35">
      <c r="Z847" s="4"/>
      <c r="AA847" s="4"/>
      <c r="AB847" s="4" t="e">
        <f ca="1">_xll.ciqfunctions.udf.CIQ("^SPX", "IQ_PRICEDATE", "5/3/2017")</f>
        <v>#NAME?</v>
      </c>
      <c r="AC847" s="16">
        <v>2388.1348932934002</v>
      </c>
    </row>
    <row r="848" spans="26:29" x14ac:dyDescent="0.35">
      <c r="Z848" s="4"/>
      <c r="AA848" s="4"/>
      <c r="AB848" s="4" t="e">
        <f ca="1">_xll.ciqfunctions.udf.CIQ("^SPX", "IQ_PRICEDATE", "5/4/2017")</f>
        <v>#NAME?</v>
      </c>
      <c r="AC848" s="16">
        <v>2389.5216607773</v>
      </c>
    </row>
    <row r="849" spans="26:29" x14ac:dyDescent="0.35">
      <c r="Z849" s="4"/>
      <c r="AA849" s="4"/>
      <c r="AB849" s="4" t="e">
        <f ca="1">_xll.ciqfunctions.udf.CIQ("^SPX", "IQ_PRICEDATE", "5/5/2017")</f>
        <v>#NAME?</v>
      </c>
      <c r="AC849" s="16">
        <v>2399.2857104250002</v>
      </c>
    </row>
    <row r="850" spans="26:29" x14ac:dyDescent="0.35">
      <c r="Z850" s="4"/>
      <c r="AA850" s="4"/>
      <c r="AB850" s="4" t="e">
        <f ca="1">_xll.ciqfunctions.udf.CIQ("^SPX", "IQ_PRICEDATE", "5/8/2017")</f>
        <v>#NAME?</v>
      </c>
      <c r="AC850" s="16">
        <v>2399.3773292577998</v>
      </c>
    </row>
    <row r="851" spans="26:29" x14ac:dyDescent="0.35">
      <c r="Z851" s="4"/>
      <c r="AA851" s="4"/>
      <c r="AB851" s="4" t="e">
        <f ca="1">_xll.ciqfunctions.udf.CIQ("^SPX", "IQ_PRICEDATE", "5/9/2017")</f>
        <v>#NAME?</v>
      </c>
      <c r="AC851" s="16">
        <v>2396.9194242874</v>
      </c>
    </row>
    <row r="852" spans="26:29" x14ac:dyDescent="0.35">
      <c r="Z852" s="4"/>
      <c r="AA852" s="4"/>
      <c r="AB852" s="4" t="e">
        <f ca="1">_xll.ciqfunctions.udf.CIQ("^SPX", "IQ_PRICEDATE", "5/10/2017")</f>
        <v>#NAME?</v>
      </c>
      <c r="AC852" s="16">
        <v>2399.6299593671001</v>
      </c>
    </row>
    <row r="853" spans="26:29" x14ac:dyDescent="0.35">
      <c r="Z853" s="4"/>
      <c r="AA853" s="4"/>
      <c r="AB853" s="4" t="e">
        <f ca="1">_xll.ciqfunctions.udf.CIQ("^SPX", "IQ_PRICEDATE", "5/11/2017")</f>
        <v>#NAME?</v>
      </c>
      <c r="AC853" s="16">
        <v>2394.4397979863002</v>
      </c>
    </row>
    <row r="854" spans="26:29" x14ac:dyDescent="0.35">
      <c r="Z854" s="4"/>
      <c r="AA854" s="4"/>
      <c r="AB854" s="4" t="e">
        <f ca="1">_xll.ciqfunctions.udf.CIQ("^SPX", "IQ_PRICEDATE", "5/12/2017")</f>
        <v>#NAME?</v>
      </c>
      <c r="AC854" s="16">
        <v>2390.8972261383001</v>
      </c>
    </row>
    <row r="855" spans="26:29" x14ac:dyDescent="0.35">
      <c r="Z855" s="4"/>
      <c r="AA855" s="4"/>
      <c r="AB855" s="4" t="e">
        <f ca="1">_xll.ciqfunctions.udf.CIQ("^SPX", "IQ_PRICEDATE", "5/15/2017")</f>
        <v>#NAME?</v>
      </c>
      <c r="AC855" s="16">
        <v>2402.3202821682999</v>
      </c>
    </row>
    <row r="856" spans="26:29" x14ac:dyDescent="0.35">
      <c r="Z856" s="4"/>
      <c r="AA856" s="4"/>
      <c r="AB856" s="4" t="e">
        <f ca="1">_xll.ciqfunctions.udf.CIQ("^SPX", "IQ_PRICEDATE", "5/16/2017")</f>
        <v>#NAME?</v>
      </c>
      <c r="AC856" s="16">
        <v>2400.6741690949998</v>
      </c>
    </row>
    <row r="857" spans="26:29" x14ac:dyDescent="0.35">
      <c r="Z857" s="4"/>
      <c r="AA857" s="4"/>
      <c r="AB857" s="4" t="e">
        <f ca="1">_xll.ciqfunctions.udf.CIQ("^SPX", "IQ_PRICEDATE", "5/17/2017")</f>
        <v>#NAME?</v>
      </c>
      <c r="AC857" s="16">
        <v>2357.0321672037999</v>
      </c>
    </row>
    <row r="858" spans="26:29" x14ac:dyDescent="0.35">
      <c r="Z858" s="4"/>
      <c r="AA858" s="4"/>
      <c r="AB858" s="4" t="e">
        <f ca="1">_xll.ciqfunctions.udf.CIQ("^SPX", "IQ_PRICEDATE", "5/18/2017")</f>
        <v>#NAME?</v>
      </c>
      <c r="AC858" s="16">
        <v>2365.7239626676001</v>
      </c>
    </row>
    <row r="859" spans="26:29" x14ac:dyDescent="0.35">
      <c r="Z859" s="4"/>
      <c r="AA859" s="4"/>
      <c r="AB859" s="4" t="e">
        <f ca="1">_xll.ciqfunctions.udf.CIQ("^SPX", "IQ_PRICEDATE", "5/19/2017")</f>
        <v>#NAME?</v>
      </c>
      <c r="AC859" s="16">
        <v>2381.7267041675</v>
      </c>
    </row>
    <row r="860" spans="26:29" x14ac:dyDescent="0.35">
      <c r="Z860" s="4"/>
      <c r="AA860" s="4"/>
      <c r="AB860" s="4" t="e">
        <f ca="1">_xll.ciqfunctions.udf.CIQ("^SPX", "IQ_PRICEDATE", "5/22/2017")</f>
        <v>#NAME?</v>
      </c>
      <c r="AC860" s="16">
        <v>2394.0240765692001</v>
      </c>
    </row>
    <row r="861" spans="26:29" x14ac:dyDescent="0.35">
      <c r="Z861" s="4"/>
      <c r="AA861" s="4"/>
      <c r="AB861" s="4" t="e">
        <f ca="1">_xll.ciqfunctions.udf.CIQ("^SPX", "IQ_PRICEDATE", "5/23/2017")</f>
        <v>#NAME?</v>
      </c>
      <c r="AC861" s="16">
        <v>2398.4186023841999</v>
      </c>
    </row>
    <row r="862" spans="26:29" x14ac:dyDescent="0.35">
      <c r="Z862" s="4"/>
      <c r="AA862" s="4"/>
      <c r="AB862" s="4" t="e">
        <f ca="1">_xll.ciqfunctions.udf.CIQ("^SPX", "IQ_PRICEDATE", "5/24/2017")</f>
        <v>#NAME?</v>
      </c>
      <c r="AC862" s="16">
        <v>2404.3870216977998</v>
      </c>
    </row>
    <row r="863" spans="26:29" x14ac:dyDescent="0.35">
      <c r="Z863" s="4"/>
      <c r="AA863" s="4"/>
      <c r="AB863" s="4" t="e">
        <f ca="1">_xll.ciqfunctions.udf.CIQ("^SPX", "IQ_PRICEDATE", "5/25/2017")</f>
        <v>#NAME?</v>
      </c>
      <c r="AC863" s="16">
        <v>2415.0657027404</v>
      </c>
    </row>
    <row r="864" spans="26:29" x14ac:dyDescent="0.35">
      <c r="Z864" s="4"/>
      <c r="AA864" s="4"/>
      <c r="AB864" s="4" t="e">
        <f ca="1">_xll.ciqfunctions.udf.CIQ("^SPX", "IQ_PRICEDATE", "5/26/2017")</f>
        <v>#NAME?</v>
      </c>
      <c r="AC864" s="16">
        <v>2415.8224803902999</v>
      </c>
    </row>
    <row r="865" spans="26:29" x14ac:dyDescent="0.35">
      <c r="Z865" s="4"/>
      <c r="AA865" s="4"/>
      <c r="AB865" s="4" t="e">
        <f ca="1">_xll.ciqfunctions.udf.CIQ("^SPX", "IQ_PRICEDATE", "5/30/2017")</f>
        <v>#NAME?</v>
      </c>
      <c r="AC865" s="16">
        <v>2412.9065671479998</v>
      </c>
    </row>
    <row r="866" spans="26:29" x14ac:dyDescent="0.35">
      <c r="Z866" s="4"/>
      <c r="AA866" s="4"/>
      <c r="AB866" s="4" t="e">
        <f ca="1">_xll.ciqfunctions.udf.CIQ("^SPX", "IQ_PRICEDATE", "5/31/2017")</f>
        <v>#NAME?</v>
      </c>
      <c r="AC866" s="16">
        <v>2411.7973242573999</v>
      </c>
    </row>
    <row r="867" spans="26:29" x14ac:dyDescent="0.35">
      <c r="Z867" s="4"/>
      <c r="AA867" s="4"/>
      <c r="AB867" s="4" t="e">
        <f ca="1">_xll.ciqfunctions.udf.CIQ("^SPX", "IQ_PRICEDATE", "6/1/2017")</f>
        <v>#NAME?</v>
      </c>
      <c r="AC867" s="16">
        <v>2430.0610709493999</v>
      </c>
    </row>
    <row r="868" spans="26:29" x14ac:dyDescent="0.35">
      <c r="Z868" s="4"/>
      <c r="AA868" s="4"/>
      <c r="AB868" s="4" t="e">
        <f ca="1">_xll.ciqfunctions.udf.CIQ("^SPX", "IQ_PRICEDATE", "6/2/2017")</f>
        <v>#NAME?</v>
      </c>
      <c r="AC868" s="16">
        <v>2439.0702499803001</v>
      </c>
    </row>
    <row r="869" spans="26:29" x14ac:dyDescent="0.35">
      <c r="Z869" s="4"/>
      <c r="AA869" s="4"/>
      <c r="AB869" s="4" t="e">
        <f ca="1">_xll.ciqfunctions.udf.CIQ("^SPX", "IQ_PRICEDATE", "6/5/2017")</f>
        <v>#NAME?</v>
      </c>
      <c r="AC869" s="16">
        <v>2436.0961957703998</v>
      </c>
    </row>
    <row r="870" spans="26:29" x14ac:dyDescent="0.35">
      <c r="Z870" s="4"/>
      <c r="AA870" s="4"/>
      <c r="AB870" s="4" t="e">
        <f ca="1">_xll.ciqfunctions.udf.CIQ("^SPX", "IQ_PRICEDATE", "6/6/2017")</f>
        <v>#NAME?</v>
      </c>
      <c r="AC870" s="16">
        <v>2429.3272573536001</v>
      </c>
    </row>
    <row r="871" spans="26:29" x14ac:dyDescent="0.35">
      <c r="Z871" s="4"/>
      <c r="AA871" s="4"/>
      <c r="AB871" s="4" t="e">
        <f ca="1">_xll.ciqfunctions.udf.CIQ("^SPX", "IQ_PRICEDATE", "6/7/2017")</f>
        <v>#NAME?</v>
      </c>
      <c r="AC871" s="16">
        <v>2433.1374300828002</v>
      </c>
    </row>
    <row r="872" spans="26:29" x14ac:dyDescent="0.35">
      <c r="Z872" s="4"/>
      <c r="AA872" s="4"/>
      <c r="AB872" s="4" t="e">
        <f ca="1">_xll.ciqfunctions.udf.CIQ("^SPX", "IQ_PRICEDATE", "6/8/2017")</f>
        <v>#NAME?</v>
      </c>
      <c r="AC872" s="16">
        <v>2433.7906309395999</v>
      </c>
    </row>
    <row r="873" spans="26:29" x14ac:dyDescent="0.35">
      <c r="Z873" s="4"/>
      <c r="AA873" s="4"/>
      <c r="AB873" s="4" t="e">
        <f ca="1">_xll.ciqfunctions.udf.CIQ("^SPX", "IQ_PRICEDATE", "6/9/2017")</f>
        <v>#NAME?</v>
      </c>
      <c r="AC873" s="16">
        <v>2431.7723650030998</v>
      </c>
    </row>
    <row r="874" spans="26:29" x14ac:dyDescent="0.35">
      <c r="Z874" s="4"/>
      <c r="AA874" s="4"/>
      <c r="AB874" s="4" t="e">
        <f ca="1">_xll.ciqfunctions.udf.CIQ("^SPX", "IQ_PRICEDATE", "6/12/2017")</f>
        <v>#NAME?</v>
      </c>
      <c r="AC874" s="16">
        <v>2429.3912557921999</v>
      </c>
    </row>
    <row r="875" spans="26:29" x14ac:dyDescent="0.35">
      <c r="Z875" s="4"/>
      <c r="AA875" s="4"/>
      <c r="AB875" s="4" t="e">
        <f ca="1">_xll.ciqfunctions.udf.CIQ("^SPX", "IQ_PRICEDATE", "6/13/2017")</f>
        <v>#NAME?</v>
      </c>
      <c r="AC875" s="16">
        <v>2440.3474964374</v>
      </c>
    </row>
    <row r="876" spans="26:29" x14ac:dyDescent="0.35">
      <c r="Z876" s="4"/>
      <c r="AA876" s="4"/>
      <c r="AB876" s="4" t="e">
        <f ca="1">_xll.ciqfunctions.udf.CIQ("^SPX", "IQ_PRICEDATE", "6/14/2017")</f>
        <v>#NAME?</v>
      </c>
      <c r="AC876" s="16">
        <v>2437.9204812496</v>
      </c>
    </row>
    <row r="877" spans="26:29" x14ac:dyDescent="0.35">
      <c r="Z877" s="4"/>
      <c r="AA877" s="4"/>
      <c r="AB877" s="4" t="e">
        <f ca="1">_xll.ciqfunctions.udf.CIQ("^SPX", "IQ_PRICEDATE", "6/15/2017")</f>
        <v>#NAME?</v>
      </c>
      <c r="AC877" s="16">
        <v>2432.4591271283002</v>
      </c>
    </row>
    <row r="878" spans="26:29" x14ac:dyDescent="0.35">
      <c r="Z878" s="4"/>
      <c r="AA878" s="4"/>
      <c r="AB878" s="4" t="e">
        <f ca="1">_xll.ciqfunctions.udf.CIQ("^SPX", "IQ_PRICEDATE", "6/16/2017")</f>
        <v>#NAME?</v>
      </c>
      <c r="AC878" s="16">
        <v>2433.1508288614</v>
      </c>
    </row>
    <row r="879" spans="26:29" x14ac:dyDescent="0.35">
      <c r="Z879" s="4"/>
      <c r="AA879" s="4"/>
      <c r="AB879" s="4" t="e">
        <f ca="1">_xll.ciqfunctions.udf.CIQ("^SPX", "IQ_PRICEDATE", "6/19/2017")</f>
        <v>#NAME?</v>
      </c>
      <c r="AC879" s="16">
        <v>2453.4586037494</v>
      </c>
    </row>
    <row r="880" spans="26:29" x14ac:dyDescent="0.35">
      <c r="Z880" s="4"/>
      <c r="AA880" s="4"/>
      <c r="AB880" s="4" t="e">
        <f ca="1">_xll.ciqfunctions.udf.CIQ("^SPX", "IQ_PRICEDATE", "6/20/2017")</f>
        <v>#NAME?</v>
      </c>
      <c r="AC880" s="16">
        <v>2437.0281337665001</v>
      </c>
    </row>
    <row r="881" spans="26:29" x14ac:dyDescent="0.35">
      <c r="Z881" s="4"/>
      <c r="AA881" s="4"/>
      <c r="AB881" s="4" t="e">
        <f ca="1">_xll.ciqfunctions.udf.CIQ("^SPX", "IQ_PRICEDATE", "6/21/2017")</f>
        <v>#NAME?</v>
      </c>
      <c r="AC881" s="16">
        <v>2435.6116850599001</v>
      </c>
    </row>
    <row r="882" spans="26:29" x14ac:dyDescent="0.35">
      <c r="Z882" s="4"/>
      <c r="AA882" s="4"/>
      <c r="AB882" s="4" t="e">
        <f ca="1">_xll.ciqfunctions.udf.CIQ("^SPX", "IQ_PRICEDATE", "6/22/2017")</f>
        <v>#NAME?</v>
      </c>
      <c r="AC882" s="16">
        <v>2434.4974087685</v>
      </c>
    </row>
    <row r="883" spans="26:29" x14ac:dyDescent="0.35">
      <c r="Z883" s="4"/>
      <c r="AA883" s="4"/>
      <c r="AB883" s="4" t="e">
        <f ca="1">_xll.ciqfunctions.udf.CIQ("^SPX", "IQ_PRICEDATE", "6/23/2017")</f>
        <v>#NAME?</v>
      </c>
      <c r="AC883" s="16">
        <v>2438.2969118630999</v>
      </c>
    </row>
    <row r="884" spans="26:29" x14ac:dyDescent="0.35">
      <c r="Z884" s="4"/>
      <c r="AA884" s="4"/>
      <c r="AB884" s="4" t="e">
        <f ca="1">_xll.ciqfunctions.udf.CIQ("^SPX", "IQ_PRICEDATE", "6/26/2017")</f>
        <v>#NAME?</v>
      </c>
      <c r="AC884" s="16">
        <v>2439.0654771775999</v>
      </c>
    </row>
    <row r="885" spans="26:29" x14ac:dyDescent="0.35">
      <c r="Z885" s="4"/>
      <c r="AA885" s="4"/>
      <c r="AB885" s="4" t="e">
        <f ca="1">_xll.ciqfunctions.udf.CIQ("^SPX", "IQ_PRICEDATE", "6/27/2017")</f>
        <v>#NAME?</v>
      </c>
      <c r="AC885" s="16">
        <v>2419.3758615268998</v>
      </c>
    </row>
    <row r="886" spans="26:29" x14ac:dyDescent="0.35">
      <c r="Z886" s="4"/>
      <c r="AA886" s="4"/>
      <c r="AB886" s="4" t="e">
        <f ca="1">_xll.ciqfunctions.udf.CIQ("^SPX", "IQ_PRICEDATE", "6/28/2017")</f>
        <v>#NAME?</v>
      </c>
      <c r="AC886" s="16">
        <v>2440.6903289911002</v>
      </c>
    </row>
    <row r="887" spans="26:29" x14ac:dyDescent="0.35">
      <c r="Z887" s="4"/>
      <c r="AA887" s="4"/>
      <c r="AB887" s="4" t="e">
        <f ca="1">_xll.ciqfunctions.udf.CIQ("^SPX", "IQ_PRICEDATE", "6/29/2017")</f>
        <v>#NAME?</v>
      </c>
      <c r="AC887" s="16">
        <v>2419.6971113274999</v>
      </c>
    </row>
    <row r="888" spans="26:29" x14ac:dyDescent="0.35">
      <c r="Z888" s="4"/>
      <c r="AA888" s="4"/>
      <c r="AB888" s="4" t="e">
        <f ca="1">_xll.ciqfunctions.udf.CIQ("^SPX", "IQ_PRICEDATE", "6/30/2017")</f>
        <v>#NAME?</v>
      </c>
      <c r="AC888" s="16">
        <v>2423.4088910629998</v>
      </c>
    </row>
    <row r="889" spans="26:29" x14ac:dyDescent="0.35">
      <c r="Z889" s="4"/>
      <c r="AA889" s="4"/>
      <c r="AB889" s="4" t="e">
        <f ca="1">_xll.ciqfunctions.udf.CIQ("^SPX", "IQ_PRICEDATE", "7/3/2017")</f>
        <v>#NAME?</v>
      </c>
      <c r="AC889" s="16">
        <v>2429.0148792035002</v>
      </c>
    </row>
    <row r="890" spans="26:29" x14ac:dyDescent="0.35">
      <c r="Z890" s="4"/>
      <c r="AA890" s="4"/>
      <c r="AB890" s="4" t="e">
        <f ca="1">_xll.ciqfunctions.udf.CIQ("^SPX", "IQ_PRICEDATE", "7/5/2017")</f>
        <v>#NAME?</v>
      </c>
      <c r="AC890" s="16">
        <v>2432.5423402270999</v>
      </c>
    </row>
    <row r="891" spans="26:29" x14ac:dyDescent="0.35">
      <c r="Z891" s="4"/>
      <c r="AA891" s="4"/>
      <c r="AB891" s="4" t="e">
        <f ca="1">_xll.ciqfunctions.udf.CIQ("^SPX", "IQ_PRICEDATE", "7/6/2017")</f>
        <v>#NAME?</v>
      </c>
      <c r="AC891" s="16">
        <v>2409.7497799244002</v>
      </c>
    </row>
    <row r="892" spans="26:29" x14ac:dyDescent="0.35">
      <c r="Z892" s="4"/>
      <c r="AA892" s="4"/>
      <c r="AB892" s="4" t="e">
        <f ca="1">_xll.ciqfunctions.udf.CIQ("^SPX", "IQ_PRICEDATE", "7/7/2017")</f>
        <v>#NAME?</v>
      </c>
      <c r="AC892" s="16">
        <v>2425.1769614262998</v>
      </c>
    </row>
    <row r="893" spans="26:29" x14ac:dyDescent="0.35">
      <c r="Z893" s="4"/>
      <c r="AA893" s="4"/>
      <c r="AB893" s="4" t="e">
        <f ca="1">_xll.ciqfunctions.udf.CIQ("^SPX", "IQ_PRICEDATE", "7/10/2017")</f>
        <v>#NAME?</v>
      </c>
      <c r="AC893" s="16">
        <v>2427.4344884965999</v>
      </c>
    </row>
    <row r="894" spans="26:29" x14ac:dyDescent="0.35">
      <c r="Z894" s="4"/>
      <c r="AA894" s="4"/>
      <c r="AB894" s="4" t="e">
        <f ca="1">_xll.ciqfunctions.udf.CIQ("^SPX", "IQ_PRICEDATE", "7/11/2017")</f>
        <v>#NAME?</v>
      </c>
      <c r="AC894" s="16">
        <v>2425.5262141653998</v>
      </c>
    </row>
    <row r="895" spans="26:29" x14ac:dyDescent="0.35">
      <c r="Z895" s="4"/>
      <c r="AA895" s="4"/>
      <c r="AB895" s="4" t="e">
        <f ca="1">_xll.ciqfunctions.udf.CIQ("^SPX", "IQ_PRICEDATE", "7/12/2017")</f>
        <v>#NAME?</v>
      </c>
      <c r="AC895" s="16">
        <v>2443.2511766420998</v>
      </c>
    </row>
    <row r="896" spans="26:29" x14ac:dyDescent="0.35">
      <c r="Z896" s="4"/>
      <c r="AA896" s="4"/>
      <c r="AB896" s="4" t="e">
        <f ca="1">_xll.ciqfunctions.udf.CIQ("^SPX", "IQ_PRICEDATE", "7/13/2017")</f>
        <v>#NAME?</v>
      </c>
      <c r="AC896" s="16">
        <v>2447.8342759661</v>
      </c>
    </row>
    <row r="897" spans="26:29" x14ac:dyDescent="0.35">
      <c r="Z897" s="4"/>
      <c r="AA897" s="4"/>
      <c r="AB897" s="4" t="e">
        <f ca="1">_xll.ciqfunctions.udf.CIQ("^SPX", "IQ_PRICEDATE", "7/14/2017")</f>
        <v>#NAME?</v>
      </c>
      <c r="AC897" s="16">
        <v>2459.2709908214001</v>
      </c>
    </row>
    <row r="898" spans="26:29" x14ac:dyDescent="0.35">
      <c r="Z898" s="4"/>
      <c r="AA898" s="4"/>
      <c r="AB898" s="4" t="e">
        <f ca="1">_xll.ciqfunctions.udf.CIQ("^SPX", "IQ_PRICEDATE", "7/17/2017")</f>
        <v>#NAME?</v>
      </c>
      <c r="AC898" s="16">
        <v>2459.1407192176998</v>
      </c>
    </row>
    <row r="899" spans="26:29" x14ac:dyDescent="0.35">
      <c r="Z899" s="4"/>
      <c r="AA899" s="4"/>
      <c r="AB899" s="4" t="e">
        <f ca="1">_xll.ciqfunctions.udf.CIQ("^SPX", "IQ_PRICEDATE", "7/18/2017")</f>
        <v>#NAME?</v>
      </c>
      <c r="AC899" s="16">
        <v>2460.6104434094</v>
      </c>
    </row>
    <row r="900" spans="26:29" x14ac:dyDescent="0.35">
      <c r="Z900" s="4"/>
      <c r="AA900" s="4"/>
      <c r="AB900" s="4" t="e">
        <f ca="1">_xll.ciqfunctions.udf.CIQ("^SPX", "IQ_PRICEDATE", "7/19/2017")</f>
        <v>#NAME?</v>
      </c>
      <c r="AC900" s="16">
        <v>2473.8277852738001</v>
      </c>
    </row>
    <row r="901" spans="26:29" x14ac:dyDescent="0.35">
      <c r="Z901" s="4"/>
      <c r="AA901" s="4"/>
      <c r="AB901" s="4" t="e">
        <f ca="1">_xll.ciqfunctions.udf.CIQ("^SPX", "IQ_PRICEDATE", "7/20/2017")</f>
        <v>#NAME?</v>
      </c>
      <c r="AC901" s="16">
        <v>2473.4493827199999</v>
      </c>
    </row>
    <row r="902" spans="26:29" x14ac:dyDescent="0.35">
      <c r="Z902" s="4"/>
      <c r="AA902" s="4"/>
      <c r="AB902" s="4" t="e">
        <f ca="1">_xll.ciqfunctions.udf.CIQ("^SPX", "IQ_PRICEDATE", "7/21/2017")</f>
        <v>#NAME?</v>
      </c>
      <c r="AC902" s="16">
        <v>2472.5358544521</v>
      </c>
    </row>
    <row r="903" spans="26:29" x14ac:dyDescent="0.35">
      <c r="Z903" s="4"/>
      <c r="AA903" s="4"/>
      <c r="AB903" s="4" t="e">
        <f ca="1">_xll.ciqfunctions.udf.CIQ("^SPX", "IQ_PRICEDATE", "7/24/2017")</f>
        <v>#NAME?</v>
      </c>
      <c r="AC903" s="16">
        <v>2469.9119171232001</v>
      </c>
    </row>
    <row r="904" spans="26:29" x14ac:dyDescent="0.35">
      <c r="Z904" s="4"/>
      <c r="AA904" s="4"/>
      <c r="AB904" s="4" t="e">
        <f ca="1">_xll.ciqfunctions.udf.CIQ("^SPX", "IQ_PRICEDATE", "7/25/2017")</f>
        <v>#NAME?</v>
      </c>
      <c r="AC904" s="16">
        <v>2477.1253697525999</v>
      </c>
    </row>
    <row r="905" spans="26:29" x14ac:dyDescent="0.35">
      <c r="Z905" s="4"/>
      <c r="AA905" s="4"/>
      <c r="AB905" s="4" t="e">
        <f ca="1">_xll.ciqfunctions.udf.CIQ("^SPX", "IQ_PRICEDATE", "7/26/2017")</f>
        <v>#NAME?</v>
      </c>
      <c r="AC905" s="16">
        <v>2477.8305107064998</v>
      </c>
    </row>
    <row r="906" spans="26:29" x14ac:dyDescent="0.35">
      <c r="Z906" s="4"/>
      <c r="AA906" s="4"/>
      <c r="AB906" s="4" t="e">
        <f ca="1">_xll.ciqfunctions.udf.CIQ("^SPX", "IQ_PRICEDATE", "7/27/2017")</f>
        <v>#NAME?</v>
      </c>
      <c r="AC906" s="16">
        <v>2475.420890931</v>
      </c>
    </row>
    <row r="907" spans="26:29" x14ac:dyDescent="0.35">
      <c r="Z907" s="4"/>
      <c r="AA907" s="4"/>
      <c r="AB907" s="4" t="e">
        <f ca="1">_xll.ciqfunctions.udf.CIQ("^SPX", "IQ_PRICEDATE", "7/28/2017")</f>
        <v>#NAME?</v>
      </c>
      <c r="AC907" s="16">
        <v>2472.0985372059999</v>
      </c>
    </row>
    <row r="908" spans="26:29" x14ac:dyDescent="0.35">
      <c r="Z908" s="4"/>
      <c r="AA908" s="4"/>
      <c r="AB908" s="4" t="e">
        <f ca="1">_xll.ciqfunctions.udf.CIQ("^SPX", "IQ_PRICEDATE", "7/31/2017")</f>
        <v>#NAME?</v>
      </c>
      <c r="AC908" s="16">
        <v>2470.3000252602001</v>
      </c>
    </row>
    <row r="909" spans="26:29" x14ac:dyDescent="0.35">
      <c r="Z909" s="4"/>
      <c r="AA909" s="4"/>
      <c r="AB909" s="4" t="e">
        <f ca="1">_xll.ciqfunctions.udf.CIQ("^SPX", "IQ_PRICEDATE", "8/1/2017")</f>
        <v>#NAME?</v>
      </c>
      <c r="AC909" s="16">
        <v>2476.3472099536002</v>
      </c>
    </row>
    <row r="910" spans="26:29" x14ac:dyDescent="0.35">
      <c r="Z910" s="4"/>
      <c r="AA910" s="4"/>
      <c r="AB910" s="4" t="e">
        <f ca="1">_xll.ciqfunctions.udf.CIQ("^SPX", "IQ_PRICEDATE", "8/2/2017")</f>
        <v>#NAME?</v>
      </c>
      <c r="AC910" s="16">
        <v>2477.5680969176001</v>
      </c>
    </row>
    <row r="911" spans="26:29" x14ac:dyDescent="0.35">
      <c r="Z911" s="4"/>
      <c r="AA911" s="4"/>
      <c r="AB911" s="4" t="e">
        <f ca="1">_xll.ciqfunctions.udf.CIQ("^SPX", "IQ_PRICEDATE", "8/3/2017")</f>
        <v>#NAME?</v>
      </c>
      <c r="AC911" s="16">
        <v>2472.1576280376999</v>
      </c>
    </row>
    <row r="912" spans="26:29" x14ac:dyDescent="0.35">
      <c r="Z912" s="4"/>
      <c r="AA912" s="4"/>
      <c r="AB912" s="4" t="e">
        <f ca="1">_xll.ciqfunctions.udf.CIQ("^SPX", "IQ_PRICEDATE", "8/4/2017")</f>
        <v>#NAME?</v>
      </c>
      <c r="AC912" s="16">
        <v>2476.8309965460999</v>
      </c>
    </row>
    <row r="913" spans="26:29" x14ac:dyDescent="0.35">
      <c r="Z913" s="4"/>
      <c r="AA913" s="4"/>
      <c r="AB913" s="4" t="e">
        <f ca="1">_xll.ciqfunctions.udf.CIQ("^SPX", "IQ_PRICEDATE", "8/7/2017")</f>
        <v>#NAME?</v>
      </c>
      <c r="AC913" s="16">
        <v>2480.9120213837</v>
      </c>
    </row>
    <row r="914" spans="26:29" x14ac:dyDescent="0.35">
      <c r="Z914" s="4"/>
      <c r="AA914" s="4"/>
      <c r="AB914" s="4" t="e">
        <f ca="1">_xll.ciqfunctions.udf.CIQ("^SPX", "IQ_PRICEDATE", "8/8/2017")</f>
        <v>#NAME?</v>
      </c>
      <c r="AC914" s="16">
        <v>2474.9188409218</v>
      </c>
    </row>
    <row r="915" spans="26:29" x14ac:dyDescent="0.35">
      <c r="Z915" s="4"/>
      <c r="AA915" s="4"/>
      <c r="AB915" s="4" t="e">
        <f ca="1">_xll.ciqfunctions.udf.CIQ("^SPX", "IQ_PRICEDATE", "8/9/2017")</f>
        <v>#NAME?</v>
      </c>
      <c r="AC915" s="16">
        <v>2474.0170798125</v>
      </c>
    </row>
    <row r="916" spans="26:29" x14ac:dyDescent="0.35">
      <c r="Z916" s="4"/>
      <c r="AA916" s="4"/>
      <c r="AB916" s="4" t="e">
        <f ca="1">_xll.ciqfunctions.udf.CIQ("^SPX", "IQ_PRICEDATE", "8/10/2017")</f>
        <v>#NAME?</v>
      </c>
      <c r="AC916" s="16">
        <v>2438.2097100884998</v>
      </c>
    </row>
    <row r="917" spans="26:29" x14ac:dyDescent="0.35">
      <c r="Z917" s="4"/>
      <c r="AA917" s="4"/>
      <c r="AB917" s="4" t="e">
        <f ca="1">_xll.ciqfunctions.udf.CIQ("^SPX", "IQ_PRICEDATE", "8/11/2017")</f>
        <v>#NAME?</v>
      </c>
      <c r="AC917" s="16">
        <v>2441.3202405644001</v>
      </c>
    </row>
    <row r="918" spans="26:29" x14ac:dyDescent="0.35">
      <c r="Z918" s="4"/>
      <c r="AA918" s="4"/>
      <c r="AB918" s="4" t="e">
        <f ca="1">_xll.ciqfunctions.udf.CIQ("^SPX", "IQ_PRICEDATE", "8/14/2017")</f>
        <v>#NAME?</v>
      </c>
      <c r="AC918" s="16">
        <v>2465.8358122222999</v>
      </c>
    </row>
    <row r="919" spans="26:29" x14ac:dyDescent="0.35">
      <c r="Z919" s="4"/>
      <c r="AA919" s="4"/>
      <c r="AB919" s="4" t="e">
        <f ca="1">_xll.ciqfunctions.udf.CIQ("^SPX", "IQ_PRICEDATE", "8/15/2017")</f>
        <v>#NAME?</v>
      </c>
      <c r="AC919" s="16">
        <v>2464.6099933352998</v>
      </c>
    </row>
    <row r="920" spans="26:29" x14ac:dyDescent="0.35">
      <c r="Z920" s="4"/>
      <c r="AA920" s="4"/>
      <c r="AB920" s="4" t="e">
        <f ca="1">_xll.ciqfunctions.udf.CIQ("^SPX", "IQ_PRICEDATE", "8/16/2017")</f>
        <v>#NAME?</v>
      </c>
      <c r="AC920" s="16">
        <v>2468.1072601102001</v>
      </c>
    </row>
    <row r="921" spans="26:29" x14ac:dyDescent="0.35">
      <c r="Z921" s="4"/>
      <c r="AA921" s="4"/>
      <c r="AB921" s="4" t="e">
        <f ca="1">_xll.ciqfunctions.udf.CIQ("^SPX", "IQ_PRICEDATE", "8/17/2017")</f>
        <v>#NAME?</v>
      </c>
      <c r="AC921" s="16">
        <v>2430.0078784775001</v>
      </c>
    </row>
    <row r="922" spans="26:29" x14ac:dyDescent="0.35">
      <c r="Z922" s="4"/>
      <c r="AA922" s="4"/>
      <c r="AB922" s="4" t="e">
        <f ca="1">_xll.ciqfunctions.udf.CIQ("^SPX", "IQ_PRICEDATE", "8/18/2017")</f>
        <v>#NAME?</v>
      </c>
      <c r="AC922" s="16">
        <v>2425.5521696646001</v>
      </c>
    </row>
    <row r="923" spans="26:29" x14ac:dyDescent="0.35">
      <c r="Z923" s="4"/>
      <c r="AA923" s="4"/>
      <c r="AB923" s="4" t="e">
        <f ca="1">_xll.ciqfunctions.udf.CIQ("^SPX", "IQ_PRICEDATE", "8/21/2017")</f>
        <v>#NAME?</v>
      </c>
      <c r="AC923" s="16">
        <v>2428.3679855597002</v>
      </c>
    </row>
    <row r="924" spans="26:29" x14ac:dyDescent="0.35">
      <c r="Z924" s="4"/>
      <c r="AA924" s="4"/>
      <c r="AB924" s="4" t="e">
        <f ca="1">_xll.ciqfunctions.udf.CIQ("^SPX", "IQ_PRICEDATE", "8/22/2017")</f>
        <v>#NAME?</v>
      </c>
      <c r="AC924" s="16">
        <v>2452.5102728912998</v>
      </c>
    </row>
    <row r="925" spans="26:29" x14ac:dyDescent="0.35">
      <c r="Z925" s="4"/>
      <c r="AA925" s="4"/>
      <c r="AB925" s="4" t="e">
        <f ca="1">_xll.ciqfunctions.udf.CIQ("^SPX", "IQ_PRICEDATE", "8/23/2017")</f>
        <v>#NAME?</v>
      </c>
      <c r="AC925" s="16">
        <v>2444.0432453390999</v>
      </c>
    </row>
    <row r="926" spans="26:29" x14ac:dyDescent="0.35">
      <c r="Z926" s="4"/>
      <c r="AA926" s="4"/>
      <c r="AB926" s="4" t="e">
        <f ca="1">_xll.ciqfunctions.udf.CIQ("^SPX", "IQ_PRICEDATE", "8/24/2017")</f>
        <v>#NAME?</v>
      </c>
      <c r="AC926" s="16">
        <v>2438.9681198158</v>
      </c>
    </row>
    <row r="927" spans="26:29" x14ac:dyDescent="0.35">
      <c r="Z927" s="4"/>
      <c r="AA927" s="4"/>
      <c r="AB927" s="4" t="e">
        <f ca="1">_xll.ciqfunctions.udf.CIQ("^SPX", "IQ_PRICEDATE", "8/25/2017")</f>
        <v>#NAME?</v>
      </c>
      <c r="AC927" s="16">
        <v>2443.0457983411002</v>
      </c>
    </row>
    <row r="928" spans="26:29" x14ac:dyDescent="0.35">
      <c r="Z928" s="4"/>
      <c r="AA928" s="4"/>
      <c r="AB928" s="4" t="e">
        <f ca="1">_xll.ciqfunctions.udf.CIQ("^SPX", "IQ_PRICEDATE", "8/28/2017")</f>
        <v>#NAME?</v>
      </c>
      <c r="AC928" s="16">
        <v>2444.2403151729</v>
      </c>
    </row>
    <row r="929" spans="26:29" x14ac:dyDescent="0.35">
      <c r="Z929" s="4"/>
      <c r="AA929" s="4"/>
      <c r="AB929" s="4" t="e">
        <f ca="1">_xll.ciqfunctions.udf.CIQ("^SPX", "IQ_PRICEDATE", "8/29/2017")</f>
        <v>#NAME?</v>
      </c>
      <c r="AC929" s="16">
        <v>2446.2955235941999</v>
      </c>
    </row>
    <row r="930" spans="26:29" x14ac:dyDescent="0.35">
      <c r="Z930" s="4"/>
      <c r="AA930" s="4"/>
      <c r="AB930" s="4" t="e">
        <f ca="1">_xll.ciqfunctions.udf.CIQ("^SPX", "IQ_PRICEDATE", "8/30/2017")</f>
        <v>#NAME?</v>
      </c>
      <c r="AC930" s="16">
        <v>2457.5858115205001</v>
      </c>
    </row>
    <row r="931" spans="26:29" x14ac:dyDescent="0.35">
      <c r="Z931" s="4"/>
      <c r="AA931" s="4"/>
      <c r="AB931" s="4" t="e">
        <f ca="1">_xll.ciqfunctions.udf.CIQ("^SPX", "IQ_PRICEDATE", "8/31/2017")</f>
        <v>#NAME?</v>
      </c>
      <c r="AC931" s="16">
        <v>2471.6502079420002</v>
      </c>
    </row>
    <row r="932" spans="26:29" x14ac:dyDescent="0.35">
      <c r="Z932" s="4"/>
      <c r="AA932" s="4"/>
      <c r="AB932" s="4" t="e">
        <f ca="1">_xll.ciqfunctions.udf.CIQ("^SPX", "IQ_PRICEDATE", "9/1/2017")</f>
        <v>#NAME?</v>
      </c>
      <c r="AC932" s="16">
        <v>2476.5523893887998</v>
      </c>
    </row>
    <row r="933" spans="26:29" x14ac:dyDescent="0.35">
      <c r="Z933" s="4"/>
      <c r="AA933" s="4"/>
      <c r="AB933" s="4" t="e">
        <f ca="1">_xll.ciqfunctions.udf.CIQ("^SPX", "IQ_PRICEDATE", "9/5/2017")</f>
        <v>#NAME?</v>
      </c>
      <c r="AC933" s="16">
        <v>2457.8498705637999</v>
      </c>
    </row>
    <row r="934" spans="26:29" x14ac:dyDescent="0.35">
      <c r="Z934" s="4"/>
      <c r="AA934" s="4"/>
      <c r="AB934" s="4" t="e">
        <f ca="1">_xll.ciqfunctions.udf.CIQ("^SPX", "IQ_PRICEDATE", "9/6/2017")</f>
        <v>#NAME?</v>
      </c>
      <c r="AC934" s="16">
        <v>2465.5436228673002</v>
      </c>
    </row>
    <row r="935" spans="26:29" x14ac:dyDescent="0.35">
      <c r="Z935" s="4"/>
      <c r="AA935" s="4"/>
      <c r="AB935" s="4" t="e">
        <f ca="1">_xll.ciqfunctions.udf.CIQ("^SPX", "IQ_PRICEDATE", "9/7/2017")</f>
        <v>#NAME?</v>
      </c>
      <c r="AC935" s="16">
        <v>2465.1021359574002</v>
      </c>
    </row>
    <row r="936" spans="26:29" x14ac:dyDescent="0.35">
      <c r="Z936" s="4"/>
      <c r="AA936" s="4"/>
      <c r="AB936" s="4" t="e">
        <f ca="1">_xll.ciqfunctions.udf.CIQ("^SPX", "IQ_PRICEDATE", "9/8/2017")</f>
        <v>#NAME?</v>
      </c>
      <c r="AC936" s="16">
        <v>2461.4336439222002</v>
      </c>
    </row>
    <row r="937" spans="26:29" x14ac:dyDescent="0.35">
      <c r="Z937" s="4"/>
      <c r="AA937" s="4"/>
      <c r="AB937" s="4" t="e">
        <f ca="1">_xll.ciqfunctions.udf.CIQ("^SPX", "IQ_PRICEDATE", "9/11/2017")</f>
        <v>#NAME?</v>
      </c>
      <c r="AC937" s="16">
        <v>2488.1079650554002</v>
      </c>
    </row>
    <row r="938" spans="26:29" x14ac:dyDescent="0.35">
      <c r="Z938" s="4"/>
      <c r="AA938" s="4"/>
      <c r="AB938" s="4" t="e">
        <f ca="1">_xll.ciqfunctions.udf.CIQ("^SPX", "IQ_PRICEDATE", "9/12/2017")</f>
        <v>#NAME?</v>
      </c>
      <c r="AC938" s="16">
        <v>2496.4836195681</v>
      </c>
    </row>
    <row r="939" spans="26:29" x14ac:dyDescent="0.35">
      <c r="Z939" s="4"/>
      <c r="AA939" s="4"/>
      <c r="AB939" s="4" t="e">
        <f ca="1">_xll.ciqfunctions.udf.CIQ("^SPX", "IQ_PRICEDATE", "9/13/2017")</f>
        <v>#NAME?</v>
      </c>
      <c r="AC939" s="16">
        <v>2498.3708154599999</v>
      </c>
    </row>
    <row r="940" spans="26:29" x14ac:dyDescent="0.35">
      <c r="Z940" s="4"/>
      <c r="AA940" s="4"/>
      <c r="AB940" s="4" t="e">
        <f ca="1">_xll.ciqfunctions.udf.CIQ("^SPX", "IQ_PRICEDATE", "9/14/2017")</f>
        <v>#NAME?</v>
      </c>
      <c r="AC940" s="16">
        <v>2495.6191538507001</v>
      </c>
    </row>
    <row r="941" spans="26:29" x14ac:dyDescent="0.35">
      <c r="Z941" s="4"/>
      <c r="AA941" s="4"/>
      <c r="AB941" s="4" t="e">
        <f ca="1">_xll.ciqfunctions.udf.CIQ("^SPX", "IQ_PRICEDATE", "9/15/2017")</f>
        <v>#NAME?</v>
      </c>
      <c r="AC941" s="16">
        <v>2500.2258576201998</v>
      </c>
    </row>
    <row r="942" spans="26:29" x14ac:dyDescent="0.35">
      <c r="Z942" s="4"/>
      <c r="AA942" s="4"/>
      <c r="AB942" s="4" t="e">
        <f ca="1">_xll.ciqfunctions.udf.CIQ("^SPX", "IQ_PRICEDATE", "9/18/2017")</f>
        <v>#NAME?</v>
      </c>
      <c r="AC942" s="16">
        <v>2503.8695562620001</v>
      </c>
    </row>
    <row r="943" spans="26:29" x14ac:dyDescent="0.35">
      <c r="Z943" s="4"/>
      <c r="AA943" s="4"/>
      <c r="AB943" s="4" t="e">
        <f ca="1">_xll.ciqfunctions.udf.CIQ("^SPX", "IQ_PRICEDATE", "9/19/2017")</f>
        <v>#NAME?</v>
      </c>
      <c r="AC943" s="16">
        <v>2506.6479354336002</v>
      </c>
    </row>
    <row r="944" spans="26:29" x14ac:dyDescent="0.35">
      <c r="Z944" s="4"/>
      <c r="AA944" s="4"/>
      <c r="AB944" s="4" t="e">
        <f ca="1">_xll.ciqfunctions.udf.CIQ("^SPX", "IQ_PRICEDATE", "9/20/2017")</f>
        <v>#NAME?</v>
      </c>
      <c r="AC944" s="16">
        <v>2508.2360483629</v>
      </c>
    </row>
    <row r="945" spans="26:29" x14ac:dyDescent="0.35">
      <c r="Z945" s="4"/>
      <c r="AA945" s="4"/>
      <c r="AB945" s="4" t="e">
        <f ca="1">_xll.ciqfunctions.udf.CIQ("^SPX", "IQ_PRICEDATE", "9/21/2017")</f>
        <v>#NAME?</v>
      </c>
      <c r="AC945" s="16">
        <v>2500.6026174977001</v>
      </c>
    </row>
    <row r="946" spans="26:29" x14ac:dyDescent="0.35">
      <c r="Z946" s="4"/>
      <c r="AA946" s="4"/>
      <c r="AB946" s="4" t="e">
        <f ca="1">_xll.ciqfunctions.udf.CIQ("^SPX", "IQ_PRICEDATE", "9/22/2017")</f>
        <v>#NAME?</v>
      </c>
      <c r="AC946" s="16">
        <v>2502.2222245405001</v>
      </c>
    </row>
    <row r="947" spans="26:29" x14ac:dyDescent="0.35">
      <c r="Z947" s="4"/>
      <c r="AA947" s="4"/>
      <c r="AB947" s="4" t="e">
        <f ca="1">_xll.ciqfunctions.udf.CIQ("^SPX", "IQ_PRICEDATE", "9/25/2017")</f>
        <v>#NAME?</v>
      </c>
      <c r="AC947" s="16">
        <v>2496.6605903076002</v>
      </c>
    </row>
    <row r="948" spans="26:29" x14ac:dyDescent="0.35">
      <c r="Z948" s="4"/>
      <c r="AA948" s="4"/>
      <c r="AB948" s="4" t="e">
        <f ca="1">_xll.ciqfunctions.udf.CIQ("^SPX", "IQ_PRICEDATE", "9/26/2017")</f>
        <v>#NAME?</v>
      </c>
      <c r="AC948" s="16">
        <v>2496.8408940905001</v>
      </c>
    </row>
    <row r="949" spans="26:29" x14ac:dyDescent="0.35">
      <c r="Z949" s="4"/>
      <c r="AA949" s="4"/>
      <c r="AB949" s="4" t="e">
        <f ca="1">_xll.ciqfunctions.udf.CIQ("^SPX", "IQ_PRICEDATE", "9/27/2017")</f>
        <v>#NAME?</v>
      </c>
      <c r="AC949" s="16">
        <v>2507.0432811582</v>
      </c>
    </row>
    <row r="950" spans="26:29" x14ac:dyDescent="0.35">
      <c r="Z950" s="4"/>
      <c r="AA950" s="4"/>
      <c r="AB950" s="4" t="e">
        <f ca="1">_xll.ciqfunctions.udf.CIQ("^SPX", "IQ_PRICEDATE", "9/28/2017")</f>
        <v>#NAME?</v>
      </c>
      <c r="AC950" s="16">
        <v>2510.0619918303</v>
      </c>
    </row>
    <row r="951" spans="26:29" x14ac:dyDescent="0.35">
      <c r="Z951" s="4"/>
      <c r="AA951" s="4"/>
      <c r="AB951" s="4" t="e">
        <f ca="1">_xll.ciqfunctions.udf.CIQ("^SPX", "IQ_PRICEDATE", "9/29/2017")</f>
        <v>#NAME?</v>
      </c>
      <c r="AC951" s="16">
        <v>2519.3596719061002</v>
      </c>
    </row>
    <row r="952" spans="26:29" x14ac:dyDescent="0.35">
      <c r="Z952" s="4"/>
      <c r="AA952" s="4"/>
      <c r="AB952" s="4" t="e">
        <f ca="1">_xll.ciqfunctions.udf.CIQ("^SPX", "IQ_PRICEDATE", "10/2/2017")</f>
        <v>#NAME?</v>
      </c>
      <c r="AC952" s="16">
        <v>2529.1152990602</v>
      </c>
    </row>
    <row r="953" spans="26:29" x14ac:dyDescent="0.35">
      <c r="Z953" s="4"/>
      <c r="AA953" s="4"/>
      <c r="AB953" s="4" t="e">
        <f ca="1">_xll.ciqfunctions.udf.CIQ("^SPX", "IQ_PRICEDATE", "10/3/2017")</f>
        <v>#NAME?</v>
      </c>
      <c r="AC953" s="16">
        <v>2534.5796830441</v>
      </c>
    </row>
    <row r="954" spans="26:29" x14ac:dyDescent="0.35">
      <c r="Z954" s="4"/>
      <c r="AA954" s="4"/>
      <c r="AB954" s="4" t="e">
        <f ca="1">_xll.ciqfunctions.udf.CIQ("^SPX", "IQ_PRICEDATE", "10/4/2017")</f>
        <v>#NAME?</v>
      </c>
      <c r="AC954" s="16">
        <v>2537.7412400060002</v>
      </c>
    </row>
    <row r="955" spans="26:29" x14ac:dyDescent="0.35">
      <c r="Z955" s="4"/>
      <c r="AA955" s="4"/>
      <c r="AB955" s="4" t="e">
        <f ca="1">_xll.ciqfunctions.udf.CIQ("^SPX", "IQ_PRICEDATE", "10/5/2017")</f>
        <v>#NAME?</v>
      </c>
      <c r="AC955" s="16">
        <v>2552.0653990719002</v>
      </c>
    </row>
    <row r="956" spans="26:29" x14ac:dyDescent="0.35">
      <c r="Z956" s="4"/>
      <c r="AA956" s="4"/>
      <c r="AB956" s="4" t="e">
        <f ca="1">_xll.ciqfunctions.udf.CIQ("^SPX", "IQ_PRICEDATE", "10/6/2017")</f>
        <v>#NAME?</v>
      </c>
      <c r="AC956" s="16">
        <v>2549.3315089020998</v>
      </c>
    </row>
    <row r="957" spans="26:29" x14ac:dyDescent="0.35">
      <c r="Z957" s="4"/>
      <c r="AA957" s="4"/>
      <c r="AB957" s="4" t="e">
        <f ca="1">_xll.ciqfunctions.udf.CIQ("^SPX", "IQ_PRICEDATE", "10/9/2017")</f>
        <v>#NAME?</v>
      </c>
      <c r="AC957" s="16">
        <v>2544.7285771562001</v>
      </c>
    </row>
    <row r="958" spans="26:29" x14ac:dyDescent="0.35">
      <c r="Z958" s="4"/>
      <c r="AA958" s="4"/>
      <c r="AB958" s="4" t="e">
        <f ca="1">_xll.ciqfunctions.udf.CIQ("^SPX", "IQ_PRICEDATE", "10/10/2017")</f>
        <v>#NAME?</v>
      </c>
      <c r="AC958" s="16">
        <v>2550.6424334051999</v>
      </c>
    </row>
    <row r="959" spans="26:29" x14ac:dyDescent="0.35">
      <c r="Z959" s="4"/>
      <c r="AA959" s="4"/>
      <c r="AB959" s="4" t="e">
        <f ca="1">_xll.ciqfunctions.udf.CIQ("^SPX", "IQ_PRICEDATE", "10/11/2017")</f>
        <v>#NAME?</v>
      </c>
      <c r="AC959" s="16">
        <v>2555.2407886845999</v>
      </c>
    </row>
    <row r="960" spans="26:29" x14ac:dyDescent="0.35">
      <c r="Z960" s="4"/>
      <c r="AA960" s="4"/>
      <c r="AB960" s="4" t="e">
        <f ca="1">_xll.ciqfunctions.udf.CIQ("^SPX", "IQ_PRICEDATE", "10/12/2017")</f>
        <v>#NAME?</v>
      </c>
      <c r="AC960" s="16">
        <v>2550.9330093848998</v>
      </c>
    </row>
    <row r="961" spans="26:29" x14ac:dyDescent="0.35">
      <c r="Z961" s="4"/>
      <c r="AA961" s="4"/>
      <c r="AB961" s="4" t="e">
        <f ca="1">_xll.ciqfunctions.udf.CIQ("^SPX", "IQ_PRICEDATE", "10/13/2017")</f>
        <v>#NAME?</v>
      </c>
      <c r="AC961" s="16">
        <v>2553.1693728503001</v>
      </c>
    </row>
    <row r="962" spans="26:29" x14ac:dyDescent="0.35">
      <c r="Z962" s="4"/>
      <c r="AA962" s="4"/>
      <c r="AB962" s="4" t="e">
        <f ca="1">_xll.ciqfunctions.udf.CIQ("^SPX", "IQ_PRICEDATE", "10/16/2017")</f>
        <v>#NAME?</v>
      </c>
      <c r="AC962" s="16">
        <v>2557.6397377800999</v>
      </c>
    </row>
    <row r="963" spans="26:29" x14ac:dyDescent="0.35">
      <c r="Z963" s="4"/>
      <c r="AA963" s="4"/>
      <c r="AB963" s="4" t="e">
        <f ca="1">_xll.ciqfunctions.udf.CIQ("^SPX", "IQ_PRICEDATE", "10/17/2017")</f>
        <v>#NAME?</v>
      </c>
      <c r="AC963" s="16">
        <v>2559.3563108588</v>
      </c>
    </row>
    <row r="964" spans="26:29" x14ac:dyDescent="0.35">
      <c r="Z964" s="4"/>
      <c r="AA964" s="4"/>
      <c r="AB964" s="4" t="e">
        <f ca="1">_xll.ciqfunctions.udf.CIQ("^SPX", "IQ_PRICEDATE", "10/18/2017")</f>
        <v>#NAME?</v>
      </c>
      <c r="AC964" s="16">
        <v>2561.2644527327998</v>
      </c>
    </row>
    <row r="965" spans="26:29" x14ac:dyDescent="0.35">
      <c r="Z965" s="4"/>
      <c r="AA965" s="4"/>
      <c r="AB965" s="4" t="e">
        <f ca="1">_xll.ciqfunctions.udf.CIQ("^SPX", "IQ_PRICEDATE", "10/19/2017")</f>
        <v>#NAME?</v>
      </c>
      <c r="AC965" s="16">
        <v>2562.1037547780002</v>
      </c>
    </row>
    <row r="966" spans="26:29" x14ac:dyDescent="0.35">
      <c r="Z966" s="4"/>
      <c r="AA966" s="4"/>
      <c r="AB966" s="4" t="e">
        <f ca="1">_xll.ciqfunctions.udf.CIQ("^SPX", "IQ_PRICEDATE", "10/20/2017")</f>
        <v>#NAME?</v>
      </c>
      <c r="AC966" s="16">
        <v>2575.2058778891001</v>
      </c>
    </row>
    <row r="967" spans="26:29" x14ac:dyDescent="0.35">
      <c r="Z967" s="4"/>
      <c r="AA967" s="4"/>
      <c r="AB967" s="4" t="e">
        <f ca="1">_xll.ciqfunctions.udf.CIQ("^SPX", "IQ_PRICEDATE", "10/23/2017")</f>
        <v>#NAME?</v>
      </c>
      <c r="AC967" s="16">
        <v>2564.9785238794998</v>
      </c>
    </row>
    <row r="968" spans="26:29" x14ac:dyDescent="0.35">
      <c r="Z968" s="4"/>
      <c r="AA968" s="4"/>
      <c r="AB968" s="4" t="e">
        <f ca="1">_xll.ciqfunctions.udf.CIQ("^SPX", "IQ_PRICEDATE", "10/24/2017")</f>
        <v>#NAME?</v>
      </c>
      <c r="AC968" s="16">
        <v>2569.1342599453001</v>
      </c>
    </row>
    <row r="969" spans="26:29" x14ac:dyDescent="0.35">
      <c r="Z969" s="4"/>
      <c r="AA969" s="4"/>
      <c r="AB969" s="4" t="e">
        <f ca="1">_xll.ciqfunctions.udf.CIQ("^SPX", "IQ_PRICEDATE", "10/25/2017")</f>
        <v>#NAME?</v>
      </c>
      <c r="AC969" s="16">
        <v>2557.1509845873002</v>
      </c>
    </row>
    <row r="970" spans="26:29" x14ac:dyDescent="0.35">
      <c r="Z970" s="4"/>
      <c r="AA970" s="4"/>
      <c r="AB970" s="4" t="e">
        <f ca="1">_xll.ciqfunctions.udf.CIQ("^SPX", "IQ_PRICEDATE", "10/26/2017")</f>
        <v>#NAME?</v>
      </c>
      <c r="AC970" s="16">
        <v>2560.3991945194002</v>
      </c>
    </row>
    <row r="971" spans="26:29" x14ac:dyDescent="0.35">
      <c r="Z971" s="4"/>
      <c r="AA971" s="4"/>
      <c r="AB971" s="4" t="e">
        <f ca="1">_xll.ciqfunctions.udf.CIQ("^SPX", "IQ_PRICEDATE", "10/27/2017")</f>
        <v>#NAME?</v>
      </c>
      <c r="AC971" s="16">
        <v>2581.0657031342998</v>
      </c>
    </row>
    <row r="972" spans="26:29" x14ac:dyDescent="0.35">
      <c r="Z972" s="4"/>
      <c r="AA972" s="4"/>
      <c r="AB972" s="4" t="e">
        <f ca="1">_xll.ciqfunctions.udf.CIQ("^SPX", "IQ_PRICEDATE", "10/30/2017")</f>
        <v>#NAME?</v>
      </c>
      <c r="AC972" s="16">
        <v>2572.8336032472998</v>
      </c>
    </row>
    <row r="973" spans="26:29" x14ac:dyDescent="0.35">
      <c r="Z973" s="4"/>
      <c r="AA973" s="4"/>
      <c r="AB973" s="4" t="e">
        <f ca="1">_xll.ciqfunctions.udf.CIQ("^SPX", "IQ_PRICEDATE", "10/31/2017")</f>
        <v>#NAME?</v>
      </c>
      <c r="AC973" s="16">
        <v>2575.2638304521001</v>
      </c>
    </row>
    <row r="974" spans="26:29" x14ac:dyDescent="0.35">
      <c r="Z974" s="4"/>
      <c r="AA974" s="4"/>
      <c r="AB974" s="4" t="e">
        <f ca="1">_xll.ciqfunctions.udf.CIQ("^SPX", "IQ_PRICEDATE", "11/1/2017")</f>
        <v>#NAME?</v>
      </c>
      <c r="AC974" s="16">
        <v>2579.3558498933999</v>
      </c>
    </row>
    <row r="975" spans="26:29" x14ac:dyDescent="0.35">
      <c r="Z975" s="4"/>
      <c r="AA975" s="4"/>
      <c r="AB975" s="4" t="e">
        <f ca="1">_xll.ciqfunctions.udf.CIQ("^SPX", "IQ_PRICEDATE", "11/2/2017")</f>
        <v>#NAME?</v>
      </c>
      <c r="AC975" s="16">
        <v>2579.8516516144</v>
      </c>
    </row>
    <row r="976" spans="26:29" x14ac:dyDescent="0.35">
      <c r="Z976" s="4"/>
      <c r="AA976" s="4"/>
      <c r="AB976" s="4" t="e">
        <f ca="1">_xll.ciqfunctions.udf.CIQ("^SPX", "IQ_PRICEDATE", "11/3/2017")</f>
        <v>#NAME?</v>
      </c>
      <c r="AC976" s="16">
        <v>2587.8360570379</v>
      </c>
    </row>
    <row r="977" spans="26:29" x14ac:dyDescent="0.35">
      <c r="Z977" s="4"/>
      <c r="AA977" s="4"/>
      <c r="AB977" s="4" t="e">
        <f ca="1">_xll.ciqfunctions.udf.CIQ("^SPX", "IQ_PRICEDATE", "11/6/2017")</f>
        <v>#NAME?</v>
      </c>
      <c r="AC977" s="16">
        <v>2591.1284424032001</v>
      </c>
    </row>
    <row r="978" spans="26:29" x14ac:dyDescent="0.35">
      <c r="Z978" s="4"/>
      <c r="AA978" s="4"/>
      <c r="AB978" s="4" t="e">
        <f ca="1">_xll.ciqfunctions.udf.CIQ("^SPX", "IQ_PRICEDATE", "11/7/2017")</f>
        <v>#NAME?</v>
      </c>
      <c r="AC978" s="16">
        <v>2590.6417566441</v>
      </c>
    </row>
    <row r="979" spans="26:29" x14ac:dyDescent="0.35">
      <c r="Z979" s="4"/>
      <c r="AA979" s="4"/>
      <c r="AB979" s="4" t="e">
        <f ca="1">_xll.ciqfunctions.udf.CIQ("^SPX", "IQ_PRICEDATE", "11/8/2017")</f>
        <v>#NAME?</v>
      </c>
      <c r="AC979" s="16">
        <v>2594.3752091488</v>
      </c>
    </row>
    <row r="980" spans="26:29" x14ac:dyDescent="0.35">
      <c r="Z980" s="4"/>
      <c r="AA980" s="4"/>
      <c r="AB980" s="4" t="e">
        <f ca="1">_xll.ciqfunctions.udf.CIQ("^SPX", "IQ_PRICEDATE", "11/9/2017")</f>
        <v>#NAME?</v>
      </c>
      <c r="AC980" s="16">
        <v>2584.6212738756999</v>
      </c>
    </row>
    <row r="981" spans="26:29" x14ac:dyDescent="0.35">
      <c r="Z981" s="4"/>
      <c r="AA981" s="4"/>
      <c r="AB981" s="4" t="e">
        <f ca="1">_xll.ciqfunctions.udf.CIQ("^SPX", "IQ_PRICEDATE", "11/10/2017")</f>
        <v>#NAME?</v>
      </c>
      <c r="AC981" s="16">
        <v>2582.3000392549002</v>
      </c>
    </row>
    <row r="982" spans="26:29" x14ac:dyDescent="0.35">
      <c r="Z982" s="4"/>
      <c r="AA982" s="4"/>
      <c r="AB982" s="4" t="e">
        <f ca="1">_xll.ciqfunctions.udf.CIQ("^SPX", "IQ_PRICEDATE", "11/13/2017")</f>
        <v>#NAME?</v>
      </c>
      <c r="AC982" s="16">
        <v>2584.844826306</v>
      </c>
    </row>
    <row r="983" spans="26:29" x14ac:dyDescent="0.35">
      <c r="Z983" s="4"/>
      <c r="AA983" s="4"/>
      <c r="AB983" s="4" t="e">
        <f ca="1">_xll.ciqfunctions.udf.CIQ("^SPX", "IQ_PRICEDATE", "11/14/2017")</f>
        <v>#NAME?</v>
      </c>
      <c r="AC983" s="16">
        <v>2578.8718241124998</v>
      </c>
    </row>
    <row r="984" spans="26:29" x14ac:dyDescent="0.35">
      <c r="Z984" s="4"/>
      <c r="AA984" s="4"/>
      <c r="AB984" s="4" t="e">
        <f ca="1">_xll.ciqfunctions.udf.CIQ("^SPX", "IQ_PRICEDATE", "11/15/2017")</f>
        <v>#NAME?</v>
      </c>
      <c r="AC984" s="16">
        <v>2564.6205095055998</v>
      </c>
    </row>
    <row r="985" spans="26:29" x14ac:dyDescent="0.35">
      <c r="Z985" s="4"/>
      <c r="AA985" s="4"/>
      <c r="AB985" s="4" t="e">
        <f ca="1">_xll.ciqfunctions.udf.CIQ("^SPX", "IQ_PRICEDATE", "11/16/2017")</f>
        <v>#NAME?</v>
      </c>
      <c r="AC985" s="16">
        <v>2585.6431638326999</v>
      </c>
    </row>
    <row r="986" spans="26:29" x14ac:dyDescent="0.35">
      <c r="Z986" s="4"/>
      <c r="AA986" s="4"/>
      <c r="AB986" s="4" t="e">
        <f ca="1">_xll.ciqfunctions.udf.CIQ("^SPX", "IQ_PRICEDATE", "11/17/2017")</f>
        <v>#NAME?</v>
      </c>
      <c r="AC986" s="16">
        <v>2578.8543239638002</v>
      </c>
    </row>
    <row r="987" spans="26:29" x14ac:dyDescent="0.35">
      <c r="Z987" s="4"/>
      <c r="AA987" s="4"/>
      <c r="AB987" s="4" t="e">
        <f ca="1">_xll.ciqfunctions.udf.CIQ("^SPX", "IQ_PRICEDATE", "11/20/2017")</f>
        <v>#NAME?</v>
      </c>
      <c r="AC987" s="16">
        <v>2582.1415887037001</v>
      </c>
    </row>
    <row r="988" spans="26:29" x14ac:dyDescent="0.35">
      <c r="Z988" s="4"/>
      <c r="AA988" s="4"/>
      <c r="AB988" s="4" t="e">
        <f ca="1">_xll.ciqfunctions.udf.CIQ("^SPX", "IQ_PRICEDATE", "11/21/2017")</f>
        <v>#NAME?</v>
      </c>
      <c r="AC988" s="16">
        <v>2599.0291929053001</v>
      </c>
    </row>
    <row r="989" spans="26:29" x14ac:dyDescent="0.35">
      <c r="Z989" s="4"/>
      <c r="AA989" s="4"/>
      <c r="AB989" s="4" t="e">
        <f ca="1">_xll.ciqfunctions.udf.CIQ("^SPX", "IQ_PRICEDATE", "11/22/2017")</f>
        <v>#NAME?</v>
      </c>
      <c r="AC989" s="16">
        <v>2597.0772026103</v>
      </c>
    </row>
    <row r="990" spans="26:29" x14ac:dyDescent="0.35">
      <c r="Z990" s="4"/>
      <c r="AA990" s="4"/>
      <c r="AB990" s="4" t="e">
        <f ca="1">_xll.ciqfunctions.udf.CIQ("^SPX", "IQ_PRICEDATE", "11/24/2017")</f>
        <v>#NAME?</v>
      </c>
      <c r="AC990" s="16">
        <v>2602.4247078124999</v>
      </c>
    </row>
    <row r="991" spans="26:29" x14ac:dyDescent="0.35">
      <c r="Z991" s="4"/>
      <c r="AA991" s="4"/>
      <c r="AB991" s="4" t="e">
        <f ca="1">_xll.ciqfunctions.udf.CIQ("^SPX", "IQ_PRICEDATE", "11/27/2017")</f>
        <v>#NAME?</v>
      </c>
      <c r="AC991" s="16">
        <v>2601.4238908288999</v>
      </c>
    </row>
    <row r="992" spans="26:29" x14ac:dyDescent="0.35">
      <c r="Z992" s="4"/>
      <c r="AA992" s="4"/>
      <c r="AB992" s="4" t="e">
        <f ca="1">_xll.ciqfunctions.udf.CIQ("^SPX", "IQ_PRICEDATE", "11/28/2017")</f>
        <v>#NAME?</v>
      </c>
      <c r="AC992" s="16">
        <v>2627.0440254405999</v>
      </c>
    </row>
    <row r="993" spans="26:29" x14ac:dyDescent="0.35">
      <c r="Z993" s="4"/>
      <c r="AA993" s="4"/>
      <c r="AB993" s="4" t="e">
        <f ca="1">_xll.ciqfunctions.udf.CIQ("^SPX", "IQ_PRICEDATE", "11/29/2017")</f>
        <v>#NAME?</v>
      </c>
      <c r="AC993" s="16">
        <v>2626.0661946542</v>
      </c>
    </row>
    <row r="994" spans="26:29" x14ac:dyDescent="0.35">
      <c r="Z994" s="4"/>
      <c r="AA994" s="4"/>
      <c r="AB994" s="4" t="e">
        <f ca="1">_xll.ciqfunctions.udf.CIQ("^SPX", "IQ_PRICEDATE", "11/30/2017")</f>
        <v>#NAME?</v>
      </c>
      <c r="AC994" s="16">
        <v>2647.5799274831002</v>
      </c>
    </row>
    <row r="995" spans="26:29" x14ac:dyDescent="0.35">
      <c r="Z995" s="4"/>
      <c r="AA995" s="4"/>
      <c r="AB995" s="4" t="e">
        <f ca="1">_xll.ciqfunctions.udf.CIQ("^SPX", "IQ_PRICEDATE", "12/1/2017")</f>
        <v>#NAME?</v>
      </c>
      <c r="AC995" s="16">
        <v>2642.2157647466001</v>
      </c>
    </row>
    <row r="996" spans="26:29" x14ac:dyDescent="0.35">
      <c r="Z996" s="4"/>
      <c r="AA996" s="4"/>
      <c r="AB996" s="4" t="e">
        <f ca="1">_xll.ciqfunctions.udf.CIQ("^SPX", "IQ_PRICEDATE", "12/4/2017")</f>
        <v>#NAME?</v>
      </c>
      <c r="AC996" s="16">
        <v>2639.4370480450002</v>
      </c>
    </row>
    <row r="997" spans="26:29" x14ac:dyDescent="0.35">
      <c r="Z997" s="4"/>
      <c r="AA997" s="4"/>
      <c r="AB997" s="4" t="e">
        <f ca="1">_xll.ciqfunctions.udf.CIQ("^SPX", "IQ_PRICEDATE", "12/5/2017")</f>
        <v>#NAME?</v>
      </c>
      <c r="AC997" s="16">
        <v>2629.5708449898002</v>
      </c>
    </row>
    <row r="998" spans="26:29" x14ac:dyDescent="0.35">
      <c r="Z998" s="4"/>
      <c r="AA998" s="4"/>
      <c r="AB998" s="4" t="e">
        <f ca="1">_xll.ciqfunctions.udf.CIQ("^SPX", "IQ_PRICEDATE", "12/6/2017")</f>
        <v>#NAME?</v>
      </c>
      <c r="AC998" s="16">
        <v>2629.2669138668002</v>
      </c>
    </row>
    <row r="999" spans="26:29" x14ac:dyDescent="0.35">
      <c r="Z999" s="4"/>
      <c r="AA999" s="4"/>
      <c r="AB999" s="4" t="e">
        <f ca="1">_xll.ciqfunctions.udf.CIQ("^SPX", "IQ_PRICEDATE", "12/7/2017")</f>
        <v>#NAME?</v>
      </c>
      <c r="AC999" s="16">
        <v>2636.9764936510001</v>
      </c>
    </row>
    <row r="1000" spans="26:29" x14ac:dyDescent="0.35">
      <c r="Z1000" s="4"/>
      <c r="AA1000" s="4"/>
      <c r="AB1000" s="4" t="e">
        <f ca="1">_xll.ciqfunctions.udf.CIQ("^SPX", "IQ_PRICEDATE", "12/8/2017")</f>
        <v>#NAME?</v>
      </c>
      <c r="AC1000" s="16">
        <v>2651.5010002734002</v>
      </c>
    </row>
    <row r="1001" spans="26:29" x14ac:dyDescent="0.35">
      <c r="Z1001" s="4"/>
      <c r="AA1001" s="4"/>
      <c r="AB1001" s="4" t="e">
        <f ca="1">_xll.ciqfunctions.udf.CIQ("^SPX", "IQ_PRICEDATE", "12/11/2017")</f>
        <v>#NAME?</v>
      </c>
      <c r="AC1001" s="16">
        <v>2659.9896497108002</v>
      </c>
    </row>
    <row r="1002" spans="26:29" x14ac:dyDescent="0.35">
      <c r="Z1002" s="4"/>
      <c r="AA1002" s="4"/>
      <c r="AB1002" s="4" t="e">
        <f ca="1">_xll.ciqfunctions.udf.CIQ("^SPX", "IQ_PRICEDATE", "12/12/2017")</f>
        <v>#NAME?</v>
      </c>
      <c r="AC1002" s="16">
        <v>2664.1057286303999</v>
      </c>
    </row>
    <row r="1003" spans="26:29" x14ac:dyDescent="0.35">
      <c r="Z1003" s="4"/>
      <c r="AA1003" s="4"/>
      <c r="AB1003" s="4" t="e">
        <f ca="1">_xll.ciqfunctions.udf.CIQ("^SPX", "IQ_PRICEDATE", "12/13/2017")</f>
        <v>#NAME?</v>
      </c>
      <c r="AC1003" s="16">
        <v>2662.8451882638001</v>
      </c>
    </row>
    <row r="1004" spans="26:29" x14ac:dyDescent="0.35">
      <c r="Z1004" s="4"/>
      <c r="AA1004" s="4"/>
      <c r="AB1004" s="4" t="e">
        <f ca="1">_xll.ciqfunctions.udf.CIQ("^SPX", "IQ_PRICEDATE", "12/14/2017")</f>
        <v>#NAME?</v>
      </c>
      <c r="AC1004" s="16">
        <v>2652.0124436092001</v>
      </c>
    </row>
    <row r="1005" spans="26:29" x14ac:dyDescent="0.35">
      <c r="Z1005" s="4"/>
      <c r="AA1005" s="4"/>
      <c r="AB1005" s="4" t="e">
        <f ca="1">_xll.ciqfunctions.udf.CIQ("^SPX", "IQ_PRICEDATE", "12/15/2017")</f>
        <v>#NAME?</v>
      </c>
      <c r="AC1005" s="16">
        <v>2675.8079812269998</v>
      </c>
    </row>
    <row r="1006" spans="26:29" x14ac:dyDescent="0.35">
      <c r="Z1006" s="4"/>
      <c r="AA1006" s="4"/>
      <c r="AB1006" s="4" t="e">
        <f ca="1">_xll.ciqfunctions.udf.CIQ("^SPX", "IQ_PRICEDATE", "12/18/2017")</f>
        <v>#NAME?</v>
      </c>
      <c r="AC1006" s="16">
        <v>2690.1582514102001</v>
      </c>
    </row>
    <row r="1007" spans="26:29" x14ac:dyDescent="0.35">
      <c r="Z1007" s="4"/>
      <c r="AA1007" s="4"/>
      <c r="AB1007" s="4" t="e">
        <f ca="1">_xll.ciqfunctions.udf.CIQ("^SPX", "IQ_PRICEDATE", "12/19/2017")</f>
        <v>#NAME?</v>
      </c>
      <c r="AC1007" s="16">
        <v>2681.4736294856998</v>
      </c>
    </row>
    <row r="1008" spans="26:29" x14ac:dyDescent="0.35">
      <c r="Z1008" s="4"/>
      <c r="AA1008" s="4"/>
      <c r="AB1008" s="4" t="e">
        <f ca="1">_xll.ciqfunctions.udf.CIQ("^SPX", "IQ_PRICEDATE", "12/20/2017")</f>
        <v>#NAME?</v>
      </c>
      <c r="AC1008" s="16">
        <v>2679.2480845041</v>
      </c>
    </row>
    <row r="1009" spans="26:29" x14ac:dyDescent="0.35">
      <c r="Z1009" s="4"/>
      <c r="AA1009" s="4"/>
      <c r="AB1009" s="4" t="e">
        <f ca="1">_xll.ciqfunctions.udf.CIQ("^SPX", "IQ_PRICEDATE", "12/21/2017")</f>
        <v>#NAME?</v>
      </c>
      <c r="AC1009" s="16">
        <v>2684.5691760676</v>
      </c>
    </row>
    <row r="1010" spans="26:29" x14ac:dyDescent="0.35">
      <c r="Z1010" s="4"/>
      <c r="AA1010" s="4"/>
      <c r="AB1010" s="4" t="e">
        <f ca="1">_xll.ciqfunctions.udf.CIQ("^SPX", "IQ_PRICEDATE", "12/22/2017")</f>
        <v>#NAME?</v>
      </c>
      <c r="AC1010" s="16">
        <v>2683.3372743313998</v>
      </c>
    </row>
    <row r="1011" spans="26:29" x14ac:dyDescent="0.35">
      <c r="Z1011" s="4"/>
      <c r="AA1011" s="4"/>
      <c r="AB1011" s="4" t="e">
        <f ca="1">_xll.ciqfunctions.udf.CIQ("^SPX", "IQ_PRICEDATE", "12/26/2017")</f>
        <v>#NAME?</v>
      </c>
      <c r="AC1011" s="16">
        <v>2680.5044863251001</v>
      </c>
    </row>
    <row r="1012" spans="26:29" x14ac:dyDescent="0.35">
      <c r="Z1012" s="4"/>
      <c r="AA1012" s="4"/>
      <c r="AB1012" s="4" t="e">
        <f ca="1">_xll.ciqfunctions.udf.CIQ("^SPX", "IQ_PRICEDATE", "12/27/2017")</f>
        <v>#NAME?</v>
      </c>
      <c r="AC1012" s="16">
        <v>2682.6199232041999</v>
      </c>
    </row>
    <row r="1013" spans="26:29" x14ac:dyDescent="0.35">
      <c r="Z1013" s="4"/>
      <c r="AA1013" s="4"/>
      <c r="AB1013" s="4" t="e">
        <f ca="1">_xll.ciqfunctions.udf.CIQ("^SPX", "IQ_PRICEDATE", "12/28/2017")</f>
        <v>#NAME?</v>
      </c>
      <c r="AC1013" s="16">
        <v>2687.5378291884999</v>
      </c>
    </row>
    <row r="1014" spans="26:29" x14ac:dyDescent="0.35">
      <c r="Z1014" s="4"/>
      <c r="AA1014" s="4"/>
      <c r="AB1014" s="4" t="e">
        <f ca="1">_xll.ciqfunctions.udf.CIQ("^SPX", "IQ_PRICEDATE", "12/29/2017")</f>
        <v>#NAME?</v>
      </c>
      <c r="AC1014" s="16">
        <v>2673.6105231516999</v>
      </c>
    </row>
    <row r="1015" spans="26:29" x14ac:dyDescent="0.35">
      <c r="Z1015" s="4"/>
      <c r="AA1015" s="4"/>
      <c r="AB1015" s="4" t="e">
        <f ca="1">_xll.ciqfunctions.udf.CIQ("^SPX", "IQ_PRICEDATE", "1/2/2018")</f>
        <v>#NAME?</v>
      </c>
      <c r="AC1015" s="16">
        <v>2695.8097718087001</v>
      </c>
    </row>
    <row r="1016" spans="26:29" x14ac:dyDescent="0.35">
      <c r="Z1016" s="4"/>
      <c r="AA1016" s="4"/>
      <c r="AB1016" s="4" t="e">
        <f ca="1">_xll.ciqfunctions.udf.CIQ("^SPX", "IQ_PRICEDATE", "1/3/2018")</f>
        <v>#NAME?</v>
      </c>
      <c r="AC1016" s="16">
        <v>2713.0610059947999</v>
      </c>
    </row>
    <row r="1017" spans="26:29" x14ac:dyDescent="0.35">
      <c r="Z1017" s="4"/>
      <c r="AA1017" s="4"/>
      <c r="AB1017" s="4" t="e">
        <f ca="1">_xll.ciqfunctions.udf.CIQ("^SPX", "IQ_PRICEDATE", "1/4/2018")</f>
        <v>#NAME?</v>
      </c>
      <c r="AC1017" s="16">
        <v>2723.9925953636998</v>
      </c>
    </row>
    <row r="1018" spans="26:29" x14ac:dyDescent="0.35">
      <c r="Z1018" s="4"/>
      <c r="AA1018" s="4"/>
      <c r="AB1018" s="4" t="e">
        <f ca="1">_xll.ciqfunctions.udf.CIQ("^SPX", "IQ_PRICEDATE", "1/5/2018")</f>
        <v>#NAME?</v>
      </c>
      <c r="AC1018" s="16">
        <v>2743.1477732975</v>
      </c>
    </row>
    <row r="1019" spans="26:29" x14ac:dyDescent="0.35">
      <c r="Z1019" s="4"/>
      <c r="AA1019" s="4"/>
      <c r="AB1019" s="4" t="e">
        <f ca="1">_xll.ciqfunctions.udf.CIQ("^SPX", "IQ_PRICEDATE", "1/8/2018")</f>
        <v>#NAME?</v>
      </c>
      <c r="AC1019" s="16">
        <v>2747.7102333489001</v>
      </c>
    </row>
    <row r="1020" spans="26:29" x14ac:dyDescent="0.35">
      <c r="Z1020" s="4"/>
      <c r="AA1020" s="4"/>
      <c r="AB1020" s="4" t="e">
        <f ca="1">_xll.ciqfunctions.udf.CIQ("^SPX", "IQ_PRICEDATE", "1/9/2018")</f>
        <v>#NAME?</v>
      </c>
      <c r="AC1020" s="16">
        <v>2751.2852488919998</v>
      </c>
    </row>
    <row r="1021" spans="26:29" x14ac:dyDescent="0.35">
      <c r="Z1021" s="4"/>
      <c r="AA1021" s="4"/>
      <c r="AB1021" s="4" t="e">
        <f ca="1">_xll.ciqfunctions.udf.CIQ("^SPX", "IQ_PRICEDATE", "1/10/2018")</f>
        <v>#NAME?</v>
      </c>
      <c r="AC1021" s="16">
        <v>2748.2254899627001</v>
      </c>
    </row>
    <row r="1022" spans="26:29" x14ac:dyDescent="0.35">
      <c r="Z1022" s="4"/>
      <c r="AA1022" s="4"/>
      <c r="AB1022" s="4" t="e">
        <f ca="1">_xll.ciqfunctions.udf.CIQ("^SPX", "IQ_PRICEDATE", "1/11/2018")</f>
        <v>#NAME?</v>
      </c>
      <c r="AC1022" s="16">
        <v>2767.5581418168999</v>
      </c>
    </row>
    <row r="1023" spans="26:29" x14ac:dyDescent="0.35">
      <c r="Z1023" s="4"/>
      <c r="AA1023" s="4"/>
      <c r="AB1023" s="4" t="e">
        <f ca="1">_xll.ciqfunctions.udf.CIQ("^SPX", "IQ_PRICEDATE", "1/12/2018")</f>
        <v>#NAME?</v>
      </c>
      <c r="AC1023" s="16">
        <v>2786.2441431866</v>
      </c>
    </row>
    <row r="1024" spans="26:29" x14ac:dyDescent="0.35">
      <c r="Z1024" s="4"/>
      <c r="AA1024" s="4"/>
      <c r="AB1024" s="4" t="e">
        <f ca="1">_xll.ciqfunctions.udf.CIQ("^SPX", "IQ_PRICEDATE", "1/16/2018")</f>
        <v>#NAME?</v>
      </c>
      <c r="AC1024" s="16">
        <v>2776.4200235751</v>
      </c>
    </row>
    <row r="1025" spans="26:29" x14ac:dyDescent="0.35">
      <c r="Z1025" s="4"/>
      <c r="AA1025" s="4"/>
      <c r="AB1025" s="4" t="e">
        <f ca="1">_xll.ciqfunctions.udf.CIQ("^SPX", "IQ_PRICEDATE", "1/17/2018")</f>
        <v>#NAME?</v>
      </c>
      <c r="AC1025" s="16">
        <v>2802.5555741929002</v>
      </c>
    </row>
    <row r="1026" spans="26:29" x14ac:dyDescent="0.35">
      <c r="Z1026" s="4"/>
      <c r="AA1026" s="4"/>
      <c r="AB1026" s="4" t="e">
        <f ca="1">_xll.ciqfunctions.udf.CIQ("^SPX", "IQ_PRICEDATE", "1/18/2018")</f>
        <v>#NAME?</v>
      </c>
      <c r="AC1026" s="16">
        <v>2798.0302570590002</v>
      </c>
    </row>
    <row r="1027" spans="26:29" x14ac:dyDescent="0.35">
      <c r="Z1027" s="4"/>
      <c r="AA1027" s="4"/>
      <c r="AB1027" s="4" t="e">
        <f ca="1">_xll.ciqfunctions.udf.CIQ("^SPX", "IQ_PRICEDATE", "1/19/2018")</f>
        <v>#NAME?</v>
      </c>
      <c r="AC1027" s="16">
        <v>2810.3026834920001</v>
      </c>
    </row>
    <row r="1028" spans="26:29" x14ac:dyDescent="0.35">
      <c r="Z1028" s="4"/>
      <c r="AA1028" s="4"/>
      <c r="AB1028" s="4" t="e">
        <f ca="1">_xll.ciqfunctions.udf.CIQ("^SPX", "IQ_PRICEDATE", "1/22/2018")</f>
        <v>#NAME?</v>
      </c>
      <c r="AC1028" s="16">
        <v>2832.9740997724998</v>
      </c>
    </row>
    <row r="1029" spans="26:29" x14ac:dyDescent="0.35">
      <c r="Z1029" s="4"/>
      <c r="AA1029" s="4"/>
      <c r="AB1029" s="4" t="e">
        <f ca="1">_xll.ciqfunctions.udf.CIQ("^SPX", "IQ_PRICEDATE", "1/23/2018")</f>
        <v>#NAME?</v>
      </c>
      <c r="AC1029" s="16">
        <v>2839.1303619554001</v>
      </c>
    </row>
    <row r="1030" spans="26:29" x14ac:dyDescent="0.35">
      <c r="Z1030" s="4"/>
      <c r="AA1030" s="4"/>
      <c r="AB1030" s="4" t="e">
        <f ca="1">_xll.ciqfunctions.udf.CIQ("^SPX", "IQ_PRICEDATE", "1/24/2018")</f>
        <v>#NAME?</v>
      </c>
      <c r="AC1030" s="16">
        <v>2837.5440076131999</v>
      </c>
    </row>
    <row r="1031" spans="26:29" x14ac:dyDescent="0.35">
      <c r="Z1031" s="4"/>
      <c r="AA1031" s="4"/>
      <c r="AB1031" s="4" t="e">
        <f ca="1">_xll.ciqfunctions.udf.CIQ("^SPX", "IQ_PRICEDATE", "1/25/2018")</f>
        <v>#NAME?</v>
      </c>
      <c r="AC1031" s="16">
        <v>2839.2530312105</v>
      </c>
    </row>
    <row r="1032" spans="26:29" x14ac:dyDescent="0.35">
      <c r="Z1032" s="4"/>
      <c r="AA1032" s="4"/>
      <c r="AB1032" s="4" t="e">
        <f ca="1">_xll.ciqfunctions.udf.CIQ("^SPX", "IQ_PRICEDATE", "1/26/2018")</f>
        <v>#NAME?</v>
      </c>
      <c r="AC1032" s="16">
        <v>2872.8678392431002</v>
      </c>
    </row>
    <row r="1033" spans="26:29" x14ac:dyDescent="0.35">
      <c r="Z1033" s="4"/>
      <c r="AA1033" s="4"/>
      <c r="AB1033" s="4" t="e">
        <f ca="1">_xll.ciqfunctions.udf.CIQ("^SPX", "IQ_PRICEDATE", "1/29/2018")</f>
        <v>#NAME?</v>
      </c>
      <c r="AC1033" s="16">
        <v>2853.5284110404</v>
      </c>
    </row>
    <row r="1034" spans="26:29" x14ac:dyDescent="0.35">
      <c r="Z1034" s="4"/>
      <c r="AA1034" s="4"/>
      <c r="AB1034" s="4" t="e">
        <f ca="1">_xll.ciqfunctions.udf.CIQ("^SPX", "IQ_PRICEDATE", "1/30/2018")</f>
        <v>#NAME?</v>
      </c>
      <c r="AC1034" s="16">
        <v>2822.4339480164999</v>
      </c>
    </row>
    <row r="1035" spans="26:29" x14ac:dyDescent="0.35">
      <c r="Z1035" s="4"/>
      <c r="AA1035" s="4"/>
      <c r="AB1035" s="4" t="e">
        <f ca="1">_xll.ciqfunctions.udf.CIQ("^SPX", "IQ_PRICEDATE", "1/31/2018")</f>
        <v>#NAME?</v>
      </c>
      <c r="AC1035" s="16">
        <v>2823.8099373554001</v>
      </c>
    </row>
    <row r="1036" spans="26:29" x14ac:dyDescent="0.35">
      <c r="Z1036" s="4"/>
      <c r="AA1036" s="4"/>
      <c r="AB1036" s="4" t="e">
        <f ca="1">_xll.ciqfunctions.udf.CIQ("^SPX", "IQ_PRICEDATE", "2/1/2018")</f>
        <v>#NAME?</v>
      </c>
      <c r="AC1036" s="16">
        <v>2821.975892767</v>
      </c>
    </row>
    <row r="1037" spans="26:29" x14ac:dyDescent="0.35">
      <c r="Z1037" s="4"/>
      <c r="AA1037" s="4"/>
      <c r="AB1037" s="4" t="e">
        <f ca="1">_xll.ciqfunctions.udf.CIQ("^SPX", "IQ_PRICEDATE", "2/2/2018")</f>
        <v>#NAME?</v>
      </c>
      <c r="AC1037" s="16">
        <v>2762.1253342727</v>
      </c>
    </row>
    <row r="1038" spans="26:29" x14ac:dyDescent="0.35">
      <c r="Z1038" s="4"/>
      <c r="AA1038" s="4"/>
      <c r="AB1038" s="4" t="e">
        <f ca="1">_xll.ciqfunctions.udf.CIQ("^SPX", "IQ_PRICEDATE", "2/5/2018")</f>
        <v>#NAME?</v>
      </c>
      <c r="AC1038" s="16">
        <v>2648.9390824826</v>
      </c>
    </row>
    <row r="1039" spans="26:29" x14ac:dyDescent="0.35">
      <c r="Z1039" s="4"/>
      <c r="AA1039" s="4"/>
      <c r="AB1039" s="4" t="e">
        <f ca="1">_xll.ciqfunctions.udf.CIQ("^SPX", "IQ_PRICEDATE", "2/6/2018")</f>
        <v>#NAME?</v>
      </c>
      <c r="AC1039" s="16">
        <v>2695.1442389796998</v>
      </c>
    </row>
    <row r="1040" spans="26:29" x14ac:dyDescent="0.35">
      <c r="Z1040" s="4"/>
      <c r="AA1040" s="4"/>
      <c r="AB1040" s="4" t="e">
        <f ca="1">_xll.ciqfunctions.udf.CIQ("^SPX", "IQ_PRICEDATE", "2/7/2018")</f>
        <v>#NAME?</v>
      </c>
      <c r="AC1040" s="16">
        <v>2681.6601351724998</v>
      </c>
    </row>
    <row r="1041" spans="26:29" x14ac:dyDescent="0.35">
      <c r="Z1041" s="4"/>
      <c r="AA1041" s="4"/>
      <c r="AB1041" s="4" t="e">
        <f ca="1">_xll.ciqfunctions.udf.CIQ("^SPX", "IQ_PRICEDATE", "2/8/2018")</f>
        <v>#NAME?</v>
      </c>
      <c r="AC1041" s="16">
        <v>2580.9994808281999</v>
      </c>
    </row>
    <row r="1042" spans="26:29" x14ac:dyDescent="0.35">
      <c r="Z1042" s="4"/>
      <c r="AA1042" s="4"/>
      <c r="AB1042" s="4" t="e">
        <f ca="1">_xll.ciqfunctions.udf.CIQ("^SPX", "IQ_PRICEDATE", "2/9/2018")</f>
        <v>#NAME?</v>
      </c>
      <c r="AC1042" s="16">
        <v>2619.5455949231</v>
      </c>
    </row>
    <row r="1043" spans="26:29" x14ac:dyDescent="0.35">
      <c r="Z1043" s="4"/>
      <c r="AA1043" s="4"/>
      <c r="AB1043" s="4" t="e">
        <f ca="1">_xll.ciqfunctions.udf.CIQ("^SPX", "IQ_PRICEDATE", "2/12/2018")</f>
        <v>#NAME?</v>
      </c>
      <c r="AC1043" s="16">
        <v>2655.9975272689999</v>
      </c>
    </row>
    <row r="1044" spans="26:29" x14ac:dyDescent="0.35">
      <c r="Z1044" s="4"/>
      <c r="AA1044" s="4"/>
      <c r="AB1044" s="4" t="e">
        <f ca="1">_xll.ciqfunctions.udf.CIQ("^SPX", "IQ_PRICEDATE", "2/13/2018")</f>
        <v>#NAME?</v>
      </c>
      <c r="AC1044" s="16">
        <v>2662.9429033240999</v>
      </c>
    </row>
    <row r="1045" spans="26:29" x14ac:dyDescent="0.35">
      <c r="Z1045" s="4"/>
      <c r="AA1045" s="4"/>
      <c r="AB1045" s="4" t="e">
        <f ca="1">_xll.ciqfunctions.udf.CIQ("^SPX", "IQ_PRICEDATE", "2/14/2018")</f>
        <v>#NAME?</v>
      </c>
      <c r="AC1045" s="16">
        <v>2698.6336625295999</v>
      </c>
    </row>
    <row r="1046" spans="26:29" x14ac:dyDescent="0.35">
      <c r="Z1046" s="4"/>
      <c r="AA1046" s="4"/>
      <c r="AB1046" s="4" t="e">
        <f ca="1">_xll.ciqfunctions.udf.CIQ("^SPX", "IQ_PRICEDATE", "2/15/2018")</f>
        <v>#NAME?</v>
      </c>
      <c r="AC1046" s="16">
        <v>2731.2041407155002</v>
      </c>
    </row>
    <row r="1047" spans="26:29" x14ac:dyDescent="0.35">
      <c r="Z1047" s="4"/>
      <c r="AA1047" s="4"/>
      <c r="AB1047" s="4" t="e">
        <f ca="1">_xll.ciqfunctions.udf.CIQ("^SPX", "IQ_PRICEDATE", "2/16/2018")</f>
        <v>#NAME?</v>
      </c>
      <c r="AC1047" s="16">
        <v>2732.2198367972001</v>
      </c>
    </row>
    <row r="1048" spans="26:29" x14ac:dyDescent="0.35">
      <c r="Z1048" s="4"/>
      <c r="AA1048" s="4"/>
      <c r="AB1048" s="4" t="e">
        <f ca="1">_xll.ciqfunctions.udf.CIQ("^SPX", "IQ_PRICEDATE", "2/20/2018")</f>
        <v>#NAME?</v>
      </c>
      <c r="AC1048" s="16">
        <v>2716.2555424986999</v>
      </c>
    </row>
    <row r="1049" spans="26:29" x14ac:dyDescent="0.35">
      <c r="Z1049" s="4"/>
      <c r="AA1049" s="4"/>
      <c r="AB1049" s="4" t="e">
        <f ca="1">_xll.ciqfunctions.udf.CIQ("^SPX", "IQ_PRICEDATE", "2/21/2018")</f>
        <v>#NAME?</v>
      </c>
      <c r="AC1049" s="16">
        <v>2701.328793314</v>
      </c>
    </row>
    <row r="1050" spans="26:29" x14ac:dyDescent="0.35">
      <c r="Z1050" s="4"/>
      <c r="AA1050" s="4"/>
      <c r="AB1050" s="4" t="e">
        <f ca="1">_xll.ciqfunctions.udf.CIQ("^SPX", "IQ_PRICEDATE", "2/22/2018")</f>
        <v>#NAME?</v>
      </c>
      <c r="AC1050" s="16">
        <v>2703.9612574600001</v>
      </c>
    </row>
    <row r="1051" spans="26:29" x14ac:dyDescent="0.35">
      <c r="Z1051" s="4"/>
      <c r="AA1051" s="4"/>
      <c r="AB1051" s="4" t="e">
        <f ca="1">_xll.ciqfunctions.udf.CIQ("^SPX", "IQ_PRICEDATE", "2/23/2018")</f>
        <v>#NAME?</v>
      </c>
      <c r="AC1051" s="16">
        <v>2747.2985491692998</v>
      </c>
    </row>
    <row r="1052" spans="26:29" x14ac:dyDescent="0.35">
      <c r="Z1052" s="4"/>
      <c r="AA1052" s="4"/>
      <c r="AB1052" s="4" t="e">
        <f ca="1">_xll.ciqfunctions.udf.CIQ("^SPX", "IQ_PRICEDATE", "2/26/2018")</f>
        <v>#NAME?</v>
      </c>
      <c r="AC1052" s="16">
        <v>2779.5959744897</v>
      </c>
    </row>
    <row r="1053" spans="26:29" x14ac:dyDescent="0.35">
      <c r="Z1053" s="4"/>
      <c r="AA1053" s="4"/>
      <c r="AB1053" s="4" t="e">
        <f ca="1">_xll.ciqfunctions.udf.CIQ("^SPX", "IQ_PRICEDATE", "2/27/2018")</f>
        <v>#NAME?</v>
      </c>
      <c r="AC1053" s="16">
        <v>2744.2806905071002</v>
      </c>
    </row>
    <row r="1054" spans="26:29" x14ac:dyDescent="0.35">
      <c r="Z1054" s="4"/>
      <c r="AA1054" s="4"/>
      <c r="AB1054" s="4" t="e">
        <f ca="1">_xll.ciqfunctions.udf.CIQ("^SPX", "IQ_PRICEDATE", "2/28/2018")</f>
        <v>#NAME?</v>
      </c>
      <c r="AC1054" s="16">
        <v>2713.8305387238001</v>
      </c>
    </row>
    <row r="1055" spans="26:29" x14ac:dyDescent="0.35">
      <c r="Z1055" s="4"/>
      <c r="AA1055" s="4"/>
      <c r="AB1055" s="4" t="e">
        <f ca="1">_xll.ciqfunctions.udf.CIQ("^SPX", "IQ_PRICEDATE", "3/1/2018")</f>
        <v>#NAME?</v>
      </c>
      <c r="AC1055" s="16">
        <v>2677.6709360935001</v>
      </c>
    </row>
    <row r="1056" spans="26:29" x14ac:dyDescent="0.35">
      <c r="Z1056" s="4"/>
      <c r="AA1056" s="4"/>
      <c r="AB1056" s="4" t="e">
        <f ca="1">_xll.ciqfunctions.udf.CIQ("^SPX", "IQ_PRICEDATE", "3/2/2018")</f>
        <v>#NAME?</v>
      </c>
      <c r="AC1056" s="16">
        <v>2691.2527686766002</v>
      </c>
    </row>
    <row r="1057" spans="26:29" x14ac:dyDescent="0.35">
      <c r="Z1057" s="4"/>
      <c r="AA1057" s="4"/>
      <c r="AB1057" s="4" t="e">
        <f ca="1">_xll.ciqfunctions.udf.CIQ("^SPX", "IQ_PRICEDATE", "3/5/2018")</f>
        <v>#NAME?</v>
      </c>
      <c r="AC1057" s="16">
        <v>2720.9408972913998</v>
      </c>
    </row>
    <row r="1058" spans="26:29" x14ac:dyDescent="0.35">
      <c r="Z1058" s="4"/>
      <c r="AA1058" s="4"/>
      <c r="AB1058" s="4" t="e">
        <f ca="1">_xll.ciqfunctions.udf.CIQ("^SPX", "IQ_PRICEDATE", "3/6/2018")</f>
        <v>#NAME?</v>
      </c>
      <c r="AC1058" s="16">
        <v>2728.1219997834</v>
      </c>
    </row>
    <row r="1059" spans="26:29" x14ac:dyDescent="0.35">
      <c r="Z1059" s="4"/>
      <c r="AA1059" s="4"/>
      <c r="AB1059" s="4" t="e">
        <f ca="1">_xll.ciqfunctions.udf.CIQ("^SPX", "IQ_PRICEDATE", "3/7/2018")</f>
        <v>#NAME?</v>
      </c>
      <c r="AC1059" s="16">
        <v>2726.8013692489999</v>
      </c>
    </row>
    <row r="1060" spans="26:29" x14ac:dyDescent="0.35">
      <c r="Z1060" s="4"/>
      <c r="AA1060" s="4"/>
      <c r="AB1060" s="4" t="e">
        <f ca="1">_xll.ciqfunctions.udf.CIQ("^SPX", "IQ_PRICEDATE", "3/8/2018")</f>
        <v>#NAME?</v>
      </c>
      <c r="AC1060" s="16">
        <v>2738.9694301486002</v>
      </c>
    </row>
    <row r="1061" spans="26:29" x14ac:dyDescent="0.35">
      <c r="Z1061" s="4"/>
      <c r="AA1061" s="4"/>
      <c r="AB1061" s="4" t="e">
        <f ca="1">_xll.ciqfunctions.udf.CIQ("^SPX", "IQ_PRICEDATE", "3/9/2018")</f>
        <v>#NAME?</v>
      </c>
      <c r="AC1061" s="16">
        <v>2786.5651027531999</v>
      </c>
    </row>
    <row r="1062" spans="26:29" x14ac:dyDescent="0.35">
      <c r="Z1062" s="4"/>
      <c r="AA1062" s="4"/>
      <c r="AB1062" s="4" t="e">
        <f ca="1">_xll.ciqfunctions.udf.CIQ("^SPX", "IQ_PRICEDATE", "3/12/2018")</f>
        <v>#NAME?</v>
      </c>
      <c r="AC1062" s="16">
        <v>2783.0192629327998</v>
      </c>
    </row>
    <row r="1063" spans="26:29" x14ac:dyDescent="0.35">
      <c r="Z1063" s="4"/>
      <c r="AA1063" s="4"/>
      <c r="AB1063" s="4" t="e">
        <f ca="1">_xll.ciqfunctions.udf.CIQ("^SPX", "IQ_PRICEDATE", "3/13/2018")</f>
        <v>#NAME?</v>
      </c>
      <c r="AC1063" s="16">
        <v>2765.3094530812</v>
      </c>
    </row>
    <row r="1064" spans="26:29" x14ac:dyDescent="0.35">
      <c r="Z1064" s="4"/>
      <c r="AA1064" s="4"/>
      <c r="AB1064" s="4" t="e">
        <f ca="1">_xll.ciqfunctions.udf.CIQ("^SPX", "IQ_PRICEDATE", "3/14/2018")</f>
        <v>#NAME?</v>
      </c>
      <c r="AC1064" s="16">
        <v>2749.4822693171</v>
      </c>
    </row>
    <row r="1065" spans="26:29" x14ac:dyDescent="0.35">
      <c r="Z1065" s="4"/>
      <c r="AA1065" s="4"/>
      <c r="AB1065" s="4" t="e">
        <f ca="1">_xll.ciqfunctions.udf.CIQ("^SPX", "IQ_PRICEDATE", "3/15/2018")</f>
        <v>#NAME?</v>
      </c>
      <c r="AC1065" s="16">
        <v>2747.3298499872999</v>
      </c>
    </row>
    <row r="1066" spans="26:29" x14ac:dyDescent="0.35">
      <c r="Z1066" s="4"/>
      <c r="AA1066" s="4"/>
      <c r="AB1066" s="4" t="e">
        <f ca="1">_xll.ciqfunctions.udf.CIQ("^SPX", "IQ_PRICEDATE", "3/16/2018")</f>
        <v>#NAME?</v>
      </c>
      <c r="AC1066" s="16">
        <v>2752.0117875495998</v>
      </c>
    </row>
    <row r="1067" spans="26:29" x14ac:dyDescent="0.35">
      <c r="Z1067" s="4"/>
      <c r="AA1067" s="4"/>
      <c r="AB1067" s="4" t="e">
        <f ca="1">_xll.ciqfunctions.udf.CIQ("^SPX", "IQ_PRICEDATE", "3/19/2018")</f>
        <v>#NAME?</v>
      </c>
      <c r="AC1067" s="16">
        <v>2712.9173684696998</v>
      </c>
    </row>
    <row r="1068" spans="26:29" x14ac:dyDescent="0.35">
      <c r="Z1068" s="4"/>
      <c r="AA1068" s="4"/>
      <c r="AB1068" s="4" t="e">
        <f ca="1">_xll.ciqfunctions.udf.CIQ("^SPX", "IQ_PRICEDATE", "3/20/2018")</f>
        <v>#NAME?</v>
      </c>
      <c r="AC1068" s="16">
        <v>2716.9422346931001</v>
      </c>
    </row>
    <row r="1069" spans="26:29" x14ac:dyDescent="0.35">
      <c r="Z1069" s="4"/>
      <c r="AA1069" s="4"/>
      <c r="AB1069" s="4" t="e">
        <f ca="1">_xll.ciqfunctions.udf.CIQ("^SPX", "IQ_PRICEDATE", "3/21/2018")</f>
        <v>#NAME?</v>
      </c>
      <c r="AC1069" s="16">
        <v>2711.9280882306998</v>
      </c>
    </row>
    <row r="1070" spans="26:29" x14ac:dyDescent="0.35">
      <c r="Z1070" s="4"/>
      <c r="AA1070" s="4"/>
      <c r="AB1070" s="4" t="e">
        <f ca="1">_xll.ciqfunctions.udf.CIQ("^SPX", "IQ_PRICEDATE", "3/22/2018")</f>
        <v>#NAME?</v>
      </c>
      <c r="AC1070" s="16">
        <v>2643.6921823736002</v>
      </c>
    </row>
    <row r="1071" spans="26:29" x14ac:dyDescent="0.35">
      <c r="Z1071" s="4"/>
      <c r="AA1071" s="4"/>
      <c r="AB1071" s="4" t="e">
        <f ca="1">_xll.ciqfunctions.udf.CIQ("^SPX", "IQ_PRICEDATE", "3/23/2018")</f>
        <v>#NAME?</v>
      </c>
      <c r="AC1071" s="16">
        <v>2588.2627920513</v>
      </c>
    </row>
    <row r="1072" spans="26:29" x14ac:dyDescent="0.35">
      <c r="Z1072" s="4"/>
      <c r="AA1072" s="4"/>
      <c r="AB1072" s="4" t="e">
        <f ca="1">_xll.ciqfunctions.udf.CIQ("^SPX", "IQ_PRICEDATE", "3/26/2018")</f>
        <v>#NAME?</v>
      </c>
      <c r="AC1072" s="16">
        <v>2658.5541823533999</v>
      </c>
    </row>
    <row r="1073" spans="26:29" x14ac:dyDescent="0.35">
      <c r="Z1073" s="4"/>
      <c r="AA1073" s="4"/>
      <c r="AB1073" s="4" t="e">
        <f ca="1">_xll.ciqfunctions.udf.CIQ("^SPX", "IQ_PRICEDATE", "3/27/2018")</f>
        <v>#NAME?</v>
      </c>
      <c r="AC1073" s="16">
        <v>2612.6245972403999</v>
      </c>
    </row>
    <row r="1074" spans="26:29" x14ac:dyDescent="0.35">
      <c r="Z1074" s="4"/>
      <c r="AA1074" s="4"/>
      <c r="AB1074" s="4" t="e">
        <f ca="1">_xll.ciqfunctions.udf.CIQ("^SPX", "IQ_PRICEDATE", "3/28/2018")</f>
        <v>#NAME?</v>
      </c>
      <c r="AC1074" s="16">
        <v>2604.9974974954998</v>
      </c>
    </row>
    <row r="1075" spans="26:29" x14ac:dyDescent="0.35">
      <c r="Z1075" s="4"/>
      <c r="AA1075" s="4"/>
      <c r="AB1075" s="4" t="e">
        <f ca="1">_xll.ciqfunctions.udf.CIQ("^SPX", "IQ_PRICEDATE", "3/29/2018")</f>
        <v>#NAME?</v>
      </c>
      <c r="AC1075" s="16">
        <v>2640.8659903293001</v>
      </c>
    </row>
    <row r="1076" spans="26:29" x14ac:dyDescent="0.35">
      <c r="Z1076" s="4"/>
      <c r="AA1076" s="4"/>
      <c r="AB1076" s="4" t="e">
        <f ca="1">_xll.ciqfunctions.udf.CIQ("^SPX", "IQ_PRICEDATE", "4/2/2018")</f>
        <v>#NAME?</v>
      </c>
      <c r="AC1076" s="16">
        <v>2581.881609651</v>
      </c>
    </row>
    <row r="1077" spans="26:29" x14ac:dyDescent="0.35">
      <c r="Z1077" s="4"/>
      <c r="AA1077" s="4"/>
      <c r="AB1077" s="4" t="e">
        <f ca="1">_xll.ciqfunctions.udf.CIQ("^SPX", "IQ_PRICEDATE", "4/3/2018")</f>
        <v>#NAME?</v>
      </c>
      <c r="AC1077" s="16">
        <v>2614.4456710448999</v>
      </c>
    </row>
    <row r="1078" spans="26:29" x14ac:dyDescent="0.35">
      <c r="Z1078" s="4"/>
      <c r="AA1078" s="4"/>
      <c r="AB1078" s="4" t="e">
        <f ca="1">_xll.ciqfunctions.udf.CIQ("^SPX", "IQ_PRICEDATE", "4/4/2018")</f>
        <v>#NAME?</v>
      </c>
      <c r="AC1078" s="16">
        <v>2644.6879610989999</v>
      </c>
    </row>
    <row r="1079" spans="26:29" x14ac:dyDescent="0.35">
      <c r="Z1079" s="4"/>
      <c r="AA1079" s="4"/>
      <c r="AB1079" s="4" t="e">
        <f ca="1">_xll.ciqfunctions.udf.CIQ("^SPX", "IQ_PRICEDATE", "4/5/2018")</f>
        <v>#NAME?</v>
      </c>
      <c r="AC1079" s="16">
        <v>2662.8362421788001</v>
      </c>
    </row>
    <row r="1080" spans="26:29" x14ac:dyDescent="0.35">
      <c r="Z1080" s="4"/>
      <c r="AA1080" s="4"/>
      <c r="AB1080" s="4" t="e">
        <f ca="1">_xll.ciqfunctions.udf.CIQ("^SPX", "IQ_PRICEDATE", "4/6/2018")</f>
        <v>#NAME?</v>
      </c>
      <c r="AC1080" s="16">
        <v>2604.4693845293</v>
      </c>
    </row>
    <row r="1081" spans="26:29" x14ac:dyDescent="0.35">
      <c r="Z1081" s="4"/>
      <c r="AA1081" s="4"/>
      <c r="AB1081" s="4" t="e">
        <f ca="1">_xll.ciqfunctions.udf.CIQ("^SPX", "IQ_PRICEDATE", "4/9/2018")</f>
        <v>#NAME?</v>
      </c>
      <c r="AC1081" s="16">
        <v>2613.158838761</v>
      </c>
    </row>
    <row r="1082" spans="26:29" x14ac:dyDescent="0.35">
      <c r="Z1082" s="4"/>
      <c r="AA1082" s="4"/>
      <c r="AB1082" s="4" t="e">
        <f ca="1">_xll.ciqfunctions.udf.CIQ("^SPX", "IQ_PRICEDATE", "4/10/2018")</f>
        <v>#NAME?</v>
      </c>
      <c r="AC1082" s="16">
        <v>2656.8679807192998</v>
      </c>
    </row>
    <row r="1083" spans="26:29" x14ac:dyDescent="0.35">
      <c r="Z1083" s="4"/>
      <c r="AA1083" s="4"/>
      <c r="AB1083" s="4" t="e">
        <f ca="1">_xll.ciqfunctions.udf.CIQ("^SPX", "IQ_PRICEDATE", "4/11/2018")</f>
        <v>#NAME?</v>
      </c>
      <c r="AC1083" s="16">
        <v>2642.1902114466002</v>
      </c>
    </row>
    <row r="1084" spans="26:29" x14ac:dyDescent="0.35">
      <c r="Z1084" s="4"/>
      <c r="AA1084" s="4"/>
      <c r="AB1084" s="4" t="e">
        <f ca="1">_xll.ciqfunctions.udf.CIQ("^SPX", "IQ_PRICEDATE", "4/12/2018")</f>
        <v>#NAME?</v>
      </c>
      <c r="AC1084" s="16">
        <v>2663.9948004537</v>
      </c>
    </row>
    <row r="1085" spans="26:29" x14ac:dyDescent="0.35">
      <c r="Z1085" s="4"/>
      <c r="AA1085" s="4"/>
      <c r="AB1085" s="4" t="e">
        <f ca="1">_xll.ciqfunctions.udf.CIQ("^SPX", "IQ_PRICEDATE", "4/13/2018")</f>
        <v>#NAME?</v>
      </c>
      <c r="AC1085" s="16">
        <v>2656.2969056536999</v>
      </c>
    </row>
    <row r="1086" spans="26:29" x14ac:dyDescent="0.35">
      <c r="Z1086" s="4"/>
      <c r="AA1086" s="4"/>
      <c r="AB1086" s="4" t="e">
        <f ca="1">_xll.ciqfunctions.udf.CIQ("^SPX", "IQ_PRICEDATE", "4/16/2018")</f>
        <v>#NAME?</v>
      </c>
      <c r="AC1086" s="16">
        <v>2677.8395628404</v>
      </c>
    </row>
    <row r="1087" spans="26:29" x14ac:dyDescent="0.35">
      <c r="Z1087" s="4"/>
      <c r="AA1087" s="4"/>
      <c r="AB1087" s="4" t="e">
        <f ca="1">_xll.ciqfunctions.udf.CIQ("^SPX", "IQ_PRICEDATE", "4/17/2018")</f>
        <v>#NAME?</v>
      </c>
      <c r="AC1087" s="16">
        <v>2706.3850873186998</v>
      </c>
    </row>
    <row r="1088" spans="26:29" x14ac:dyDescent="0.35">
      <c r="Z1088" s="4"/>
      <c r="AA1088" s="4"/>
      <c r="AB1088" s="4" t="e">
        <f ca="1">_xll.ciqfunctions.udf.CIQ("^SPX", "IQ_PRICEDATE", "4/18/2018")</f>
        <v>#NAME?</v>
      </c>
      <c r="AC1088" s="16">
        <v>2708.6389528643999</v>
      </c>
    </row>
    <row r="1089" spans="26:29" x14ac:dyDescent="0.35">
      <c r="Z1089" s="4"/>
      <c r="AA1089" s="4"/>
      <c r="AB1089" s="4" t="e">
        <f ca="1">_xll.ciqfunctions.udf.CIQ("^SPX", "IQ_PRICEDATE", "4/19/2018")</f>
        <v>#NAME?</v>
      </c>
      <c r="AC1089" s="16">
        <v>2693.1257302322001</v>
      </c>
    </row>
    <row r="1090" spans="26:29" x14ac:dyDescent="0.35">
      <c r="Z1090" s="4"/>
      <c r="AA1090" s="4"/>
      <c r="AB1090" s="4" t="e">
        <f ca="1">_xll.ciqfunctions.udf.CIQ("^SPX", "IQ_PRICEDATE", "4/20/2018")</f>
        <v>#NAME?</v>
      </c>
      <c r="AC1090" s="16">
        <v>2670.1417556473998</v>
      </c>
    </row>
    <row r="1091" spans="26:29" x14ac:dyDescent="0.35">
      <c r="Z1091" s="4"/>
      <c r="AA1091" s="4"/>
      <c r="AB1091" s="4" t="e">
        <f ca="1">_xll.ciqfunctions.udf.CIQ("^SPX", "IQ_PRICEDATE", "4/23/2018")</f>
        <v>#NAME?</v>
      </c>
      <c r="AC1091" s="16">
        <v>2670.2904815958</v>
      </c>
    </row>
    <row r="1092" spans="26:29" x14ac:dyDescent="0.35">
      <c r="Z1092" s="4"/>
      <c r="AA1092" s="4"/>
      <c r="AB1092" s="4" t="e">
        <f ca="1">_xll.ciqfunctions.udf.CIQ("^SPX", "IQ_PRICEDATE", "4/24/2018")</f>
        <v>#NAME?</v>
      </c>
      <c r="AC1092" s="16">
        <v>2634.5564523615999</v>
      </c>
    </row>
    <row r="1093" spans="26:29" x14ac:dyDescent="0.35">
      <c r="Z1093" s="4"/>
      <c r="AA1093" s="4"/>
      <c r="AB1093" s="4" t="e">
        <f ca="1">_xll.ciqfunctions.udf.CIQ("^SPX", "IQ_PRICEDATE", "4/25/2018")</f>
        <v>#NAME?</v>
      </c>
      <c r="AC1093" s="16">
        <v>2639.3950272385</v>
      </c>
    </row>
    <row r="1094" spans="26:29" x14ac:dyDescent="0.35">
      <c r="Z1094" s="4"/>
      <c r="AA1094" s="4"/>
      <c r="AB1094" s="4" t="e">
        <f ca="1">_xll.ciqfunctions.udf.CIQ("^SPX", "IQ_PRICEDATE", "4/26/2018")</f>
        <v>#NAME?</v>
      </c>
      <c r="AC1094" s="16">
        <v>2666.9427838322999</v>
      </c>
    </row>
    <row r="1095" spans="26:29" x14ac:dyDescent="0.35">
      <c r="Z1095" s="4"/>
      <c r="AA1095" s="4"/>
      <c r="AB1095" s="4" t="e">
        <f ca="1">_xll.ciqfunctions.udf.CIQ("^SPX", "IQ_PRICEDATE", "4/27/2018")</f>
        <v>#NAME?</v>
      </c>
      <c r="AC1095" s="16">
        <v>2669.906271715</v>
      </c>
    </row>
    <row r="1096" spans="26:29" x14ac:dyDescent="0.35">
      <c r="Z1096" s="4"/>
      <c r="AA1096" s="4"/>
      <c r="AB1096" s="4" t="e">
        <f ca="1">_xll.ciqfunctions.udf.CIQ("^SPX", "IQ_PRICEDATE", "4/30/2018")</f>
        <v>#NAME?</v>
      </c>
      <c r="AC1096" s="16">
        <v>2648.0493647087001</v>
      </c>
    </row>
    <row r="1097" spans="26:29" x14ac:dyDescent="0.35">
      <c r="Z1097" s="4"/>
      <c r="AA1097" s="4"/>
      <c r="AB1097" s="4" t="e">
        <f ca="1">_xll.ciqfunctions.udf.CIQ("^SPX", "IQ_PRICEDATE", "5/1/2018")</f>
        <v>#NAME?</v>
      </c>
      <c r="AC1097" s="16">
        <v>2654.8006518471998</v>
      </c>
    </row>
    <row r="1098" spans="26:29" x14ac:dyDescent="0.35">
      <c r="Z1098" s="4"/>
      <c r="AA1098" s="4"/>
      <c r="AB1098" s="4" t="e">
        <f ca="1">_xll.ciqfunctions.udf.CIQ("^SPX", "IQ_PRICEDATE", "5/2/2018")</f>
        <v>#NAME?</v>
      </c>
      <c r="AC1098" s="16">
        <v>2635.6685473995999</v>
      </c>
    </row>
    <row r="1099" spans="26:29" x14ac:dyDescent="0.35">
      <c r="Z1099" s="4"/>
      <c r="AA1099" s="4"/>
      <c r="AB1099" s="4" t="e">
        <f ca="1">_xll.ciqfunctions.udf.CIQ("^SPX", "IQ_PRICEDATE", "5/3/2018")</f>
        <v>#NAME?</v>
      </c>
      <c r="AC1099" s="16">
        <v>2629.7256154840002</v>
      </c>
    </row>
    <row r="1100" spans="26:29" x14ac:dyDescent="0.35">
      <c r="Z1100" s="4"/>
      <c r="AA1100" s="4"/>
      <c r="AB1100" s="4" t="e">
        <f ca="1">_xll.ciqfunctions.udf.CIQ("^SPX", "IQ_PRICEDATE", "5/4/2018")</f>
        <v>#NAME?</v>
      </c>
      <c r="AC1100" s="16">
        <v>2663.4203373004002</v>
      </c>
    </row>
    <row r="1101" spans="26:29" x14ac:dyDescent="0.35">
      <c r="Z1101" s="4"/>
      <c r="AA1101" s="4"/>
      <c r="AB1101" s="4" t="e">
        <f ca="1">_xll.ciqfunctions.udf.CIQ("^SPX", "IQ_PRICEDATE", "5/7/2018")</f>
        <v>#NAME?</v>
      </c>
      <c r="AC1101" s="16">
        <v>2672.6284981829999</v>
      </c>
    </row>
    <row r="1102" spans="26:29" x14ac:dyDescent="0.35">
      <c r="Z1102" s="4"/>
      <c r="AA1102" s="4"/>
      <c r="AB1102" s="4" t="e">
        <f ca="1">_xll.ciqfunctions.udf.CIQ("^SPX", "IQ_PRICEDATE", "5/8/2018")</f>
        <v>#NAME?</v>
      </c>
      <c r="AC1102" s="16">
        <v>2671.9182617050001</v>
      </c>
    </row>
    <row r="1103" spans="26:29" x14ac:dyDescent="0.35">
      <c r="Z1103" s="4"/>
      <c r="AA1103" s="4"/>
      <c r="AB1103" s="4" t="e">
        <f ca="1">_xll.ciqfunctions.udf.CIQ("^SPX", "IQ_PRICEDATE", "5/9/2018")</f>
        <v>#NAME?</v>
      </c>
      <c r="AC1103" s="16">
        <v>2697.7915487847999</v>
      </c>
    </row>
    <row r="1104" spans="26:29" x14ac:dyDescent="0.35">
      <c r="Z1104" s="4"/>
      <c r="AA1104" s="4"/>
      <c r="AB1104" s="4" t="e">
        <f ca="1">_xll.ciqfunctions.udf.CIQ("^SPX", "IQ_PRICEDATE", "5/10/2018")</f>
        <v>#NAME?</v>
      </c>
      <c r="AC1104" s="16">
        <v>2723.0689028173001</v>
      </c>
    </row>
    <row r="1105" spans="26:29" x14ac:dyDescent="0.35">
      <c r="Z1105" s="4"/>
      <c r="AA1105" s="4"/>
      <c r="AB1105" s="4" t="e">
        <f ca="1">_xll.ciqfunctions.udf.CIQ("^SPX", "IQ_PRICEDATE", "5/11/2018")</f>
        <v>#NAME?</v>
      </c>
      <c r="AC1105" s="16">
        <v>2727.7159275558001</v>
      </c>
    </row>
    <row r="1106" spans="26:29" x14ac:dyDescent="0.35">
      <c r="Z1106" s="4"/>
      <c r="AA1106" s="4"/>
      <c r="AB1106" s="4" t="e">
        <f ca="1">_xll.ciqfunctions.udf.CIQ("^SPX", "IQ_PRICEDATE", "5/14/2018")</f>
        <v>#NAME?</v>
      </c>
      <c r="AC1106" s="16">
        <v>2730.1324574028999</v>
      </c>
    </row>
    <row r="1107" spans="26:29" x14ac:dyDescent="0.35">
      <c r="Z1107" s="4"/>
      <c r="AA1107" s="4"/>
      <c r="AB1107" s="4" t="e">
        <f ca="1">_xll.ciqfunctions.udf.CIQ("^SPX", "IQ_PRICEDATE", "5/15/2018")</f>
        <v>#NAME?</v>
      </c>
      <c r="AC1107" s="16">
        <v>2711.4455236237</v>
      </c>
    </row>
    <row r="1108" spans="26:29" x14ac:dyDescent="0.35">
      <c r="Z1108" s="4"/>
      <c r="AA1108" s="4"/>
      <c r="AB1108" s="4" t="e">
        <f ca="1">_xll.ciqfunctions.udf.CIQ("^SPX", "IQ_PRICEDATE", "5/16/2018")</f>
        <v>#NAME?</v>
      </c>
      <c r="AC1108" s="16">
        <v>2722.4622972534999</v>
      </c>
    </row>
    <row r="1109" spans="26:29" x14ac:dyDescent="0.35">
      <c r="Z1109" s="4"/>
      <c r="AA1109" s="4"/>
      <c r="AB1109" s="4" t="e">
        <f ca="1">_xll.ciqfunctions.udf.CIQ("^SPX", "IQ_PRICEDATE", "5/17/2018")</f>
        <v>#NAME?</v>
      </c>
      <c r="AC1109" s="16">
        <v>2720.1272067587001</v>
      </c>
    </row>
    <row r="1110" spans="26:29" x14ac:dyDescent="0.35">
      <c r="Z1110" s="4"/>
      <c r="AA1110" s="4"/>
      <c r="AB1110" s="4" t="e">
        <f ca="1">_xll.ciqfunctions.udf.CIQ("^SPX", "IQ_PRICEDATE", "5/18/2018")</f>
        <v>#NAME?</v>
      </c>
      <c r="AC1110" s="16">
        <v>2712.9747135605999</v>
      </c>
    </row>
    <row r="1111" spans="26:29" x14ac:dyDescent="0.35">
      <c r="Z1111" s="4"/>
      <c r="AA1111" s="4"/>
      <c r="AB1111" s="4" t="e">
        <f ca="1">_xll.ciqfunctions.udf.CIQ("^SPX", "IQ_PRICEDATE", "5/21/2018")</f>
        <v>#NAME?</v>
      </c>
      <c r="AC1111" s="16">
        <v>2733.0108196046999</v>
      </c>
    </row>
    <row r="1112" spans="26:29" x14ac:dyDescent="0.35">
      <c r="Z1112" s="4"/>
      <c r="AA1112" s="4"/>
      <c r="AB1112" s="4" t="e">
        <f ca="1">_xll.ciqfunctions.udf.CIQ("^SPX", "IQ_PRICEDATE", "5/22/2018")</f>
        <v>#NAME?</v>
      </c>
      <c r="AC1112" s="16">
        <v>2724.4440411118999</v>
      </c>
    </row>
    <row r="1113" spans="26:29" x14ac:dyDescent="0.35">
      <c r="Z1113" s="4"/>
      <c r="AA1113" s="4"/>
      <c r="AB1113" s="4" t="e">
        <f ca="1">_xll.ciqfunctions.udf.CIQ("^SPX", "IQ_PRICEDATE", "5/23/2018")</f>
        <v>#NAME?</v>
      </c>
      <c r="AC1113" s="16">
        <v>2733.2892688342999</v>
      </c>
    </row>
    <row r="1114" spans="26:29" x14ac:dyDescent="0.35">
      <c r="Z1114" s="4"/>
      <c r="AA1114" s="4"/>
      <c r="AB1114" s="4" t="e">
        <f ca="1">_xll.ciqfunctions.udf.CIQ("^SPX", "IQ_PRICEDATE", "5/24/2018")</f>
        <v>#NAME?</v>
      </c>
      <c r="AC1114" s="16">
        <v>2727.7631947084001</v>
      </c>
    </row>
    <row r="1115" spans="26:29" x14ac:dyDescent="0.35">
      <c r="Z1115" s="4"/>
      <c r="AA1115" s="4"/>
      <c r="AB1115" s="4" t="e">
        <f ca="1">_xll.ciqfunctions.udf.CIQ("^SPX", "IQ_PRICEDATE", "5/25/2018")</f>
        <v>#NAME?</v>
      </c>
      <c r="AC1115" s="16">
        <v>2721.3279562726002</v>
      </c>
    </row>
    <row r="1116" spans="26:29" x14ac:dyDescent="0.35">
      <c r="Z1116" s="4"/>
      <c r="AA1116" s="4"/>
      <c r="AB1116" s="4" t="e">
        <f ca="1">_xll.ciqfunctions.udf.CIQ("^SPX", "IQ_PRICEDATE", "5/29/2018")</f>
        <v>#NAME?</v>
      </c>
      <c r="AC1116" s="16">
        <v>2689.8572489476001</v>
      </c>
    </row>
    <row r="1117" spans="26:29" x14ac:dyDescent="0.35">
      <c r="Z1117" s="4"/>
      <c r="AA1117" s="4"/>
      <c r="AB1117" s="4" t="e">
        <f ca="1">_xll.ciqfunctions.udf.CIQ("^SPX", "IQ_PRICEDATE", "5/30/2018")</f>
        <v>#NAME?</v>
      </c>
      <c r="AC1117" s="16">
        <v>2724.0099112322</v>
      </c>
    </row>
    <row r="1118" spans="26:29" x14ac:dyDescent="0.35">
      <c r="Z1118" s="4"/>
      <c r="AA1118" s="4"/>
      <c r="AB1118" s="4" t="e">
        <f ca="1">_xll.ciqfunctions.udf.CIQ("^SPX", "IQ_PRICEDATE", "5/31/2018")</f>
        <v>#NAME?</v>
      </c>
      <c r="AC1118" s="16">
        <v>2705.2747516248</v>
      </c>
    </row>
    <row r="1119" spans="26:29" x14ac:dyDescent="0.35">
      <c r="Z1119" s="4"/>
      <c r="AA1119" s="4"/>
      <c r="AB1119" s="4" t="e">
        <f ca="1">_xll.ciqfunctions.udf.CIQ("^SPX", "IQ_PRICEDATE", "6/1/2018")</f>
        <v>#NAME?</v>
      </c>
      <c r="AC1119" s="16">
        <v>2734.6188550041002</v>
      </c>
    </row>
    <row r="1120" spans="26:29" x14ac:dyDescent="0.35">
      <c r="Z1120" s="4"/>
      <c r="AA1120" s="4"/>
      <c r="AB1120" s="4" t="e">
        <f ca="1">_xll.ciqfunctions.udf.CIQ("^SPX", "IQ_PRICEDATE", "6/4/2018")</f>
        <v>#NAME?</v>
      </c>
      <c r="AC1120" s="16">
        <v>2746.8711136748998</v>
      </c>
    </row>
    <row r="1121" spans="26:29" x14ac:dyDescent="0.35">
      <c r="Z1121" s="4"/>
      <c r="AA1121" s="4"/>
      <c r="AB1121" s="4" t="e">
        <f ca="1">_xll.ciqfunctions.udf.CIQ("^SPX", "IQ_PRICEDATE", "6/5/2018")</f>
        <v>#NAME?</v>
      </c>
      <c r="AC1121" s="16">
        <v>2748.7951858796</v>
      </c>
    </row>
    <row r="1122" spans="26:29" x14ac:dyDescent="0.35">
      <c r="Z1122" s="4"/>
      <c r="AA1122" s="4"/>
      <c r="AB1122" s="4" t="e">
        <f ca="1">_xll.ciqfunctions.udf.CIQ("^SPX", "IQ_PRICEDATE", "6/6/2018")</f>
        <v>#NAME?</v>
      </c>
      <c r="AC1122" s="16">
        <v>2772.3457853834002</v>
      </c>
    </row>
    <row r="1123" spans="26:29" x14ac:dyDescent="0.35">
      <c r="Z1123" s="4"/>
      <c r="AA1123" s="4"/>
      <c r="AB1123" s="4" t="e">
        <f ca="1">_xll.ciqfunctions.udf.CIQ("^SPX", "IQ_PRICEDATE", "6/7/2018")</f>
        <v>#NAME?</v>
      </c>
      <c r="AC1123" s="16">
        <v>2770.3720468904999</v>
      </c>
    </row>
    <row r="1124" spans="26:29" x14ac:dyDescent="0.35">
      <c r="Z1124" s="4"/>
      <c r="AA1124" s="4"/>
      <c r="AB1124" s="4" t="e">
        <f ca="1">_xll.ciqfunctions.udf.CIQ("^SPX", "IQ_PRICEDATE", "6/8/2018")</f>
        <v>#NAME?</v>
      </c>
      <c r="AC1124" s="16">
        <v>2779.0285906191002</v>
      </c>
    </row>
    <row r="1125" spans="26:29" x14ac:dyDescent="0.35">
      <c r="Z1125" s="4"/>
      <c r="AA1125" s="4"/>
      <c r="AB1125" s="4" t="e">
        <f ca="1">_xll.ciqfunctions.udf.CIQ("^SPX", "IQ_PRICEDATE", "6/11/2018")</f>
        <v>#NAME?</v>
      </c>
      <c r="AC1125" s="16">
        <v>2782.0048600648001</v>
      </c>
    </row>
    <row r="1126" spans="26:29" x14ac:dyDescent="0.35">
      <c r="Z1126" s="4"/>
      <c r="AA1126" s="4"/>
      <c r="AB1126" s="4" t="e">
        <f ca="1">_xll.ciqfunctions.udf.CIQ("^SPX", "IQ_PRICEDATE", "6/12/2018")</f>
        <v>#NAME?</v>
      </c>
      <c r="AC1126" s="16">
        <v>2786.8524730265999</v>
      </c>
    </row>
    <row r="1127" spans="26:29" x14ac:dyDescent="0.35">
      <c r="Z1127" s="4"/>
      <c r="AA1127" s="4"/>
      <c r="AB1127" s="4" t="e">
        <f ca="1">_xll.ciqfunctions.udf.CIQ("^SPX", "IQ_PRICEDATE", "6/13/2018")</f>
        <v>#NAME?</v>
      </c>
      <c r="AC1127" s="16">
        <v>2775.6267511489</v>
      </c>
    </row>
    <row r="1128" spans="26:29" x14ac:dyDescent="0.35">
      <c r="Z1128" s="4"/>
      <c r="AA1128" s="4"/>
      <c r="AB1128" s="4" t="e">
        <f ca="1">_xll.ciqfunctions.udf.CIQ("^SPX", "IQ_PRICEDATE", "6/14/2018")</f>
        <v>#NAME?</v>
      </c>
      <c r="AC1128" s="16">
        <v>2782.4894063784</v>
      </c>
    </row>
    <row r="1129" spans="26:29" x14ac:dyDescent="0.35">
      <c r="Z1129" s="4"/>
      <c r="AA1129" s="4"/>
      <c r="AB1129" s="4" t="e">
        <f ca="1">_xll.ciqfunctions.udf.CIQ("^SPX", "IQ_PRICEDATE", "6/15/2018")</f>
        <v>#NAME?</v>
      </c>
      <c r="AC1129" s="16">
        <v>2779.6630272875</v>
      </c>
    </row>
    <row r="1130" spans="26:29" x14ac:dyDescent="0.35">
      <c r="Z1130" s="4"/>
      <c r="AA1130" s="4"/>
      <c r="AB1130" s="4" t="e">
        <f ca="1">_xll.ciqfunctions.udf.CIQ("^SPX", "IQ_PRICEDATE", "6/18/2018")</f>
        <v>#NAME?</v>
      </c>
      <c r="AC1130" s="16">
        <v>2773.7450408555001</v>
      </c>
    </row>
    <row r="1131" spans="26:29" x14ac:dyDescent="0.35">
      <c r="Z1131" s="4"/>
      <c r="AA1131" s="4"/>
      <c r="AB1131" s="4" t="e">
        <f ca="1">_xll.ciqfunctions.udf.CIQ("^SPX", "IQ_PRICEDATE", "6/19/2018")</f>
        <v>#NAME?</v>
      </c>
      <c r="AC1131" s="16">
        <v>2762.5946469127998</v>
      </c>
    </row>
    <row r="1132" spans="26:29" x14ac:dyDescent="0.35">
      <c r="Z1132" s="4"/>
      <c r="AA1132" s="4"/>
      <c r="AB1132" s="4" t="e">
        <f ca="1">_xll.ciqfunctions.udf.CIQ("^SPX", "IQ_PRICEDATE", "6/20/2018")</f>
        <v>#NAME?</v>
      </c>
      <c r="AC1132" s="16">
        <v>2767.3179049554001</v>
      </c>
    </row>
    <row r="1133" spans="26:29" x14ac:dyDescent="0.35">
      <c r="Z1133" s="4"/>
      <c r="AA1133" s="4"/>
      <c r="AB1133" s="4" t="e">
        <f ca="1">_xll.ciqfunctions.udf.CIQ("^SPX", "IQ_PRICEDATE", "6/21/2018")</f>
        <v>#NAME?</v>
      </c>
      <c r="AC1133" s="16">
        <v>2749.7579690309999</v>
      </c>
    </row>
    <row r="1134" spans="26:29" x14ac:dyDescent="0.35">
      <c r="Z1134" s="4"/>
      <c r="AA1134" s="4"/>
      <c r="AB1134" s="4" t="e">
        <f ca="1">_xll.ciqfunctions.udf.CIQ("^SPX", "IQ_PRICEDATE", "6/22/2018")</f>
        <v>#NAME?</v>
      </c>
      <c r="AC1134" s="16">
        <v>2754.8769951096001</v>
      </c>
    </row>
    <row r="1135" spans="26:29" x14ac:dyDescent="0.35">
      <c r="Z1135" s="4"/>
      <c r="AA1135" s="4"/>
      <c r="AB1135" s="4" t="e">
        <f ca="1">_xll.ciqfunctions.udf.CIQ("^SPX", "IQ_PRICEDATE", "6/25/2018")</f>
        <v>#NAME?</v>
      </c>
      <c r="AC1135" s="16">
        <v>2717.0742184511</v>
      </c>
    </row>
    <row r="1136" spans="26:29" x14ac:dyDescent="0.35">
      <c r="Z1136" s="4"/>
      <c r="AA1136" s="4"/>
      <c r="AB1136" s="4" t="e">
        <f ca="1">_xll.ciqfunctions.udf.CIQ("^SPX", "IQ_PRICEDATE", "6/26/2018")</f>
        <v>#NAME?</v>
      </c>
      <c r="AC1136" s="16">
        <v>2723.0588856282002</v>
      </c>
    </row>
    <row r="1137" spans="26:29" x14ac:dyDescent="0.35">
      <c r="Z1137" s="4"/>
      <c r="AA1137" s="4"/>
      <c r="AB1137" s="4" t="e">
        <f ca="1">_xll.ciqfunctions.udf.CIQ("^SPX", "IQ_PRICEDATE", "6/27/2018")</f>
        <v>#NAME?</v>
      </c>
      <c r="AC1137" s="16">
        <v>2699.6262029689001</v>
      </c>
    </row>
    <row r="1138" spans="26:29" x14ac:dyDescent="0.35">
      <c r="Z1138" s="4"/>
      <c r="AA1138" s="4"/>
      <c r="AB1138" s="4" t="e">
        <f ca="1">_xll.ciqfunctions.udf.CIQ("^SPX", "IQ_PRICEDATE", "6/28/2018")</f>
        <v>#NAME?</v>
      </c>
      <c r="AC1138" s="16">
        <v>2716.3099359139001</v>
      </c>
    </row>
    <row r="1139" spans="26:29" x14ac:dyDescent="0.35">
      <c r="Z1139" s="4"/>
      <c r="AA1139" s="4"/>
      <c r="AB1139" s="4" t="e">
        <f ca="1">_xll.ciqfunctions.udf.CIQ("^SPX", "IQ_PRICEDATE", "6/29/2018")</f>
        <v>#NAME?</v>
      </c>
      <c r="AC1139" s="16">
        <v>2718.3734650222</v>
      </c>
    </row>
    <row r="1140" spans="26:29" x14ac:dyDescent="0.35">
      <c r="Z1140" s="4"/>
      <c r="AA1140" s="4"/>
      <c r="AB1140" s="4" t="e">
        <f ca="1">_xll.ciqfunctions.udf.CIQ("^SPX", "IQ_PRICEDATE", "7/2/2018")</f>
        <v>#NAME?</v>
      </c>
      <c r="AC1140" s="16">
        <v>2726.7137643404999</v>
      </c>
    </row>
    <row r="1141" spans="26:29" x14ac:dyDescent="0.35">
      <c r="Z1141" s="4"/>
      <c r="AA1141" s="4"/>
      <c r="AB1141" s="4" t="e">
        <f ca="1">_xll.ciqfunctions.udf.CIQ("^SPX", "IQ_PRICEDATE", "7/3/2018")</f>
        <v>#NAME?</v>
      </c>
      <c r="AC1141" s="16">
        <v>2713.220886397</v>
      </c>
    </row>
    <row r="1142" spans="26:29" x14ac:dyDescent="0.35">
      <c r="Z1142" s="4"/>
      <c r="AA1142" s="4"/>
      <c r="AB1142" s="4" t="e">
        <f ca="1">_xll.ciqfunctions.udf.CIQ("^SPX", "IQ_PRICEDATE", "7/5/2018")</f>
        <v>#NAME?</v>
      </c>
      <c r="AC1142" s="16">
        <v>2736.612571228</v>
      </c>
    </row>
    <row r="1143" spans="26:29" x14ac:dyDescent="0.35">
      <c r="Z1143" s="4"/>
      <c r="AA1143" s="4"/>
      <c r="AB1143" s="4" t="e">
        <f ca="1">_xll.ciqfunctions.udf.CIQ("^SPX", "IQ_PRICEDATE", "7/6/2018")</f>
        <v>#NAME?</v>
      </c>
      <c r="AC1143" s="16">
        <v>2759.8219158252</v>
      </c>
    </row>
    <row r="1144" spans="26:29" x14ac:dyDescent="0.35">
      <c r="Z1144" s="4"/>
      <c r="AA1144" s="4"/>
      <c r="AB1144" s="4" t="e">
        <f ca="1">_xll.ciqfunctions.udf.CIQ("^SPX", "IQ_PRICEDATE", "7/9/2018")</f>
        <v>#NAME?</v>
      </c>
      <c r="AC1144" s="16">
        <v>2784.1732403668998</v>
      </c>
    </row>
    <row r="1145" spans="26:29" x14ac:dyDescent="0.35">
      <c r="Z1145" s="4"/>
      <c r="AA1145" s="4"/>
      <c r="AB1145" s="4" t="e">
        <f ca="1">_xll.ciqfunctions.udf.CIQ("^SPX", "IQ_PRICEDATE", "7/10/2018")</f>
        <v>#NAME?</v>
      </c>
      <c r="AC1145" s="16">
        <v>2793.8391511653999</v>
      </c>
    </row>
    <row r="1146" spans="26:29" x14ac:dyDescent="0.35">
      <c r="Z1146" s="4"/>
      <c r="AA1146" s="4"/>
      <c r="AB1146" s="4" t="e">
        <f ca="1">_xll.ciqfunctions.udf.CIQ("^SPX", "IQ_PRICEDATE", "7/11/2018")</f>
        <v>#NAME?</v>
      </c>
      <c r="AC1146" s="16">
        <v>2774.0174783796001</v>
      </c>
    </row>
    <row r="1147" spans="26:29" x14ac:dyDescent="0.35">
      <c r="Z1147" s="4"/>
      <c r="AA1147" s="4"/>
      <c r="AB1147" s="4" t="e">
        <f ca="1">_xll.ciqfunctions.udf.CIQ("^SPX", "IQ_PRICEDATE", "7/12/2018")</f>
        <v>#NAME?</v>
      </c>
      <c r="AC1147" s="16">
        <v>2798.2869223869002</v>
      </c>
    </row>
    <row r="1148" spans="26:29" x14ac:dyDescent="0.35">
      <c r="Z1148" s="4"/>
      <c r="AA1148" s="4"/>
      <c r="AB1148" s="4" t="e">
        <f ca="1">_xll.ciqfunctions.udf.CIQ("^SPX", "IQ_PRICEDATE", "7/13/2018")</f>
        <v>#NAME?</v>
      </c>
      <c r="AC1148" s="16">
        <v>2801.3113726616998</v>
      </c>
    </row>
    <row r="1149" spans="26:29" x14ac:dyDescent="0.35">
      <c r="Z1149" s="4"/>
      <c r="AA1149" s="4"/>
      <c r="AB1149" s="4" t="e">
        <f ca="1">_xll.ciqfunctions.udf.CIQ("^SPX", "IQ_PRICEDATE", "7/16/2018")</f>
        <v>#NAME?</v>
      </c>
      <c r="AC1149" s="16">
        <v>2798.4346041356998</v>
      </c>
    </row>
    <row r="1150" spans="26:29" x14ac:dyDescent="0.35">
      <c r="Z1150" s="4"/>
      <c r="AA1150" s="4"/>
      <c r="AB1150" s="4" t="e">
        <f ca="1">_xll.ciqfunctions.udf.CIQ("^SPX", "IQ_PRICEDATE", "7/17/2018")</f>
        <v>#NAME?</v>
      </c>
      <c r="AC1150" s="16">
        <v>2809.5516223514001</v>
      </c>
    </row>
    <row r="1151" spans="26:29" x14ac:dyDescent="0.35">
      <c r="Z1151" s="4"/>
      <c r="AA1151" s="4"/>
      <c r="AB1151" s="4" t="e">
        <f ca="1">_xll.ciqfunctions.udf.CIQ("^SPX", "IQ_PRICEDATE", "7/18/2018")</f>
        <v>#NAME?</v>
      </c>
      <c r="AC1151" s="16">
        <v>2815.6197843404002</v>
      </c>
    </row>
    <row r="1152" spans="26:29" x14ac:dyDescent="0.35">
      <c r="Z1152" s="4"/>
      <c r="AA1152" s="4"/>
      <c r="AB1152" s="4" t="e">
        <f ca="1">_xll.ciqfunctions.udf.CIQ("^SPX", "IQ_PRICEDATE", "7/19/2018")</f>
        <v>#NAME?</v>
      </c>
      <c r="AC1152" s="16">
        <v>2804.4934139565999</v>
      </c>
    </row>
    <row r="1153" spans="26:29" x14ac:dyDescent="0.35">
      <c r="Z1153" s="4"/>
      <c r="AA1153" s="4"/>
      <c r="AB1153" s="4" t="e">
        <f ca="1">_xll.ciqfunctions.udf.CIQ("^SPX", "IQ_PRICEDATE", "7/20/2018")</f>
        <v>#NAME?</v>
      </c>
      <c r="AC1153" s="16">
        <v>2801.8280880917</v>
      </c>
    </row>
    <row r="1154" spans="26:29" x14ac:dyDescent="0.35">
      <c r="Z1154" s="4"/>
      <c r="AA1154" s="4"/>
      <c r="AB1154" s="4" t="e">
        <f ca="1">_xll.ciqfunctions.udf.CIQ("^SPX", "IQ_PRICEDATE", "7/23/2018")</f>
        <v>#NAME?</v>
      </c>
      <c r="AC1154" s="16">
        <v>2806.9828988651002</v>
      </c>
    </row>
    <row r="1155" spans="26:29" x14ac:dyDescent="0.35">
      <c r="Z1155" s="4"/>
      <c r="AA1155" s="4"/>
      <c r="AB1155" s="4" t="e">
        <f ca="1">_xll.ciqfunctions.udf.CIQ("^SPX", "IQ_PRICEDATE", "7/24/2018")</f>
        <v>#NAME?</v>
      </c>
      <c r="AC1155" s="16">
        <v>2820.4041297202998</v>
      </c>
    </row>
    <row r="1156" spans="26:29" x14ac:dyDescent="0.35">
      <c r="Z1156" s="4"/>
      <c r="AA1156" s="4"/>
      <c r="AB1156" s="4" t="e">
        <f ca="1">_xll.ciqfunctions.udf.CIQ("^SPX", "IQ_PRICEDATE", "7/25/2018")</f>
        <v>#NAME?</v>
      </c>
      <c r="AC1156" s="16">
        <v>2846.0670433640998</v>
      </c>
    </row>
    <row r="1157" spans="26:29" x14ac:dyDescent="0.35">
      <c r="Z1157" s="4"/>
      <c r="AA1157" s="4"/>
      <c r="AB1157" s="4" t="e">
        <f ca="1">_xll.ciqfunctions.udf.CIQ("^SPX", "IQ_PRICEDATE", "7/26/2018")</f>
        <v>#NAME?</v>
      </c>
      <c r="AC1157" s="16">
        <v>2837.4399856340001</v>
      </c>
    </row>
    <row r="1158" spans="26:29" x14ac:dyDescent="0.35">
      <c r="Z1158" s="4"/>
      <c r="AA1158" s="4"/>
      <c r="AB1158" s="4" t="e">
        <f ca="1">_xll.ciqfunctions.udf.CIQ("^SPX", "IQ_PRICEDATE", "7/27/2018")</f>
        <v>#NAME?</v>
      </c>
      <c r="AC1158" s="16">
        <v>2818.8176262962002</v>
      </c>
    </row>
    <row r="1159" spans="26:29" x14ac:dyDescent="0.35">
      <c r="Z1159" s="4"/>
      <c r="AA1159" s="4"/>
      <c r="AB1159" s="4" t="e">
        <f ca="1">_xll.ciqfunctions.udf.CIQ("^SPX", "IQ_PRICEDATE", "7/30/2018")</f>
        <v>#NAME?</v>
      </c>
      <c r="AC1159" s="16">
        <v>2802.601445843</v>
      </c>
    </row>
    <row r="1160" spans="26:29" x14ac:dyDescent="0.35">
      <c r="Z1160" s="4"/>
      <c r="AA1160" s="4"/>
      <c r="AB1160" s="4" t="e">
        <f ca="1">_xll.ciqfunctions.udf.CIQ("^SPX", "IQ_PRICEDATE", "7/31/2018")</f>
        <v>#NAME?</v>
      </c>
      <c r="AC1160" s="16">
        <v>2816.2886310910999</v>
      </c>
    </row>
    <row r="1161" spans="26:29" x14ac:dyDescent="0.35">
      <c r="Z1161" s="4"/>
      <c r="AA1161" s="4"/>
      <c r="AB1161" s="4" t="e">
        <f ca="1">_xll.ciqfunctions.udf.CIQ("^SPX", "IQ_PRICEDATE", "8/1/2018")</f>
        <v>#NAME?</v>
      </c>
      <c r="AC1161" s="16">
        <v>2813.3649089529999</v>
      </c>
    </row>
    <row r="1162" spans="26:29" x14ac:dyDescent="0.35">
      <c r="Z1162" s="4"/>
      <c r="AA1162" s="4"/>
      <c r="AB1162" s="4" t="e">
        <f ca="1">_xll.ciqfunctions.udf.CIQ("^SPX", "IQ_PRICEDATE", "8/2/2018")</f>
        <v>#NAME?</v>
      </c>
      <c r="AC1162" s="16">
        <v>2827.2182583862</v>
      </c>
    </row>
    <row r="1163" spans="26:29" x14ac:dyDescent="0.35">
      <c r="Z1163" s="4"/>
      <c r="AA1163" s="4"/>
      <c r="AB1163" s="4" t="e">
        <f ca="1">_xll.ciqfunctions.udf.CIQ("^SPX", "IQ_PRICEDATE", "8/3/2018")</f>
        <v>#NAME?</v>
      </c>
      <c r="AC1163" s="16">
        <v>2840.3535543807998</v>
      </c>
    </row>
    <row r="1164" spans="26:29" x14ac:dyDescent="0.35">
      <c r="Z1164" s="4"/>
      <c r="AA1164" s="4"/>
      <c r="AB1164" s="4" t="e">
        <f ca="1">_xll.ciqfunctions.udf.CIQ("^SPX", "IQ_PRICEDATE", "8/6/2018")</f>
        <v>#NAME?</v>
      </c>
      <c r="AC1164" s="16">
        <v>2850.3965780045</v>
      </c>
    </row>
    <row r="1165" spans="26:29" x14ac:dyDescent="0.35">
      <c r="Z1165" s="4"/>
      <c r="AA1165" s="4"/>
      <c r="AB1165" s="4" t="e">
        <f ca="1">_xll.ciqfunctions.udf.CIQ("^SPX", "IQ_PRICEDATE", "8/7/2018")</f>
        <v>#NAME?</v>
      </c>
      <c r="AC1165" s="16">
        <v>2858.4515094494</v>
      </c>
    </row>
    <row r="1166" spans="26:29" x14ac:dyDescent="0.35">
      <c r="Z1166" s="4"/>
      <c r="AA1166" s="4"/>
      <c r="AB1166" s="4" t="e">
        <f ca="1">_xll.ciqfunctions.udf.CIQ("^SPX", "IQ_PRICEDATE", "8/8/2018")</f>
        <v>#NAME?</v>
      </c>
      <c r="AC1166" s="16">
        <v>2857.7044950281002</v>
      </c>
    </row>
    <row r="1167" spans="26:29" x14ac:dyDescent="0.35">
      <c r="Z1167" s="4"/>
      <c r="AA1167" s="4"/>
      <c r="AB1167" s="4" t="e">
        <f ca="1">_xll.ciqfunctions.udf.CIQ("^SPX", "IQ_PRICEDATE", "8/9/2018")</f>
        <v>#NAME?</v>
      </c>
      <c r="AC1167" s="16">
        <v>2853.5839477989998</v>
      </c>
    </row>
    <row r="1168" spans="26:29" x14ac:dyDescent="0.35">
      <c r="Z1168" s="4"/>
      <c r="AA1168" s="4"/>
      <c r="AB1168" s="4" t="e">
        <f ca="1">_xll.ciqfunctions.udf.CIQ("^SPX", "IQ_PRICEDATE", "8/10/2018")</f>
        <v>#NAME?</v>
      </c>
      <c r="AC1168" s="16">
        <v>2833.2836316821999</v>
      </c>
    </row>
    <row r="1169" spans="26:29" x14ac:dyDescent="0.35">
      <c r="Z1169" s="4"/>
      <c r="AA1169" s="4"/>
      <c r="AB1169" s="4" t="e">
        <f ca="1">_xll.ciqfunctions.udf.CIQ("^SPX", "IQ_PRICEDATE", "8/13/2018")</f>
        <v>#NAME?</v>
      </c>
      <c r="AC1169" s="16">
        <v>2821.9282342060001</v>
      </c>
    </row>
    <row r="1170" spans="26:29" x14ac:dyDescent="0.35">
      <c r="Z1170" s="4"/>
      <c r="AA1170" s="4"/>
      <c r="AB1170" s="4" t="e">
        <f ca="1">_xll.ciqfunctions.udf.CIQ("^SPX", "IQ_PRICEDATE", "8/14/2018")</f>
        <v>#NAME?</v>
      </c>
      <c r="AC1170" s="16">
        <v>2839.955390868</v>
      </c>
    </row>
    <row r="1171" spans="26:29" x14ac:dyDescent="0.35">
      <c r="Z1171" s="4"/>
      <c r="AA1171" s="4"/>
      <c r="AB1171" s="4" t="e">
        <f ca="1">_xll.ciqfunctions.udf.CIQ("^SPX", "IQ_PRICEDATE", "8/15/2018")</f>
        <v>#NAME?</v>
      </c>
      <c r="AC1171" s="16">
        <v>2818.3730198970002</v>
      </c>
    </row>
    <row r="1172" spans="26:29" x14ac:dyDescent="0.35">
      <c r="Z1172" s="4"/>
      <c r="AA1172" s="4"/>
      <c r="AB1172" s="4" t="e">
        <f ca="1">_xll.ciqfunctions.udf.CIQ("^SPX", "IQ_PRICEDATE", "8/16/2018")</f>
        <v>#NAME?</v>
      </c>
      <c r="AC1172" s="16">
        <v>2840.6879724707001</v>
      </c>
    </row>
    <row r="1173" spans="26:29" x14ac:dyDescent="0.35">
      <c r="Z1173" s="4"/>
      <c r="AA1173" s="4"/>
      <c r="AB1173" s="4" t="e">
        <f ca="1">_xll.ciqfunctions.udf.CIQ("^SPX", "IQ_PRICEDATE", "8/17/2018")</f>
        <v>#NAME?</v>
      </c>
      <c r="AC1173" s="16">
        <v>2850.1316116040998</v>
      </c>
    </row>
    <row r="1174" spans="26:29" x14ac:dyDescent="0.35">
      <c r="Z1174" s="4"/>
      <c r="AA1174" s="4"/>
      <c r="AB1174" s="4" t="e">
        <f ca="1">_xll.ciqfunctions.udf.CIQ("^SPX", "IQ_PRICEDATE", "8/20/2018")</f>
        <v>#NAME?</v>
      </c>
      <c r="AC1174" s="16">
        <v>2857.0540072342001</v>
      </c>
    </row>
    <row r="1175" spans="26:29" x14ac:dyDescent="0.35">
      <c r="Z1175" s="4"/>
      <c r="AA1175" s="4"/>
      <c r="AB1175" s="4" t="e">
        <f ca="1">_xll.ciqfunctions.udf.CIQ("^SPX", "IQ_PRICEDATE", "8/21/2018")</f>
        <v>#NAME?</v>
      </c>
      <c r="AC1175" s="16">
        <v>2862.9569880949002</v>
      </c>
    </row>
    <row r="1176" spans="26:29" x14ac:dyDescent="0.35">
      <c r="Z1176" s="4"/>
      <c r="AA1176" s="4"/>
      <c r="AB1176" s="4" t="e">
        <f ca="1">_xll.ciqfunctions.udf.CIQ("^SPX", "IQ_PRICEDATE", "8/22/2018")</f>
        <v>#NAME?</v>
      </c>
      <c r="AC1176" s="16">
        <v>2861.8246299142002</v>
      </c>
    </row>
    <row r="1177" spans="26:29" x14ac:dyDescent="0.35">
      <c r="Z1177" s="4"/>
      <c r="AA1177" s="4"/>
      <c r="AB1177" s="4" t="e">
        <f ca="1">_xll.ciqfunctions.udf.CIQ("^SPX", "IQ_PRICEDATE", "8/23/2018")</f>
        <v>#NAME?</v>
      </c>
      <c r="AC1177" s="16">
        <v>2856.9805412893002</v>
      </c>
    </row>
    <row r="1178" spans="26:29" x14ac:dyDescent="0.35">
      <c r="Z1178" s="4"/>
      <c r="AA1178" s="4"/>
      <c r="AB1178" s="4" t="e">
        <f ca="1">_xll.ciqfunctions.udf.CIQ("^SPX", "IQ_PRICEDATE", "8/24/2018")</f>
        <v>#NAME?</v>
      </c>
      <c r="AC1178" s="16">
        <v>2874.6891438910998</v>
      </c>
    </row>
    <row r="1179" spans="26:29" x14ac:dyDescent="0.35">
      <c r="Z1179" s="4"/>
      <c r="AA1179" s="4"/>
      <c r="AB1179" s="4" t="e">
        <f ca="1">_xll.ciqfunctions.udf.CIQ("^SPX", "IQ_PRICEDATE", "8/27/2018")</f>
        <v>#NAME?</v>
      </c>
      <c r="AC1179" s="16">
        <v>2896.7356353035002</v>
      </c>
    </row>
    <row r="1180" spans="26:29" x14ac:dyDescent="0.35">
      <c r="Z1180" s="4"/>
      <c r="AA1180" s="4"/>
      <c r="AB1180" s="4" t="e">
        <f ca="1">_xll.ciqfunctions.udf.CIQ("^SPX", "IQ_PRICEDATE", "8/28/2018")</f>
        <v>#NAME?</v>
      </c>
      <c r="AC1180" s="16">
        <v>2897.5220448636001</v>
      </c>
    </row>
    <row r="1181" spans="26:29" x14ac:dyDescent="0.35">
      <c r="Z1181" s="4"/>
      <c r="AA1181" s="4"/>
      <c r="AB1181" s="4" t="e">
        <f ca="1">_xll.ciqfunctions.udf.CIQ("^SPX", "IQ_PRICEDATE", "8/29/2018")</f>
        <v>#NAME?</v>
      </c>
      <c r="AC1181" s="16">
        <v>2914.0413654341</v>
      </c>
    </row>
    <row r="1182" spans="26:29" x14ac:dyDescent="0.35">
      <c r="Z1182" s="4"/>
      <c r="AA1182" s="4"/>
      <c r="AB1182" s="4" t="e">
        <f ca="1">_xll.ciqfunctions.udf.CIQ("^SPX", "IQ_PRICEDATE", "8/30/2018")</f>
        <v>#NAME?</v>
      </c>
      <c r="AC1182" s="16">
        <v>2901.1265962030002</v>
      </c>
    </row>
    <row r="1183" spans="26:29" x14ac:dyDescent="0.35">
      <c r="Z1183" s="4"/>
      <c r="AA1183" s="4"/>
      <c r="AB1183" s="4" t="e">
        <f ca="1">_xll.ciqfunctions.udf.CIQ("^SPX", "IQ_PRICEDATE", "8/31/2018")</f>
        <v>#NAME?</v>
      </c>
      <c r="AC1183" s="16">
        <v>2901.5176770405001</v>
      </c>
    </row>
    <row r="1184" spans="26:29" x14ac:dyDescent="0.35">
      <c r="Z1184" s="4"/>
      <c r="AA1184" s="4"/>
      <c r="AB1184" s="4" t="e">
        <f ca="1">_xll.ciqfunctions.udf.CIQ("^SPX", "IQ_PRICEDATE", "9/4/2018")</f>
        <v>#NAME?</v>
      </c>
      <c r="AC1184" s="16">
        <v>2896.7232861861999</v>
      </c>
    </row>
    <row r="1185" spans="26:29" x14ac:dyDescent="0.35">
      <c r="Z1185" s="4"/>
      <c r="AA1185" s="4"/>
      <c r="AB1185" s="4" t="e">
        <f ca="1">_xll.ciqfunctions.udf.CIQ("^SPX", "IQ_PRICEDATE", "9/5/2018")</f>
        <v>#NAME?</v>
      </c>
      <c r="AC1185" s="16">
        <v>2888.6017988977001</v>
      </c>
    </row>
    <row r="1186" spans="26:29" x14ac:dyDescent="0.35">
      <c r="Z1186" s="4"/>
      <c r="AA1186" s="4"/>
      <c r="AB1186" s="4" t="e">
        <f ca="1">_xll.ciqfunctions.udf.CIQ("^SPX", "IQ_PRICEDATE", "9/6/2018")</f>
        <v>#NAME?</v>
      </c>
      <c r="AC1186" s="16">
        <v>2878.0524329330001</v>
      </c>
    </row>
    <row r="1187" spans="26:29" x14ac:dyDescent="0.35">
      <c r="Z1187" s="4"/>
      <c r="AA1187" s="4"/>
      <c r="AB1187" s="4" t="e">
        <f ca="1">_xll.ciqfunctions.udf.CIQ("^SPX", "IQ_PRICEDATE", "9/7/2018")</f>
        <v>#NAME?</v>
      </c>
      <c r="AC1187" s="16">
        <v>2871.6815283021001</v>
      </c>
    </row>
    <row r="1188" spans="26:29" x14ac:dyDescent="0.35">
      <c r="Z1188" s="4"/>
      <c r="AA1188" s="4"/>
      <c r="AB1188" s="4" t="e">
        <f ca="1">_xll.ciqfunctions.udf.CIQ("^SPX", "IQ_PRICEDATE", "9/10/2018")</f>
        <v>#NAME?</v>
      </c>
      <c r="AC1188" s="16">
        <v>2877.1261459303</v>
      </c>
    </row>
    <row r="1189" spans="26:29" x14ac:dyDescent="0.35">
      <c r="Z1189" s="4"/>
      <c r="AA1189" s="4"/>
      <c r="AB1189" s="4" t="e">
        <f ca="1">_xll.ciqfunctions.udf.CIQ("^SPX", "IQ_PRICEDATE", "9/11/2018")</f>
        <v>#NAME?</v>
      </c>
      <c r="AC1189" s="16">
        <v>2887.8937973604002</v>
      </c>
    </row>
    <row r="1190" spans="26:29" x14ac:dyDescent="0.35">
      <c r="Z1190" s="4"/>
      <c r="AA1190" s="4"/>
      <c r="AB1190" s="4" t="e">
        <f ca="1">_xll.ciqfunctions.udf.CIQ("^SPX", "IQ_PRICEDATE", "9/12/2018")</f>
        <v>#NAME?</v>
      </c>
      <c r="AC1190" s="16">
        <v>2888.9166550290001</v>
      </c>
    </row>
    <row r="1191" spans="26:29" x14ac:dyDescent="0.35">
      <c r="Z1191" s="4"/>
      <c r="AA1191" s="4"/>
      <c r="AB1191" s="4" t="e">
        <f ca="1">_xll.ciqfunctions.udf.CIQ("^SPX", "IQ_PRICEDATE", "9/13/2018")</f>
        <v>#NAME?</v>
      </c>
      <c r="AC1191" s="16">
        <v>2904.183860264</v>
      </c>
    </row>
    <row r="1192" spans="26:29" x14ac:dyDescent="0.35">
      <c r="Z1192" s="4"/>
      <c r="AA1192" s="4"/>
      <c r="AB1192" s="4" t="e">
        <f ca="1">_xll.ciqfunctions.udf.CIQ("^SPX", "IQ_PRICEDATE", "9/14/2018")</f>
        <v>#NAME?</v>
      </c>
      <c r="AC1192" s="16">
        <v>2904.9753853013999</v>
      </c>
    </row>
    <row r="1193" spans="26:29" x14ac:dyDescent="0.35">
      <c r="Z1193" s="4"/>
      <c r="AA1193" s="4"/>
      <c r="AB1193" s="4" t="e">
        <f ca="1">_xll.ciqfunctions.udf.CIQ("^SPX", "IQ_PRICEDATE", "9/17/2018")</f>
        <v>#NAME?</v>
      </c>
      <c r="AC1193" s="16">
        <v>2888.8011449655</v>
      </c>
    </row>
    <row r="1194" spans="26:29" x14ac:dyDescent="0.35">
      <c r="Z1194" s="4"/>
      <c r="AA1194" s="4"/>
      <c r="AB1194" s="4" t="e">
        <f ca="1">_xll.ciqfunctions.udf.CIQ("^SPX", "IQ_PRICEDATE", "9/18/2018")</f>
        <v>#NAME?</v>
      </c>
      <c r="AC1194" s="16">
        <v>2904.3106462578999</v>
      </c>
    </row>
    <row r="1195" spans="26:29" x14ac:dyDescent="0.35">
      <c r="Z1195" s="4"/>
      <c r="AA1195" s="4"/>
      <c r="AB1195" s="4" t="e">
        <f ca="1">_xll.ciqfunctions.udf.CIQ("^SPX", "IQ_PRICEDATE", "9/19/2018")</f>
        <v>#NAME?</v>
      </c>
      <c r="AC1195" s="16">
        <v>2907.9453942373002</v>
      </c>
    </row>
    <row r="1196" spans="26:29" x14ac:dyDescent="0.35">
      <c r="Z1196" s="4"/>
      <c r="AA1196" s="4"/>
      <c r="AB1196" s="4" t="e">
        <f ca="1">_xll.ciqfunctions.udf.CIQ("^SPX", "IQ_PRICEDATE", "9/20/2018")</f>
        <v>#NAME?</v>
      </c>
      <c r="AC1196" s="16">
        <v>2930.7461520994998</v>
      </c>
    </row>
    <row r="1197" spans="26:29" x14ac:dyDescent="0.35">
      <c r="Z1197" s="4"/>
      <c r="AA1197" s="4"/>
      <c r="AB1197" s="4" t="e">
        <f ca="1">_xll.ciqfunctions.udf.CIQ("^SPX", "IQ_PRICEDATE", "9/21/2018")</f>
        <v>#NAME?</v>
      </c>
      <c r="AC1197" s="16">
        <v>2929.6671956252999</v>
      </c>
    </row>
    <row r="1198" spans="26:29" x14ac:dyDescent="0.35">
      <c r="Z1198" s="4"/>
      <c r="AA1198" s="4"/>
      <c r="AB1198" s="4" t="e">
        <f ca="1">_xll.ciqfunctions.udf.CIQ("^SPX", "IQ_PRICEDATE", "9/24/2018")</f>
        <v>#NAME?</v>
      </c>
      <c r="AC1198" s="16">
        <v>2919.3731493785999</v>
      </c>
    </row>
    <row r="1199" spans="26:29" x14ac:dyDescent="0.35">
      <c r="Z1199" s="4"/>
      <c r="AA1199" s="4"/>
      <c r="AB1199" s="4" t="e">
        <f ca="1">_xll.ciqfunctions.udf.CIQ("^SPX", "IQ_PRICEDATE", "9/25/2018")</f>
        <v>#NAME?</v>
      </c>
      <c r="AC1199" s="16">
        <v>2915.5642837762998</v>
      </c>
    </row>
    <row r="1200" spans="26:29" x14ac:dyDescent="0.35">
      <c r="Z1200" s="4"/>
      <c r="AA1200" s="4"/>
      <c r="AB1200" s="4" t="e">
        <f ca="1">_xll.ciqfunctions.udf.CIQ("^SPX", "IQ_PRICEDATE", "9/26/2018")</f>
        <v>#NAME?</v>
      </c>
      <c r="AC1200" s="16">
        <v>2905.9655876406</v>
      </c>
    </row>
    <row r="1201" spans="26:29" x14ac:dyDescent="0.35">
      <c r="Z1201" s="4"/>
      <c r="AA1201" s="4"/>
      <c r="AB1201" s="4" t="e">
        <f ca="1">_xll.ciqfunctions.udf.CIQ("^SPX", "IQ_PRICEDATE", "9/27/2018")</f>
        <v>#NAME?</v>
      </c>
      <c r="AC1201" s="16">
        <v>2913.9981861058</v>
      </c>
    </row>
    <row r="1202" spans="26:29" x14ac:dyDescent="0.35">
      <c r="Z1202" s="4"/>
      <c r="AA1202" s="4"/>
      <c r="AB1202" s="4" t="e">
        <f ca="1">_xll.ciqfunctions.udf.CIQ("^SPX", "IQ_PRICEDATE", "9/28/2018")</f>
        <v>#NAME?</v>
      </c>
      <c r="AC1202" s="16">
        <v>2913.978139886</v>
      </c>
    </row>
    <row r="1203" spans="26:29" x14ac:dyDescent="0.35">
      <c r="Z1203" s="4"/>
      <c r="AA1203" s="4"/>
      <c r="AB1203" s="4" t="e">
        <f ca="1">_xll.ciqfunctions.udf.CIQ("^SPX", "IQ_PRICEDATE", "10/1/2018")</f>
        <v>#NAME?</v>
      </c>
      <c r="AC1203" s="16">
        <v>2924.5909370456002</v>
      </c>
    </row>
    <row r="1204" spans="26:29" x14ac:dyDescent="0.35">
      <c r="Z1204" s="4"/>
      <c r="AA1204" s="4"/>
      <c r="AB1204" s="4" t="e">
        <f ca="1">_xll.ciqfunctions.udf.CIQ("^SPX", "IQ_PRICEDATE", "10/2/2018")</f>
        <v>#NAME?</v>
      </c>
      <c r="AC1204" s="16">
        <v>2923.4334526643001</v>
      </c>
    </row>
    <row r="1205" spans="26:29" x14ac:dyDescent="0.35">
      <c r="Z1205" s="4"/>
      <c r="AA1205" s="4"/>
      <c r="AB1205" s="4" t="e">
        <f ca="1">_xll.ciqfunctions.udf.CIQ("^SPX", "IQ_PRICEDATE", "10/3/2018")</f>
        <v>#NAME?</v>
      </c>
      <c r="AC1205" s="16">
        <v>2925.5130376727998</v>
      </c>
    </row>
    <row r="1206" spans="26:29" x14ac:dyDescent="0.35">
      <c r="Z1206" s="4"/>
      <c r="AA1206" s="4"/>
      <c r="AB1206" s="4" t="e">
        <f ca="1">_xll.ciqfunctions.udf.CIQ("^SPX", "IQ_PRICEDATE", "10/4/2018")</f>
        <v>#NAME?</v>
      </c>
      <c r="AC1206" s="16">
        <v>2901.6114880516998</v>
      </c>
    </row>
    <row r="1207" spans="26:29" x14ac:dyDescent="0.35">
      <c r="Z1207" s="4"/>
      <c r="AA1207" s="4"/>
      <c r="AB1207" s="4" t="e">
        <f ca="1">_xll.ciqfunctions.udf.CIQ("^SPX", "IQ_PRICEDATE", "10/5/2018")</f>
        <v>#NAME?</v>
      </c>
      <c r="AC1207" s="16">
        <v>2885.5662522712</v>
      </c>
    </row>
    <row r="1208" spans="26:29" x14ac:dyDescent="0.35">
      <c r="Z1208" s="4"/>
      <c r="AA1208" s="4"/>
      <c r="AB1208" s="4" t="e">
        <f ca="1">_xll.ciqfunctions.udf.CIQ("^SPX", "IQ_PRICEDATE", "10/8/2018")</f>
        <v>#NAME?</v>
      </c>
      <c r="AC1208" s="16">
        <v>2884.4326743419001</v>
      </c>
    </row>
    <row r="1209" spans="26:29" x14ac:dyDescent="0.35">
      <c r="Z1209" s="4"/>
      <c r="AA1209" s="4"/>
      <c r="AB1209" s="4" t="e">
        <f ca="1">_xll.ciqfunctions.udf.CIQ("^SPX", "IQ_PRICEDATE", "10/9/2018")</f>
        <v>#NAME?</v>
      </c>
      <c r="AC1209" s="16">
        <v>2880.3437116677001</v>
      </c>
    </row>
    <row r="1210" spans="26:29" x14ac:dyDescent="0.35">
      <c r="Z1210" s="4"/>
      <c r="AA1210" s="4"/>
      <c r="AB1210" s="4" t="e">
        <f ca="1">_xll.ciqfunctions.udf.CIQ("^SPX", "IQ_PRICEDATE", "10/10/2018")</f>
        <v>#NAME?</v>
      </c>
      <c r="AC1210" s="16">
        <v>2785.6791790991001</v>
      </c>
    </row>
    <row r="1211" spans="26:29" x14ac:dyDescent="0.35">
      <c r="Z1211" s="4"/>
      <c r="AA1211" s="4"/>
      <c r="AB1211" s="4" t="e">
        <f ca="1">_xll.ciqfunctions.udf.CIQ("^SPX", "IQ_PRICEDATE", "10/11/2018")</f>
        <v>#NAME?</v>
      </c>
      <c r="AC1211" s="16">
        <v>2728.3662914993001</v>
      </c>
    </row>
    <row r="1212" spans="26:29" x14ac:dyDescent="0.35">
      <c r="Z1212" s="4"/>
      <c r="AA1212" s="4"/>
      <c r="AB1212" s="4" t="e">
        <f ca="1">_xll.ciqfunctions.udf.CIQ("^SPX", "IQ_PRICEDATE", "10/12/2018")</f>
        <v>#NAME?</v>
      </c>
      <c r="AC1212" s="16">
        <v>2767.1260181809998</v>
      </c>
    </row>
    <row r="1213" spans="26:29" x14ac:dyDescent="0.35">
      <c r="Z1213" s="4"/>
      <c r="AA1213" s="4"/>
      <c r="AB1213" s="4" t="e">
        <f ca="1">_xll.ciqfunctions.udf.CIQ("^SPX", "IQ_PRICEDATE", "10/15/2018")</f>
        <v>#NAME?</v>
      </c>
      <c r="AC1213" s="16">
        <v>2750.7860409097998</v>
      </c>
    </row>
    <row r="1214" spans="26:29" x14ac:dyDescent="0.35">
      <c r="AB1214" s="4" t="e">
        <f ca="1">_xll.ciqfunctions.udf.CIQ("^SPX", "IQ_PRICEDATE", "10/16/2018")</f>
        <v>#NAME?</v>
      </c>
      <c r="AC1214" s="16">
        <v>2809.9156707527</v>
      </c>
    </row>
    <row r="1215" spans="26:29" x14ac:dyDescent="0.35">
      <c r="AB1215" s="4" t="e">
        <f ca="1">_xll.ciqfunctions.udf.CIQ("^SPX", "IQ_PRICEDATE", "10/17/2018")</f>
        <v>#NAME?</v>
      </c>
      <c r="AC1215" s="16">
        <v>2809.2090822675</v>
      </c>
    </row>
  </sheetData>
  <mergeCells count="8">
    <mergeCell ref="D1:F1"/>
    <mergeCell ref="N4:Y4"/>
    <mergeCell ref="N5:O5"/>
    <mergeCell ref="P5:Q5"/>
    <mergeCell ref="R5:S5"/>
    <mergeCell ref="T5:U5"/>
    <mergeCell ref="V5:W5"/>
    <mergeCell ref="X5:Y5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Macro_Verti1">
                <anchor moveWithCells="1" sizeWithCells="1">
                  <from>
                    <xdr:col>4</xdr:col>
                    <xdr:colOff>400050</xdr:colOff>
                    <xdr:row>2</xdr:row>
                    <xdr:rowOff>76200</xdr:rowOff>
                  </from>
                  <to>
                    <xdr:col>5</xdr:col>
                    <xdr:colOff>279400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C1215"/>
  <sheetViews>
    <sheetView tabSelected="1" topLeftCell="A10" zoomScale="90" zoomScaleNormal="90" workbookViewId="0">
      <selection activeCell="A11" sqref="A11"/>
    </sheetView>
  </sheetViews>
  <sheetFormatPr defaultRowHeight="14.5" x14ac:dyDescent="0.35"/>
  <cols>
    <col min="1" max="1" width="26.54296875" bestFit="1" customWidth="1"/>
    <col min="2" max="2" width="15.54296875" bestFit="1" customWidth="1"/>
    <col min="3" max="3" width="23.1796875" bestFit="1" customWidth="1"/>
    <col min="4" max="4" width="14.7265625" bestFit="1" customWidth="1"/>
    <col min="5" max="5" width="23.7265625" bestFit="1" customWidth="1"/>
    <col min="6" max="6" width="22.26953125" customWidth="1"/>
    <col min="7" max="7" width="19.453125" customWidth="1"/>
    <col min="8" max="8" width="21.1796875" bestFit="1" customWidth="1"/>
    <col min="9" max="9" width="23.453125" bestFit="1" customWidth="1"/>
    <col min="10" max="10" width="19.81640625" bestFit="1" customWidth="1"/>
    <col min="11" max="11" width="14.453125" bestFit="1" customWidth="1"/>
    <col min="12" max="12" width="20.26953125" bestFit="1" customWidth="1"/>
    <col min="13" max="13" width="20.453125" bestFit="1" customWidth="1"/>
    <col min="14" max="17" width="13.453125" customWidth="1"/>
    <col min="18" max="18" width="10.453125" bestFit="1" customWidth="1"/>
    <col min="19" max="25" width="13.453125" customWidth="1"/>
    <col min="28" max="28" width="11.54296875" bestFit="1" customWidth="1"/>
    <col min="29" max="29" width="11.81640625" bestFit="1" customWidth="1"/>
  </cols>
  <sheetData>
    <row r="1" spans="1:29" ht="23.5" x14ac:dyDescent="0.55000000000000004">
      <c r="A1" t="s">
        <v>0</v>
      </c>
      <c r="B1" s="1" t="s">
        <v>1</v>
      </c>
      <c r="D1" s="21" t="e">
        <f ca="1">IF($B$1="","",_xll.ciqfunctions.udf.CIQ($B$1,"iq_company_name"))</f>
        <v>#NAME?</v>
      </c>
      <c r="E1" s="21"/>
      <c r="F1" s="21"/>
    </row>
    <row r="2" spans="1:29" x14ac:dyDescent="0.35">
      <c r="A2" t="s">
        <v>3</v>
      </c>
      <c r="B2" s="1" t="s">
        <v>4</v>
      </c>
    </row>
    <row r="3" spans="1:29" x14ac:dyDescent="0.35">
      <c r="A3" t="s">
        <v>2</v>
      </c>
      <c r="B3" s="13" t="e">
        <f ca="1">_xll.ciqfunctions.udf.CIQGETDATE(IQ_TODAY)</f>
        <v>#NAME?</v>
      </c>
      <c r="AB3" s="12"/>
      <c r="AC3" s="13"/>
    </row>
    <row r="4" spans="1:29" x14ac:dyDescent="0.35">
      <c r="A4" t="s">
        <v>1715</v>
      </c>
      <c r="B4" s="13">
        <v>41639</v>
      </c>
      <c r="G4" s="11">
        <f>IQ_LTM</f>
        <v>2000</v>
      </c>
      <c r="H4" s="11">
        <f>IQ_NTM</f>
        <v>6000</v>
      </c>
      <c r="N4" s="22" t="s">
        <v>1712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AB4" s="12"/>
    </row>
    <row r="5" spans="1:29" ht="15.5" x14ac:dyDescent="0.35">
      <c r="M5" t="s">
        <v>523</v>
      </c>
      <c r="N5" s="23">
        <v>43388</v>
      </c>
      <c r="O5" s="24"/>
      <c r="P5" s="23">
        <v>43100</v>
      </c>
      <c r="Q5" s="24"/>
      <c r="R5" s="23">
        <v>42735</v>
      </c>
      <c r="S5" s="24"/>
      <c r="T5" s="23">
        <v>42369</v>
      </c>
      <c r="U5" s="24"/>
      <c r="V5" s="23">
        <v>42004</v>
      </c>
      <c r="W5" s="24"/>
      <c r="X5" s="23">
        <v>42004</v>
      </c>
      <c r="Y5" s="24"/>
      <c r="AB5" s="20" t="e">
        <f ca="1">D1&amp;" Values"</f>
        <v>#NAME?</v>
      </c>
    </row>
    <row r="6" spans="1:29" ht="43.5" x14ac:dyDescent="0.35">
      <c r="A6" s="5" t="e">
        <f ca="1">_xll.ciqfunctions.udf.CIQRANGE($B$1,"IQ_CONSTITUENTS",1,,,,,,"Constituents")</f>
        <v>#NAME?</v>
      </c>
      <c r="B6" s="5" t="s">
        <v>5</v>
      </c>
      <c r="C6" s="5" t="s">
        <v>6</v>
      </c>
      <c r="D6" s="5" t="s">
        <v>7</v>
      </c>
      <c r="E6" s="5" t="s">
        <v>8</v>
      </c>
      <c r="F6" s="5" t="s">
        <v>9</v>
      </c>
      <c r="G6" s="6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18" t="s">
        <v>1713</v>
      </c>
      <c r="O6" s="18" t="s">
        <v>1714</v>
      </c>
      <c r="P6" s="18" t="s">
        <v>1713</v>
      </c>
      <c r="Q6" s="18" t="s">
        <v>1714</v>
      </c>
      <c r="R6" s="18" t="s">
        <v>1713</v>
      </c>
      <c r="S6" s="18" t="s">
        <v>1714</v>
      </c>
      <c r="T6" s="18" t="s">
        <v>1713</v>
      </c>
      <c r="U6" s="18" t="s">
        <v>1714</v>
      </c>
      <c r="V6" s="18" t="s">
        <v>1713</v>
      </c>
      <c r="W6" s="18" t="s">
        <v>1714</v>
      </c>
      <c r="X6" s="18" t="s">
        <v>1713</v>
      </c>
      <c r="Y6" s="18" t="s">
        <v>1714</v>
      </c>
      <c r="Z6" s="7"/>
      <c r="AA6" s="8"/>
      <c r="AB6" s="9" t="e">
        <f ca="1">_xll.ciqfunctions.udf.CIQRANGE($B$1,"IQ_PRICEDATE",$B$4,$B$3,,,,,"Date")</f>
        <v>#NAME?</v>
      </c>
      <c r="AC6" s="7" t="s">
        <v>522</v>
      </c>
    </row>
    <row r="7" spans="1:29" x14ac:dyDescent="0.35">
      <c r="A7" s="2" t="s">
        <v>17</v>
      </c>
      <c r="B7" s="4" t="e">
        <f ca="1">IF($A7="","",_xll.ciqfunctions.udf.CIQ($A7,"IQ_COMPANY_NAME"))</f>
        <v>#NAME?</v>
      </c>
      <c r="C7" s="4" t="e">
        <f ca="1">IF($A7="","",_xll.ciqfunctions.udf.CIQ($A7,"IQ_INDUSTRY_SECTOR"))</f>
        <v>#NAME?</v>
      </c>
      <c r="D7" s="4" t="e">
        <f ca="1">IF($A7="","",_xll.ciqfunctions.udf.CIQ($A7,"IQ_INDUSTRY_GROUP"))</f>
        <v>#NAME?</v>
      </c>
      <c r="E7" s="4" t="e">
        <f ca="1">IF($A7="","",_xll.ciqfunctions.udf.CIQ($A7,"IQ_INDUSTRY"))</f>
        <v>#NAME?</v>
      </c>
      <c r="F7" s="4" t="e">
        <f ca="1">IF($A7="","",_xll.ciqfunctions.udf.CIQ($A7,"IQ_PRIMARY_INDUSTRY"))</f>
        <v>#NAME?</v>
      </c>
      <c r="G7" s="14" t="e">
        <f ca="1">IF($A7="","",_xll.ciqfunctions.udf.CIQ($A7,"IQ_CLOSEPRICE_ADJ",$B$3,$B$2))</f>
        <v>#NAME?</v>
      </c>
      <c r="H7" s="10" t="e">
        <f ca="1">IF($A7="","",_xll.ciqfunctions.udf.CIQ($A7,"IQ_TEV_EBITDA",$G$4,$B$3))</f>
        <v>#NAME?</v>
      </c>
      <c r="I7" s="10" t="e">
        <f ca="1">IF($A7="","",_xll.ciqfunctions.udf.CIQ($A7,"IQ_PE_EXCL",$G$4,$B$3))</f>
        <v>#NAME?</v>
      </c>
      <c r="J7" s="10" t="e">
        <f ca="1">IF($A7="","",_xll.ciqfunctions.udf.CIQ($A7,"IQ_PTBV",$G$4,$B$3))</f>
        <v>#NAME?</v>
      </c>
      <c r="K7" s="15" t="str">
        <f ca="1">IF($A7="","",IF(ISERROR(_xll.ciqfunctions.udf.CIQ($A7,"IQ_DIVIDEND_YIELD",$B$3)/100),"NA",_xll.ciqfunctions.udf.CIQ($A7,"IQ_DIVIDEND_YIELD",$B$3)/100))</f>
        <v>NA</v>
      </c>
      <c r="L7" s="17" t="e">
        <f ca="1">IF($A7="","",_xll.ciqfunctions.udf.CIQ($A7,"IQ_MARKETCAP",$B$3,$B$2))</f>
        <v>#NAME?</v>
      </c>
      <c r="M7" s="4" t="e">
        <f ca="1">IF($A7="","",_xll.ciqfunctions.udf.CIQ($A7,"IQ_COMPANY_ADDRESS"))</f>
        <v>#NAME?</v>
      </c>
      <c r="N7" s="19" t="e">
        <f ca="1">IF($A7="","",_xll.ciqfunctions.udf.CIQ($A7,"IQ_DILUT_EPS_EXCL",$G$4,$N$5,,,$B$2))</f>
        <v>#NAME?</v>
      </c>
      <c r="O7" s="19" t="e">
        <f ca="1">IF($A7="","",_xll.ciqfunctions.udf.CIQ($A7,"IQ_EPS_EST",$H$4,$N$5,,,$B$2))</f>
        <v>#NAME?</v>
      </c>
      <c r="P7" s="19" t="e">
        <f ca="1">IF($A7="","",_xll.ciqfunctions.udf.CIQ($A7,"IQ_DILUT_EPS_EXCL",G$4,$P$5,,,$B$2))</f>
        <v>#NAME?</v>
      </c>
      <c r="Q7" s="19" t="e">
        <f ca="1">IF($A7="","",_xll.ciqfunctions.udf.CIQ($A7,"IQ_EPS_EST",H$4,$P$5,,,$B$2))</f>
        <v>#NAME?</v>
      </c>
      <c r="R7" s="19" t="e">
        <f ca="1">IF($A7="","",_xll.ciqfunctions.udf.CIQ($A7,"IQ_DILUT_EPS_EXCL",G$4,$R$5,,,$B$2))</f>
        <v>#NAME?</v>
      </c>
      <c r="S7" s="19" t="e">
        <f ca="1">IF($A7="","",_xll.ciqfunctions.udf.CIQ($A7,"IQ_EPS_EST",H$4,$R$5,,,$B$2))</f>
        <v>#NAME?</v>
      </c>
      <c r="T7" s="19" t="e">
        <f ca="1">IF($A7="","",_xll.ciqfunctions.udf.CIQ($A7,"IQ_DILUT_EPS_EXCL",$G$4,$R$5,,,$B$2))</f>
        <v>#NAME?</v>
      </c>
      <c r="U7" s="19" t="e">
        <f ca="1">IF($A7="","",_xll.ciqfunctions.udf.CIQ($A7,"IQ_EPS_EST",H$4,$T$5,,,$B$2))</f>
        <v>#NAME?</v>
      </c>
      <c r="V7" s="19" t="e">
        <f ca="1">IF($A7="","",_xll.ciqfunctions.udf.CIQ($A7,"IQ_DILUT_EPS_EXCL",G$4,$V$5,,,$B$2))</f>
        <v>#NAME?</v>
      </c>
      <c r="W7" s="19" t="e">
        <f ca="1">IF($A7="","",_xll.ciqfunctions.udf.CIQ($A7,"IQ_EPS_EST",H$4,$V$5,,,$B$2))</f>
        <v>#NAME?</v>
      </c>
      <c r="X7" s="19" t="e">
        <f ca="1">IF($A7="","",_xll.ciqfunctions.udf.CIQ($A7,"IQ_DILUT_EPS_EXCL",G$4,$X$5,,,$B$2))</f>
        <v>#NAME?</v>
      </c>
      <c r="Y7" s="19" t="e">
        <f ca="1">IF($A7="","",_xll.ciqfunctions.udf.CIQ($A7,"IQ_EPS_EST",H$4,$X$5,,,$B$2))</f>
        <v>#NAME?</v>
      </c>
      <c r="Z7" s="3"/>
      <c r="AA7" s="3"/>
      <c r="AB7" s="4" t="e">
        <f ca="1">_xll.ciqfunctions.udf.CIQ("^SPX", "IQ_PRICEDATE", "12/31/2013")</f>
        <v>#NAME?</v>
      </c>
      <c r="AC7" s="16" t="e">
        <f ca="1">IF($AB7="","",_xll.ciqfunctions.udf.CIQ($B$1,"IQ_LASTSALEPRICE",$AB7))</f>
        <v>#NAME?</v>
      </c>
    </row>
    <row r="8" spans="1:29" x14ac:dyDescent="0.35">
      <c r="A8" s="2" t="s">
        <v>18</v>
      </c>
      <c r="B8" s="4" t="s">
        <v>524</v>
      </c>
      <c r="C8" s="4" t="s">
        <v>525</v>
      </c>
      <c r="D8" s="4" t="s">
        <v>526</v>
      </c>
      <c r="E8" s="4" t="s">
        <v>527</v>
      </c>
      <c r="F8" s="4" t="s">
        <v>527</v>
      </c>
      <c r="G8" s="14">
        <v>47.62</v>
      </c>
      <c r="H8" s="10">
        <v>12.431886</v>
      </c>
      <c r="I8" s="10">
        <v>25.099882000000001</v>
      </c>
      <c r="J8" s="10">
        <v>8.8809430000000003</v>
      </c>
      <c r="K8" s="15">
        <v>1.8479000000000002E-2</v>
      </c>
      <c r="L8" s="17">
        <v>8124.2858630000001</v>
      </c>
      <c r="M8" s="4" t="s">
        <v>528</v>
      </c>
      <c r="N8" s="19">
        <v>1.8972199999999999</v>
      </c>
      <c r="O8" s="19">
        <v>2.77</v>
      </c>
      <c r="P8" s="19">
        <v>1.699999</v>
      </c>
      <c r="Q8" s="19">
        <v>2.3384999999999998</v>
      </c>
      <c r="R8" s="19">
        <v>1.85</v>
      </c>
      <c r="S8" s="19">
        <v>2.0019999999999998</v>
      </c>
      <c r="T8" s="19">
        <v>1.85</v>
      </c>
      <c r="U8" s="19">
        <v>1.7150000000000001</v>
      </c>
      <c r="V8" s="19">
        <v>1.1399999999999999</v>
      </c>
      <c r="W8" s="19">
        <v>1.3201000000000001</v>
      </c>
      <c r="X8" s="19">
        <v>1.1399999999999999</v>
      </c>
      <c r="Y8" s="19">
        <v>1.3201000000000001</v>
      </c>
      <c r="Z8" s="4"/>
      <c r="AA8" s="4"/>
      <c r="AB8" s="4" t="e">
        <f ca="1">_xll.ciqfunctions.udf.CIQ("^SPX", "IQ_PRICEDATE", "1/2/2014")</f>
        <v>#NAME?</v>
      </c>
      <c r="AC8" s="16">
        <v>1831.9847069969001</v>
      </c>
    </row>
    <row r="9" spans="1:29" x14ac:dyDescent="0.35">
      <c r="A9" s="2" t="s">
        <v>19</v>
      </c>
      <c r="B9" s="4" t="s">
        <v>529</v>
      </c>
      <c r="C9" s="4" t="s">
        <v>530</v>
      </c>
      <c r="D9" s="4" t="s">
        <v>531</v>
      </c>
      <c r="E9" s="4" t="s">
        <v>532</v>
      </c>
      <c r="F9" s="4" t="s">
        <v>533</v>
      </c>
      <c r="G9" s="14">
        <v>70.23</v>
      </c>
      <c r="H9" s="10">
        <v>20.619713000000001</v>
      </c>
      <c r="I9" s="10">
        <v>151.43086299999999</v>
      </c>
      <c r="J9" s="10" t="s">
        <v>534</v>
      </c>
      <c r="K9" s="15">
        <v>1.5946999999999999E-2</v>
      </c>
      <c r="L9" s="17">
        <v>123205.84331500001</v>
      </c>
      <c r="M9" s="4" t="s">
        <v>535</v>
      </c>
      <c r="N9" s="19">
        <v>0.45742100000000002</v>
      </c>
      <c r="O9" s="19">
        <v>3.0392999999999999</v>
      </c>
      <c r="P9" s="19">
        <v>0.19770099999999999</v>
      </c>
      <c r="Q9" s="19">
        <v>2.7597</v>
      </c>
      <c r="R9" s="19">
        <v>0.71</v>
      </c>
      <c r="S9" s="19">
        <v>2.3942999999999999</v>
      </c>
      <c r="T9" s="19">
        <v>0.71</v>
      </c>
      <c r="U9" s="19">
        <v>2.2970000000000002</v>
      </c>
      <c r="V9" s="19">
        <v>1.1200000000000001</v>
      </c>
      <c r="W9" s="19">
        <v>2.2957000000000001</v>
      </c>
      <c r="X9" s="19">
        <v>1.1200000000000001</v>
      </c>
      <c r="Y9" s="19">
        <v>2.2957000000000001</v>
      </c>
      <c r="Z9" s="4"/>
      <c r="AA9" s="4"/>
      <c r="AB9" s="4" t="e">
        <f ca="1">_xll.ciqfunctions.udf.CIQ("^SPX", "IQ_PRICEDATE", "1/3/2014")</f>
        <v>#NAME?</v>
      </c>
      <c r="AC9" s="16">
        <v>1831.3665650882001</v>
      </c>
    </row>
    <row r="10" spans="1:29" x14ac:dyDescent="0.35">
      <c r="A10" s="2" t="s">
        <v>20</v>
      </c>
      <c r="B10" s="4" t="s">
        <v>536</v>
      </c>
      <c r="C10" s="4" t="s">
        <v>530</v>
      </c>
      <c r="D10" s="4" t="s">
        <v>537</v>
      </c>
      <c r="E10" s="4" t="s">
        <v>538</v>
      </c>
      <c r="F10" s="4" t="s">
        <v>538</v>
      </c>
      <c r="G10" s="14">
        <v>92.27</v>
      </c>
      <c r="H10" s="10">
        <v>13.411451</v>
      </c>
      <c r="I10" s="10">
        <v>22.903839999999999</v>
      </c>
      <c r="J10" s="10" t="s">
        <v>534</v>
      </c>
      <c r="K10" s="15">
        <v>4.1616E-2</v>
      </c>
      <c r="L10" s="17">
        <v>139721.94184399999</v>
      </c>
      <c r="M10" s="4" t="s">
        <v>539</v>
      </c>
      <c r="N10" s="19">
        <v>4.0285820000000001</v>
      </c>
      <c r="O10" s="19">
        <v>8.2057000000000002</v>
      </c>
      <c r="P10" s="19">
        <v>3.3</v>
      </c>
      <c r="Q10" s="19">
        <v>6.2378999999999998</v>
      </c>
      <c r="R10" s="19">
        <v>3.63</v>
      </c>
      <c r="S10" s="19">
        <v>5.2127999999999997</v>
      </c>
      <c r="T10" s="19">
        <v>3.63</v>
      </c>
      <c r="U10" s="19">
        <v>4.7849000000000004</v>
      </c>
      <c r="V10" s="19">
        <v>1.1000000000000001</v>
      </c>
      <c r="W10" s="19">
        <v>3.9489000000000001</v>
      </c>
      <c r="X10" s="19">
        <v>1.1000000000000001</v>
      </c>
      <c r="Y10" s="19">
        <v>3.9489000000000001</v>
      </c>
      <c r="Z10" s="4"/>
      <c r="AA10" s="4"/>
      <c r="AB10" s="4" t="e">
        <f ca="1">_xll.ciqfunctions.udf.CIQ("^SPX", "IQ_PRICEDATE", "1/6/2014")</f>
        <v>#NAME?</v>
      </c>
      <c r="AC10" s="16">
        <v>1826.7671905136999</v>
      </c>
    </row>
    <row r="11" spans="1:29" x14ac:dyDescent="0.35">
      <c r="A11" s="2" t="s">
        <v>21</v>
      </c>
      <c r="B11" s="4" t="s">
        <v>540</v>
      </c>
      <c r="C11" s="4" t="s">
        <v>530</v>
      </c>
      <c r="D11" s="4" t="s">
        <v>531</v>
      </c>
      <c r="E11" s="4" t="s">
        <v>532</v>
      </c>
      <c r="F11" s="4" t="s">
        <v>533</v>
      </c>
      <c r="G11" s="14">
        <v>389.79</v>
      </c>
      <c r="H11" s="10">
        <v>93.505396000000005</v>
      </c>
      <c r="I11" s="10">
        <v>108.669015</v>
      </c>
      <c r="J11" s="10">
        <v>25.372848999999999</v>
      </c>
      <c r="K11" s="15">
        <v>0</v>
      </c>
      <c r="L11" s="17">
        <v>17492.668195999999</v>
      </c>
      <c r="M11" s="4" t="s">
        <v>541</v>
      </c>
      <c r="N11" s="19">
        <v>3.5869469999999999</v>
      </c>
      <c r="O11" s="19">
        <v>3.7967</v>
      </c>
      <c r="P11" s="19">
        <v>1.9928250000000001</v>
      </c>
      <c r="Q11" s="19">
        <v>2.3254999999999999</v>
      </c>
      <c r="R11" s="19">
        <v>1.069429</v>
      </c>
      <c r="S11" s="19">
        <v>1.5048999999999999</v>
      </c>
      <c r="T11" s="19">
        <v>1.069429</v>
      </c>
      <c r="U11" s="19">
        <v>0.83340000000000003</v>
      </c>
      <c r="V11" s="19">
        <v>0.43869999999999998</v>
      </c>
      <c r="W11" s="19">
        <v>0.27</v>
      </c>
      <c r="X11" s="19">
        <v>0.43869999999999998</v>
      </c>
      <c r="Y11" s="19">
        <v>0.27</v>
      </c>
      <c r="Z11" s="4"/>
      <c r="AA11" s="4"/>
      <c r="AB11" s="4" t="e">
        <f ca="1">_xll.ciqfunctions.udf.CIQ("^SPX", "IQ_PRICEDATE", "1/7/2014")</f>
        <v>#NAME?</v>
      </c>
      <c r="AC11" s="16">
        <v>1837.8771502604</v>
      </c>
    </row>
    <row r="12" spans="1:29" x14ac:dyDescent="0.35">
      <c r="A12" s="2" t="s">
        <v>22</v>
      </c>
      <c r="B12" s="4" t="s">
        <v>542</v>
      </c>
      <c r="C12" s="4" t="s">
        <v>543</v>
      </c>
      <c r="D12" s="4" t="s">
        <v>544</v>
      </c>
      <c r="E12" s="4" t="s">
        <v>545</v>
      </c>
      <c r="F12" s="4" t="s">
        <v>546</v>
      </c>
      <c r="G12" s="14">
        <v>158.9</v>
      </c>
      <c r="H12" s="10">
        <v>14.352510000000001</v>
      </c>
      <c r="I12" s="10">
        <v>25.060727</v>
      </c>
      <c r="J12" s="10">
        <v>20.432095</v>
      </c>
      <c r="K12" s="15">
        <v>1.8376E-2</v>
      </c>
      <c r="L12" s="17">
        <v>101814.86975300001</v>
      </c>
      <c r="M12" s="4" t="s">
        <v>547</v>
      </c>
      <c r="N12" s="19">
        <v>6.340598</v>
      </c>
      <c r="O12" s="19">
        <v>7.2157799999999996</v>
      </c>
      <c r="P12" s="19">
        <v>5.6416959999999996</v>
      </c>
      <c r="Q12" s="19">
        <v>6.7298</v>
      </c>
      <c r="R12" s="19">
        <v>6.7577980000000002</v>
      </c>
      <c r="S12" s="19">
        <v>5.9042000000000003</v>
      </c>
      <c r="T12" s="19">
        <v>6.7577980000000002</v>
      </c>
      <c r="U12" s="19">
        <v>5.3948</v>
      </c>
      <c r="V12" s="19">
        <v>4.6630919999999998</v>
      </c>
      <c r="W12" s="19">
        <v>4.8414000000000001</v>
      </c>
      <c r="X12" s="19">
        <v>4.6630919999999998</v>
      </c>
      <c r="Y12" s="19">
        <v>4.8414000000000001</v>
      </c>
      <c r="Z12" s="4"/>
      <c r="AA12" s="4"/>
      <c r="AB12" s="4" t="e">
        <f ca="1">_xll.ciqfunctions.udf.CIQ("^SPX", "IQ_PRICEDATE", "1/8/2014")</f>
        <v>#NAME?</v>
      </c>
      <c r="AC12" s="16">
        <v>1837.4946026504999</v>
      </c>
    </row>
    <row r="13" spans="1:29" x14ac:dyDescent="0.35">
      <c r="A13" s="2" t="s">
        <v>23</v>
      </c>
      <c r="B13" s="4" t="s">
        <v>548</v>
      </c>
      <c r="C13" s="4" t="s">
        <v>549</v>
      </c>
      <c r="D13" s="4" t="s">
        <v>550</v>
      </c>
      <c r="E13" s="4" t="s">
        <v>551</v>
      </c>
      <c r="F13" s="4" t="s">
        <v>552</v>
      </c>
      <c r="G13" s="14">
        <v>78.3</v>
      </c>
      <c r="H13" s="10">
        <v>26.368684999999999</v>
      </c>
      <c r="I13" s="10">
        <v>119.25867700000001</v>
      </c>
      <c r="J13" s="10" t="s">
        <v>534</v>
      </c>
      <c r="K13" s="15">
        <v>4.3419999999999995E-3</v>
      </c>
      <c r="L13" s="17">
        <v>59696.592362000003</v>
      </c>
      <c r="M13" s="4" t="s">
        <v>553</v>
      </c>
      <c r="N13" s="19">
        <v>0.65655600000000003</v>
      </c>
      <c r="O13" s="19">
        <v>2.8862999999999999</v>
      </c>
      <c r="P13" s="19">
        <v>0.36</v>
      </c>
      <c r="Q13" s="19">
        <v>2.3892000000000002</v>
      </c>
      <c r="R13" s="19">
        <v>1.28</v>
      </c>
      <c r="S13" s="19">
        <v>1.9939</v>
      </c>
      <c r="T13" s="19">
        <v>1.28</v>
      </c>
      <c r="U13" s="19">
        <v>1.4822</v>
      </c>
      <c r="V13" s="19">
        <v>1.1299999999999999</v>
      </c>
      <c r="W13" s="19">
        <v>1.3381000000000001</v>
      </c>
      <c r="X13" s="19">
        <v>1.1299999999999999</v>
      </c>
      <c r="Y13" s="19">
        <v>1.3381000000000001</v>
      </c>
      <c r="Z13" s="4"/>
      <c r="AA13" s="4"/>
      <c r="AB13" s="4" t="e">
        <f ca="1">_xll.ciqfunctions.udf.CIQ("^SPX", "IQ_PRICEDATE", "1/9/2014")</f>
        <v>#NAME?</v>
      </c>
      <c r="AC13" s="16">
        <v>1838.1253009133</v>
      </c>
    </row>
    <row r="14" spans="1:29" x14ac:dyDescent="0.35">
      <c r="A14" s="2" t="s">
        <v>24</v>
      </c>
      <c r="B14" s="4" t="s">
        <v>554</v>
      </c>
      <c r="C14" s="4" t="s">
        <v>543</v>
      </c>
      <c r="D14" s="4" t="s">
        <v>544</v>
      </c>
      <c r="E14" s="4" t="s">
        <v>555</v>
      </c>
      <c r="F14" s="4" t="s">
        <v>556</v>
      </c>
      <c r="G14" s="14">
        <v>258.91000000000003</v>
      </c>
      <c r="H14" s="10">
        <v>39.908220999999998</v>
      </c>
      <c r="I14" s="10">
        <v>53.507344000000003</v>
      </c>
      <c r="J14" s="10">
        <v>119.940592</v>
      </c>
      <c r="K14" s="15">
        <v>0</v>
      </c>
      <c r="L14" s="17">
        <v>126382.651476</v>
      </c>
      <c r="M14" s="4" t="s">
        <v>557</v>
      </c>
      <c r="N14" s="19">
        <v>4.838775</v>
      </c>
      <c r="O14" s="19">
        <v>7.5877999999999997</v>
      </c>
      <c r="P14" s="19">
        <v>3.38</v>
      </c>
      <c r="Q14" s="19">
        <v>5.5664100000000003</v>
      </c>
      <c r="R14" s="19">
        <v>2.3199999999999998</v>
      </c>
      <c r="S14" s="19">
        <v>3.8252299999999999</v>
      </c>
      <c r="T14" s="19">
        <v>2.3199999999999998</v>
      </c>
      <c r="U14" s="19">
        <v>2.7635700000000001</v>
      </c>
      <c r="V14" s="19">
        <v>0.53</v>
      </c>
      <c r="W14" s="19">
        <v>2.1261000000000001</v>
      </c>
      <c r="X14" s="19">
        <v>0.53</v>
      </c>
      <c r="Y14" s="19">
        <v>2.1261000000000001</v>
      </c>
      <c r="Z14" s="4"/>
      <c r="AA14" s="4"/>
      <c r="AB14" s="4" t="e">
        <f ca="1">_xll.ciqfunctions.udf.CIQ("^SPX", "IQ_PRICEDATE", "1/10/2014")</f>
        <v>#NAME?</v>
      </c>
      <c r="AC14" s="16">
        <v>1842.3721870462</v>
      </c>
    </row>
    <row r="15" spans="1:29" x14ac:dyDescent="0.35">
      <c r="A15" s="2" t="s">
        <v>25</v>
      </c>
      <c r="B15" s="4" t="s">
        <v>558</v>
      </c>
      <c r="C15" s="4" t="s">
        <v>559</v>
      </c>
      <c r="D15" s="4" t="s">
        <v>560</v>
      </c>
      <c r="E15" s="4" t="s">
        <v>561</v>
      </c>
      <c r="F15" s="4" t="s">
        <v>562</v>
      </c>
      <c r="G15" s="14">
        <v>159.58000000000001</v>
      </c>
      <c r="H15" s="10">
        <v>12.834377999999999</v>
      </c>
      <c r="I15" s="10">
        <v>22.104013999999999</v>
      </c>
      <c r="J15" s="10">
        <v>5.6433559999999998</v>
      </c>
      <c r="K15" s="15">
        <v>1.503E-3</v>
      </c>
      <c r="L15" s="17">
        <v>11821.686400000001</v>
      </c>
      <c r="M15" s="4" t="s">
        <v>563</v>
      </c>
      <c r="N15" s="19">
        <v>7.2195029999999996</v>
      </c>
      <c r="O15" s="19">
        <v>7.5393999999999997</v>
      </c>
      <c r="P15" s="19">
        <v>6.42</v>
      </c>
      <c r="Q15" s="19">
        <v>5.6608000000000001</v>
      </c>
      <c r="R15" s="19">
        <v>6.2</v>
      </c>
      <c r="S15" s="19">
        <v>7.5974000000000004</v>
      </c>
      <c r="T15" s="19">
        <v>6.2</v>
      </c>
      <c r="U15" s="19">
        <v>8.8721999999999994</v>
      </c>
      <c r="V15" s="19">
        <v>6.229724</v>
      </c>
      <c r="W15" s="19">
        <v>8.5260999999999996</v>
      </c>
      <c r="X15" s="19">
        <v>6.229724</v>
      </c>
      <c r="Y15" s="19">
        <v>8.5260999999999996</v>
      </c>
      <c r="Z15" s="4"/>
      <c r="AA15" s="4"/>
      <c r="AB15" s="4" t="e">
        <f ca="1">_xll.ciqfunctions.udf.CIQ("^SPX", "IQ_PRICEDATE", "1/13/2014")</f>
        <v>#NAME?</v>
      </c>
      <c r="AC15" s="16">
        <v>1819.2026637956001</v>
      </c>
    </row>
    <row r="16" spans="1:29" x14ac:dyDescent="0.35">
      <c r="A16" s="2" t="s">
        <v>26</v>
      </c>
      <c r="B16" s="4" t="s">
        <v>564</v>
      </c>
      <c r="C16" s="4" t="s">
        <v>543</v>
      </c>
      <c r="D16" s="4" t="s">
        <v>565</v>
      </c>
      <c r="E16" s="4" t="s">
        <v>565</v>
      </c>
      <c r="F16" s="4" t="s">
        <v>566</v>
      </c>
      <c r="G16" s="14">
        <v>27.3</v>
      </c>
      <c r="H16" s="10">
        <v>43.307718999999999</v>
      </c>
      <c r="I16" s="10">
        <v>94.396381000000005</v>
      </c>
      <c r="J16" s="10">
        <v>89.320476999999997</v>
      </c>
      <c r="K16" s="15">
        <v>0</v>
      </c>
      <c r="L16" s="17">
        <v>26614.016766000001</v>
      </c>
      <c r="M16" s="4" t="s">
        <v>567</v>
      </c>
      <c r="N16" s="19">
        <v>0.28920600000000002</v>
      </c>
      <c r="O16" s="19">
        <v>0.51690000000000003</v>
      </c>
      <c r="P16" s="19">
        <v>0.04</v>
      </c>
      <c r="Q16" s="19">
        <v>0.28760000000000002</v>
      </c>
      <c r="R16" s="19">
        <v>-0.6</v>
      </c>
      <c r="S16" s="19">
        <v>6.4000000000000003E-3</v>
      </c>
      <c r="T16" s="19">
        <v>-0.6</v>
      </c>
      <c r="U16" s="19">
        <v>-0.36670000000000003</v>
      </c>
      <c r="V16" s="19">
        <v>-0.53</v>
      </c>
      <c r="W16" s="19">
        <v>6.59E-2</v>
      </c>
      <c r="X16" s="19">
        <v>-0.53</v>
      </c>
      <c r="Y16" s="19">
        <v>6.59E-2</v>
      </c>
      <c r="Z16" s="4"/>
      <c r="AA16" s="4"/>
      <c r="AB16" s="4" t="e">
        <f ca="1">_xll.ciqfunctions.udf.CIQ("^SPX", "IQ_PRICEDATE", "1/14/2014")</f>
        <v>#NAME?</v>
      </c>
      <c r="AC16" s="16">
        <v>1838.8825956266001</v>
      </c>
    </row>
    <row r="17" spans="1:29" x14ac:dyDescent="0.35">
      <c r="A17" s="2" t="s">
        <v>27</v>
      </c>
      <c r="B17" s="4" t="s">
        <v>568</v>
      </c>
      <c r="C17" s="4" t="s">
        <v>530</v>
      </c>
      <c r="D17" s="4" t="s">
        <v>531</v>
      </c>
      <c r="E17" s="4" t="s">
        <v>569</v>
      </c>
      <c r="F17" s="4" t="s">
        <v>570</v>
      </c>
      <c r="G17" s="14">
        <v>201.29</v>
      </c>
      <c r="H17" s="10">
        <v>10.971513</v>
      </c>
      <c r="I17" s="10">
        <v>18.976153</v>
      </c>
      <c r="J17" s="10">
        <v>11.517362</v>
      </c>
      <c r="K17" s="15">
        <v>9.9350000000000011E-3</v>
      </c>
      <c r="L17" s="17">
        <v>65902.346000000005</v>
      </c>
      <c r="M17" s="4" t="s">
        <v>571</v>
      </c>
      <c r="N17" s="19">
        <v>10.607524</v>
      </c>
      <c r="O17" s="19">
        <v>11.4535</v>
      </c>
      <c r="P17" s="19">
        <v>5.68</v>
      </c>
      <c r="Q17" s="19">
        <v>9.3135999999999992</v>
      </c>
      <c r="R17" s="19">
        <v>6.41</v>
      </c>
      <c r="S17" s="19">
        <v>8.4269999999999996</v>
      </c>
      <c r="T17" s="19">
        <v>6.41</v>
      </c>
      <c r="U17" s="19">
        <v>7.7839999999999998</v>
      </c>
      <c r="V17" s="19">
        <v>5.68</v>
      </c>
      <c r="W17" s="19">
        <v>6.8905000000000003</v>
      </c>
      <c r="X17" s="19">
        <v>5.68</v>
      </c>
      <c r="Y17" s="19">
        <v>6.8905000000000003</v>
      </c>
      <c r="Z17" s="4"/>
      <c r="AA17" s="4"/>
      <c r="AB17" s="4" t="e">
        <f ca="1">_xll.ciqfunctions.udf.CIQ("^SPX", "IQ_PRICEDATE", "1/15/2014")</f>
        <v>#NAME?</v>
      </c>
      <c r="AC17" s="16">
        <v>1848.3784960119001</v>
      </c>
    </row>
    <row r="18" spans="1:29" x14ac:dyDescent="0.35">
      <c r="A18" s="2" t="s">
        <v>28</v>
      </c>
      <c r="B18" s="4" t="s">
        <v>572</v>
      </c>
      <c r="C18" s="4" t="s">
        <v>573</v>
      </c>
      <c r="D18" s="4" t="s">
        <v>574</v>
      </c>
      <c r="E18" s="4" t="s">
        <v>575</v>
      </c>
      <c r="F18" s="4" t="s">
        <v>576</v>
      </c>
      <c r="G18" s="14">
        <v>127.3</v>
      </c>
      <c r="H18" s="10">
        <v>8.0659589999999994</v>
      </c>
      <c r="I18" s="10">
        <v>10.055982999999999</v>
      </c>
      <c r="J18" s="10" t="s">
        <v>534</v>
      </c>
      <c r="K18" s="15">
        <v>9.4260000000000004E-3</v>
      </c>
      <c r="L18" s="17">
        <v>6801.8869800000002</v>
      </c>
      <c r="M18" s="4" t="s">
        <v>577</v>
      </c>
      <c r="N18" s="19">
        <v>12.659129999999999</v>
      </c>
      <c r="O18" s="19">
        <v>15.7136</v>
      </c>
      <c r="P18" s="19">
        <v>12.030716</v>
      </c>
      <c r="Q18" s="19">
        <v>15.8079</v>
      </c>
      <c r="R18" s="19">
        <v>8.5666659999999997</v>
      </c>
      <c r="S18" s="19">
        <v>13.959</v>
      </c>
      <c r="T18" s="19">
        <v>8.5666659999999997</v>
      </c>
      <c r="U18" s="19">
        <v>13.321099999999999</v>
      </c>
      <c r="V18" s="19">
        <v>7.6900680000000001</v>
      </c>
      <c r="W18" s="19">
        <v>12.5372</v>
      </c>
      <c r="X18" s="19">
        <v>7.6900680000000001</v>
      </c>
      <c r="Y18" s="19">
        <v>12.5372</v>
      </c>
      <c r="Z18" s="4"/>
      <c r="AA18" s="4"/>
      <c r="AB18" s="4" t="e">
        <f ca="1">_xll.ciqfunctions.udf.CIQ("^SPX", "IQ_PRICEDATE", "1/16/2014")</f>
        <v>#NAME?</v>
      </c>
      <c r="AC18" s="16">
        <v>1845.8910317350999</v>
      </c>
    </row>
    <row r="19" spans="1:29" x14ac:dyDescent="0.35">
      <c r="A19" s="2" t="s">
        <v>29</v>
      </c>
      <c r="B19" s="4" t="s">
        <v>578</v>
      </c>
      <c r="C19" s="4" t="s">
        <v>573</v>
      </c>
      <c r="D19" s="4" t="s">
        <v>579</v>
      </c>
      <c r="E19" s="4" t="s">
        <v>579</v>
      </c>
      <c r="F19" s="4" t="s">
        <v>580</v>
      </c>
      <c r="G19" s="14">
        <v>44.72</v>
      </c>
      <c r="H19" s="10">
        <v>8.5708760000000002</v>
      </c>
      <c r="I19" s="10">
        <v>7.2554119999999998</v>
      </c>
      <c r="J19" s="10">
        <v>1.4454549999999999</v>
      </c>
      <c r="K19" s="15">
        <v>2.3254999999999998E-2</v>
      </c>
      <c r="L19" s="17">
        <v>34336.027538000002</v>
      </c>
      <c r="M19" s="4" t="s">
        <v>581</v>
      </c>
      <c r="N19" s="19">
        <v>6.1636740000000003</v>
      </c>
      <c r="O19" s="19">
        <v>4.0414000000000003</v>
      </c>
      <c r="P19" s="19">
        <v>5.77</v>
      </c>
      <c r="Q19" s="19">
        <v>3.3582000000000001</v>
      </c>
      <c r="R19" s="19">
        <v>3.21</v>
      </c>
      <c r="S19" s="19">
        <v>3.2810999999999999</v>
      </c>
      <c r="T19" s="19">
        <v>3.21</v>
      </c>
      <c r="U19" s="19">
        <v>3.1200999999999999</v>
      </c>
      <c r="V19" s="19">
        <v>3.25</v>
      </c>
      <c r="W19" s="19">
        <v>3.0108000000000001</v>
      </c>
      <c r="X19" s="19">
        <v>3.25</v>
      </c>
      <c r="Y19" s="19">
        <v>3.0108000000000001</v>
      </c>
      <c r="Z19" s="4"/>
      <c r="AA19" s="4"/>
      <c r="AB19" s="4" t="e">
        <f ca="1">_xll.ciqfunctions.udf.CIQ("^SPX", "IQ_PRICEDATE", "1/17/2014")</f>
        <v>#NAME?</v>
      </c>
      <c r="AC19" s="16">
        <v>1838.6994866672001</v>
      </c>
    </row>
    <row r="20" spans="1:29" x14ac:dyDescent="0.35">
      <c r="A20" s="2" t="s">
        <v>30</v>
      </c>
      <c r="B20" s="4" t="s">
        <v>582</v>
      </c>
      <c r="C20" s="4" t="s">
        <v>530</v>
      </c>
      <c r="D20" s="4" t="s">
        <v>537</v>
      </c>
      <c r="E20" s="4" t="s">
        <v>583</v>
      </c>
      <c r="F20" s="4" t="s">
        <v>583</v>
      </c>
      <c r="G20" s="14">
        <v>67.2</v>
      </c>
      <c r="H20" s="10">
        <v>18.043894999999999</v>
      </c>
      <c r="I20" s="10">
        <v>73.628907999999996</v>
      </c>
      <c r="J20" s="10">
        <v>19.208604999999999</v>
      </c>
      <c r="K20" s="15">
        <v>8.8690000000000001E-3</v>
      </c>
      <c r="L20" s="17">
        <v>21421.313558000002</v>
      </c>
      <c r="M20" s="4" t="s">
        <v>584</v>
      </c>
      <c r="N20" s="19">
        <v>0.91268499999999997</v>
      </c>
      <c r="O20" s="19">
        <v>2.9154</v>
      </c>
      <c r="P20" s="19">
        <v>2.1</v>
      </c>
      <c r="Q20" s="19">
        <v>2.5831</v>
      </c>
      <c r="R20" s="19">
        <v>1.4</v>
      </c>
      <c r="S20" s="19">
        <v>2.1518000000000002</v>
      </c>
      <c r="T20" s="19">
        <v>1.4</v>
      </c>
      <c r="U20" s="19">
        <v>1.8944000000000001</v>
      </c>
      <c r="V20" s="19">
        <v>0.69</v>
      </c>
      <c r="W20" s="19">
        <v>1.73434</v>
      </c>
      <c r="X20" s="19">
        <v>0.69</v>
      </c>
      <c r="Y20" s="19">
        <v>1.73434</v>
      </c>
      <c r="Z20" s="4"/>
      <c r="AA20" s="4"/>
      <c r="AB20" s="4" t="e">
        <f ca="1">_xll.ciqfunctions.udf.CIQ("^SPX", "IQ_PRICEDATE", "1/21/2014")</f>
        <v>#NAME?</v>
      </c>
      <c r="AC20" s="16">
        <v>1843.8044457285</v>
      </c>
    </row>
    <row r="21" spans="1:29" x14ac:dyDescent="0.35">
      <c r="A21" s="2" t="s">
        <v>31</v>
      </c>
      <c r="B21" s="4" t="s">
        <v>585</v>
      </c>
      <c r="C21" s="4" t="s">
        <v>586</v>
      </c>
      <c r="D21" s="4" t="s">
        <v>586</v>
      </c>
      <c r="E21" s="4" t="s">
        <v>587</v>
      </c>
      <c r="F21" s="4" t="s">
        <v>588</v>
      </c>
      <c r="G21" s="14">
        <v>159.47999999999999</v>
      </c>
      <c r="H21" s="10">
        <v>12.168284</v>
      </c>
      <c r="I21" s="10">
        <v>23.810020999999999</v>
      </c>
      <c r="J21" s="10">
        <v>3.783398</v>
      </c>
      <c r="K21" s="15">
        <v>2.7589000000000002E-2</v>
      </c>
      <c r="L21" s="17">
        <v>34969.577662000003</v>
      </c>
      <c r="M21" s="4" t="s">
        <v>589</v>
      </c>
      <c r="N21" s="19">
        <v>6.6980199999999996</v>
      </c>
      <c r="O21" s="19">
        <v>7.9725000000000001</v>
      </c>
      <c r="P21" s="19">
        <v>4.708685</v>
      </c>
      <c r="Q21" s="19">
        <v>7.02379</v>
      </c>
      <c r="R21" s="19">
        <v>4.8997820000000001</v>
      </c>
      <c r="S21" s="19">
        <v>6.4468800000000002</v>
      </c>
      <c r="T21" s="19">
        <v>4.8997820000000001</v>
      </c>
      <c r="U21" s="19">
        <v>7.3868499999999999</v>
      </c>
      <c r="V21" s="19">
        <v>4.7526630000000001</v>
      </c>
      <c r="W21" s="19">
        <v>6.47464</v>
      </c>
      <c r="X21" s="19">
        <v>4.7526630000000001</v>
      </c>
      <c r="Y21" s="19">
        <v>6.47464</v>
      </c>
      <c r="Z21" s="4"/>
      <c r="AA21" s="4"/>
      <c r="AB21" s="4" t="e">
        <f ca="1">_xll.ciqfunctions.udf.CIQ("^SPX", "IQ_PRICEDATE", "1/22/2014")</f>
        <v>#NAME?</v>
      </c>
      <c r="AC21" s="16">
        <v>1844.8559052889</v>
      </c>
    </row>
    <row r="22" spans="1:29" x14ac:dyDescent="0.35">
      <c r="A22" s="2" t="s">
        <v>32</v>
      </c>
      <c r="B22" s="4" t="s">
        <v>590</v>
      </c>
      <c r="C22" s="4" t="s">
        <v>543</v>
      </c>
      <c r="D22" s="4" t="s">
        <v>544</v>
      </c>
      <c r="E22" s="4" t="s">
        <v>545</v>
      </c>
      <c r="F22" s="4" t="s">
        <v>591</v>
      </c>
      <c r="G22" s="14">
        <v>65.69</v>
      </c>
      <c r="H22" s="10">
        <v>16.105796000000002</v>
      </c>
      <c r="I22" s="10">
        <v>61.511983000000001</v>
      </c>
      <c r="J22" s="10">
        <v>6.2977559999999997</v>
      </c>
      <c r="K22" s="15">
        <v>0</v>
      </c>
      <c r="L22" s="17">
        <v>11134.759013000001</v>
      </c>
      <c r="M22" s="4" t="s">
        <v>592</v>
      </c>
      <c r="N22" s="19">
        <v>1.067922</v>
      </c>
      <c r="O22" s="19">
        <v>3.5804</v>
      </c>
      <c r="P22" s="19">
        <v>1.26</v>
      </c>
      <c r="Q22" s="19">
        <v>2.5524</v>
      </c>
      <c r="R22" s="19">
        <v>1.79</v>
      </c>
      <c r="S22" s="19">
        <v>2.7942999999999998</v>
      </c>
      <c r="T22" s="19">
        <v>1.79</v>
      </c>
      <c r="U22" s="19">
        <v>2.5880999999999998</v>
      </c>
      <c r="V22" s="19">
        <v>1.84</v>
      </c>
      <c r="W22" s="19">
        <v>2.6307</v>
      </c>
      <c r="X22" s="19">
        <v>1.84</v>
      </c>
      <c r="Y22" s="19">
        <v>2.6307</v>
      </c>
      <c r="Z22" s="4"/>
      <c r="AA22" s="4"/>
      <c r="AB22" s="4" t="e">
        <f ca="1">_xll.ciqfunctions.udf.CIQ("^SPX", "IQ_PRICEDATE", "1/23/2014")</f>
        <v>#NAME?</v>
      </c>
      <c r="AC22" s="16">
        <v>1828.4642100517999</v>
      </c>
    </row>
    <row r="23" spans="1:29" x14ac:dyDescent="0.35">
      <c r="A23" s="2" t="s">
        <v>33</v>
      </c>
      <c r="B23" s="4" t="s">
        <v>593</v>
      </c>
      <c r="C23" s="4" t="s">
        <v>525</v>
      </c>
      <c r="D23" s="4" t="s">
        <v>594</v>
      </c>
      <c r="E23" s="4" t="s">
        <v>595</v>
      </c>
      <c r="F23" s="4" t="s">
        <v>595</v>
      </c>
      <c r="G23" s="14">
        <v>64.489999999999995</v>
      </c>
      <c r="H23" s="10">
        <v>6.3517780000000004</v>
      </c>
      <c r="I23" s="10">
        <v>9.4285270000000008</v>
      </c>
      <c r="J23" s="10">
        <v>5.2272410000000002</v>
      </c>
      <c r="K23" s="15">
        <v>1.9847999999999998E-2</v>
      </c>
      <c r="L23" s="17">
        <v>7957.9370200000003</v>
      </c>
      <c r="M23" s="4" t="s">
        <v>596</v>
      </c>
      <c r="N23" s="19">
        <v>6.83988</v>
      </c>
      <c r="O23" s="19">
        <v>4.9287000000000001</v>
      </c>
      <c r="P23" s="19">
        <v>8.35</v>
      </c>
      <c r="Q23" s="19">
        <v>5.9124999999999996</v>
      </c>
      <c r="R23" s="19">
        <v>6.54</v>
      </c>
      <c r="S23" s="19">
        <v>7.1219999999999999</v>
      </c>
      <c r="T23" s="19">
        <v>6.54</v>
      </c>
      <c r="U23" s="19">
        <v>7.1466000000000003</v>
      </c>
      <c r="V23" s="19">
        <v>4.42</v>
      </c>
      <c r="W23" s="19">
        <v>5.0696000000000003</v>
      </c>
      <c r="X23" s="19">
        <v>4.42</v>
      </c>
      <c r="Y23" s="19">
        <v>5.0696000000000003</v>
      </c>
      <c r="Z23" s="4"/>
      <c r="AA23" s="4"/>
      <c r="AB23" s="4" t="e">
        <f ca="1">_xll.ciqfunctions.udf.CIQ("^SPX", "IQ_PRICEDATE", "1/24/2014")</f>
        <v>#NAME?</v>
      </c>
      <c r="AC23" s="16">
        <v>1790.2854774268999</v>
      </c>
    </row>
    <row r="24" spans="1:29" x14ac:dyDescent="0.35">
      <c r="A24" s="2" t="s">
        <v>34</v>
      </c>
      <c r="B24" s="4" t="s">
        <v>597</v>
      </c>
      <c r="C24" s="4" t="s">
        <v>586</v>
      </c>
      <c r="D24" s="4" t="s">
        <v>586</v>
      </c>
      <c r="E24" s="4" t="s">
        <v>587</v>
      </c>
      <c r="F24" s="4" t="s">
        <v>598</v>
      </c>
      <c r="G24" s="14">
        <v>96.32</v>
      </c>
      <c r="H24" s="10">
        <v>11.009551</v>
      </c>
      <c r="I24" s="10">
        <v>32.144286000000001</v>
      </c>
      <c r="J24" s="10">
        <v>6.1348890000000003</v>
      </c>
      <c r="K24" s="15">
        <v>1.3911E-2</v>
      </c>
      <c r="L24" s="17">
        <v>10445.881171999999</v>
      </c>
      <c r="M24" s="4" t="s">
        <v>599</v>
      </c>
      <c r="N24" s="19">
        <v>2.996489</v>
      </c>
      <c r="O24" s="19">
        <v>5.8300999999999998</v>
      </c>
      <c r="P24" s="19">
        <v>0.49</v>
      </c>
      <c r="Q24" s="19">
        <v>4.9772999999999996</v>
      </c>
      <c r="R24" s="19">
        <v>3.9</v>
      </c>
      <c r="S24" s="19">
        <v>3.6690999999999998</v>
      </c>
      <c r="T24" s="19">
        <v>3.9</v>
      </c>
      <c r="U24" s="19">
        <v>3.7957000000000001</v>
      </c>
      <c r="V24" s="19">
        <v>2.57</v>
      </c>
      <c r="W24" s="19">
        <v>4.4009</v>
      </c>
      <c r="X24" s="19">
        <v>2.57</v>
      </c>
      <c r="Y24" s="19">
        <v>4.4009</v>
      </c>
      <c r="Z24" s="4"/>
      <c r="AA24" s="4"/>
      <c r="AB24" s="4" t="e">
        <f ca="1">_xll.ciqfunctions.udf.CIQ("^SPX", "IQ_PRICEDATE", "1/27/2014")</f>
        <v>#NAME?</v>
      </c>
      <c r="AC24" s="16">
        <v>1781.5598990844001</v>
      </c>
    </row>
    <row r="25" spans="1:29" x14ac:dyDescent="0.35">
      <c r="A25" s="2" t="s">
        <v>35</v>
      </c>
      <c r="B25" s="4" t="s">
        <v>600</v>
      </c>
      <c r="C25" s="4" t="s">
        <v>601</v>
      </c>
      <c r="D25" s="4" t="s">
        <v>601</v>
      </c>
      <c r="E25" s="4" t="s">
        <v>602</v>
      </c>
      <c r="F25" s="4" t="s">
        <v>603</v>
      </c>
      <c r="G25" s="14">
        <v>122.57</v>
      </c>
      <c r="H25" s="10">
        <v>24.392128</v>
      </c>
      <c r="I25" s="10">
        <v>43.903275000000001</v>
      </c>
      <c r="J25" s="10">
        <v>2.0320589999999998</v>
      </c>
      <c r="K25" s="15">
        <v>3.0350000000000002E-2</v>
      </c>
      <c r="L25" s="17">
        <v>12962.680963000001</v>
      </c>
      <c r="M25" s="4" t="s">
        <v>604</v>
      </c>
      <c r="N25" s="19">
        <v>2.7918189999999998</v>
      </c>
      <c r="O25" s="19">
        <v>2.3774999999999999</v>
      </c>
      <c r="P25" s="19">
        <v>1.5799989999999999</v>
      </c>
      <c r="Q25" s="19">
        <v>1.9208000000000001</v>
      </c>
      <c r="R25" s="19">
        <v>-1.99</v>
      </c>
      <c r="S25" s="19">
        <v>1.8141</v>
      </c>
      <c r="T25" s="19">
        <v>-1.99</v>
      </c>
      <c r="U25" s="19">
        <v>1.9378</v>
      </c>
      <c r="V25" s="19">
        <v>0.98999899999999996</v>
      </c>
      <c r="W25" s="19">
        <v>1.6573</v>
      </c>
      <c r="X25" s="19">
        <v>0.98999899999999996</v>
      </c>
      <c r="Y25" s="19">
        <v>1.6573</v>
      </c>
      <c r="Z25" s="4"/>
      <c r="AA25" s="4"/>
      <c r="AB25" s="4" t="e">
        <f ca="1">_xll.ciqfunctions.udf.CIQ("^SPX", "IQ_PRICEDATE", "1/28/2014")</f>
        <v>#NAME?</v>
      </c>
      <c r="AC25" s="16">
        <v>1792.4964343403001</v>
      </c>
    </row>
    <row r="26" spans="1:29" x14ac:dyDescent="0.35">
      <c r="A26" s="2" t="s">
        <v>36</v>
      </c>
      <c r="B26" s="4" t="s">
        <v>605</v>
      </c>
      <c r="C26" s="4" t="s">
        <v>530</v>
      </c>
      <c r="D26" s="4" t="s">
        <v>537</v>
      </c>
      <c r="E26" s="4" t="s">
        <v>538</v>
      </c>
      <c r="F26" s="4" t="s">
        <v>538</v>
      </c>
      <c r="G26" s="14">
        <v>128.94</v>
      </c>
      <c r="H26" s="10">
        <v>18.010165000000001</v>
      </c>
      <c r="I26" s="10" t="s">
        <v>534</v>
      </c>
      <c r="J26" s="10" t="s">
        <v>534</v>
      </c>
      <c r="K26" s="15">
        <v>0</v>
      </c>
      <c r="L26" s="17">
        <v>28735.458543000001</v>
      </c>
      <c r="M26" s="4" t="s">
        <v>606</v>
      </c>
      <c r="N26" s="19">
        <v>-0.454295</v>
      </c>
      <c r="O26" s="19">
        <v>7.6116999999999999</v>
      </c>
      <c r="P26" s="19">
        <v>1.97</v>
      </c>
      <c r="Q26" s="19">
        <v>6.35</v>
      </c>
      <c r="R26" s="19">
        <v>1.76</v>
      </c>
      <c r="S26" s="19">
        <v>5.4255000000000004</v>
      </c>
      <c r="T26" s="19">
        <v>1.76</v>
      </c>
      <c r="U26" s="19">
        <v>4.9871999999999996</v>
      </c>
      <c r="V26" s="19">
        <v>3.26</v>
      </c>
      <c r="W26" s="19">
        <v>5.4734999999999996</v>
      </c>
      <c r="X26" s="19">
        <v>3.26</v>
      </c>
      <c r="Y26" s="19">
        <v>5.4734999999999996</v>
      </c>
      <c r="Z26" s="4"/>
      <c r="AA26" s="4"/>
      <c r="AB26" s="4" t="e">
        <f ca="1">_xll.ciqfunctions.udf.CIQ("^SPX", "IQ_PRICEDATE", "1/29/2014")</f>
        <v>#NAME?</v>
      </c>
      <c r="AC26" s="16">
        <v>1774.202749994</v>
      </c>
    </row>
    <row r="27" spans="1:29" x14ac:dyDescent="0.35">
      <c r="A27" s="2" t="s">
        <v>37</v>
      </c>
      <c r="B27" s="4" t="s">
        <v>607</v>
      </c>
      <c r="C27" s="4" t="s">
        <v>530</v>
      </c>
      <c r="D27" s="4" t="s">
        <v>531</v>
      </c>
      <c r="E27" s="4" t="s">
        <v>532</v>
      </c>
      <c r="F27" s="4" t="s">
        <v>608</v>
      </c>
      <c r="G27" s="14">
        <v>332.83</v>
      </c>
      <c r="H27" s="10">
        <v>55.485967000000002</v>
      </c>
      <c r="I27" s="10">
        <v>92.256270999999998</v>
      </c>
      <c r="J27" s="10">
        <v>23.579172</v>
      </c>
      <c r="K27" s="15">
        <v>0</v>
      </c>
      <c r="L27" s="17">
        <v>26732.932892000001</v>
      </c>
      <c r="M27" s="4" t="s">
        <v>609</v>
      </c>
      <c r="N27" s="19">
        <v>3.6076679999999999</v>
      </c>
      <c r="O27" s="19">
        <v>5.3796999999999997</v>
      </c>
      <c r="P27" s="19">
        <v>2.83</v>
      </c>
      <c r="Q27" s="19">
        <v>4.1074000000000002</v>
      </c>
      <c r="R27" s="19">
        <v>2.33</v>
      </c>
      <c r="S27" s="19">
        <v>2.8119999999999998</v>
      </c>
      <c r="T27" s="19">
        <v>2.33</v>
      </c>
      <c r="U27" s="19">
        <v>2.1110000000000002</v>
      </c>
      <c r="V27" s="19">
        <v>1.77</v>
      </c>
      <c r="W27" s="19">
        <v>2.0026000000000002</v>
      </c>
      <c r="X27" s="19">
        <v>1.77</v>
      </c>
      <c r="Y27" s="19">
        <v>2.0026000000000002</v>
      </c>
      <c r="Z27" s="4"/>
      <c r="AA27" s="4"/>
      <c r="AB27" s="4" t="e">
        <f ca="1">_xll.ciqfunctions.udf.CIQ("^SPX", "IQ_PRICEDATE", "1/30/2014")</f>
        <v>#NAME?</v>
      </c>
      <c r="AC27" s="16">
        <v>1794.1901899019001</v>
      </c>
    </row>
    <row r="28" spans="1:29" x14ac:dyDescent="0.35">
      <c r="A28" s="2" t="s">
        <v>38</v>
      </c>
      <c r="B28" s="4" t="s">
        <v>610</v>
      </c>
      <c r="C28" s="4" t="s">
        <v>525</v>
      </c>
      <c r="D28" s="4" t="s">
        <v>526</v>
      </c>
      <c r="E28" s="4" t="s">
        <v>527</v>
      </c>
      <c r="F28" s="4" t="s">
        <v>527</v>
      </c>
      <c r="G28" s="14">
        <v>84.17</v>
      </c>
      <c r="H28" s="10">
        <v>15.928915</v>
      </c>
      <c r="I28" s="10">
        <v>28.258327000000001</v>
      </c>
      <c r="J28" s="10" t="s">
        <v>534</v>
      </c>
      <c r="K28" s="15">
        <v>9.979E-3</v>
      </c>
      <c r="L28" s="17">
        <v>7996.4288550000001</v>
      </c>
      <c r="M28" s="4" t="s">
        <v>611</v>
      </c>
      <c r="N28" s="19">
        <v>2.9785910000000002</v>
      </c>
      <c r="O28" s="19">
        <v>4.6982999999999997</v>
      </c>
      <c r="P28" s="19">
        <v>2.85</v>
      </c>
      <c r="Q28" s="19">
        <v>4.0679999999999996</v>
      </c>
      <c r="R28" s="19">
        <v>2.36</v>
      </c>
      <c r="S28" s="19">
        <v>3.6274999999999999</v>
      </c>
      <c r="T28" s="19">
        <v>2.36</v>
      </c>
      <c r="U28" s="19">
        <v>3.2574000000000001</v>
      </c>
      <c r="V28" s="19">
        <v>1.92</v>
      </c>
      <c r="W28" s="19">
        <v>2.8837000000000002</v>
      </c>
      <c r="X28" s="19">
        <v>1.92</v>
      </c>
      <c r="Y28" s="19">
        <v>2.8837000000000002</v>
      </c>
      <c r="Z28" s="4"/>
      <c r="AA28" s="4"/>
      <c r="AB28" s="4" t="e">
        <f ca="1">_xll.ciqfunctions.udf.CIQ("^SPX", "IQ_PRICEDATE", "1/31/2014")</f>
        <v>#NAME?</v>
      </c>
      <c r="AC28" s="16">
        <v>1782.5869667694001</v>
      </c>
    </row>
    <row r="29" spans="1:29" x14ac:dyDescent="0.35">
      <c r="A29" s="2" t="s">
        <v>39</v>
      </c>
      <c r="B29" s="4" t="s">
        <v>612</v>
      </c>
      <c r="C29" s="4" t="s">
        <v>530</v>
      </c>
      <c r="D29" s="4" t="s">
        <v>537</v>
      </c>
      <c r="E29" s="4" t="s">
        <v>613</v>
      </c>
      <c r="F29" s="4" t="s">
        <v>613</v>
      </c>
      <c r="G29" s="14">
        <v>191</v>
      </c>
      <c r="H29" s="10">
        <v>11.933862</v>
      </c>
      <c r="I29" s="10" t="s">
        <v>534</v>
      </c>
      <c r="J29" s="10" t="s">
        <v>534</v>
      </c>
      <c r="K29" s="15">
        <v>1.5078000000000001E-2</v>
      </c>
      <c r="L29" s="17">
        <v>64833.884601999998</v>
      </c>
      <c r="M29" s="4" t="s">
        <v>614</v>
      </c>
      <c r="N29" s="19">
        <v>-4.1488509999999996</v>
      </c>
      <c r="O29" s="19">
        <v>16.184799999999999</v>
      </c>
      <c r="P29" s="19">
        <v>-11.99</v>
      </c>
      <c r="Q29" s="19">
        <v>16.450600000000001</v>
      </c>
      <c r="R29" s="19">
        <v>-3.17</v>
      </c>
      <c r="S29" s="19">
        <v>15.389900000000001</v>
      </c>
      <c r="T29" s="19">
        <v>-3.17</v>
      </c>
      <c r="U29" s="19">
        <v>15.541399999999999</v>
      </c>
      <c r="V29" s="19">
        <v>-11.31</v>
      </c>
      <c r="W29" s="19">
        <v>15.8141</v>
      </c>
      <c r="X29" s="19">
        <v>-11.31</v>
      </c>
      <c r="Y29" s="19">
        <v>15.8141</v>
      </c>
      <c r="Z29" s="4"/>
      <c r="AA29" s="4"/>
      <c r="AB29" s="4" t="e">
        <f ca="1">_xll.ciqfunctions.udf.CIQ("^SPX", "IQ_PRICEDATE", "2/3/2014")</f>
        <v>#NAME?</v>
      </c>
      <c r="AC29" s="16">
        <v>1741.8855076612001</v>
      </c>
    </row>
    <row r="30" spans="1:29" x14ac:dyDescent="0.35">
      <c r="A30" s="2" t="s">
        <v>40</v>
      </c>
      <c r="B30" s="4" t="s">
        <v>615</v>
      </c>
      <c r="C30" s="4" t="s">
        <v>543</v>
      </c>
      <c r="D30" s="4" t="s">
        <v>544</v>
      </c>
      <c r="E30" s="4" t="s">
        <v>545</v>
      </c>
      <c r="F30" s="4" t="s">
        <v>616</v>
      </c>
      <c r="G30" s="14">
        <v>211.46</v>
      </c>
      <c r="H30" s="10">
        <v>18.218432</v>
      </c>
      <c r="I30" s="10">
        <v>13.258654</v>
      </c>
      <c r="J30" s="10" t="s">
        <v>534</v>
      </c>
      <c r="K30" s="15">
        <v>1.0782E-2</v>
      </c>
      <c r="L30" s="17">
        <v>11618.371752999999</v>
      </c>
      <c r="M30" s="4" t="s">
        <v>617</v>
      </c>
      <c r="N30" s="19">
        <v>15.948828000000001</v>
      </c>
      <c r="O30" s="19">
        <v>24.6281</v>
      </c>
      <c r="P30" s="19">
        <v>14.1</v>
      </c>
      <c r="Q30" s="19">
        <v>20.595700000000001</v>
      </c>
      <c r="R30" s="19">
        <v>7.34</v>
      </c>
      <c r="S30" s="19">
        <v>18.249500000000001</v>
      </c>
      <c r="T30" s="19">
        <v>7.34</v>
      </c>
      <c r="U30" s="19">
        <v>16.690100000000001</v>
      </c>
      <c r="V30" s="19">
        <v>7.87</v>
      </c>
      <c r="W30" s="19">
        <v>14.158099999999999</v>
      </c>
      <c r="X30" s="19">
        <v>7.87</v>
      </c>
      <c r="Y30" s="19">
        <v>14.158099999999999</v>
      </c>
      <c r="Z30" s="4"/>
      <c r="AA30" s="4"/>
      <c r="AB30" s="4" t="e">
        <f ca="1">_xll.ciqfunctions.udf.CIQ("^SPX", "IQ_PRICEDATE", "2/4/2014")</f>
        <v>#NAME?</v>
      </c>
      <c r="AC30" s="16">
        <v>1755.2041996217999</v>
      </c>
    </row>
    <row r="31" spans="1:29" x14ac:dyDescent="0.35">
      <c r="A31" s="2" t="s">
        <v>41</v>
      </c>
      <c r="B31" s="4" t="s">
        <v>618</v>
      </c>
      <c r="C31" s="4" t="s">
        <v>619</v>
      </c>
      <c r="D31" s="4" t="s">
        <v>619</v>
      </c>
      <c r="E31" s="4" t="s">
        <v>620</v>
      </c>
      <c r="F31" s="4" t="s">
        <v>620</v>
      </c>
      <c r="G31" s="14">
        <v>43.23</v>
      </c>
      <c r="H31" s="10">
        <v>13.025459</v>
      </c>
      <c r="I31" s="10">
        <v>20.672498999999998</v>
      </c>
      <c r="J31" s="10">
        <v>2.322845</v>
      </c>
      <c r="K31" s="15">
        <v>3.0996000000000003E-2</v>
      </c>
      <c r="L31" s="17">
        <v>10287.568813</v>
      </c>
      <c r="M31" s="4" t="s">
        <v>621</v>
      </c>
      <c r="N31" s="19">
        <v>2.0911840000000002</v>
      </c>
      <c r="O31" s="19">
        <v>2.1358000000000001</v>
      </c>
      <c r="P31" s="19">
        <v>1.9847619999999999</v>
      </c>
      <c r="Q31" s="19">
        <v>2.2665999999999999</v>
      </c>
      <c r="R31" s="19">
        <v>1.6459699999999999</v>
      </c>
      <c r="S31" s="19">
        <v>2.0745</v>
      </c>
      <c r="T31" s="19">
        <v>1.6459699999999999</v>
      </c>
      <c r="U31" s="19">
        <v>1.921</v>
      </c>
      <c r="V31" s="19">
        <v>1.738836</v>
      </c>
      <c r="W31" s="19">
        <v>1.8338000000000001</v>
      </c>
      <c r="X31" s="19">
        <v>1.738836</v>
      </c>
      <c r="Y31" s="19">
        <v>1.8338000000000001</v>
      </c>
      <c r="Z31" s="4"/>
      <c r="AA31" s="4"/>
      <c r="AB31" s="4" t="e">
        <f ca="1">_xll.ciqfunctions.udf.CIQ("^SPX", "IQ_PRICEDATE", "2/5/2014")</f>
        <v>#NAME?</v>
      </c>
      <c r="AC31" s="16">
        <v>1751.6417690134999</v>
      </c>
    </row>
    <row r="32" spans="1:29" x14ac:dyDescent="0.35">
      <c r="A32" s="2" t="s">
        <v>42</v>
      </c>
      <c r="B32" s="4" t="s">
        <v>622</v>
      </c>
      <c r="C32" s="4" t="s">
        <v>549</v>
      </c>
      <c r="D32" s="4" t="s">
        <v>550</v>
      </c>
      <c r="E32" s="4" t="s">
        <v>623</v>
      </c>
      <c r="F32" s="4" t="s">
        <v>623</v>
      </c>
      <c r="G32" s="14">
        <v>1115.69</v>
      </c>
      <c r="H32" s="10">
        <v>17.851136</v>
      </c>
      <c r="I32" s="10">
        <v>0</v>
      </c>
      <c r="J32" s="10">
        <v>0</v>
      </c>
      <c r="K32" s="15">
        <v>0</v>
      </c>
      <c r="L32" s="17">
        <v>780275.68643100001</v>
      </c>
      <c r="M32" s="4" t="s">
        <v>624</v>
      </c>
      <c r="N32" s="19">
        <v>23.155086000000001</v>
      </c>
      <c r="O32" s="19">
        <v>44.751199999999997</v>
      </c>
      <c r="P32" s="19">
        <v>17.996428999999999</v>
      </c>
      <c r="Q32" s="19">
        <v>39.5794</v>
      </c>
      <c r="R32" s="19">
        <v>27.877247000000001</v>
      </c>
      <c r="S32" s="19">
        <v>39.429200000000002</v>
      </c>
      <c r="T32" s="19">
        <v>27.877247000000001</v>
      </c>
      <c r="U32" s="19">
        <v>32.428199999999997</v>
      </c>
      <c r="V32" s="19">
        <v>19.823307</v>
      </c>
      <c r="W32" s="19">
        <v>28.783000000000001</v>
      </c>
      <c r="X32" s="19">
        <v>19.823307</v>
      </c>
      <c r="Y32" s="19">
        <v>28.783000000000001</v>
      </c>
      <c r="Z32" s="4"/>
      <c r="AA32" s="4"/>
      <c r="AB32" s="4" t="e">
        <f ca="1">_xll.ciqfunctions.udf.CIQ("^SPX", "IQ_PRICEDATE", "2/6/2014")</f>
        <v>#NAME?</v>
      </c>
      <c r="AC32" s="16">
        <v>1773.4299637595</v>
      </c>
    </row>
    <row r="33" spans="1:29" x14ac:dyDescent="0.35">
      <c r="A33" s="2" t="s">
        <v>43</v>
      </c>
      <c r="B33" s="4" t="s">
        <v>622</v>
      </c>
      <c r="C33" s="4" t="s">
        <v>549</v>
      </c>
      <c r="D33" s="4" t="s">
        <v>550</v>
      </c>
      <c r="E33" s="4" t="s">
        <v>623</v>
      </c>
      <c r="F33" s="4" t="s">
        <v>623</v>
      </c>
      <c r="G33" s="14">
        <v>1127.5899999999999</v>
      </c>
      <c r="H33" s="10">
        <v>17.851136</v>
      </c>
      <c r="I33" s="10">
        <v>48.697291999999997</v>
      </c>
      <c r="J33" s="10">
        <v>5.5481129999999999</v>
      </c>
      <c r="K33" s="15">
        <v>0</v>
      </c>
      <c r="L33" s="17">
        <v>780275.68643100001</v>
      </c>
      <c r="M33" s="4" t="s">
        <v>624</v>
      </c>
      <c r="N33" s="19">
        <v>23.155086000000001</v>
      </c>
      <c r="O33" s="19">
        <v>43.810899999999997</v>
      </c>
      <c r="P33" s="19">
        <v>17.996428999999999</v>
      </c>
      <c r="Q33" s="19">
        <v>39.5794</v>
      </c>
      <c r="R33" s="19">
        <v>27.877247000000001</v>
      </c>
      <c r="S33" s="19">
        <v>39.433999999999997</v>
      </c>
      <c r="T33" s="19">
        <v>27.877247000000001</v>
      </c>
      <c r="U33" s="19">
        <v>32.431699999999999</v>
      </c>
      <c r="V33" s="19">
        <v>19.823307</v>
      </c>
      <c r="W33" s="19">
        <v>28.863</v>
      </c>
      <c r="X33" s="19">
        <v>19.823307</v>
      </c>
      <c r="Y33" s="19">
        <v>28.863</v>
      </c>
      <c r="Z33" s="4"/>
      <c r="AA33" s="4"/>
      <c r="AB33" s="4" t="e">
        <f ca="1">_xll.ciqfunctions.udf.CIQ("^SPX", "IQ_PRICEDATE", "2/7/2014")</f>
        <v>#NAME?</v>
      </c>
      <c r="AC33" s="16">
        <v>1797.0169234533</v>
      </c>
    </row>
    <row r="34" spans="1:29" x14ac:dyDescent="0.35">
      <c r="A34" s="2" t="s">
        <v>44</v>
      </c>
      <c r="B34" s="4" t="s">
        <v>625</v>
      </c>
      <c r="C34" s="4" t="s">
        <v>626</v>
      </c>
      <c r="D34" s="4" t="s">
        <v>627</v>
      </c>
      <c r="E34" s="4" t="s">
        <v>628</v>
      </c>
      <c r="F34" s="4" t="s">
        <v>628</v>
      </c>
      <c r="G34" s="14">
        <v>60.62</v>
      </c>
      <c r="H34" s="10">
        <v>11.487541999999999</v>
      </c>
      <c r="I34" s="10">
        <v>10.889616</v>
      </c>
      <c r="J34" s="10" t="s">
        <v>534</v>
      </c>
      <c r="K34" s="15">
        <v>5.2787000000000001E-2</v>
      </c>
      <c r="L34" s="17">
        <v>114279.00539999999</v>
      </c>
      <c r="M34" s="4" t="s">
        <v>629</v>
      </c>
      <c r="N34" s="19">
        <v>5.5667710000000001</v>
      </c>
      <c r="O34" s="19">
        <v>4.1566999999999998</v>
      </c>
      <c r="P34" s="19">
        <v>5.31</v>
      </c>
      <c r="Q34" s="19">
        <v>3.5179999999999998</v>
      </c>
      <c r="R34" s="19">
        <v>7.28</v>
      </c>
      <c r="S34" s="19">
        <v>3.2063000000000001</v>
      </c>
      <c r="T34" s="19">
        <v>7.28</v>
      </c>
      <c r="U34" s="19">
        <v>2.9863</v>
      </c>
      <c r="V34" s="19">
        <v>2.5571280000000001</v>
      </c>
      <c r="W34" s="19">
        <v>2.7555999999999998</v>
      </c>
      <c r="X34" s="19">
        <v>2.5571280000000001</v>
      </c>
      <c r="Y34" s="19">
        <v>2.7555999999999998</v>
      </c>
      <c r="Z34" s="4"/>
      <c r="AA34" s="4"/>
      <c r="AB34" s="4" t="e">
        <f ca="1">_xll.ciqfunctions.udf.CIQ("^SPX", "IQ_PRICEDATE", "2/10/2014")</f>
        <v>#NAME?</v>
      </c>
      <c r="AC34" s="16">
        <v>1799.8393518810001</v>
      </c>
    </row>
    <row r="35" spans="1:29" x14ac:dyDescent="0.35">
      <c r="A35" s="2" t="s">
        <v>45</v>
      </c>
      <c r="B35" s="4" t="s">
        <v>630</v>
      </c>
      <c r="C35" s="4" t="s">
        <v>559</v>
      </c>
      <c r="D35" s="4" t="s">
        <v>560</v>
      </c>
      <c r="E35" s="4" t="s">
        <v>631</v>
      </c>
      <c r="F35" s="4" t="s">
        <v>631</v>
      </c>
      <c r="G35" s="14">
        <v>1831.73</v>
      </c>
      <c r="H35" s="10">
        <v>44.208266000000002</v>
      </c>
      <c r="I35" s="10">
        <v>145.068691</v>
      </c>
      <c r="J35" s="10">
        <v>42.375779000000001</v>
      </c>
      <c r="K35" s="15">
        <v>0</v>
      </c>
      <c r="L35" s="17">
        <v>893410.16812699998</v>
      </c>
      <c r="M35" s="4" t="s">
        <v>632</v>
      </c>
      <c r="N35" s="19">
        <v>12.626639000000001</v>
      </c>
      <c r="O35" s="19">
        <v>20.139900000000001</v>
      </c>
      <c r="P35" s="19">
        <v>6.15</v>
      </c>
      <c r="Q35" s="19">
        <v>6.0980999999999996</v>
      </c>
      <c r="R35" s="19">
        <v>4.9000000000000004</v>
      </c>
      <c r="S35" s="19">
        <v>7.1908000000000003</v>
      </c>
      <c r="T35" s="19">
        <v>4.9000000000000004</v>
      </c>
      <c r="U35" s="19">
        <v>4.3808999999999996</v>
      </c>
      <c r="V35" s="19">
        <v>-0.52164500000000003</v>
      </c>
      <c r="W35" s="19">
        <v>5.5E-2</v>
      </c>
      <c r="X35" s="19">
        <v>-0.52164500000000003</v>
      </c>
      <c r="Y35" s="19">
        <v>5.5E-2</v>
      </c>
      <c r="Z35" s="4"/>
      <c r="AA35" s="4"/>
      <c r="AB35" s="4" t="e">
        <f ca="1">_xll.ciqfunctions.udf.CIQ("^SPX", "IQ_PRICEDATE", "2/11/2014")</f>
        <v>#NAME?</v>
      </c>
      <c r="AC35" s="16">
        <v>1819.7478427199001</v>
      </c>
    </row>
    <row r="36" spans="1:29" x14ac:dyDescent="0.35">
      <c r="A36" s="2" t="s">
        <v>46</v>
      </c>
      <c r="B36" s="4" t="s">
        <v>633</v>
      </c>
      <c r="C36" s="4" t="s">
        <v>619</v>
      </c>
      <c r="D36" s="4" t="s">
        <v>619</v>
      </c>
      <c r="E36" s="4" t="s">
        <v>634</v>
      </c>
      <c r="F36" s="4" t="s">
        <v>634</v>
      </c>
      <c r="G36" s="14">
        <v>64.760000000000005</v>
      </c>
      <c r="H36" s="10">
        <v>10.078181000000001</v>
      </c>
      <c r="I36" s="10">
        <v>25.687097999999999</v>
      </c>
      <c r="J36" s="10">
        <v>2.2654390000000002</v>
      </c>
      <c r="K36" s="15">
        <v>2.9339E-2</v>
      </c>
      <c r="L36" s="17">
        <v>15804.029105</v>
      </c>
      <c r="M36" s="4" t="s">
        <v>635</v>
      </c>
      <c r="N36" s="19">
        <v>2.5211100000000002</v>
      </c>
      <c r="O36" s="19">
        <v>3.3363999999999998</v>
      </c>
      <c r="P36" s="19">
        <v>2.14</v>
      </c>
      <c r="Q36" s="19">
        <v>2.8441999999999998</v>
      </c>
      <c r="R36" s="19">
        <v>2.68</v>
      </c>
      <c r="S36" s="19">
        <v>2.73</v>
      </c>
      <c r="T36" s="19">
        <v>2.68</v>
      </c>
      <c r="U36" s="19">
        <v>2.3107000000000002</v>
      </c>
      <c r="V36" s="19">
        <v>2.4</v>
      </c>
      <c r="W36" s="19">
        <v>2.5133999999999999</v>
      </c>
      <c r="X36" s="19">
        <v>2.4</v>
      </c>
      <c r="Y36" s="19">
        <v>2.5133999999999999</v>
      </c>
      <c r="Z36" s="4"/>
      <c r="AA36" s="4"/>
      <c r="AB36" s="4" t="e">
        <f ca="1">_xll.ciqfunctions.udf.CIQ("^SPX", "IQ_PRICEDATE", "2/12/2014")</f>
        <v>#NAME?</v>
      </c>
      <c r="AC36" s="16">
        <v>1819.2642758690999</v>
      </c>
    </row>
    <row r="37" spans="1:29" x14ac:dyDescent="0.35">
      <c r="A37" s="2" t="s">
        <v>47</v>
      </c>
      <c r="B37" s="4" t="s">
        <v>636</v>
      </c>
      <c r="C37" s="4" t="s">
        <v>525</v>
      </c>
      <c r="D37" s="4" t="s">
        <v>594</v>
      </c>
      <c r="E37" s="4" t="s">
        <v>595</v>
      </c>
      <c r="F37" s="4" t="s">
        <v>595</v>
      </c>
      <c r="G37" s="14">
        <v>33.57</v>
      </c>
      <c r="H37" s="10">
        <v>5.791874</v>
      </c>
      <c r="I37" s="10">
        <v>10.928908</v>
      </c>
      <c r="J37" s="10" t="s">
        <v>534</v>
      </c>
      <c r="K37" s="15">
        <v>1.1915E-2</v>
      </c>
      <c r="L37" s="17">
        <v>15459.294381</v>
      </c>
      <c r="M37" s="4" t="s">
        <v>637</v>
      </c>
      <c r="N37" s="19">
        <v>3.0716700000000001</v>
      </c>
      <c r="O37" s="19">
        <v>4.5327000000000002</v>
      </c>
      <c r="P37" s="19">
        <v>3.9</v>
      </c>
      <c r="Q37" s="19">
        <v>4.7663000000000002</v>
      </c>
      <c r="R37" s="19">
        <v>4.8099999999999996</v>
      </c>
      <c r="S37" s="19">
        <v>4.4809000000000001</v>
      </c>
      <c r="T37" s="19">
        <v>4.8099999999999996</v>
      </c>
      <c r="U37" s="19">
        <v>7.1485000000000003</v>
      </c>
      <c r="V37" s="19">
        <v>3.9304320000000001</v>
      </c>
      <c r="W37" s="19">
        <v>8.4161000000000001</v>
      </c>
      <c r="X37" s="19">
        <v>3.9304320000000001</v>
      </c>
      <c r="Y37" s="19">
        <v>8.4161000000000001</v>
      </c>
      <c r="Z37" s="4"/>
      <c r="AA37" s="4"/>
      <c r="AB37" s="4" t="e">
        <f ca="1">_xll.ciqfunctions.udf.CIQ("^SPX", "IQ_PRICEDATE", "2/13/2014")</f>
        <v>#NAME?</v>
      </c>
      <c r="AC37" s="16">
        <v>1829.82975844</v>
      </c>
    </row>
    <row r="38" spans="1:29" x14ac:dyDescent="0.35">
      <c r="A38" s="2" t="s">
        <v>48</v>
      </c>
      <c r="B38" s="4" t="s">
        <v>638</v>
      </c>
      <c r="C38" s="4" t="s">
        <v>619</v>
      </c>
      <c r="D38" s="4" t="s">
        <v>619</v>
      </c>
      <c r="E38" s="4" t="s">
        <v>620</v>
      </c>
      <c r="F38" s="4" t="s">
        <v>620</v>
      </c>
      <c r="G38" s="14">
        <v>71.72</v>
      </c>
      <c r="H38" s="10">
        <v>11.156098</v>
      </c>
      <c r="I38" s="10">
        <v>18.342466999999999</v>
      </c>
      <c r="J38" s="10">
        <v>1.8935759999999999</v>
      </c>
      <c r="K38" s="15">
        <v>3.4578000000000005E-2</v>
      </c>
      <c r="L38" s="17">
        <v>35353.230640000002</v>
      </c>
      <c r="M38" s="4" t="s">
        <v>639</v>
      </c>
      <c r="N38" s="19">
        <v>3.9100519999999999</v>
      </c>
      <c r="O38" s="19">
        <v>3.9563999999999999</v>
      </c>
      <c r="P38" s="19">
        <v>3.88</v>
      </c>
      <c r="Q38" s="19">
        <v>3.7833000000000001</v>
      </c>
      <c r="R38" s="19">
        <v>1.248027</v>
      </c>
      <c r="S38" s="19">
        <v>3.5844999999999998</v>
      </c>
      <c r="T38" s="19">
        <v>1.248027</v>
      </c>
      <c r="U38" s="19">
        <v>3.5718000000000001</v>
      </c>
      <c r="V38" s="19">
        <v>3.24</v>
      </c>
      <c r="W38" s="19">
        <v>3.3292999999999999</v>
      </c>
      <c r="X38" s="19">
        <v>3.24</v>
      </c>
      <c r="Y38" s="19">
        <v>3.3292999999999999</v>
      </c>
      <c r="Z38" s="4"/>
      <c r="AA38" s="4"/>
      <c r="AB38" s="4" t="e">
        <f ca="1">_xll.ciqfunctions.udf.CIQ("^SPX", "IQ_PRICEDATE", "2/14/2014")</f>
        <v>#NAME?</v>
      </c>
      <c r="AC38" s="16">
        <v>1838.6327143240001</v>
      </c>
    </row>
    <row r="39" spans="1:29" x14ac:dyDescent="0.35">
      <c r="A39" s="2" t="s">
        <v>49</v>
      </c>
      <c r="B39" s="4" t="s">
        <v>640</v>
      </c>
      <c r="C39" s="4" t="s">
        <v>573</v>
      </c>
      <c r="D39" s="4" t="s">
        <v>574</v>
      </c>
      <c r="E39" s="4" t="s">
        <v>641</v>
      </c>
      <c r="F39" s="4" t="s">
        <v>641</v>
      </c>
      <c r="G39" s="14">
        <v>104.34</v>
      </c>
      <c r="H39" s="10">
        <v>0</v>
      </c>
      <c r="I39" s="10">
        <v>27.540894000000002</v>
      </c>
      <c r="J39" s="10">
        <v>4.3000540000000003</v>
      </c>
      <c r="K39" s="15">
        <v>1.3416999999999998E-2</v>
      </c>
      <c r="L39" s="17">
        <v>89842.400445000007</v>
      </c>
      <c r="M39" s="4" t="s">
        <v>642</v>
      </c>
      <c r="N39" s="19">
        <v>3.788548</v>
      </c>
      <c r="O39" s="19">
        <v>7.5248999999999997</v>
      </c>
      <c r="P39" s="19">
        <v>2.97</v>
      </c>
      <c r="Q39" s="19">
        <v>6.3056000000000001</v>
      </c>
      <c r="R39" s="19">
        <v>5.65</v>
      </c>
      <c r="S39" s="19">
        <v>5.2156000000000002</v>
      </c>
      <c r="T39" s="19">
        <v>5.65</v>
      </c>
      <c r="U39" s="19">
        <v>5.2336</v>
      </c>
      <c r="V39" s="19">
        <v>5.56</v>
      </c>
      <c r="W39" s="19">
        <v>5.9082999999999997</v>
      </c>
      <c r="X39" s="19">
        <v>5.56</v>
      </c>
      <c r="Y39" s="19">
        <v>5.9082999999999997</v>
      </c>
      <c r="Z39" s="4"/>
      <c r="AA39" s="4"/>
      <c r="AB39" s="4" t="e">
        <f ca="1">_xll.ciqfunctions.udf.CIQ("^SPX", "IQ_PRICEDATE", "2/18/2014")</f>
        <v>#NAME?</v>
      </c>
      <c r="AC39" s="16">
        <v>1840.7563614977</v>
      </c>
    </row>
    <row r="40" spans="1:29" x14ac:dyDescent="0.35">
      <c r="A40" s="2" t="s">
        <v>50</v>
      </c>
      <c r="B40" s="4" t="s">
        <v>643</v>
      </c>
      <c r="C40" s="4" t="s">
        <v>573</v>
      </c>
      <c r="D40" s="4" t="s">
        <v>579</v>
      </c>
      <c r="E40" s="4" t="s">
        <v>579</v>
      </c>
      <c r="F40" s="4" t="s">
        <v>644</v>
      </c>
      <c r="G40" s="14">
        <v>49.62</v>
      </c>
      <c r="H40" s="10">
        <v>11.805273</v>
      </c>
      <c r="I40" s="10" t="s">
        <v>534</v>
      </c>
      <c r="J40" s="10">
        <v>0.72274700000000003</v>
      </c>
      <c r="K40" s="15">
        <v>2.5795999999999999E-2</v>
      </c>
      <c r="L40" s="17">
        <v>44084.703867999997</v>
      </c>
      <c r="M40" s="4" t="s">
        <v>645</v>
      </c>
      <c r="N40" s="19">
        <v>-7.1890980000000004</v>
      </c>
      <c r="O40" s="19">
        <v>5.0500999999999996</v>
      </c>
      <c r="P40" s="19">
        <v>-6.5422880000000001</v>
      </c>
      <c r="Q40" s="19">
        <v>4.6581999999999999</v>
      </c>
      <c r="R40" s="19">
        <v>-0.7</v>
      </c>
      <c r="S40" s="19">
        <v>5.1496000000000004</v>
      </c>
      <c r="T40" s="19">
        <v>-0.7</v>
      </c>
      <c r="U40" s="19">
        <v>4.9114000000000004</v>
      </c>
      <c r="V40" s="19">
        <v>5.2399990000000001</v>
      </c>
      <c r="W40" s="19">
        <v>4.7538</v>
      </c>
      <c r="X40" s="19">
        <v>5.2399990000000001</v>
      </c>
      <c r="Y40" s="19">
        <v>4.7538</v>
      </c>
      <c r="Z40" s="4"/>
      <c r="AA40" s="4"/>
      <c r="AB40" s="4" t="e">
        <f ca="1">_xll.ciqfunctions.udf.CIQ("^SPX", "IQ_PRICEDATE", "2/19/2014")</f>
        <v>#NAME?</v>
      </c>
      <c r="AC40" s="16">
        <v>1828.7467956528999</v>
      </c>
    </row>
    <row r="41" spans="1:29" x14ac:dyDescent="0.35">
      <c r="A41" s="2" t="s">
        <v>51</v>
      </c>
      <c r="B41" s="4" t="s">
        <v>646</v>
      </c>
      <c r="C41" s="4" t="s">
        <v>601</v>
      </c>
      <c r="D41" s="4" t="s">
        <v>601</v>
      </c>
      <c r="E41" s="4" t="s">
        <v>602</v>
      </c>
      <c r="F41" s="4" t="s">
        <v>647</v>
      </c>
      <c r="G41" s="14">
        <v>146.68</v>
      </c>
      <c r="H41" s="10">
        <v>21.115278</v>
      </c>
      <c r="I41" s="10">
        <v>58.161458000000003</v>
      </c>
      <c r="J41" s="10" t="s">
        <v>534</v>
      </c>
      <c r="K41" s="15">
        <v>2.1543E-2</v>
      </c>
      <c r="L41" s="17">
        <v>64661.686307000004</v>
      </c>
      <c r="M41" s="4" t="s">
        <v>648</v>
      </c>
      <c r="N41" s="19">
        <v>2.5219450000000001</v>
      </c>
      <c r="O41" s="19">
        <v>3.5129999999999999</v>
      </c>
      <c r="P41" s="19">
        <v>2.67</v>
      </c>
      <c r="Q41" s="19">
        <v>3.3589000000000002</v>
      </c>
      <c r="R41" s="19">
        <v>1.98</v>
      </c>
      <c r="S41" s="19">
        <v>2.5825</v>
      </c>
      <c r="T41" s="19">
        <v>1.98</v>
      </c>
      <c r="U41" s="19">
        <v>2.2949999999999999</v>
      </c>
      <c r="V41" s="19">
        <v>2</v>
      </c>
      <c r="W41" s="19">
        <v>2.5792000000000002</v>
      </c>
      <c r="X41" s="19">
        <v>2</v>
      </c>
      <c r="Y41" s="19">
        <v>2.5792000000000002</v>
      </c>
      <c r="Z41" s="4"/>
      <c r="AA41" s="4"/>
      <c r="AB41" s="4" t="e">
        <f ca="1">_xll.ciqfunctions.udf.CIQ("^SPX", "IQ_PRICEDATE", "2/20/2014")</f>
        <v>#NAME?</v>
      </c>
      <c r="AC41" s="16">
        <v>1839.7822149358999</v>
      </c>
    </row>
    <row r="42" spans="1:29" x14ac:dyDescent="0.35">
      <c r="A42" s="2" t="s">
        <v>52</v>
      </c>
      <c r="B42" s="4" t="s">
        <v>649</v>
      </c>
      <c r="C42" s="4" t="s">
        <v>619</v>
      </c>
      <c r="D42" s="4" t="s">
        <v>619</v>
      </c>
      <c r="E42" s="4" t="s">
        <v>650</v>
      </c>
      <c r="F42" s="4" t="s">
        <v>650</v>
      </c>
      <c r="G42" s="14">
        <v>89.95</v>
      </c>
      <c r="H42" s="10">
        <v>14.688186999999999</v>
      </c>
      <c r="I42" s="10">
        <v>34.332061000000003</v>
      </c>
      <c r="J42" s="10">
        <v>4.0446179999999998</v>
      </c>
      <c r="K42" s="15">
        <v>2.0232999999999998E-2</v>
      </c>
      <c r="L42" s="17">
        <v>16235.273209999999</v>
      </c>
      <c r="M42" s="4" t="s">
        <v>651</v>
      </c>
      <c r="N42" s="19">
        <v>2.62</v>
      </c>
      <c r="O42" s="19">
        <v>3.3288000000000002</v>
      </c>
      <c r="P42" s="19">
        <v>2.38</v>
      </c>
      <c r="Q42" s="19">
        <v>3.1894</v>
      </c>
      <c r="R42" s="19">
        <v>2.62</v>
      </c>
      <c r="S42" s="19">
        <v>2.9403999999999999</v>
      </c>
      <c r="T42" s="19">
        <v>2.62</v>
      </c>
      <c r="U42" s="19">
        <v>2.7743000000000002</v>
      </c>
      <c r="V42" s="19">
        <v>2.39</v>
      </c>
      <c r="W42" s="19">
        <v>2.5543</v>
      </c>
      <c r="X42" s="19">
        <v>2.39</v>
      </c>
      <c r="Y42" s="19">
        <v>2.5543</v>
      </c>
      <c r="Z42" s="4"/>
      <c r="AA42" s="4"/>
      <c r="AB42" s="4" t="e">
        <f ca="1">_xll.ciqfunctions.udf.CIQ("^SPX", "IQ_PRICEDATE", "2/21/2014")</f>
        <v>#NAME?</v>
      </c>
      <c r="AC42" s="16">
        <v>1836.2461813611001</v>
      </c>
    </row>
    <row r="43" spans="1:29" x14ac:dyDescent="0.35">
      <c r="A43" s="2" t="s">
        <v>53</v>
      </c>
      <c r="B43" s="4" t="s">
        <v>652</v>
      </c>
      <c r="C43" s="4" t="s">
        <v>573</v>
      </c>
      <c r="D43" s="4" t="s">
        <v>574</v>
      </c>
      <c r="E43" s="4" t="s">
        <v>575</v>
      </c>
      <c r="F43" s="4" t="s">
        <v>576</v>
      </c>
      <c r="G43" s="14">
        <v>138.37</v>
      </c>
      <c r="H43" s="10">
        <v>5.8799390000000002</v>
      </c>
      <c r="I43" s="10">
        <v>12.130046999999999</v>
      </c>
      <c r="J43" s="10">
        <v>3.4941469999999999</v>
      </c>
      <c r="K43" s="15">
        <v>2.6017000000000002E-2</v>
      </c>
      <c r="L43" s="17">
        <v>19629.701201</v>
      </c>
      <c r="M43" s="4" t="s">
        <v>653</v>
      </c>
      <c r="N43" s="19">
        <v>11.407209999999999</v>
      </c>
      <c r="O43" s="19">
        <v>15.475300000000001</v>
      </c>
      <c r="P43" s="19">
        <v>9.44</v>
      </c>
      <c r="Q43" s="19">
        <v>12.704599999999999</v>
      </c>
      <c r="R43" s="19">
        <v>7.81</v>
      </c>
      <c r="S43" s="19">
        <v>10.0672</v>
      </c>
      <c r="T43" s="19">
        <v>7.81</v>
      </c>
      <c r="U43" s="19">
        <v>9.9716000000000005</v>
      </c>
      <c r="V43" s="19">
        <v>8.31</v>
      </c>
      <c r="W43" s="19">
        <v>9.2737999999999996</v>
      </c>
      <c r="X43" s="19">
        <v>8.31</v>
      </c>
      <c r="Y43" s="19">
        <v>9.2737999999999996</v>
      </c>
      <c r="Z43" s="4"/>
      <c r="AA43" s="4"/>
      <c r="AB43" s="4" t="e">
        <f ca="1">_xll.ciqfunctions.udf.CIQ("^SPX", "IQ_PRICEDATE", "2/24/2014")</f>
        <v>#NAME?</v>
      </c>
      <c r="AC43" s="16">
        <v>1847.6146440903001</v>
      </c>
    </row>
    <row r="44" spans="1:29" x14ac:dyDescent="0.35">
      <c r="A44" s="2" t="s">
        <v>54</v>
      </c>
      <c r="B44" s="4" t="s">
        <v>654</v>
      </c>
      <c r="C44" s="4" t="s">
        <v>530</v>
      </c>
      <c r="D44" s="4" t="s">
        <v>531</v>
      </c>
      <c r="E44" s="4" t="s">
        <v>569</v>
      </c>
      <c r="F44" s="4" t="s">
        <v>655</v>
      </c>
      <c r="G44" s="14">
        <v>93.76</v>
      </c>
      <c r="H44" s="10">
        <v>9.5782790000000002</v>
      </c>
      <c r="I44" s="10">
        <v>19.227425</v>
      </c>
      <c r="J44" s="10" t="s">
        <v>534</v>
      </c>
      <c r="K44" s="15">
        <v>1.6211E-2</v>
      </c>
      <c r="L44" s="17">
        <v>20285.598941</v>
      </c>
      <c r="M44" s="4" t="s">
        <v>656</v>
      </c>
      <c r="N44" s="19">
        <v>4.8763680000000003</v>
      </c>
      <c r="O44" s="19">
        <v>6.9241999999999999</v>
      </c>
      <c r="P44" s="19">
        <v>4.420153</v>
      </c>
      <c r="Q44" s="19">
        <v>6.0747600000000004</v>
      </c>
      <c r="R44" s="19">
        <v>5.9869690000000002</v>
      </c>
      <c r="S44" s="19">
        <v>5.7546099999999996</v>
      </c>
      <c r="T44" s="19">
        <v>5.9869690000000002</v>
      </c>
      <c r="U44" s="19">
        <v>5.8305100000000003</v>
      </c>
      <c r="V44" s="19">
        <v>0.15307399999999999</v>
      </c>
      <c r="W44" s="19">
        <v>4.4666899999999998</v>
      </c>
      <c r="X44" s="19">
        <v>0.15307399999999999</v>
      </c>
      <c r="Y44" s="19">
        <v>4.4666899999999998</v>
      </c>
      <c r="Z44" s="4"/>
      <c r="AA44" s="4"/>
      <c r="AB44" s="4" t="e">
        <f ca="1">_xll.ciqfunctions.udf.CIQ("^SPX", "IQ_PRICEDATE", "2/25/2014")</f>
        <v>#NAME?</v>
      </c>
      <c r="AC44" s="16">
        <v>1845.1199680528</v>
      </c>
    </row>
    <row r="45" spans="1:29" x14ac:dyDescent="0.35">
      <c r="A45" s="2" t="s">
        <v>55</v>
      </c>
      <c r="B45" s="4" t="s">
        <v>657</v>
      </c>
      <c r="C45" s="4" t="s">
        <v>525</v>
      </c>
      <c r="D45" s="4" t="s">
        <v>526</v>
      </c>
      <c r="E45" s="4" t="s">
        <v>658</v>
      </c>
      <c r="F45" s="4" t="s">
        <v>659</v>
      </c>
      <c r="G45" s="14">
        <v>73.31</v>
      </c>
      <c r="H45" s="10">
        <v>15.390796</v>
      </c>
      <c r="I45" s="10">
        <v>22.222995999999998</v>
      </c>
      <c r="J45" s="10" t="s">
        <v>534</v>
      </c>
      <c r="K45" s="15">
        <v>7.6380000000000007E-3</v>
      </c>
      <c r="L45" s="17">
        <v>17000.381020000001</v>
      </c>
      <c r="M45" s="4" t="s">
        <v>660</v>
      </c>
      <c r="N45" s="19">
        <v>3.298835</v>
      </c>
      <c r="O45" s="19">
        <v>3.3536000000000001</v>
      </c>
      <c r="P45" s="19">
        <v>2.94</v>
      </c>
      <c r="Q45" s="19">
        <v>2.8050999999999999</v>
      </c>
      <c r="R45" s="19">
        <v>2.19</v>
      </c>
      <c r="S45" s="19">
        <v>2.3963999999999999</v>
      </c>
      <c r="T45" s="19">
        <v>2.19</v>
      </c>
      <c r="U45" s="19">
        <v>2.6741999999999999</v>
      </c>
      <c r="V45" s="19">
        <v>2.37</v>
      </c>
      <c r="W45" s="19">
        <v>2.5880999999999998</v>
      </c>
      <c r="X45" s="19">
        <v>2.37</v>
      </c>
      <c r="Y45" s="19">
        <v>2.5880999999999998</v>
      </c>
      <c r="Z45" s="4"/>
      <c r="AA45" s="4"/>
      <c r="AB45" s="4" t="e">
        <f ca="1">_xll.ciqfunctions.udf.CIQ("^SPX", "IQ_PRICEDATE", "2/26/2014")</f>
        <v>#NAME?</v>
      </c>
      <c r="AC45" s="16">
        <v>1845.1639780911</v>
      </c>
    </row>
    <row r="46" spans="1:29" x14ac:dyDescent="0.35">
      <c r="A46" s="2" t="s">
        <v>56</v>
      </c>
      <c r="B46" s="4" t="s">
        <v>661</v>
      </c>
      <c r="C46" s="4" t="s">
        <v>530</v>
      </c>
      <c r="D46" s="4" t="s">
        <v>537</v>
      </c>
      <c r="E46" s="4" t="s">
        <v>538</v>
      </c>
      <c r="F46" s="4" t="s">
        <v>538</v>
      </c>
      <c r="G46" s="14">
        <v>202.77</v>
      </c>
      <c r="H46" s="10">
        <v>10.840305000000001</v>
      </c>
      <c r="I46" s="10">
        <v>60.741714999999999</v>
      </c>
      <c r="J46" s="10" t="s">
        <v>534</v>
      </c>
      <c r="K46" s="15">
        <v>2.6039E-2</v>
      </c>
      <c r="L46" s="17">
        <v>131247.35702600001</v>
      </c>
      <c r="M46" s="4" t="s">
        <v>662</v>
      </c>
      <c r="N46" s="19">
        <v>3.3382329999999998</v>
      </c>
      <c r="O46" s="19">
        <v>14.0382</v>
      </c>
      <c r="P46" s="19">
        <v>2.69</v>
      </c>
      <c r="Q46" s="19">
        <v>12.5274</v>
      </c>
      <c r="R46" s="19">
        <v>10.24</v>
      </c>
      <c r="S46" s="19">
        <v>11.9491</v>
      </c>
      <c r="T46" s="19">
        <v>10.24</v>
      </c>
      <c r="U46" s="19">
        <v>10.189399999999999</v>
      </c>
      <c r="V46" s="19">
        <v>6.7</v>
      </c>
      <c r="W46" s="19">
        <v>8.8605</v>
      </c>
      <c r="X46" s="19">
        <v>6.7</v>
      </c>
      <c r="Y46" s="19">
        <v>8.8605</v>
      </c>
      <c r="Z46" s="4"/>
      <c r="AA46" s="4"/>
      <c r="AB46" s="4" t="e">
        <f ca="1">_xll.ciqfunctions.udf.CIQ("^SPX", "IQ_PRICEDATE", "2/27/2014")</f>
        <v>#NAME?</v>
      </c>
      <c r="AC46" s="16">
        <v>1854.2920045507999</v>
      </c>
    </row>
    <row r="47" spans="1:29" x14ac:dyDescent="0.35">
      <c r="A47" s="2" t="s">
        <v>57</v>
      </c>
      <c r="B47" s="4" t="s">
        <v>663</v>
      </c>
      <c r="C47" s="4" t="s">
        <v>543</v>
      </c>
      <c r="D47" s="4" t="s">
        <v>664</v>
      </c>
      <c r="E47" s="4" t="s">
        <v>665</v>
      </c>
      <c r="F47" s="4" t="s">
        <v>666</v>
      </c>
      <c r="G47" s="14">
        <v>85.83</v>
      </c>
      <c r="H47" s="10">
        <v>15.702054</v>
      </c>
      <c r="I47" s="10">
        <v>37.384796999999999</v>
      </c>
      <c r="J47" s="10" t="s">
        <v>534</v>
      </c>
      <c r="K47" s="15">
        <v>1.0718E-2</v>
      </c>
      <c r="L47" s="17">
        <v>25779.260396000001</v>
      </c>
      <c r="M47" s="4" t="s">
        <v>667</v>
      </c>
      <c r="N47" s="19">
        <v>2.2958530000000001</v>
      </c>
      <c r="O47" s="19">
        <v>3.7726999999999999</v>
      </c>
      <c r="P47" s="19">
        <v>2.06</v>
      </c>
      <c r="Q47" s="19">
        <v>3.3321000000000001</v>
      </c>
      <c r="R47" s="19">
        <v>2.61</v>
      </c>
      <c r="S47" s="19">
        <v>2.9285000000000001</v>
      </c>
      <c r="T47" s="19">
        <v>2.61</v>
      </c>
      <c r="U47" s="19">
        <v>2.4822000000000002</v>
      </c>
      <c r="V47" s="19">
        <v>2.21</v>
      </c>
      <c r="W47" s="19">
        <v>2.411</v>
      </c>
      <c r="X47" s="19">
        <v>2.21</v>
      </c>
      <c r="Y47" s="19">
        <v>2.411</v>
      </c>
      <c r="Z47" s="4"/>
      <c r="AA47" s="4"/>
      <c r="AB47" s="4" t="e">
        <f ca="1">_xll.ciqfunctions.udf.CIQ("^SPX", "IQ_PRICEDATE", "2/28/2014")</f>
        <v>#NAME?</v>
      </c>
      <c r="AC47" s="16">
        <v>1859.4493719912</v>
      </c>
    </row>
    <row r="48" spans="1:29" x14ac:dyDescent="0.35">
      <c r="A48" s="2" t="s">
        <v>58</v>
      </c>
      <c r="B48" s="4" t="s">
        <v>668</v>
      </c>
      <c r="C48" s="4" t="s">
        <v>669</v>
      </c>
      <c r="D48" s="4" t="s">
        <v>669</v>
      </c>
      <c r="E48" s="4" t="s">
        <v>670</v>
      </c>
      <c r="F48" s="4" t="s">
        <v>671</v>
      </c>
      <c r="G48" s="14">
        <v>67.05</v>
      </c>
      <c r="H48" s="10">
        <v>10.743789</v>
      </c>
      <c r="I48" s="10">
        <v>85.307079999999999</v>
      </c>
      <c r="J48" s="10">
        <v>10.329324</v>
      </c>
      <c r="K48" s="15">
        <v>1.4914E-2</v>
      </c>
      <c r="L48" s="17">
        <v>34334.632974</v>
      </c>
      <c r="M48" s="4" t="s">
        <v>672</v>
      </c>
      <c r="N48" s="19">
        <v>0.78598400000000002</v>
      </c>
      <c r="O48" s="19">
        <v>4.0381</v>
      </c>
      <c r="P48" s="19">
        <v>-0.85036400000000001</v>
      </c>
      <c r="Q48" s="19">
        <v>-0.4073</v>
      </c>
      <c r="R48" s="19">
        <v>-5.8984670000000001</v>
      </c>
      <c r="S48" s="19">
        <v>-0.56389999999999996</v>
      </c>
      <c r="T48" s="19">
        <v>-5.8984670000000001</v>
      </c>
      <c r="U48" s="19">
        <v>-2.6663000000000001</v>
      </c>
      <c r="V48" s="19">
        <v>-3.47</v>
      </c>
      <c r="W48" s="19">
        <v>2.8883000000000001</v>
      </c>
      <c r="X48" s="19">
        <v>-3.47</v>
      </c>
      <c r="Y48" s="19">
        <v>2.8883000000000001</v>
      </c>
      <c r="Z48" s="4"/>
      <c r="AA48" s="4"/>
      <c r="AB48" s="4" t="e">
        <f ca="1">_xll.ciqfunctions.udf.CIQ("^SPX", "IQ_PRICEDATE", "3/3/2014")</f>
        <v>#NAME?</v>
      </c>
      <c r="AC48" s="16">
        <v>1845.7344417764</v>
      </c>
    </row>
    <row r="49" spans="1:29" x14ac:dyDescent="0.35">
      <c r="A49" s="2" t="s">
        <v>59</v>
      </c>
      <c r="B49" s="4" t="s">
        <v>673</v>
      </c>
      <c r="C49" s="4" t="s">
        <v>543</v>
      </c>
      <c r="D49" s="4" t="s">
        <v>565</v>
      </c>
      <c r="E49" s="4" t="s">
        <v>565</v>
      </c>
      <c r="F49" s="4" t="s">
        <v>566</v>
      </c>
      <c r="G49" s="14">
        <v>85.25</v>
      </c>
      <c r="H49" s="10">
        <v>13.499216000000001</v>
      </c>
      <c r="I49" s="10">
        <v>22.70299</v>
      </c>
      <c r="J49" s="10" t="s">
        <v>534</v>
      </c>
      <c r="K49" s="15">
        <v>2.2520999999999999E-2</v>
      </c>
      <c r="L49" s="17">
        <v>31684.864602000001</v>
      </c>
      <c r="M49" s="4" t="s">
        <v>674</v>
      </c>
      <c r="N49" s="19">
        <v>3.7550119999999998</v>
      </c>
      <c r="O49" s="19">
        <v>5.819</v>
      </c>
      <c r="P49" s="19">
        <v>2.0699999999999998</v>
      </c>
      <c r="Q49" s="19">
        <v>5.1731600000000002</v>
      </c>
      <c r="R49" s="19">
        <v>2.76</v>
      </c>
      <c r="S49" s="19">
        <v>3.40123</v>
      </c>
      <c r="T49" s="19">
        <v>2.76</v>
      </c>
      <c r="U49" s="19">
        <v>3.2889200000000001</v>
      </c>
      <c r="V49" s="19">
        <v>1.98</v>
      </c>
      <c r="W49" s="19">
        <v>2.8330899999999999</v>
      </c>
      <c r="X49" s="19">
        <v>1.98</v>
      </c>
      <c r="Y49" s="19">
        <v>2.8330899999999999</v>
      </c>
      <c r="Z49" s="4"/>
      <c r="AA49" s="4"/>
      <c r="AB49" s="4" t="e">
        <f ca="1">_xll.ciqfunctions.udf.CIQ("^SPX", "IQ_PRICEDATE", "3/4/2014")</f>
        <v>#NAME?</v>
      </c>
      <c r="AC49" s="16">
        <v>1873.9137272164</v>
      </c>
    </row>
    <row r="50" spans="1:29" x14ac:dyDescent="0.35">
      <c r="A50" s="2" t="s">
        <v>60</v>
      </c>
      <c r="B50" s="4" t="s">
        <v>675</v>
      </c>
      <c r="C50" s="4" t="s">
        <v>543</v>
      </c>
      <c r="D50" s="4" t="s">
        <v>544</v>
      </c>
      <c r="E50" s="4" t="s">
        <v>555</v>
      </c>
      <c r="F50" s="4" t="s">
        <v>556</v>
      </c>
      <c r="G50" s="14">
        <v>158.85</v>
      </c>
      <c r="H50" s="10">
        <v>27.055145</v>
      </c>
      <c r="I50" s="10">
        <v>45.285257999999999</v>
      </c>
      <c r="J50" s="10">
        <v>19.048786</v>
      </c>
      <c r="K50" s="15">
        <v>0</v>
      </c>
      <c r="L50" s="17">
        <v>13390.707753999999</v>
      </c>
      <c r="M50" s="4" t="s">
        <v>676</v>
      </c>
      <c r="N50" s="19">
        <v>3.5077639999999999</v>
      </c>
      <c r="O50" s="19">
        <v>5.1750999999999996</v>
      </c>
      <c r="P50" s="19">
        <v>2.98</v>
      </c>
      <c r="Q50" s="19">
        <v>4.1280999999999999</v>
      </c>
      <c r="R50" s="19">
        <v>2.99</v>
      </c>
      <c r="S50" s="19">
        <v>3.7214</v>
      </c>
      <c r="T50" s="19">
        <v>2.99</v>
      </c>
      <c r="U50" s="19">
        <v>3.5400999999999998</v>
      </c>
      <c r="V50" s="19">
        <v>2.7</v>
      </c>
      <c r="W50" s="19">
        <v>3.4318</v>
      </c>
      <c r="X50" s="19">
        <v>2.7</v>
      </c>
      <c r="Y50" s="19">
        <v>3.4318</v>
      </c>
      <c r="Z50" s="4"/>
      <c r="AA50" s="4"/>
      <c r="AB50" s="4" t="e">
        <f ca="1">_xll.ciqfunctions.udf.CIQ("^SPX", "IQ_PRICEDATE", "3/5/2014")</f>
        <v>#NAME?</v>
      </c>
      <c r="AC50" s="16">
        <v>1873.8115208239999</v>
      </c>
    </row>
    <row r="51" spans="1:29" x14ac:dyDescent="0.35">
      <c r="A51" s="2" t="s">
        <v>61</v>
      </c>
      <c r="B51" s="4" t="s">
        <v>677</v>
      </c>
      <c r="C51" s="4" t="s">
        <v>530</v>
      </c>
      <c r="D51" s="4" t="s">
        <v>531</v>
      </c>
      <c r="E51" s="4" t="s">
        <v>569</v>
      </c>
      <c r="F51" s="4" t="s">
        <v>570</v>
      </c>
      <c r="G51" s="14">
        <v>279.58</v>
      </c>
      <c r="H51" s="10">
        <v>14.451527</v>
      </c>
      <c r="I51" s="10">
        <v>17.014026000000001</v>
      </c>
      <c r="J51" s="10" t="s">
        <v>534</v>
      </c>
      <c r="K51" s="15">
        <v>1.073E-2</v>
      </c>
      <c r="L51" s="17">
        <v>72677.849295000007</v>
      </c>
      <c r="M51" s="4" t="s">
        <v>678</v>
      </c>
      <c r="N51" s="19">
        <v>16.432324000000001</v>
      </c>
      <c r="O51" s="19">
        <v>16.466000000000001</v>
      </c>
      <c r="P51" s="19">
        <v>14.35</v>
      </c>
      <c r="Q51" s="19">
        <v>12.1853</v>
      </c>
      <c r="R51" s="19">
        <v>9.2100000000000009</v>
      </c>
      <c r="S51" s="19">
        <v>11.354699999999999</v>
      </c>
      <c r="T51" s="19">
        <v>9.2100000000000009</v>
      </c>
      <c r="U51" s="19">
        <v>10.542</v>
      </c>
      <c r="V51" s="19">
        <v>8.9600000000000009</v>
      </c>
      <c r="W51" s="19">
        <v>9.2853999999999992</v>
      </c>
      <c r="X51" s="19">
        <v>8.9600000000000009</v>
      </c>
      <c r="Y51" s="19">
        <v>9.2853999999999992</v>
      </c>
      <c r="Z51" s="4"/>
      <c r="AA51" s="4"/>
      <c r="AB51" s="4" t="e">
        <f ca="1">_xll.ciqfunctions.udf.CIQ("^SPX", "IQ_PRICEDATE", "3/6/2014")</f>
        <v>#NAME?</v>
      </c>
      <c r="AC51" s="16">
        <v>1877.0258953811001</v>
      </c>
    </row>
    <row r="52" spans="1:29" x14ac:dyDescent="0.35">
      <c r="A52" s="2" t="s">
        <v>62</v>
      </c>
      <c r="B52" s="4" t="s">
        <v>679</v>
      </c>
      <c r="C52" s="4" t="s">
        <v>573</v>
      </c>
      <c r="D52" s="4" t="s">
        <v>579</v>
      </c>
      <c r="E52" s="4" t="s">
        <v>579</v>
      </c>
      <c r="F52" s="4" t="s">
        <v>680</v>
      </c>
      <c r="G52" s="14">
        <v>150.46</v>
      </c>
      <c r="H52" s="10">
        <v>18.739305999999999</v>
      </c>
      <c r="I52" s="10">
        <v>45.505878000000003</v>
      </c>
      <c r="J52" s="10" t="s">
        <v>534</v>
      </c>
      <c r="K52" s="15">
        <v>1.0633999999999999E-2</v>
      </c>
      <c r="L52" s="17">
        <v>36509.922908</v>
      </c>
      <c r="M52" s="4" t="s">
        <v>681</v>
      </c>
      <c r="N52" s="19">
        <v>3.3063859999999998</v>
      </c>
      <c r="O52" s="19">
        <v>8.5817999999999994</v>
      </c>
      <c r="P52" s="19">
        <v>1.53</v>
      </c>
      <c r="Q52" s="19">
        <v>7.5286999999999997</v>
      </c>
      <c r="R52" s="19">
        <v>4.51</v>
      </c>
      <c r="S52" s="19">
        <v>6.8296000000000001</v>
      </c>
      <c r="T52" s="19">
        <v>4.51</v>
      </c>
      <c r="U52" s="19">
        <v>6.2182000000000004</v>
      </c>
      <c r="V52" s="19">
        <v>4.6628829999999999</v>
      </c>
      <c r="W52" s="19">
        <v>5.8129</v>
      </c>
      <c r="X52" s="19">
        <v>4.6628829999999999</v>
      </c>
      <c r="Y52" s="19">
        <v>5.8129</v>
      </c>
      <c r="Z52" s="4"/>
      <c r="AA52" s="4"/>
      <c r="AB52" s="4" t="e">
        <f ca="1">_xll.ciqfunctions.udf.CIQ("^SPX", "IQ_PRICEDATE", "3/7/2014")</f>
        <v>#NAME?</v>
      </c>
      <c r="AC52" s="16">
        <v>1878.0391851899001</v>
      </c>
    </row>
    <row r="53" spans="1:29" x14ac:dyDescent="0.35">
      <c r="A53" s="2" t="s">
        <v>63</v>
      </c>
      <c r="B53" s="4" t="s">
        <v>682</v>
      </c>
      <c r="C53" s="4" t="s">
        <v>669</v>
      </c>
      <c r="D53" s="4" t="s">
        <v>669</v>
      </c>
      <c r="E53" s="4" t="s">
        <v>670</v>
      </c>
      <c r="F53" s="4" t="s">
        <v>671</v>
      </c>
      <c r="G53" s="14">
        <v>43.28</v>
      </c>
      <c r="H53" s="10">
        <v>6.2995989999999997</v>
      </c>
      <c r="I53" s="10">
        <v>19.326829</v>
      </c>
      <c r="J53" s="10">
        <v>2.166601</v>
      </c>
      <c r="K53" s="15">
        <v>2.3105000000000001E-2</v>
      </c>
      <c r="L53" s="17">
        <v>16553.992045999999</v>
      </c>
      <c r="M53" s="4" t="s">
        <v>683</v>
      </c>
      <c r="N53" s="19">
        <v>2.2393740000000002</v>
      </c>
      <c r="O53" s="19">
        <v>2.0139999999999998</v>
      </c>
      <c r="P53" s="19">
        <v>3.41</v>
      </c>
      <c r="Q53" s="19">
        <v>0.89849999999999997</v>
      </c>
      <c r="R53" s="19">
        <v>-3.6200519999999998</v>
      </c>
      <c r="S53" s="19">
        <v>1.1649</v>
      </c>
      <c r="T53" s="19">
        <v>-3.6200519999999998</v>
      </c>
      <c r="U53" s="19">
        <v>-0.7903</v>
      </c>
      <c r="V53" s="19">
        <v>-17.325520000000001</v>
      </c>
      <c r="W53" s="19">
        <v>1.9764999999999999</v>
      </c>
      <c r="X53" s="19">
        <v>-17.325520000000001</v>
      </c>
      <c r="Y53" s="19">
        <v>1.9764999999999999</v>
      </c>
      <c r="Z53" s="4"/>
      <c r="AA53" s="4"/>
      <c r="AB53" s="4" t="e">
        <f ca="1">_xll.ciqfunctions.udf.CIQ("^SPX", "IQ_PRICEDATE", "3/10/2014")</f>
        <v>#NAME?</v>
      </c>
      <c r="AC53" s="16">
        <v>1877.1738938220001</v>
      </c>
    </row>
    <row r="54" spans="1:29" x14ac:dyDescent="0.35">
      <c r="A54" s="2" t="s">
        <v>64</v>
      </c>
      <c r="B54" s="4" t="s">
        <v>684</v>
      </c>
      <c r="C54" s="4" t="s">
        <v>601</v>
      </c>
      <c r="D54" s="4" t="s">
        <v>601</v>
      </c>
      <c r="E54" s="4" t="s">
        <v>602</v>
      </c>
      <c r="F54" s="4" t="s">
        <v>685</v>
      </c>
      <c r="G54" s="14">
        <v>42.84</v>
      </c>
      <c r="H54" s="10">
        <v>18.993903</v>
      </c>
      <c r="I54" s="10">
        <v>18.426662</v>
      </c>
      <c r="J54" s="10">
        <v>4.5242969999999998</v>
      </c>
      <c r="K54" s="15">
        <v>3.5479999999999998E-2</v>
      </c>
      <c r="L54" s="17">
        <v>6740.935176</v>
      </c>
      <c r="M54" s="4" t="s">
        <v>686</v>
      </c>
      <c r="N54" s="19">
        <v>2.3248920000000002</v>
      </c>
      <c r="O54" s="19">
        <v>0.33029999999999998</v>
      </c>
      <c r="P54" s="19">
        <v>1.96</v>
      </c>
      <c r="Q54" s="19">
        <v>0.66559999999999997</v>
      </c>
      <c r="R54" s="19">
        <v>2.67</v>
      </c>
      <c r="S54" s="19">
        <v>0.29970000000000002</v>
      </c>
      <c r="T54" s="19">
        <v>2.67</v>
      </c>
      <c r="U54" s="19">
        <v>0.47310000000000002</v>
      </c>
      <c r="V54" s="19">
        <v>2.06</v>
      </c>
      <c r="W54" s="19">
        <v>0.43669999999999998</v>
      </c>
      <c r="X54" s="19">
        <v>2.06</v>
      </c>
      <c r="Y54" s="19">
        <v>0.43669999999999998</v>
      </c>
      <c r="Z54" s="4"/>
      <c r="AA54" s="4"/>
      <c r="AB54" s="4" t="e">
        <f ca="1">_xll.ciqfunctions.udf.CIQ("^SPX", "IQ_PRICEDATE", "3/11/2014")</f>
        <v>#NAME?</v>
      </c>
      <c r="AC54" s="16">
        <v>1867.6260374315</v>
      </c>
    </row>
    <row r="55" spans="1:29" x14ac:dyDescent="0.35">
      <c r="A55" s="2" t="s">
        <v>65</v>
      </c>
      <c r="B55" s="4" t="s">
        <v>687</v>
      </c>
      <c r="C55" s="4" t="s">
        <v>543</v>
      </c>
      <c r="D55" s="4" t="s">
        <v>664</v>
      </c>
      <c r="E55" s="4" t="s">
        <v>688</v>
      </c>
      <c r="F55" s="4" t="s">
        <v>688</v>
      </c>
      <c r="G55" s="14">
        <v>221.19</v>
      </c>
      <c r="H55" s="10">
        <v>14.159171000000001</v>
      </c>
      <c r="I55" s="10">
        <v>20.039470000000001</v>
      </c>
      <c r="J55" s="10">
        <v>9.3189569999999993</v>
      </c>
      <c r="K55" s="15">
        <v>1.3201000000000001E-2</v>
      </c>
      <c r="L55" s="17">
        <v>1068332.2167</v>
      </c>
      <c r="M55" s="4" t="s">
        <v>689</v>
      </c>
      <c r="N55" s="19">
        <v>11.037717000000001</v>
      </c>
      <c r="O55" s="19">
        <v>13.3803</v>
      </c>
      <c r="P55" s="19">
        <v>9.7002210000000009</v>
      </c>
      <c r="Q55" s="19">
        <v>11.456049999999999</v>
      </c>
      <c r="R55" s="19">
        <v>8.3295469999999998</v>
      </c>
      <c r="S55" s="19">
        <v>9.0141500000000008</v>
      </c>
      <c r="T55" s="19">
        <v>8.3295469999999998</v>
      </c>
      <c r="U55" s="19">
        <v>9.7505699999999997</v>
      </c>
      <c r="V55" s="19">
        <v>7.3854069999999998</v>
      </c>
      <c r="W55" s="19">
        <v>7.7707300000000004</v>
      </c>
      <c r="X55" s="19">
        <v>7.3854069999999998</v>
      </c>
      <c r="Y55" s="19">
        <v>7.7707300000000004</v>
      </c>
      <c r="Z55" s="4"/>
      <c r="AA55" s="4"/>
      <c r="AB55" s="4" t="e">
        <f ca="1">_xll.ciqfunctions.udf.CIQ("^SPX", "IQ_PRICEDATE", "3/12/2014")</f>
        <v>#NAME?</v>
      </c>
      <c r="AC55" s="16">
        <v>1868.1951226484</v>
      </c>
    </row>
    <row r="56" spans="1:29" x14ac:dyDescent="0.35">
      <c r="A56" s="2" t="s">
        <v>66</v>
      </c>
      <c r="B56" s="4" t="s">
        <v>690</v>
      </c>
      <c r="C56" s="4" t="s">
        <v>543</v>
      </c>
      <c r="D56" s="4" t="s">
        <v>565</v>
      </c>
      <c r="E56" s="4" t="s">
        <v>565</v>
      </c>
      <c r="F56" s="4" t="s">
        <v>691</v>
      </c>
      <c r="G56" s="14">
        <v>34.96</v>
      </c>
      <c r="H56" s="10">
        <v>6.7097850000000001</v>
      </c>
      <c r="I56" s="10">
        <v>10.708788999999999</v>
      </c>
      <c r="J56" s="10">
        <v>10.759346000000001</v>
      </c>
      <c r="K56" s="15">
        <v>2.2883000000000001E-2</v>
      </c>
      <c r="L56" s="17">
        <v>34365.348614000002</v>
      </c>
      <c r="M56" s="4" t="s">
        <v>692</v>
      </c>
      <c r="N56" s="19">
        <v>3.264608</v>
      </c>
      <c r="O56" s="19">
        <v>3.9666999999999999</v>
      </c>
      <c r="P56" s="19">
        <v>3.17</v>
      </c>
      <c r="Q56" s="19">
        <v>4.0048399999999997</v>
      </c>
      <c r="R56" s="19">
        <v>1.54</v>
      </c>
      <c r="S56" s="19">
        <v>2.37785</v>
      </c>
      <c r="T56" s="19">
        <v>1.54</v>
      </c>
      <c r="U56" s="19">
        <v>1.2066399999999999</v>
      </c>
      <c r="V56" s="19">
        <v>0.87</v>
      </c>
      <c r="W56" s="19">
        <v>1.30138</v>
      </c>
      <c r="X56" s="19">
        <v>0.87</v>
      </c>
      <c r="Y56" s="19">
        <v>1.30138</v>
      </c>
      <c r="Z56" s="4"/>
      <c r="AA56" s="4"/>
      <c r="AB56" s="4" t="e">
        <f ca="1">_xll.ciqfunctions.udf.CIQ("^SPX", "IQ_PRICEDATE", "3/13/2014")</f>
        <v>#NAME?</v>
      </c>
      <c r="AC56" s="16">
        <v>1846.3448121255001</v>
      </c>
    </row>
    <row r="57" spans="1:29" x14ac:dyDescent="0.35">
      <c r="A57" s="2" t="s">
        <v>67</v>
      </c>
      <c r="B57" s="4" t="s">
        <v>693</v>
      </c>
      <c r="C57" s="4" t="s">
        <v>559</v>
      </c>
      <c r="D57" s="4" t="s">
        <v>694</v>
      </c>
      <c r="E57" s="4" t="s">
        <v>695</v>
      </c>
      <c r="F57" s="4" t="s">
        <v>696</v>
      </c>
      <c r="G57" s="14">
        <v>73.98</v>
      </c>
      <c r="H57" s="10">
        <v>10.14565</v>
      </c>
      <c r="I57" s="10">
        <v>18.121883</v>
      </c>
      <c r="J57" s="10">
        <v>161.92789999999999</v>
      </c>
      <c r="K57" s="15">
        <v>1.1894999999999999E-2</v>
      </c>
      <c r="L57" s="17">
        <v>19585.316129999999</v>
      </c>
      <c r="M57" s="4" t="s">
        <v>697</v>
      </c>
      <c r="N57" s="19">
        <v>4.082357</v>
      </c>
      <c r="O57" s="19">
        <v>5.5492999999999997</v>
      </c>
      <c r="P57" s="19">
        <v>3.6982119999999998</v>
      </c>
      <c r="Q57" s="19">
        <v>5.1178999999999997</v>
      </c>
      <c r="R57" s="19">
        <v>2.9166349999999999</v>
      </c>
      <c r="S57" s="19">
        <v>6.3044000000000002</v>
      </c>
      <c r="T57" s="19">
        <v>2.9166349999999999</v>
      </c>
      <c r="U57" s="19">
        <v>5.9668999999999999</v>
      </c>
      <c r="V57" s="19">
        <v>4.2812520000000003</v>
      </c>
      <c r="W57" s="19">
        <v>5.5155000000000003</v>
      </c>
      <c r="X57" s="19">
        <v>4.2812520000000003</v>
      </c>
      <c r="Y57" s="19">
        <v>5.5155000000000003</v>
      </c>
      <c r="Z57" s="4"/>
      <c r="AA57" s="4"/>
      <c r="AB57" s="4" t="e">
        <f ca="1">_xll.ciqfunctions.udf.CIQ("^SPX", "IQ_PRICEDATE", "3/14/2014")</f>
        <v>#NAME?</v>
      </c>
      <c r="AC57" s="16">
        <v>1841.1335089520001</v>
      </c>
    </row>
    <row r="58" spans="1:29" x14ac:dyDescent="0.35">
      <c r="A58" s="2" t="s">
        <v>68</v>
      </c>
      <c r="B58" s="4" t="s">
        <v>698</v>
      </c>
      <c r="C58" s="4" t="s">
        <v>626</v>
      </c>
      <c r="D58" s="4" t="s">
        <v>627</v>
      </c>
      <c r="E58" s="4" t="s">
        <v>699</v>
      </c>
      <c r="F58" s="4" t="s">
        <v>700</v>
      </c>
      <c r="G58" s="14">
        <v>49.03</v>
      </c>
      <c r="H58" s="10">
        <v>10.862416</v>
      </c>
      <c r="I58" s="10">
        <v>14.316916000000001</v>
      </c>
      <c r="J58" s="10">
        <v>1.8424149999999999</v>
      </c>
      <c r="K58" s="15">
        <v>2.733E-2</v>
      </c>
      <c r="L58" s="17">
        <v>27443.924623999999</v>
      </c>
      <c r="M58" s="4" t="s">
        <v>701</v>
      </c>
      <c r="N58" s="19">
        <v>3.42462</v>
      </c>
      <c r="O58" s="19">
        <v>3.6072000000000002</v>
      </c>
      <c r="P58" s="19">
        <v>2.79</v>
      </c>
      <c r="Q58" s="19">
        <v>2.6318000000000001</v>
      </c>
      <c r="R58" s="19">
        <v>2.16</v>
      </c>
      <c r="S58" s="19">
        <v>2.8992</v>
      </c>
      <c r="T58" s="19">
        <v>2.16</v>
      </c>
      <c r="U58" s="19">
        <v>2.9195000000000002</v>
      </c>
      <c r="V58" s="19">
        <v>3.43</v>
      </c>
      <c r="W58" s="19">
        <v>3.5432000000000001</v>
      </c>
      <c r="X58" s="19">
        <v>3.43</v>
      </c>
      <c r="Y58" s="19">
        <v>3.5432000000000001</v>
      </c>
      <c r="Z58" s="4"/>
      <c r="AA58" s="4"/>
      <c r="AB58" s="4" t="e">
        <f ca="1">_xll.ciqfunctions.udf.CIQ("^SPX", "IQ_PRICEDATE", "3/17/2014")</f>
        <v>#NAME?</v>
      </c>
      <c r="AC58" s="16">
        <v>1858.8322294687</v>
      </c>
    </row>
    <row r="59" spans="1:29" x14ac:dyDescent="0.35">
      <c r="A59" s="2" t="s">
        <v>69</v>
      </c>
      <c r="B59" s="4" t="s">
        <v>702</v>
      </c>
      <c r="C59" s="4" t="s">
        <v>525</v>
      </c>
      <c r="D59" s="4" t="s">
        <v>526</v>
      </c>
      <c r="E59" s="4" t="s">
        <v>703</v>
      </c>
      <c r="F59" s="4" t="s">
        <v>703</v>
      </c>
      <c r="G59" s="14">
        <v>22.52</v>
      </c>
      <c r="H59" s="10">
        <v>9.0503370000000007</v>
      </c>
      <c r="I59" s="10" t="s">
        <v>534</v>
      </c>
      <c r="J59" s="10" t="s">
        <v>534</v>
      </c>
      <c r="K59" s="15">
        <v>1.0657000000000002E-2</v>
      </c>
      <c r="L59" s="17">
        <v>10876.140249</v>
      </c>
      <c r="M59" s="4" t="s">
        <v>704</v>
      </c>
      <c r="N59" s="19">
        <v>-0.83657099999999995</v>
      </c>
      <c r="O59" s="19">
        <v>1.3976</v>
      </c>
      <c r="P59" s="19">
        <v>-0.28159600000000001</v>
      </c>
      <c r="Q59" s="19">
        <v>1.3622000000000001</v>
      </c>
      <c r="R59" s="19">
        <v>-2.5821909999999999</v>
      </c>
      <c r="S59" s="19">
        <v>1.2056500000000001</v>
      </c>
      <c r="T59" s="19">
        <v>-2.5821909999999999</v>
      </c>
      <c r="U59" s="19">
        <v>0</v>
      </c>
      <c r="V59" s="19">
        <v>-0.21188599999999999</v>
      </c>
      <c r="W59" s="19">
        <v>0</v>
      </c>
      <c r="X59" s="19">
        <v>-0.21188599999999999</v>
      </c>
      <c r="Y59" s="19">
        <v>0</v>
      </c>
      <c r="Z59" s="4"/>
      <c r="AA59" s="4"/>
      <c r="AB59" s="4" t="e">
        <f ca="1">_xll.ciqfunctions.udf.CIQ("^SPX", "IQ_PRICEDATE", "3/18/2014")</f>
        <v>#NAME?</v>
      </c>
      <c r="AC59" s="16">
        <v>1872.2515034585999</v>
      </c>
    </row>
    <row r="60" spans="1:29" x14ac:dyDescent="0.35">
      <c r="A60" s="2" t="s">
        <v>70</v>
      </c>
      <c r="B60" s="4" t="s">
        <v>705</v>
      </c>
      <c r="C60" s="4" t="s">
        <v>543</v>
      </c>
      <c r="D60" s="4" t="s">
        <v>664</v>
      </c>
      <c r="E60" s="4" t="s">
        <v>706</v>
      </c>
      <c r="F60" s="4" t="s">
        <v>706</v>
      </c>
      <c r="G60" s="14">
        <v>238.95</v>
      </c>
      <c r="H60" s="10">
        <v>26.489977</v>
      </c>
      <c r="I60" s="10">
        <v>81.112485000000007</v>
      </c>
      <c r="J60" s="10">
        <v>10.390459</v>
      </c>
      <c r="K60" s="15">
        <v>0</v>
      </c>
      <c r="L60" s="17">
        <v>17879.120487</v>
      </c>
      <c r="M60" s="4" t="s">
        <v>707</v>
      </c>
      <c r="N60" s="19">
        <v>2.9459089999999999</v>
      </c>
      <c r="O60" s="19">
        <v>7.7565999999999997</v>
      </c>
      <c r="P60" s="19">
        <v>5.349253</v>
      </c>
      <c r="Q60" s="19">
        <v>5.8776999999999999</v>
      </c>
      <c r="R60" s="19">
        <v>2.499781</v>
      </c>
      <c r="S60" s="19">
        <v>3.2968000000000002</v>
      </c>
      <c r="T60" s="19">
        <v>2.499781</v>
      </c>
      <c r="U60" s="19">
        <v>2.4504000000000001</v>
      </c>
      <c r="V60" s="19">
        <v>1.291884</v>
      </c>
      <c r="W60" s="19">
        <v>1.4689000000000001</v>
      </c>
      <c r="X60" s="19">
        <v>1.291884</v>
      </c>
      <c r="Y60" s="19">
        <v>1.4689000000000001</v>
      </c>
      <c r="Z60" s="4"/>
      <c r="AA60" s="4"/>
      <c r="AB60" s="4" t="e">
        <f ca="1">_xll.ciqfunctions.udf.CIQ("^SPX", "IQ_PRICEDATE", "3/19/2014")</f>
        <v>#NAME?</v>
      </c>
      <c r="AC60" s="16">
        <v>1860.771428732</v>
      </c>
    </row>
    <row r="61" spans="1:29" x14ac:dyDescent="0.35">
      <c r="A61" s="2" t="s">
        <v>71</v>
      </c>
      <c r="B61" s="4" t="s">
        <v>708</v>
      </c>
      <c r="C61" s="4" t="s">
        <v>573</v>
      </c>
      <c r="D61" s="4" t="s">
        <v>579</v>
      </c>
      <c r="E61" s="4" t="s">
        <v>579</v>
      </c>
      <c r="F61" s="4" t="s">
        <v>680</v>
      </c>
      <c r="G61" s="14">
        <v>72.11</v>
      </c>
      <c r="H61" s="10">
        <v>15.740428</v>
      </c>
      <c r="I61" s="10">
        <v>24.028448000000001</v>
      </c>
      <c r="J61" s="10" t="s">
        <v>534</v>
      </c>
      <c r="K61" s="15">
        <v>2.2743000000000003E-2</v>
      </c>
      <c r="L61" s="17">
        <v>13168.151320000001</v>
      </c>
      <c r="M61" s="4" t="s">
        <v>709</v>
      </c>
      <c r="N61" s="19">
        <v>3.001026</v>
      </c>
      <c r="O61" s="19">
        <v>3.6972</v>
      </c>
      <c r="P61" s="19">
        <v>2.54</v>
      </c>
      <c r="Q61" s="19">
        <v>3.2663000000000002</v>
      </c>
      <c r="R61" s="19">
        <v>2.3199999999999998</v>
      </c>
      <c r="S61" s="19">
        <v>2.9754</v>
      </c>
      <c r="T61" s="19">
        <v>2.3199999999999998</v>
      </c>
      <c r="U61" s="19">
        <v>2.6560000000000001</v>
      </c>
      <c r="V61" s="19">
        <v>1.97</v>
      </c>
      <c r="W61" s="19">
        <v>2.6497999999999999</v>
      </c>
      <c r="X61" s="19">
        <v>1.97</v>
      </c>
      <c r="Y61" s="19">
        <v>2.6497999999999999</v>
      </c>
      <c r="Z61" s="4"/>
      <c r="AA61" s="4"/>
      <c r="AB61" s="4" t="e">
        <f ca="1">_xll.ciqfunctions.udf.CIQ("^SPX", "IQ_PRICEDATE", "3/20/2014")</f>
        <v>#NAME?</v>
      </c>
      <c r="AC61" s="16">
        <v>1872.0084084619</v>
      </c>
    </row>
    <row r="62" spans="1:29" x14ac:dyDescent="0.35">
      <c r="A62" s="2" t="s">
        <v>72</v>
      </c>
      <c r="B62" s="4" t="s">
        <v>710</v>
      </c>
      <c r="C62" s="4" t="s">
        <v>573</v>
      </c>
      <c r="D62" s="4" t="s">
        <v>579</v>
      </c>
      <c r="E62" s="4" t="s">
        <v>579</v>
      </c>
      <c r="F62" s="4" t="s">
        <v>644</v>
      </c>
      <c r="G62" s="14">
        <v>105.89</v>
      </c>
      <c r="H62" s="10">
        <v>14.818097</v>
      </c>
      <c r="I62" s="10">
        <v>13.824254</v>
      </c>
      <c r="J62" s="10">
        <v>2.935953</v>
      </c>
      <c r="K62" s="15">
        <v>2.1154000000000003E-2</v>
      </c>
      <c r="L62" s="17">
        <v>6616.8672390000002</v>
      </c>
      <c r="M62" s="4" t="s">
        <v>711</v>
      </c>
      <c r="N62" s="19">
        <v>7.659726</v>
      </c>
      <c r="O62" s="19">
        <v>7.9082999999999997</v>
      </c>
      <c r="P62" s="19">
        <v>9.3899989999999995</v>
      </c>
      <c r="Q62" s="19">
        <v>6.7249999999999996</v>
      </c>
      <c r="R62" s="19">
        <v>9.1300000000000008</v>
      </c>
      <c r="S62" s="19">
        <v>5.0307000000000004</v>
      </c>
      <c r="T62" s="19">
        <v>9.1300000000000008</v>
      </c>
      <c r="U62" s="19">
        <v>6.3696000000000002</v>
      </c>
      <c r="V62" s="19">
        <v>6.4399990000000003</v>
      </c>
      <c r="W62" s="19">
        <v>6.4756</v>
      </c>
      <c r="X62" s="19">
        <v>6.4399990000000003</v>
      </c>
      <c r="Y62" s="19">
        <v>6.4756</v>
      </c>
      <c r="Z62" s="4"/>
      <c r="AA62" s="4"/>
      <c r="AB62" s="4" t="e">
        <f ca="1">_xll.ciqfunctions.udf.CIQ("^SPX", "IQ_PRICEDATE", "3/21/2014")</f>
        <v>#NAME?</v>
      </c>
      <c r="AC62" s="16">
        <v>1866.5207372805</v>
      </c>
    </row>
    <row r="63" spans="1:29" x14ac:dyDescent="0.35">
      <c r="A63" s="2" t="s">
        <v>73</v>
      </c>
      <c r="B63" s="4" t="s">
        <v>712</v>
      </c>
      <c r="C63" s="4" t="s">
        <v>549</v>
      </c>
      <c r="D63" s="4" t="s">
        <v>713</v>
      </c>
      <c r="E63" s="4" t="s">
        <v>714</v>
      </c>
      <c r="F63" s="4" t="s">
        <v>715</v>
      </c>
      <c r="G63" s="14">
        <v>32.57</v>
      </c>
      <c r="H63" s="10">
        <v>9.1452080000000002</v>
      </c>
      <c r="I63" s="10">
        <v>6.364617</v>
      </c>
      <c r="J63" s="10" t="s">
        <v>534</v>
      </c>
      <c r="K63" s="15">
        <v>6.1406000000000002E-2</v>
      </c>
      <c r="L63" s="17">
        <v>236523.34</v>
      </c>
      <c r="M63" s="4" t="s">
        <v>716</v>
      </c>
      <c r="N63" s="19">
        <v>5.1173539999999997</v>
      </c>
      <c r="O63" s="19">
        <v>3.5756999999999999</v>
      </c>
      <c r="P63" s="19">
        <v>4.7651620000000001</v>
      </c>
      <c r="Q63" s="19">
        <v>2.9018000000000002</v>
      </c>
      <c r="R63" s="19">
        <v>2.0987230000000001</v>
      </c>
      <c r="S63" s="19">
        <v>2.9396</v>
      </c>
      <c r="T63" s="19">
        <v>2.0987230000000001</v>
      </c>
      <c r="U63" s="19">
        <v>2.8005</v>
      </c>
      <c r="V63" s="19">
        <v>1.236353</v>
      </c>
      <c r="W63" s="19">
        <v>2.5251000000000001</v>
      </c>
      <c r="X63" s="19">
        <v>1.236353</v>
      </c>
      <c r="Y63" s="19">
        <v>2.5251000000000001</v>
      </c>
      <c r="Z63" s="4"/>
      <c r="AA63" s="4"/>
      <c r="AB63" s="4" t="e">
        <f ca="1">_xll.ciqfunctions.udf.CIQ("^SPX", "IQ_PRICEDATE", "3/24/2014")</f>
        <v>#NAME?</v>
      </c>
      <c r="AC63" s="16">
        <v>1857.4444747878999</v>
      </c>
    </row>
    <row r="64" spans="1:29" x14ac:dyDescent="0.35">
      <c r="A64" s="2" t="s">
        <v>74</v>
      </c>
      <c r="B64" s="4" t="s">
        <v>717</v>
      </c>
      <c r="C64" s="4" t="s">
        <v>543</v>
      </c>
      <c r="D64" s="4" t="s">
        <v>544</v>
      </c>
      <c r="E64" s="4" t="s">
        <v>555</v>
      </c>
      <c r="F64" s="4" t="s">
        <v>556</v>
      </c>
      <c r="G64" s="14">
        <v>141.77000000000001</v>
      </c>
      <c r="H64" s="10" t="s">
        <v>534</v>
      </c>
      <c r="I64" s="10" t="s">
        <v>534</v>
      </c>
      <c r="J64" s="10" t="s">
        <v>534</v>
      </c>
      <c r="K64" s="15">
        <v>0</v>
      </c>
      <c r="L64" s="17">
        <v>30993.280060000001</v>
      </c>
      <c r="M64" s="4" t="s">
        <v>718</v>
      </c>
      <c r="N64" s="19">
        <v>-1.8950009999999999</v>
      </c>
      <c r="O64" s="19">
        <v>1.9783999999999999</v>
      </c>
      <c r="P64" s="19">
        <v>-2.5763630000000002</v>
      </c>
      <c r="Q64" s="19">
        <v>0.66180000000000005</v>
      </c>
      <c r="R64" s="19">
        <v>-1.9964839999999999</v>
      </c>
      <c r="S64" s="19">
        <v>-0.52749999999999997</v>
      </c>
      <c r="T64" s="19">
        <v>-1.9964839999999999</v>
      </c>
      <c r="U64" s="19">
        <v>-0.3221</v>
      </c>
      <c r="V64" s="19">
        <v>0.53063800000000005</v>
      </c>
      <c r="W64" s="19">
        <v>1.2554000000000001</v>
      </c>
      <c r="X64" s="19">
        <v>0.53063800000000005</v>
      </c>
      <c r="Y64" s="19">
        <v>1.2554000000000001</v>
      </c>
      <c r="Z64" s="4"/>
      <c r="AA64" s="4"/>
      <c r="AB64" s="4" t="e">
        <f ca="1">_xll.ciqfunctions.udf.CIQ("^SPX", "IQ_PRICEDATE", "3/25/2014")</f>
        <v>#NAME?</v>
      </c>
      <c r="AC64" s="16">
        <v>1865.6243739253</v>
      </c>
    </row>
    <row r="65" spans="1:29" x14ac:dyDescent="0.35">
      <c r="A65" s="2" t="s">
        <v>75</v>
      </c>
      <c r="B65" s="4" t="s">
        <v>719</v>
      </c>
      <c r="C65" s="4" t="s">
        <v>543</v>
      </c>
      <c r="D65" s="4" t="s">
        <v>544</v>
      </c>
      <c r="E65" s="4" t="s">
        <v>545</v>
      </c>
      <c r="F65" s="4" t="s">
        <v>616</v>
      </c>
      <c r="G65" s="14">
        <v>143.66</v>
      </c>
      <c r="H65" s="10">
        <v>21.476887999999999</v>
      </c>
      <c r="I65" s="10">
        <v>39.251365999999997</v>
      </c>
      <c r="J65" s="10">
        <v>191.19817599999999</v>
      </c>
      <c r="K65" s="15">
        <v>1.9212E-2</v>
      </c>
      <c r="L65" s="17">
        <v>62842.607558000003</v>
      </c>
      <c r="M65" s="4" t="s">
        <v>720</v>
      </c>
      <c r="N65" s="19">
        <v>3.66</v>
      </c>
      <c r="O65" s="19">
        <v>5.1756099999999998</v>
      </c>
      <c r="P65" s="19">
        <v>3.8696419999999998</v>
      </c>
      <c r="Q65" s="19">
        <v>3.9645000000000001</v>
      </c>
      <c r="R65" s="19">
        <v>3.7221359999999999</v>
      </c>
      <c r="S65" s="19">
        <v>3.6962000000000002</v>
      </c>
      <c r="T65" s="19">
        <v>3.7221359999999999</v>
      </c>
      <c r="U65" s="19">
        <v>3.3454999999999999</v>
      </c>
      <c r="V65" s="19">
        <v>2.6802760000000001</v>
      </c>
      <c r="W65" s="19">
        <v>3.0026000000000002</v>
      </c>
      <c r="X65" s="19">
        <v>2.6802760000000001</v>
      </c>
      <c r="Y65" s="19">
        <v>3.0026000000000002</v>
      </c>
      <c r="Z65" s="4"/>
      <c r="AA65" s="4"/>
      <c r="AB65" s="4" t="e">
        <f ca="1">_xll.ciqfunctions.udf.CIQ("^SPX", "IQ_PRICEDATE", "3/26/2014")</f>
        <v>#NAME?</v>
      </c>
      <c r="AC65" s="16">
        <v>1852.5611685929</v>
      </c>
    </row>
    <row r="66" spans="1:29" x14ac:dyDescent="0.35">
      <c r="A66" s="2" t="s">
        <v>76</v>
      </c>
      <c r="B66" s="4" t="s">
        <v>721</v>
      </c>
      <c r="C66" s="4" t="s">
        <v>559</v>
      </c>
      <c r="D66" s="4" t="s">
        <v>560</v>
      </c>
      <c r="E66" s="4" t="s">
        <v>561</v>
      </c>
      <c r="F66" s="4" t="s">
        <v>562</v>
      </c>
      <c r="G66" s="14">
        <v>714.71</v>
      </c>
      <c r="H66" s="10">
        <v>9.9934390000000004</v>
      </c>
      <c r="I66" s="10">
        <v>14.654705</v>
      </c>
      <c r="J66" s="10" t="s">
        <v>534</v>
      </c>
      <c r="K66" s="15">
        <v>0</v>
      </c>
      <c r="L66" s="17">
        <v>18398.06482</v>
      </c>
      <c r="M66" s="4" t="s">
        <v>722</v>
      </c>
      <c r="N66" s="19">
        <v>48.77</v>
      </c>
      <c r="O66" s="19">
        <v>57.526809999999998</v>
      </c>
      <c r="P66" s="19">
        <v>44.790261000000001</v>
      </c>
      <c r="Q66" s="19">
        <v>47.839100000000002</v>
      </c>
      <c r="R66" s="19">
        <v>41.844641000000003</v>
      </c>
      <c r="S66" s="19">
        <v>46.582099999999997</v>
      </c>
      <c r="T66" s="19">
        <v>41.844641000000003</v>
      </c>
      <c r="U66" s="19">
        <v>41.786000000000001</v>
      </c>
      <c r="V66" s="19">
        <v>32.623027999999998</v>
      </c>
      <c r="W66" s="19">
        <v>36.801200000000001</v>
      </c>
      <c r="X66" s="19">
        <v>32.623027999999998</v>
      </c>
      <c r="Y66" s="19">
        <v>36.801200000000001</v>
      </c>
      <c r="Z66" s="4"/>
      <c r="AA66" s="4"/>
      <c r="AB66" s="4" t="e">
        <f ca="1">_xll.ciqfunctions.udf.CIQ("^SPX", "IQ_PRICEDATE", "3/27/2014")</f>
        <v>#NAME?</v>
      </c>
      <c r="AC66" s="16">
        <v>1849.0426430863999</v>
      </c>
    </row>
    <row r="67" spans="1:29" x14ac:dyDescent="0.35">
      <c r="A67" s="2" t="s">
        <v>77</v>
      </c>
      <c r="B67" s="4" t="s">
        <v>723</v>
      </c>
      <c r="C67" s="4" t="s">
        <v>601</v>
      </c>
      <c r="D67" s="4" t="s">
        <v>601</v>
      </c>
      <c r="E67" s="4" t="s">
        <v>602</v>
      </c>
      <c r="F67" s="4" t="s">
        <v>685</v>
      </c>
      <c r="G67" s="14">
        <v>176</v>
      </c>
      <c r="H67" s="10">
        <v>21.987911</v>
      </c>
      <c r="I67" s="10">
        <v>27.894634</v>
      </c>
      <c r="J67" s="10">
        <v>2.3331940000000002</v>
      </c>
      <c r="K67" s="15">
        <v>3.3409000000000001E-2</v>
      </c>
      <c r="L67" s="17">
        <v>24326.496127999999</v>
      </c>
      <c r="M67" s="4" t="s">
        <v>724</v>
      </c>
      <c r="N67" s="19">
        <v>6.3094570000000001</v>
      </c>
      <c r="O67" s="19">
        <v>4.8205</v>
      </c>
      <c r="P67" s="19">
        <v>6.3517340000000004</v>
      </c>
      <c r="Q67" s="19">
        <v>4.6833</v>
      </c>
      <c r="R67" s="19">
        <v>7.522411</v>
      </c>
      <c r="S67" s="19">
        <v>4.4530000000000003</v>
      </c>
      <c r="T67" s="19">
        <v>7.522411</v>
      </c>
      <c r="U67" s="19">
        <v>4.3085000000000004</v>
      </c>
      <c r="V67" s="19">
        <v>4.9179760000000003</v>
      </c>
      <c r="W67" s="19">
        <v>3.7132999999999998</v>
      </c>
      <c r="X67" s="19">
        <v>4.9179760000000003</v>
      </c>
      <c r="Y67" s="19">
        <v>3.7132999999999998</v>
      </c>
      <c r="Z67" s="4"/>
      <c r="AA67" s="4"/>
      <c r="AB67" s="4" t="e">
        <f ca="1">_xll.ciqfunctions.udf.CIQ("^SPX", "IQ_PRICEDATE", "3/28/2014")</f>
        <v>#NAME?</v>
      </c>
      <c r="AC67" s="16">
        <v>1857.6207873610999</v>
      </c>
    </row>
    <row r="68" spans="1:29" x14ac:dyDescent="0.35">
      <c r="A68" s="2" t="s">
        <v>78</v>
      </c>
      <c r="B68" s="4" t="s">
        <v>725</v>
      </c>
      <c r="C68" s="4" t="s">
        <v>586</v>
      </c>
      <c r="D68" s="4" t="s">
        <v>586</v>
      </c>
      <c r="E68" s="4" t="s">
        <v>726</v>
      </c>
      <c r="F68" s="4" t="s">
        <v>727</v>
      </c>
      <c r="G68" s="14">
        <v>99.55</v>
      </c>
      <c r="H68" s="10">
        <v>10.900296000000001</v>
      </c>
      <c r="I68" s="10">
        <v>33.142623</v>
      </c>
      <c r="J68" s="10" t="s">
        <v>534</v>
      </c>
      <c r="K68" s="15">
        <v>2.0893999999999999E-2</v>
      </c>
      <c r="L68" s="17">
        <v>8702.4660810000005</v>
      </c>
      <c r="M68" s="4" t="s">
        <v>728</v>
      </c>
      <c r="N68" s="19">
        <v>3.0036849999999999</v>
      </c>
      <c r="O68" s="19">
        <v>6.3192000000000004</v>
      </c>
      <c r="P68" s="19">
        <v>3.13</v>
      </c>
      <c r="Q68" s="19">
        <v>5.5392999999999999</v>
      </c>
      <c r="R68" s="19">
        <v>3.54</v>
      </c>
      <c r="S68" s="19">
        <v>4.3076999999999996</v>
      </c>
      <c r="T68" s="19">
        <v>3.54</v>
      </c>
      <c r="U68" s="19">
        <v>3.6417000000000002</v>
      </c>
      <c r="V68" s="19">
        <v>2.2942740000000001</v>
      </c>
      <c r="W68" s="19">
        <v>3.3010000000000002</v>
      </c>
      <c r="X68" s="19">
        <v>2.2942740000000001</v>
      </c>
      <c r="Y68" s="19">
        <v>3.3010000000000002</v>
      </c>
      <c r="Z68" s="4"/>
      <c r="AA68" s="4"/>
      <c r="AB68" s="4" t="e">
        <f ca="1">_xll.ciqfunctions.udf.CIQ("^SPX", "IQ_PRICEDATE", "3/31/2014")</f>
        <v>#NAME?</v>
      </c>
      <c r="AC68" s="16">
        <v>1872.3351792173</v>
      </c>
    </row>
    <row r="69" spans="1:29" x14ac:dyDescent="0.35">
      <c r="A69" s="2" t="s">
        <v>79</v>
      </c>
      <c r="B69" s="4" t="s">
        <v>729</v>
      </c>
      <c r="C69" s="4" t="s">
        <v>669</v>
      </c>
      <c r="D69" s="4" t="s">
        <v>669</v>
      </c>
      <c r="E69" s="4" t="s">
        <v>730</v>
      </c>
      <c r="F69" s="4" t="s">
        <v>731</v>
      </c>
      <c r="G69" s="14">
        <v>30.79</v>
      </c>
      <c r="H69" s="10">
        <v>16.215605</v>
      </c>
      <c r="I69" s="10" t="s">
        <v>534</v>
      </c>
      <c r="J69" s="10" t="s">
        <v>534</v>
      </c>
      <c r="K69" s="15">
        <v>2.3384000000000002E-2</v>
      </c>
      <c r="L69" s="17">
        <v>12674.751071000001</v>
      </c>
      <c r="M69" s="4" t="s">
        <v>732</v>
      </c>
      <c r="N69" s="19">
        <v>-5.3901999999999999E-2</v>
      </c>
      <c r="O69" s="19">
        <v>1.0951</v>
      </c>
      <c r="P69" s="19">
        <v>-0.17096</v>
      </c>
      <c r="Q69" s="19">
        <v>0.8427</v>
      </c>
      <c r="R69" s="19">
        <v>0</v>
      </c>
      <c r="S69" s="19">
        <v>0</v>
      </c>
      <c r="T69" s="19">
        <v>0</v>
      </c>
      <c r="U69" s="19">
        <v>0</v>
      </c>
      <c r="V69" s="19">
        <v>0</v>
      </c>
      <c r="W69" s="19">
        <v>0</v>
      </c>
      <c r="X69" s="19">
        <v>0</v>
      </c>
      <c r="Y69" s="19">
        <v>0</v>
      </c>
      <c r="Z69" s="4"/>
      <c r="AA69" s="4"/>
      <c r="AB69" s="4" t="e">
        <f ca="1">_xll.ciqfunctions.udf.CIQ("^SPX", "IQ_PRICEDATE", "4/1/2014")</f>
        <v>#NAME?</v>
      </c>
      <c r="AC69" s="16">
        <v>1885.5225739334001</v>
      </c>
    </row>
    <row r="70" spans="1:29" x14ac:dyDescent="0.35">
      <c r="A70" s="2" t="s">
        <v>80</v>
      </c>
      <c r="B70" s="4" t="s">
        <v>733</v>
      </c>
      <c r="C70" s="4" t="s">
        <v>586</v>
      </c>
      <c r="D70" s="4" t="s">
        <v>586</v>
      </c>
      <c r="E70" s="4" t="s">
        <v>726</v>
      </c>
      <c r="F70" s="4" t="s">
        <v>734</v>
      </c>
      <c r="G70" s="14">
        <v>46.2</v>
      </c>
      <c r="H70" s="10">
        <v>12.136112000000001</v>
      </c>
      <c r="I70" s="10">
        <v>36.649678999999999</v>
      </c>
      <c r="J70" s="10" t="s">
        <v>534</v>
      </c>
      <c r="K70" s="15">
        <v>8.6580000000000008E-3</v>
      </c>
      <c r="L70" s="17">
        <v>15888.708251</v>
      </c>
      <c r="M70" s="4" t="s">
        <v>735</v>
      </c>
      <c r="N70" s="19">
        <v>1.2605839999999999</v>
      </c>
      <c r="O70" s="19">
        <v>2.4104000000000001</v>
      </c>
      <c r="P70" s="19">
        <v>1.05</v>
      </c>
      <c r="Q70" s="19">
        <v>2.2002999999999999</v>
      </c>
      <c r="R70" s="19">
        <v>0.81</v>
      </c>
      <c r="S70" s="19">
        <v>2.0415999999999999</v>
      </c>
      <c r="T70" s="19">
        <v>0.81</v>
      </c>
      <c r="U70" s="19">
        <v>1.7566999999999999</v>
      </c>
      <c r="V70" s="19">
        <v>1.65</v>
      </c>
      <c r="W70" s="19">
        <v>1.9826999999999999</v>
      </c>
      <c r="X70" s="19">
        <v>1.65</v>
      </c>
      <c r="Y70" s="19">
        <v>1.9826999999999999</v>
      </c>
      <c r="Z70" s="4"/>
      <c r="AA70" s="4"/>
      <c r="AB70" s="4" t="e">
        <f ca="1">_xll.ciqfunctions.udf.CIQ("^SPX", "IQ_PRICEDATE", "4/2/2014")</f>
        <v>#NAME?</v>
      </c>
      <c r="AC70" s="16">
        <v>1890.8987744302001</v>
      </c>
    </row>
    <row r="71" spans="1:29" x14ac:dyDescent="0.35">
      <c r="A71" s="2" t="s">
        <v>81</v>
      </c>
      <c r="B71" s="4" t="s">
        <v>736</v>
      </c>
      <c r="C71" s="4" t="s">
        <v>573</v>
      </c>
      <c r="D71" s="4" t="s">
        <v>737</v>
      </c>
      <c r="E71" s="4" t="s">
        <v>737</v>
      </c>
      <c r="F71" s="4" t="s">
        <v>738</v>
      </c>
      <c r="G71" s="14">
        <v>28.9</v>
      </c>
      <c r="H71" s="10">
        <v>0</v>
      </c>
      <c r="I71" s="10">
        <v>13.790528999999999</v>
      </c>
      <c r="J71" s="10">
        <v>1.667262</v>
      </c>
      <c r="K71" s="15">
        <v>2.0760999999999998E-2</v>
      </c>
      <c r="L71" s="17">
        <v>284903.50132500002</v>
      </c>
      <c r="M71" s="4" t="s">
        <v>739</v>
      </c>
      <c r="N71" s="19">
        <v>2.0956410000000001</v>
      </c>
      <c r="O71" s="19">
        <v>2.7846000000000002</v>
      </c>
      <c r="P71" s="19">
        <v>1.5590390000000001</v>
      </c>
      <c r="Q71" s="19">
        <v>2.0701999999999998</v>
      </c>
      <c r="R71" s="19">
        <v>1.4882120000000001</v>
      </c>
      <c r="S71" s="19">
        <v>1.585</v>
      </c>
      <c r="T71" s="19">
        <v>1.4882120000000001</v>
      </c>
      <c r="U71" s="19">
        <v>1.4852000000000001</v>
      </c>
      <c r="V71" s="19">
        <v>0.42</v>
      </c>
      <c r="W71" s="19">
        <v>1.4008</v>
      </c>
      <c r="X71" s="19">
        <v>0.42</v>
      </c>
      <c r="Y71" s="19">
        <v>1.4008</v>
      </c>
      <c r="Z71" s="4"/>
      <c r="AA71" s="4"/>
      <c r="AB71" s="4" t="e">
        <f ca="1">_xll.ciqfunctions.udf.CIQ("^SPX", "IQ_PRICEDATE", "4/3/2014")</f>
        <v>#NAME?</v>
      </c>
      <c r="AC71" s="16">
        <v>1888.7704803894001</v>
      </c>
    </row>
    <row r="72" spans="1:29" x14ac:dyDescent="0.35">
      <c r="A72" s="2" t="s">
        <v>82</v>
      </c>
      <c r="B72" s="4" t="s">
        <v>740</v>
      </c>
      <c r="C72" s="4" t="s">
        <v>530</v>
      </c>
      <c r="D72" s="4" t="s">
        <v>531</v>
      </c>
      <c r="E72" s="4" t="s">
        <v>532</v>
      </c>
      <c r="F72" s="4" t="s">
        <v>533</v>
      </c>
      <c r="G72" s="14">
        <v>72.44</v>
      </c>
      <c r="H72" s="10">
        <v>16.729575000000001</v>
      </c>
      <c r="I72" s="10">
        <v>43.768250000000002</v>
      </c>
      <c r="J72" s="10">
        <v>8.6702689999999993</v>
      </c>
      <c r="K72" s="15">
        <v>1.0490999999999999E-2</v>
      </c>
      <c r="L72" s="17">
        <v>38702.232154999998</v>
      </c>
      <c r="M72" s="4" t="s">
        <v>741</v>
      </c>
      <c r="N72" s="19">
        <v>1.655081</v>
      </c>
      <c r="O72" s="19">
        <v>3.0848</v>
      </c>
      <c r="P72" s="19">
        <v>1.3</v>
      </c>
      <c r="Q72" s="19">
        <v>2.5802999999999998</v>
      </c>
      <c r="R72" s="19">
        <v>9.01</v>
      </c>
      <c r="S72" s="19">
        <v>2.0653000000000001</v>
      </c>
      <c r="T72" s="19">
        <v>9.01</v>
      </c>
      <c r="U72" s="19">
        <v>1.3563000000000001</v>
      </c>
      <c r="V72" s="19">
        <v>0.83</v>
      </c>
      <c r="W72" s="19">
        <v>4.6683000000000003</v>
      </c>
      <c r="X72" s="19">
        <v>0.83</v>
      </c>
      <c r="Y72" s="19">
        <v>4.6683000000000003</v>
      </c>
      <c r="Z72" s="4"/>
      <c r="AA72" s="4"/>
      <c r="AB72" s="4" t="e">
        <f ca="1">_xll.ciqfunctions.udf.CIQ("^SPX", "IQ_PRICEDATE", "4/4/2014")</f>
        <v>#NAME?</v>
      </c>
      <c r="AC72" s="16">
        <v>1865.093413869</v>
      </c>
    </row>
    <row r="73" spans="1:29" x14ac:dyDescent="0.35">
      <c r="A73" s="2" t="s">
        <v>83</v>
      </c>
      <c r="B73" s="4" t="s">
        <v>742</v>
      </c>
      <c r="C73" s="4" t="s">
        <v>573</v>
      </c>
      <c r="D73" s="4" t="s">
        <v>737</v>
      </c>
      <c r="E73" s="4" t="s">
        <v>737</v>
      </c>
      <c r="F73" s="4" t="s">
        <v>743</v>
      </c>
      <c r="G73" s="14">
        <v>47.71</v>
      </c>
      <c r="H73" s="10">
        <v>0</v>
      </c>
      <c r="I73" s="10">
        <v>13.868186</v>
      </c>
      <c r="J73" s="10">
        <v>2.2443569999999999</v>
      </c>
      <c r="K73" s="15">
        <v>3.3954999999999999E-2</v>
      </c>
      <c r="L73" s="17">
        <v>36948.860502000003</v>
      </c>
      <c r="M73" s="4" t="s">
        <v>744</v>
      </c>
      <c r="N73" s="19">
        <v>3.440248</v>
      </c>
      <c r="O73" s="19">
        <v>4.1311999999999998</v>
      </c>
      <c r="P73" s="19">
        <v>2.74</v>
      </c>
      <c r="Q73" s="19">
        <v>3.3536999999999999</v>
      </c>
      <c r="R73" s="19">
        <v>2.77</v>
      </c>
      <c r="S73" s="19">
        <v>3.0568</v>
      </c>
      <c r="T73" s="19">
        <v>2.77</v>
      </c>
      <c r="U73" s="19">
        <v>3.0432000000000001</v>
      </c>
      <c r="V73" s="19">
        <v>2.72</v>
      </c>
      <c r="W73" s="19">
        <v>2.9737</v>
      </c>
      <c r="X73" s="19">
        <v>2.72</v>
      </c>
      <c r="Y73" s="19">
        <v>2.9737</v>
      </c>
      <c r="Z73" s="4"/>
      <c r="AA73" s="4"/>
      <c r="AB73" s="4" t="e">
        <f ca="1">_xll.ciqfunctions.udf.CIQ("^SPX", "IQ_PRICEDATE", "4/7/2014")</f>
        <v>#NAME?</v>
      </c>
      <c r="AC73" s="16">
        <v>1845.0353750807999</v>
      </c>
    </row>
    <row r="74" spans="1:29" x14ac:dyDescent="0.35">
      <c r="A74" s="2" t="s">
        <v>84</v>
      </c>
      <c r="B74" s="4" t="s">
        <v>745</v>
      </c>
      <c r="C74" s="4" t="s">
        <v>530</v>
      </c>
      <c r="D74" s="4" t="s">
        <v>531</v>
      </c>
      <c r="E74" s="4" t="s">
        <v>532</v>
      </c>
      <c r="F74" s="4" t="s">
        <v>533</v>
      </c>
      <c r="G74" s="14">
        <v>244.98</v>
      </c>
      <c r="H74" s="10">
        <v>20.324798999999999</v>
      </c>
      <c r="I74" s="10">
        <v>100.458826</v>
      </c>
      <c r="J74" s="10" t="s">
        <v>534</v>
      </c>
      <c r="K74" s="15">
        <v>1.2244999999999999E-2</v>
      </c>
      <c r="L74" s="17">
        <v>65547.724359</v>
      </c>
      <c r="M74" s="4" t="s">
        <v>746</v>
      </c>
      <c r="N74" s="19">
        <v>2.4386109999999999</v>
      </c>
      <c r="O74" s="19">
        <v>12.128399999999999</v>
      </c>
      <c r="P74" s="19">
        <v>1.287857</v>
      </c>
      <c r="Q74" s="19">
        <v>10.95617</v>
      </c>
      <c r="R74" s="19">
        <v>6.0084809999999997</v>
      </c>
      <c r="S74" s="19">
        <v>9.4920399999999994</v>
      </c>
      <c r="T74" s="19">
        <v>6.0084809999999997</v>
      </c>
      <c r="U74" s="19">
        <v>8.4030100000000001</v>
      </c>
      <c r="V74" s="19">
        <v>5.8210879999999996</v>
      </c>
      <c r="W74" s="19">
        <v>6.8008100000000002</v>
      </c>
      <c r="X74" s="19">
        <v>5.8210879999999996</v>
      </c>
      <c r="Y74" s="19">
        <v>6.8008100000000002</v>
      </c>
      <c r="Z74" s="4"/>
      <c r="AA74" s="4"/>
      <c r="AB74" s="4" t="e">
        <f ca="1">_xll.ciqfunctions.udf.CIQ("^SPX", "IQ_PRICEDATE", "4/8/2014")</f>
        <v>#NAME?</v>
      </c>
      <c r="AC74" s="16">
        <v>1851.9568565739</v>
      </c>
    </row>
    <row r="75" spans="1:29" x14ac:dyDescent="0.35">
      <c r="A75" s="2" t="s">
        <v>85</v>
      </c>
      <c r="B75" s="4" t="s">
        <v>747</v>
      </c>
      <c r="C75" s="4" t="s">
        <v>573</v>
      </c>
      <c r="D75" s="4" t="s">
        <v>574</v>
      </c>
      <c r="E75" s="4" t="s">
        <v>748</v>
      </c>
      <c r="F75" s="4" t="s">
        <v>749</v>
      </c>
      <c r="G75" s="14">
        <v>210.52</v>
      </c>
      <c r="H75" s="10">
        <v>13.176541</v>
      </c>
      <c r="I75" s="10">
        <v>0</v>
      </c>
      <c r="J75" s="10">
        <v>0</v>
      </c>
      <c r="K75" s="15">
        <v>0</v>
      </c>
      <c r="L75" s="17">
        <v>522541.546638</v>
      </c>
      <c r="M75" s="4" t="s">
        <v>750</v>
      </c>
      <c r="N75" s="19">
        <v>28872.225612999999</v>
      </c>
      <c r="O75" s="19">
        <v>9.8932000000000002</v>
      </c>
      <c r="P75" s="19">
        <v>27325.544276000001</v>
      </c>
      <c r="Q75" s="19">
        <v>7.9211999999999998</v>
      </c>
      <c r="R75" s="19">
        <v>14645.102339999999</v>
      </c>
      <c r="S75" s="19">
        <v>8.2537000000000003</v>
      </c>
      <c r="T75" s="19">
        <v>14645.102339999999</v>
      </c>
      <c r="U75" s="19">
        <v>7.9124999999999996</v>
      </c>
      <c r="V75" s="19">
        <v>12091.592350999999</v>
      </c>
      <c r="W75" s="19">
        <v>7.3375000000000004</v>
      </c>
      <c r="X75" s="19">
        <v>12091.592350999999</v>
      </c>
      <c r="Y75" s="19">
        <v>7.3375000000000004</v>
      </c>
      <c r="Z75" s="4"/>
      <c r="AA75" s="4"/>
      <c r="AB75" s="4" t="e">
        <f ca="1">_xll.ciqfunctions.udf.CIQ("^SPX", "IQ_PRICEDATE", "4/9/2014")</f>
        <v>#NAME?</v>
      </c>
      <c r="AC75" s="16">
        <v>1872.1787969918</v>
      </c>
    </row>
    <row r="76" spans="1:29" x14ac:dyDescent="0.35">
      <c r="A76" s="2" t="s">
        <v>86</v>
      </c>
      <c r="B76" s="4" t="s">
        <v>751</v>
      </c>
      <c r="C76" s="4" t="s">
        <v>559</v>
      </c>
      <c r="D76" s="4" t="s">
        <v>560</v>
      </c>
      <c r="E76" s="4" t="s">
        <v>561</v>
      </c>
      <c r="F76" s="4" t="s">
        <v>752</v>
      </c>
      <c r="G76" s="14">
        <v>73.83</v>
      </c>
      <c r="H76" s="10">
        <v>6.8990669999999996</v>
      </c>
      <c r="I76" s="10">
        <v>20.536394000000001</v>
      </c>
      <c r="J76" s="10">
        <v>7.4287570000000001</v>
      </c>
      <c r="K76" s="15">
        <v>2.4380000000000002E-2</v>
      </c>
      <c r="L76" s="17">
        <v>20270.584286000001</v>
      </c>
      <c r="M76" s="4" t="s">
        <v>753</v>
      </c>
      <c r="N76" s="19">
        <v>3.595081</v>
      </c>
      <c r="O76" s="19">
        <v>5.2553000000000001</v>
      </c>
      <c r="P76" s="19">
        <v>3.9762970000000002</v>
      </c>
      <c r="Q76" s="19">
        <v>4.218</v>
      </c>
      <c r="R76" s="19">
        <v>3.2797740000000002</v>
      </c>
      <c r="S76" s="19">
        <v>3.395</v>
      </c>
      <c r="T76" s="19">
        <v>3.2797740000000002</v>
      </c>
      <c r="U76" s="19">
        <v>2.7639</v>
      </c>
      <c r="V76" s="19">
        <v>2.9402910000000002</v>
      </c>
      <c r="W76" s="19">
        <v>2.5731000000000002</v>
      </c>
      <c r="X76" s="19">
        <v>2.9402910000000002</v>
      </c>
      <c r="Y76" s="19">
        <v>2.5731000000000002</v>
      </c>
      <c r="Z76" s="4"/>
      <c r="AA76" s="4"/>
      <c r="AB76" s="4" t="e">
        <f ca="1">_xll.ciqfunctions.udf.CIQ("^SPX", "IQ_PRICEDATE", "4/10/2014")</f>
        <v>#NAME?</v>
      </c>
      <c r="AC76" s="16">
        <v>1833.0779771555999</v>
      </c>
    </row>
    <row r="77" spans="1:29" x14ac:dyDescent="0.35">
      <c r="A77" s="2" t="s">
        <v>87</v>
      </c>
      <c r="B77" s="4" t="s">
        <v>754</v>
      </c>
      <c r="C77" s="4" t="s">
        <v>530</v>
      </c>
      <c r="D77" s="4" t="s">
        <v>537</v>
      </c>
      <c r="E77" s="4" t="s">
        <v>538</v>
      </c>
      <c r="F77" s="4" t="s">
        <v>538</v>
      </c>
      <c r="G77" s="14">
        <v>338.23</v>
      </c>
      <c r="H77" s="10">
        <v>10.526857</v>
      </c>
      <c r="I77" s="10">
        <v>24.015906999999999</v>
      </c>
      <c r="J77" s="10">
        <v>19.868200000000002</v>
      </c>
      <c r="K77" s="15">
        <v>0</v>
      </c>
      <c r="L77" s="17">
        <v>68134.015155999994</v>
      </c>
      <c r="M77" s="4" t="s">
        <v>755</v>
      </c>
      <c r="N77" s="19">
        <v>14.083582</v>
      </c>
      <c r="O77" s="19">
        <v>27.034800000000001</v>
      </c>
      <c r="P77" s="19">
        <v>11.92</v>
      </c>
      <c r="Q77" s="19">
        <v>23.4514</v>
      </c>
      <c r="R77" s="19">
        <v>16.93</v>
      </c>
      <c r="S77" s="19">
        <v>20.423400000000001</v>
      </c>
      <c r="T77" s="19">
        <v>16.93</v>
      </c>
      <c r="U77" s="19">
        <v>17.5108</v>
      </c>
      <c r="V77" s="19">
        <v>12.37</v>
      </c>
      <c r="W77" s="19">
        <v>15.878500000000001</v>
      </c>
      <c r="X77" s="19">
        <v>12.37</v>
      </c>
      <c r="Y77" s="19">
        <v>15.878500000000001</v>
      </c>
      <c r="Z77" s="4"/>
      <c r="AA77" s="4"/>
      <c r="AB77" s="4" t="e">
        <f ca="1">_xll.ciqfunctions.udf.CIQ("^SPX", "IQ_PRICEDATE", "4/11/2014")</f>
        <v>#NAME?</v>
      </c>
      <c r="AC77" s="16">
        <v>1815.6850871536001</v>
      </c>
    </row>
    <row r="78" spans="1:29" x14ac:dyDescent="0.35">
      <c r="A78" s="2" t="s">
        <v>88</v>
      </c>
      <c r="B78" s="4" t="s">
        <v>756</v>
      </c>
      <c r="C78" s="4" t="s">
        <v>573</v>
      </c>
      <c r="D78" s="4" t="s">
        <v>574</v>
      </c>
      <c r="E78" s="4" t="s">
        <v>575</v>
      </c>
      <c r="F78" s="4" t="s">
        <v>576</v>
      </c>
      <c r="G78" s="14">
        <v>411.85</v>
      </c>
      <c r="H78" s="10">
        <v>10.503163000000001</v>
      </c>
      <c r="I78" s="10">
        <v>11.781677999999999</v>
      </c>
      <c r="J78" s="10">
        <v>42.775889999999997</v>
      </c>
      <c r="K78" s="15">
        <v>3.0398999999999999E-2</v>
      </c>
      <c r="L78" s="17">
        <v>65815.427312999993</v>
      </c>
      <c r="M78" s="4" t="s">
        <v>757</v>
      </c>
      <c r="N78" s="19">
        <v>34.95682</v>
      </c>
      <c r="O78" s="19">
        <v>28.341999999999999</v>
      </c>
      <c r="P78" s="19">
        <v>30.229998999999999</v>
      </c>
      <c r="Q78" s="19">
        <v>24.3644</v>
      </c>
      <c r="R78" s="19">
        <v>19.039999000000002</v>
      </c>
      <c r="S78" s="19">
        <v>21.220500000000001</v>
      </c>
      <c r="T78" s="19">
        <v>19.039999000000002</v>
      </c>
      <c r="U78" s="19">
        <v>20.105899999999998</v>
      </c>
      <c r="V78" s="19">
        <v>19.249998999999999</v>
      </c>
      <c r="W78" s="19">
        <v>19.6983</v>
      </c>
      <c r="X78" s="19">
        <v>19.249998999999999</v>
      </c>
      <c r="Y78" s="19">
        <v>19.6983</v>
      </c>
      <c r="Z78" s="4"/>
      <c r="AA78" s="4"/>
      <c r="AB78" s="4" t="e">
        <f ca="1">_xll.ciqfunctions.udf.CIQ("^SPX", "IQ_PRICEDATE", "4/14/2014")</f>
        <v>#NAME?</v>
      </c>
      <c r="AC78" s="16">
        <v>1830.6099712215</v>
      </c>
    </row>
    <row r="79" spans="1:29" x14ac:dyDescent="0.35">
      <c r="A79" s="2" t="s">
        <v>89</v>
      </c>
      <c r="B79" s="4" t="s">
        <v>758</v>
      </c>
      <c r="C79" s="4" t="s">
        <v>559</v>
      </c>
      <c r="D79" s="4" t="s">
        <v>560</v>
      </c>
      <c r="E79" s="4" t="s">
        <v>631</v>
      </c>
      <c r="F79" s="4" t="s">
        <v>631</v>
      </c>
      <c r="G79" s="14">
        <v>1850.51</v>
      </c>
      <c r="H79" s="10">
        <v>16.342027999999999</v>
      </c>
      <c r="I79" s="10">
        <v>33.222943000000001</v>
      </c>
      <c r="J79" s="10">
        <v>16.318456999999999</v>
      </c>
      <c r="K79" s="15">
        <v>0</v>
      </c>
      <c r="L79" s="17">
        <v>87847.458832999997</v>
      </c>
      <c r="M79" s="4" t="s">
        <v>759</v>
      </c>
      <c r="N79" s="19">
        <v>55.699759999999998</v>
      </c>
      <c r="O79" s="19">
        <v>93.3322</v>
      </c>
      <c r="P79" s="19">
        <v>46.86</v>
      </c>
      <c r="Q79" s="19">
        <v>80.751900000000006</v>
      </c>
      <c r="R79" s="19">
        <v>42.65</v>
      </c>
      <c r="S79" s="19">
        <v>75.648700000000005</v>
      </c>
      <c r="T79" s="19">
        <v>42.65</v>
      </c>
      <c r="U79" s="19">
        <v>65.969300000000004</v>
      </c>
      <c r="V79" s="19">
        <v>45.67</v>
      </c>
      <c r="W79" s="19">
        <v>59.284100000000002</v>
      </c>
      <c r="X79" s="19">
        <v>45.67</v>
      </c>
      <c r="Y79" s="19">
        <v>59.284100000000002</v>
      </c>
      <c r="Z79" s="4"/>
      <c r="AA79" s="4"/>
      <c r="AB79" s="4" t="e">
        <f ca="1">_xll.ciqfunctions.udf.CIQ("^SPX", "IQ_PRICEDATE", "4/15/2014")</f>
        <v>#NAME?</v>
      </c>
      <c r="AC79" s="16">
        <v>1842.9812684377</v>
      </c>
    </row>
    <row r="80" spans="1:29" x14ac:dyDescent="0.35">
      <c r="A80" s="2" t="s">
        <v>90</v>
      </c>
      <c r="B80" s="4" t="s">
        <v>760</v>
      </c>
      <c r="C80" s="4" t="s">
        <v>559</v>
      </c>
      <c r="D80" s="4" t="s">
        <v>694</v>
      </c>
      <c r="E80" s="4" t="s">
        <v>695</v>
      </c>
      <c r="F80" s="4" t="s">
        <v>696</v>
      </c>
      <c r="G80" s="14">
        <v>37.9</v>
      </c>
      <c r="H80" s="10">
        <v>5.4776449999999999</v>
      </c>
      <c r="I80" s="10">
        <v>14.90521</v>
      </c>
      <c r="J80" s="10">
        <v>4.8259889999999999</v>
      </c>
      <c r="K80" s="15">
        <v>1.7940999999999999E-2</v>
      </c>
      <c r="L80" s="17">
        <v>7916.0707460000003</v>
      </c>
      <c r="M80" s="4" t="s">
        <v>761</v>
      </c>
      <c r="N80" s="19">
        <v>2.542735</v>
      </c>
      <c r="O80" s="19">
        <v>4.5087999999999999</v>
      </c>
      <c r="P80" s="19">
        <v>2.08</v>
      </c>
      <c r="Q80" s="19">
        <v>4.1189999999999998</v>
      </c>
      <c r="R80" s="19">
        <v>0.55000000000000004</v>
      </c>
      <c r="S80" s="19">
        <v>3.3852000000000002</v>
      </c>
      <c r="T80" s="19">
        <v>0.55000000000000004</v>
      </c>
      <c r="U80" s="19">
        <v>3.2254</v>
      </c>
      <c r="V80" s="19">
        <v>2.86</v>
      </c>
      <c r="W80" s="19">
        <v>3.5762999999999998</v>
      </c>
      <c r="X80" s="19">
        <v>2.86</v>
      </c>
      <c r="Y80" s="19">
        <v>3.5762999999999998</v>
      </c>
      <c r="Z80" s="4"/>
      <c r="AA80" s="4"/>
      <c r="AB80" s="4" t="e">
        <f ca="1">_xll.ciqfunctions.udf.CIQ("^SPX", "IQ_PRICEDATE", "4/16/2014")</f>
        <v>#NAME?</v>
      </c>
      <c r="AC80" s="16">
        <v>1862.3119970058001</v>
      </c>
    </row>
    <row r="81" spans="1:29" x14ac:dyDescent="0.35">
      <c r="A81" s="2" t="s">
        <v>91</v>
      </c>
      <c r="B81" s="4" t="s">
        <v>762</v>
      </c>
      <c r="C81" s="4" t="s">
        <v>601</v>
      </c>
      <c r="D81" s="4" t="s">
        <v>601</v>
      </c>
      <c r="E81" s="4" t="s">
        <v>602</v>
      </c>
      <c r="F81" s="4" t="s">
        <v>603</v>
      </c>
      <c r="G81" s="14">
        <v>117.52</v>
      </c>
      <c r="H81" s="10">
        <v>20.020022000000001</v>
      </c>
      <c r="I81" s="10">
        <v>34.561849000000002</v>
      </c>
      <c r="J81" s="10">
        <v>3.1875900000000001</v>
      </c>
      <c r="K81" s="15">
        <v>3.2334000000000002E-2</v>
      </c>
      <c r="L81" s="17">
        <v>18147.415601000001</v>
      </c>
      <c r="M81" s="4" t="s">
        <v>763</v>
      </c>
      <c r="N81" s="19">
        <v>3.4002810000000001</v>
      </c>
      <c r="O81" s="19">
        <v>2.8677000000000001</v>
      </c>
      <c r="P81" s="19">
        <v>2.93</v>
      </c>
      <c r="Q81" s="19">
        <v>2.8548</v>
      </c>
      <c r="R81" s="19">
        <v>3.26</v>
      </c>
      <c r="S81" s="19">
        <v>2.0867</v>
      </c>
      <c r="T81" s="19">
        <v>3.26</v>
      </c>
      <c r="U81" s="19">
        <v>1.9963</v>
      </c>
      <c r="V81" s="19">
        <v>2.829145</v>
      </c>
      <c r="W81" s="19">
        <v>1.458</v>
      </c>
      <c r="X81" s="19">
        <v>2.829145</v>
      </c>
      <c r="Y81" s="19">
        <v>1.458</v>
      </c>
      <c r="Z81" s="4"/>
      <c r="AA81" s="4"/>
      <c r="AB81" s="4" t="e">
        <f ca="1">_xll.ciqfunctions.udf.CIQ("^SPX", "IQ_PRICEDATE", "4/17/2014")</f>
        <v>#NAME?</v>
      </c>
      <c r="AC81" s="16">
        <v>1864.8513770633001</v>
      </c>
    </row>
    <row r="82" spans="1:29" x14ac:dyDescent="0.35">
      <c r="A82" s="2" t="s">
        <v>92</v>
      </c>
      <c r="B82" s="4" t="s">
        <v>764</v>
      </c>
      <c r="C82" s="4" t="s">
        <v>530</v>
      </c>
      <c r="D82" s="4" t="s">
        <v>531</v>
      </c>
      <c r="E82" s="4" t="s">
        <v>532</v>
      </c>
      <c r="F82" s="4" t="s">
        <v>533</v>
      </c>
      <c r="G82" s="14">
        <v>38</v>
      </c>
      <c r="H82" s="10">
        <v>22.884535</v>
      </c>
      <c r="I82" s="10">
        <v>100.32817799999999</v>
      </c>
      <c r="J82" s="10" t="s">
        <v>534</v>
      </c>
      <c r="K82" s="15">
        <v>0</v>
      </c>
      <c r="L82" s="17">
        <v>52551.141525999999</v>
      </c>
      <c r="M82" s="4" t="s">
        <v>765</v>
      </c>
      <c r="N82" s="19">
        <v>0.37875700000000001</v>
      </c>
      <c r="O82" s="19">
        <v>1.4548000000000001</v>
      </c>
      <c r="P82" s="19">
        <v>7.5906000000000001E-2</v>
      </c>
      <c r="Q82" s="19">
        <v>1.337</v>
      </c>
      <c r="R82" s="19">
        <v>0.25</v>
      </c>
      <c r="S82" s="19">
        <v>1.2065999999999999</v>
      </c>
      <c r="T82" s="19">
        <v>0.25</v>
      </c>
      <c r="U82" s="19">
        <v>1.0217000000000001</v>
      </c>
      <c r="V82" s="19">
        <v>-0.09</v>
      </c>
      <c r="W82" s="19">
        <v>0.87619999999999998</v>
      </c>
      <c r="X82" s="19">
        <v>-0.09</v>
      </c>
      <c r="Y82" s="19">
        <v>0.87619999999999998</v>
      </c>
      <c r="Z82" s="4"/>
      <c r="AA82" s="4"/>
      <c r="AB82" s="4" t="e">
        <f ca="1">_xll.ciqfunctions.udf.CIQ("^SPX", "IQ_PRICEDATE", "4/21/2014")</f>
        <v>#NAME?</v>
      </c>
      <c r="AC82" s="16">
        <v>1871.8875618069001</v>
      </c>
    </row>
    <row r="83" spans="1:29" x14ac:dyDescent="0.35">
      <c r="A83" s="2" t="s">
        <v>93</v>
      </c>
      <c r="B83" s="4" t="s">
        <v>766</v>
      </c>
      <c r="C83" s="4" t="s">
        <v>573</v>
      </c>
      <c r="D83" s="4" t="s">
        <v>579</v>
      </c>
      <c r="E83" s="4" t="s">
        <v>579</v>
      </c>
      <c r="F83" s="4" t="s">
        <v>580</v>
      </c>
      <c r="G83" s="14">
        <v>44.06</v>
      </c>
      <c r="H83" s="10" t="s">
        <v>534</v>
      </c>
      <c r="I83" s="10" t="s">
        <v>534</v>
      </c>
      <c r="J83" s="10">
        <v>0.39279500000000001</v>
      </c>
      <c r="K83" s="15">
        <v>0</v>
      </c>
      <c r="L83" s="17">
        <v>5277.6243519999998</v>
      </c>
      <c r="M83" s="4" t="s">
        <v>767</v>
      </c>
      <c r="N83" s="19">
        <v>-4.8559669999999997</v>
      </c>
      <c r="O83" s="19">
        <v>8.5884</v>
      </c>
      <c r="P83" s="19">
        <v>-3.155967</v>
      </c>
      <c r="Q83" s="19">
        <v>8.6027000000000005</v>
      </c>
      <c r="R83" s="19">
        <v>-24.538062</v>
      </c>
      <c r="S83" s="19">
        <v>0</v>
      </c>
      <c r="T83" s="19">
        <v>-24.538062</v>
      </c>
      <c r="U83" s="19">
        <v>0</v>
      </c>
      <c r="V83" s="19">
        <v>0</v>
      </c>
      <c r="W83" s="19">
        <v>0</v>
      </c>
      <c r="X83" s="19">
        <v>0</v>
      </c>
      <c r="Y83" s="19">
        <v>0</v>
      </c>
      <c r="Z83" s="4"/>
      <c r="AA83" s="4"/>
      <c r="AB83" s="4" t="e">
        <f ca="1">_xll.ciqfunctions.udf.CIQ("^SPX", "IQ_PRICEDATE", "4/22/2014")</f>
        <v>#NAME?</v>
      </c>
      <c r="AC83" s="16">
        <v>1879.5510464813999</v>
      </c>
    </row>
    <row r="84" spans="1:29" x14ac:dyDescent="0.35">
      <c r="A84" s="2" t="s">
        <v>94</v>
      </c>
      <c r="B84" s="4" t="s">
        <v>768</v>
      </c>
      <c r="C84" s="4" t="s">
        <v>530</v>
      </c>
      <c r="D84" s="4" t="s">
        <v>537</v>
      </c>
      <c r="E84" s="4" t="s">
        <v>613</v>
      </c>
      <c r="F84" s="4" t="s">
        <v>613</v>
      </c>
      <c r="G84" s="14">
        <v>58.9</v>
      </c>
      <c r="H84" s="10">
        <v>16.096806000000001</v>
      </c>
      <c r="I84" s="10">
        <v>262.17978599999998</v>
      </c>
      <c r="J84" s="10">
        <v>21.152635</v>
      </c>
      <c r="K84" s="15">
        <v>2.7164000000000001E-2</v>
      </c>
      <c r="L84" s="17">
        <v>96117.549939999997</v>
      </c>
      <c r="M84" s="4" t="s">
        <v>769</v>
      </c>
      <c r="N84" s="19">
        <v>0.22465499999999999</v>
      </c>
      <c r="O84" s="19">
        <v>3.8197000000000001</v>
      </c>
      <c r="P84" s="19">
        <v>0.61</v>
      </c>
      <c r="Q84" s="19">
        <v>3.0831</v>
      </c>
      <c r="R84" s="19">
        <v>2.65</v>
      </c>
      <c r="S84" s="19">
        <v>2.9203000000000001</v>
      </c>
      <c r="T84" s="19">
        <v>2.65</v>
      </c>
      <c r="U84" s="19">
        <v>2.0779000000000001</v>
      </c>
      <c r="V84" s="19">
        <v>1.2</v>
      </c>
      <c r="W84" s="19">
        <v>1.8321000000000001</v>
      </c>
      <c r="X84" s="19">
        <v>1.2</v>
      </c>
      <c r="Y84" s="19">
        <v>1.8321000000000001</v>
      </c>
      <c r="Z84" s="4"/>
      <c r="AA84" s="4"/>
      <c r="AB84" s="4" t="e">
        <f ca="1">_xll.ciqfunctions.udf.CIQ("^SPX", "IQ_PRICEDATE", "4/23/2014")</f>
        <v>#NAME?</v>
      </c>
      <c r="AC84" s="16">
        <v>1875.3877070323001</v>
      </c>
    </row>
    <row r="85" spans="1:29" x14ac:dyDescent="0.35">
      <c r="A85" s="2" t="s">
        <v>95</v>
      </c>
      <c r="B85" s="4" t="s">
        <v>770</v>
      </c>
      <c r="C85" s="4" t="s">
        <v>543</v>
      </c>
      <c r="D85" s="4" t="s">
        <v>565</v>
      </c>
      <c r="E85" s="4" t="s">
        <v>565</v>
      </c>
      <c r="F85" s="4" t="s">
        <v>566</v>
      </c>
      <c r="G85" s="14">
        <v>237.17</v>
      </c>
      <c r="H85" s="10">
        <v>12.161959</v>
      </c>
      <c r="I85" s="10">
        <v>8.5225469999999994</v>
      </c>
      <c r="J85" s="10" t="s">
        <v>534</v>
      </c>
      <c r="K85" s="15">
        <v>2.9513999999999999E-2</v>
      </c>
      <c r="L85" s="17">
        <v>98057.166882999998</v>
      </c>
      <c r="M85" s="4" t="s">
        <v>771</v>
      </c>
      <c r="N85" s="19">
        <v>27.828533</v>
      </c>
      <c r="O85" s="19">
        <v>21.167400000000001</v>
      </c>
      <c r="P85" s="19">
        <v>4.03</v>
      </c>
      <c r="Q85" s="19">
        <v>0</v>
      </c>
      <c r="R85" s="19">
        <v>-4.5665789999999999</v>
      </c>
      <c r="S85" s="19">
        <v>0</v>
      </c>
      <c r="T85" s="19">
        <v>-4.5665789999999999</v>
      </c>
      <c r="U85" s="19">
        <v>0</v>
      </c>
      <c r="V85" s="19">
        <v>1.1599999999999999</v>
      </c>
      <c r="W85" s="19">
        <v>0</v>
      </c>
      <c r="X85" s="19">
        <v>1.1599999999999999</v>
      </c>
      <c r="Y85" s="19">
        <v>0</v>
      </c>
      <c r="Z85" s="4"/>
      <c r="AA85" s="4"/>
      <c r="AB85" s="4" t="e">
        <f ca="1">_xll.ciqfunctions.udf.CIQ("^SPX", "IQ_PRICEDATE", "4/24/2014")</f>
        <v>#NAME?</v>
      </c>
      <c r="AC85" s="16">
        <v>1878.610508557</v>
      </c>
    </row>
    <row r="86" spans="1:29" x14ac:dyDescent="0.35">
      <c r="A86" s="2" t="s">
        <v>96</v>
      </c>
      <c r="B86" s="4" t="s">
        <v>772</v>
      </c>
      <c r="C86" s="4" t="s">
        <v>543</v>
      </c>
      <c r="D86" s="4" t="s">
        <v>544</v>
      </c>
      <c r="E86" s="4" t="s">
        <v>545</v>
      </c>
      <c r="F86" s="4" t="s">
        <v>616</v>
      </c>
      <c r="G86" s="14">
        <v>118.81</v>
      </c>
      <c r="H86" s="10">
        <v>18.167111999999999</v>
      </c>
      <c r="I86" s="10">
        <v>33.373595000000002</v>
      </c>
      <c r="J86" s="10" t="s">
        <v>534</v>
      </c>
      <c r="K86" s="15">
        <v>1.6327999999999999E-2</v>
      </c>
      <c r="L86" s="17">
        <v>13820.592259999999</v>
      </c>
      <c r="M86" s="4" t="s">
        <v>773</v>
      </c>
      <c r="N86" s="19">
        <v>3.56</v>
      </c>
      <c r="O86" s="19">
        <v>4.66167</v>
      </c>
      <c r="P86" s="19">
        <v>3.119675</v>
      </c>
      <c r="Q86" s="19">
        <v>3.7469999999999999</v>
      </c>
      <c r="R86" s="19">
        <v>2.4420839999999999</v>
      </c>
      <c r="S86" s="19">
        <v>3.2098</v>
      </c>
      <c r="T86" s="19">
        <v>2.4420839999999999</v>
      </c>
      <c r="U86" s="19">
        <v>2.8180999999999998</v>
      </c>
      <c r="V86" s="19">
        <v>2.0777489999999998</v>
      </c>
      <c r="W86" s="19">
        <v>2.5493000000000001</v>
      </c>
      <c r="X86" s="19">
        <v>2.0777489999999998</v>
      </c>
      <c r="Y86" s="19">
        <v>2.5493000000000001</v>
      </c>
      <c r="Z86" s="4"/>
      <c r="AA86" s="4"/>
      <c r="AB86" s="4" t="e">
        <f ca="1">_xll.ciqfunctions.udf.CIQ("^SPX", "IQ_PRICEDATE", "4/25/2014")</f>
        <v>#NAME?</v>
      </c>
      <c r="AC86" s="16">
        <v>1863.4006714401</v>
      </c>
    </row>
    <row r="87" spans="1:29" x14ac:dyDescent="0.35">
      <c r="A87" s="2" t="s">
        <v>97</v>
      </c>
      <c r="B87" s="4" t="s">
        <v>774</v>
      </c>
      <c r="C87" s="4" t="s">
        <v>626</v>
      </c>
      <c r="D87" s="4" t="s">
        <v>627</v>
      </c>
      <c r="E87" s="4" t="s">
        <v>775</v>
      </c>
      <c r="F87" s="4" t="s">
        <v>776</v>
      </c>
      <c r="G87" s="14">
        <v>47.9</v>
      </c>
      <c r="H87" s="10">
        <v>22.599243000000001</v>
      </c>
      <c r="I87" s="10">
        <v>31.513468</v>
      </c>
      <c r="J87" s="10" t="s">
        <v>534</v>
      </c>
      <c r="K87" s="15">
        <v>1.3193999999999999E-2</v>
      </c>
      <c r="L87" s="17">
        <v>23081.351655999999</v>
      </c>
      <c r="M87" s="4" t="s">
        <v>777</v>
      </c>
      <c r="N87" s="19">
        <v>1.5199849999999999</v>
      </c>
      <c r="O87" s="19">
        <v>1.7033</v>
      </c>
      <c r="P87" s="19">
        <v>1.5397130000000001</v>
      </c>
      <c r="Q87" s="19">
        <v>1.6486000000000001</v>
      </c>
      <c r="R87" s="19">
        <v>2.1137489999999999</v>
      </c>
      <c r="S87" s="19">
        <v>1.4413</v>
      </c>
      <c r="T87" s="19">
        <v>2.1137489999999999</v>
      </c>
      <c r="U87" s="19">
        <v>1.4343999999999999</v>
      </c>
      <c r="V87" s="19">
        <v>1.2437910000000001</v>
      </c>
      <c r="W87" s="19">
        <v>1.3714999999999999</v>
      </c>
      <c r="X87" s="19">
        <v>1.2437910000000001</v>
      </c>
      <c r="Y87" s="19">
        <v>1.3714999999999999</v>
      </c>
      <c r="Z87" s="4"/>
      <c r="AA87" s="4"/>
      <c r="AB87" s="4" t="e">
        <f ca="1">_xll.ciqfunctions.udf.CIQ("^SPX", "IQ_PRICEDATE", "4/28/2014")</f>
        <v>#NAME?</v>
      </c>
      <c r="AC87" s="16">
        <v>1869.4252355353999</v>
      </c>
    </row>
    <row r="88" spans="1:29" x14ac:dyDescent="0.35">
      <c r="A88" s="2" t="s">
        <v>98</v>
      </c>
      <c r="B88" s="4" t="s">
        <v>778</v>
      </c>
      <c r="C88" s="4" t="s">
        <v>525</v>
      </c>
      <c r="D88" s="4" t="s">
        <v>594</v>
      </c>
      <c r="E88" s="4" t="s">
        <v>779</v>
      </c>
      <c r="F88" s="4" t="s">
        <v>779</v>
      </c>
      <c r="G88" s="14">
        <v>93.68</v>
      </c>
      <c r="H88" s="10">
        <v>15.520675000000001</v>
      </c>
      <c r="I88" s="10">
        <v>23.070698</v>
      </c>
      <c r="J88" s="10">
        <v>106.42648699999999</v>
      </c>
      <c r="K88" s="15">
        <v>1.9640999999999999E-2</v>
      </c>
      <c r="L88" s="17">
        <v>12978.848666</v>
      </c>
      <c r="M88" s="4" t="s">
        <v>780</v>
      </c>
      <c r="N88" s="19">
        <v>4.060562</v>
      </c>
      <c r="O88" s="19">
        <v>4.6940999999999997</v>
      </c>
      <c r="P88" s="19">
        <v>3.57</v>
      </c>
      <c r="Q88" s="19">
        <v>3.5849000000000002</v>
      </c>
      <c r="R88" s="19">
        <v>3.59</v>
      </c>
      <c r="S88" s="19">
        <v>3.6333000000000002</v>
      </c>
      <c r="T88" s="19">
        <v>3.59</v>
      </c>
      <c r="U88" s="19">
        <v>3.6848000000000001</v>
      </c>
      <c r="V88" s="19">
        <v>3.05</v>
      </c>
      <c r="W88" s="19">
        <v>3.3041999999999998</v>
      </c>
      <c r="X88" s="19">
        <v>3.05</v>
      </c>
      <c r="Y88" s="19">
        <v>3.3041999999999998</v>
      </c>
      <c r="Z88" s="4"/>
      <c r="AA88" s="4"/>
      <c r="AB88" s="4" t="e">
        <f ca="1">_xll.ciqfunctions.udf.CIQ("^SPX", "IQ_PRICEDATE", "4/29/2014")</f>
        <v>#NAME?</v>
      </c>
      <c r="AC88" s="16">
        <v>1878.3300711029999</v>
      </c>
    </row>
    <row r="89" spans="1:29" x14ac:dyDescent="0.35">
      <c r="A89" s="2" t="s">
        <v>99</v>
      </c>
      <c r="B89" s="4" t="s">
        <v>781</v>
      </c>
      <c r="C89" s="4" t="s">
        <v>543</v>
      </c>
      <c r="D89" s="4" t="s">
        <v>544</v>
      </c>
      <c r="E89" s="4" t="s">
        <v>555</v>
      </c>
      <c r="F89" s="4" t="s">
        <v>782</v>
      </c>
      <c r="G89" s="14">
        <v>43.98</v>
      </c>
      <c r="H89" s="10">
        <v>14.339661</v>
      </c>
      <c r="I89" s="10">
        <v>39.706865999999998</v>
      </c>
      <c r="J89" s="10" t="s">
        <v>534</v>
      </c>
      <c r="K89" s="15">
        <v>2.3192000000000001E-2</v>
      </c>
      <c r="L89" s="17">
        <v>18390.935578000001</v>
      </c>
      <c r="M89" s="4" t="s">
        <v>783</v>
      </c>
      <c r="N89" s="19">
        <v>1.1076170000000001</v>
      </c>
      <c r="O89" s="19">
        <v>2.8094000000000001</v>
      </c>
      <c r="P89" s="19">
        <v>1.0120769999999999</v>
      </c>
      <c r="Q89" s="19">
        <v>2.4868999999999999</v>
      </c>
      <c r="R89" s="19">
        <v>1.878744</v>
      </c>
      <c r="S89" s="19">
        <v>2.5095999999999998</v>
      </c>
      <c r="T89" s="19">
        <v>1.878744</v>
      </c>
      <c r="U89" s="19">
        <v>2.4708999999999999</v>
      </c>
      <c r="V89" s="19">
        <v>1.7158370000000001</v>
      </c>
      <c r="W89" s="19">
        <v>2.4104000000000001</v>
      </c>
      <c r="X89" s="19">
        <v>1.7158370000000001</v>
      </c>
      <c r="Y89" s="19">
        <v>2.4104000000000001</v>
      </c>
      <c r="Z89" s="4"/>
      <c r="AA89" s="4"/>
      <c r="AB89" s="4" t="e">
        <f ca="1">_xll.ciqfunctions.udf.CIQ("^SPX", "IQ_PRICEDATE", "4/30/2014")</f>
        <v>#NAME?</v>
      </c>
      <c r="AC89" s="16">
        <v>1883.9501304206001</v>
      </c>
    </row>
    <row r="90" spans="1:29" x14ac:dyDescent="0.35">
      <c r="A90" s="2" t="s">
        <v>100</v>
      </c>
      <c r="B90" s="4" t="s">
        <v>784</v>
      </c>
      <c r="C90" s="4" t="s">
        <v>669</v>
      </c>
      <c r="D90" s="4" t="s">
        <v>669</v>
      </c>
      <c r="E90" s="4" t="s">
        <v>670</v>
      </c>
      <c r="F90" s="4" t="s">
        <v>671</v>
      </c>
      <c r="G90" s="14">
        <v>23.8</v>
      </c>
      <c r="H90" s="10">
        <v>14.452731</v>
      </c>
      <c r="I90" s="10">
        <v>82.235421000000002</v>
      </c>
      <c r="J90" s="10">
        <v>4.8742570000000001</v>
      </c>
      <c r="K90" s="15">
        <v>1.0083999999999999E-2</v>
      </c>
      <c r="L90" s="17">
        <v>10500.021739</v>
      </c>
      <c r="M90" s="4" t="s">
        <v>785</v>
      </c>
      <c r="N90" s="19">
        <v>0.28941299999999998</v>
      </c>
      <c r="O90" s="19">
        <v>1.4618</v>
      </c>
      <c r="P90" s="19">
        <v>0.21648700000000001</v>
      </c>
      <c r="Q90" s="19">
        <v>0.84609999999999996</v>
      </c>
      <c r="R90" s="19">
        <v>-0.913049</v>
      </c>
      <c r="S90" s="19">
        <v>0.32229999999999998</v>
      </c>
      <c r="T90" s="19">
        <v>-0.913049</v>
      </c>
      <c r="U90" s="19">
        <v>-0.10050000000000001</v>
      </c>
      <c r="V90" s="19">
        <v>0.25</v>
      </c>
      <c r="W90" s="19">
        <v>0.85319999999999996</v>
      </c>
      <c r="X90" s="19">
        <v>0.25</v>
      </c>
      <c r="Y90" s="19">
        <v>0.85319999999999996</v>
      </c>
      <c r="Z90" s="4"/>
      <c r="AA90" s="4"/>
      <c r="AB90" s="4" t="e">
        <f ca="1">_xll.ciqfunctions.udf.CIQ("^SPX", "IQ_PRICEDATE", "5/1/2014")</f>
        <v>#NAME?</v>
      </c>
      <c r="AC90" s="16">
        <v>1883.6834685870001</v>
      </c>
    </row>
    <row r="91" spans="1:29" x14ac:dyDescent="0.35">
      <c r="A91" s="2" t="s">
        <v>101</v>
      </c>
      <c r="B91" s="4" t="s">
        <v>786</v>
      </c>
      <c r="C91" s="4" t="s">
        <v>543</v>
      </c>
      <c r="D91" s="4" t="s">
        <v>544</v>
      </c>
      <c r="E91" s="4" t="s">
        <v>555</v>
      </c>
      <c r="F91" s="4" t="s">
        <v>556</v>
      </c>
      <c r="G91" s="14">
        <v>40.4</v>
      </c>
      <c r="H91" s="10">
        <v>24.092434999999998</v>
      </c>
      <c r="I91" s="10">
        <v>52.391258000000001</v>
      </c>
      <c r="J91" s="10">
        <v>41.808138999999997</v>
      </c>
      <c r="K91" s="15">
        <v>0</v>
      </c>
      <c r="L91" s="17">
        <v>11425.4432</v>
      </c>
      <c r="M91" s="4" t="s">
        <v>787</v>
      </c>
      <c r="N91" s="19">
        <v>0.77112099999999995</v>
      </c>
      <c r="O91" s="19">
        <v>1.7259</v>
      </c>
      <c r="P91" s="19">
        <v>0.73</v>
      </c>
      <c r="Q91" s="19">
        <v>1.4874000000000001</v>
      </c>
      <c r="R91" s="19">
        <v>0.7</v>
      </c>
      <c r="S91" s="19">
        <v>1.3187</v>
      </c>
      <c r="T91" s="19">
        <v>0.7</v>
      </c>
      <c r="U91" s="19">
        <v>1.1363000000000001</v>
      </c>
      <c r="V91" s="19">
        <v>0.43928200000000001</v>
      </c>
      <c r="W91" s="19">
        <v>1.0418000000000001</v>
      </c>
      <c r="X91" s="19">
        <v>0.43928200000000001</v>
      </c>
      <c r="Y91" s="19">
        <v>1.0418000000000001</v>
      </c>
      <c r="Z91" s="4"/>
      <c r="AA91" s="4"/>
      <c r="AB91" s="4" t="e">
        <f ca="1">_xll.ciqfunctions.udf.CIQ("^SPX", "IQ_PRICEDATE", "5/2/2014")</f>
        <v>#NAME?</v>
      </c>
      <c r="AC91" s="16">
        <v>1881.1381375353999</v>
      </c>
    </row>
    <row r="92" spans="1:29" x14ac:dyDescent="0.35">
      <c r="A92" s="2" t="s">
        <v>102</v>
      </c>
      <c r="B92" s="4" t="s">
        <v>788</v>
      </c>
      <c r="C92" s="4" t="s">
        <v>626</v>
      </c>
      <c r="D92" s="4" t="s">
        <v>627</v>
      </c>
      <c r="E92" s="4" t="s">
        <v>699</v>
      </c>
      <c r="F92" s="4" t="s">
        <v>789</v>
      </c>
      <c r="G92" s="14">
        <v>36.32</v>
      </c>
      <c r="H92" s="10">
        <v>10.58963</v>
      </c>
      <c r="I92" s="10">
        <v>42.232557999999997</v>
      </c>
      <c r="J92" s="10" t="s">
        <v>534</v>
      </c>
      <c r="K92" s="15">
        <v>3.8545999999999997E-2</v>
      </c>
      <c r="L92" s="17">
        <v>10919.830604999999</v>
      </c>
      <c r="M92" s="4" t="s">
        <v>790</v>
      </c>
      <c r="N92" s="19">
        <v>0.86</v>
      </c>
      <c r="O92" s="19">
        <v>2.4372699999999998</v>
      </c>
      <c r="P92" s="19">
        <v>2.85459</v>
      </c>
      <c r="Q92" s="19">
        <v>2.9523000000000001</v>
      </c>
      <c r="R92" s="19">
        <v>2.1284049999999999</v>
      </c>
      <c r="S92" s="19">
        <v>3.1292</v>
      </c>
      <c r="T92" s="19">
        <v>2.1284049999999999</v>
      </c>
      <c r="U92" s="19">
        <v>2.8235000000000001</v>
      </c>
      <c r="V92" s="19">
        <v>2.5402049999999998</v>
      </c>
      <c r="W92" s="19">
        <v>2.4777999999999998</v>
      </c>
      <c r="X92" s="19">
        <v>2.5402049999999998</v>
      </c>
      <c r="Y92" s="19">
        <v>2.4777999999999998</v>
      </c>
      <c r="Z92" s="4"/>
      <c r="AA92" s="4"/>
      <c r="AB92" s="4" t="e">
        <f ca="1">_xll.ciqfunctions.udf.CIQ("^SPX", "IQ_PRICEDATE", "5/5/2014")</f>
        <v>#NAME?</v>
      </c>
      <c r="AC92" s="16">
        <v>1884.6557347001001</v>
      </c>
    </row>
    <row r="93" spans="1:29" x14ac:dyDescent="0.35">
      <c r="A93" s="2" t="s">
        <v>103</v>
      </c>
      <c r="B93" s="4" t="s">
        <v>791</v>
      </c>
      <c r="C93" s="4" t="s">
        <v>573</v>
      </c>
      <c r="D93" s="4" t="s">
        <v>574</v>
      </c>
      <c r="E93" s="4" t="s">
        <v>641</v>
      </c>
      <c r="F93" s="4" t="s">
        <v>641</v>
      </c>
      <c r="G93" s="14">
        <v>91.48</v>
      </c>
      <c r="H93" s="10">
        <v>0</v>
      </c>
      <c r="I93" s="10">
        <v>13.784369999999999</v>
      </c>
      <c r="J93" s="10">
        <v>1.4454560000000001</v>
      </c>
      <c r="K93" s="15">
        <v>1.7490000000000002E-2</v>
      </c>
      <c r="L93" s="17">
        <v>43766.776400000002</v>
      </c>
      <c r="M93" s="4" t="s">
        <v>792</v>
      </c>
      <c r="N93" s="19">
        <v>6.6365020000000001</v>
      </c>
      <c r="O93" s="19">
        <v>10.9521</v>
      </c>
      <c r="P93" s="19">
        <v>3.76</v>
      </c>
      <c r="Q93" s="19">
        <v>8.5507000000000009</v>
      </c>
      <c r="R93" s="19">
        <v>6.93</v>
      </c>
      <c r="S93" s="19">
        <v>7.8623000000000003</v>
      </c>
      <c r="T93" s="19">
        <v>6.93</v>
      </c>
      <c r="U93" s="19">
        <v>7.6513999999999998</v>
      </c>
      <c r="V93" s="19">
        <v>7.58</v>
      </c>
      <c r="W93" s="19">
        <v>7.6684999999999999</v>
      </c>
      <c r="X93" s="19">
        <v>7.58</v>
      </c>
      <c r="Y93" s="19">
        <v>7.6684999999999999</v>
      </c>
      <c r="Z93" s="4"/>
      <c r="AA93" s="4"/>
      <c r="AB93" s="4" t="e">
        <f ca="1">_xll.ciqfunctions.udf.CIQ("^SPX", "IQ_PRICEDATE", "5/6/2014")</f>
        <v>#NAME?</v>
      </c>
      <c r="AC93" s="16">
        <v>1867.7191073542999</v>
      </c>
    </row>
    <row r="94" spans="1:29" x14ac:dyDescent="0.35">
      <c r="A94" s="2" t="s">
        <v>104</v>
      </c>
      <c r="B94" s="4" t="s">
        <v>793</v>
      </c>
      <c r="C94" s="4" t="s">
        <v>530</v>
      </c>
      <c r="D94" s="4" t="s">
        <v>531</v>
      </c>
      <c r="E94" s="4" t="s">
        <v>569</v>
      </c>
      <c r="F94" s="4" t="s">
        <v>655</v>
      </c>
      <c r="G94" s="14">
        <v>53.52</v>
      </c>
      <c r="H94" s="10">
        <v>7.7523270000000002</v>
      </c>
      <c r="I94" s="10">
        <v>66.074073999999996</v>
      </c>
      <c r="J94" s="10" t="s">
        <v>534</v>
      </c>
      <c r="K94" s="15">
        <v>3.5596999999999997E-2</v>
      </c>
      <c r="L94" s="17">
        <v>16048.772070000001</v>
      </c>
      <c r="M94" s="4" t="s">
        <v>794</v>
      </c>
      <c r="N94" s="19">
        <v>0.81</v>
      </c>
      <c r="O94" s="19">
        <v>5.0192600000000001</v>
      </c>
      <c r="P94" s="19">
        <v>5.735188</v>
      </c>
      <c r="Q94" s="19">
        <v>5.1148999999999996</v>
      </c>
      <c r="R94" s="19">
        <v>4.1525109999999996</v>
      </c>
      <c r="S94" s="19">
        <v>5.609</v>
      </c>
      <c r="T94" s="19">
        <v>4.1525109999999996</v>
      </c>
      <c r="U94" s="19">
        <v>5.3914999999999997</v>
      </c>
      <c r="V94" s="19">
        <v>3.239296</v>
      </c>
      <c r="W94" s="19">
        <v>4.4118000000000004</v>
      </c>
      <c r="X94" s="19">
        <v>3.239296</v>
      </c>
      <c r="Y94" s="19">
        <v>4.4118000000000004</v>
      </c>
      <c r="Z94" s="4"/>
      <c r="AA94" s="4"/>
      <c r="AB94" s="4" t="e">
        <f ca="1">_xll.ciqfunctions.udf.CIQ("^SPX", "IQ_PRICEDATE", "5/7/2014")</f>
        <v>#NAME?</v>
      </c>
      <c r="AC94" s="16">
        <v>1878.2077180358999</v>
      </c>
    </row>
    <row r="95" spans="1:29" x14ac:dyDescent="0.35">
      <c r="A95" s="2" t="s">
        <v>105</v>
      </c>
      <c r="B95" s="4" t="s">
        <v>795</v>
      </c>
      <c r="C95" s="4" t="s">
        <v>559</v>
      </c>
      <c r="D95" s="4" t="s">
        <v>560</v>
      </c>
      <c r="E95" s="4" t="s">
        <v>561</v>
      </c>
      <c r="F95" s="4" t="s">
        <v>562</v>
      </c>
      <c r="G95" s="14">
        <v>69.92</v>
      </c>
      <c r="H95" s="10">
        <v>19.832695999999999</v>
      </c>
      <c r="I95" s="10">
        <v>17.3401</v>
      </c>
      <c r="J95" s="10">
        <v>3.5197690000000001</v>
      </c>
      <c r="K95" s="15">
        <v>0</v>
      </c>
      <c r="L95" s="17">
        <v>12209.517311</v>
      </c>
      <c r="M95" s="4" t="s">
        <v>796</v>
      </c>
      <c r="N95" s="19">
        <v>4.0322719999999999</v>
      </c>
      <c r="O95" s="19">
        <v>4.8364000000000003</v>
      </c>
      <c r="P95" s="19">
        <v>3.7372429999999999</v>
      </c>
      <c r="Q95" s="19">
        <v>4.0983999999999998</v>
      </c>
      <c r="R95" s="19">
        <v>3.1556299999999999</v>
      </c>
      <c r="S95" s="19">
        <v>3.5223</v>
      </c>
      <c r="T95" s="19">
        <v>3.1556299999999999</v>
      </c>
      <c r="U95" s="19">
        <v>3.2806999999999999</v>
      </c>
      <c r="V95" s="19">
        <v>2.484111</v>
      </c>
      <c r="W95" s="19">
        <v>2.8491</v>
      </c>
      <c r="X95" s="19">
        <v>2.484111</v>
      </c>
      <c r="Y95" s="19">
        <v>2.8491</v>
      </c>
      <c r="Z95" s="4"/>
      <c r="AA95" s="4"/>
      <c r="AB95" s="4" t="e">
        <f ca="1">_xll.ciqfunctions.udf.CIQ("^SPX", "IQ_PRICEDATE", "5/8/2014")</f>
        <v>#NAME?</v>
      </c>
      <c r="AC95" s="16">
        <v>1875.6291590243</v>
      </c>
    </row>
    <row r="96" spans="1:29" x14ac:dyDescent="0.35">
      <c r="A96" s="2" t="s">
        <v>106</v>
      </c>
      <c r="B96" s="4" t="s">
        <v>797</v>
      </c>
      <c r="C96" s="4" t="s">
        <v>559</v>
      </c>
      <c r="D96" s="4" t="s">
        <v>798</v>
      </c>
      <c r="E96" s="4" t="s">
        <v>799</v>
      </c>
      <c r="F96" s="4" t="s">
        <v>800</v>
      </c>
      <c r="G96" s="14">
        <v>59</v>
      </c>
      <c r="H96" s="10">
        <v>9.2766710000000003</v>
      </c>
      <c r="I96" s="10">
        <v>13.211574000000001</v>
      </c>
      <c r="J96" s="10">
        <v>2.0123760000000002</v>
      </c>
      <c r="K96" s="15">
        <v>3.3898000000000005E-2</v>
      </c>
      <c r="L96" s="17">
        <v>41204.667092000003</v>
      </c>
      <c r="M96" s="4" t="s">
        <v>801</v>
      </c>
      <c r="N96" s="19">
        <v>4.4657809999999998</v>
      </c>
      <c r="O96" s="19">
        <v>4.5016999999999996</v>
      </c>
      <c r="P96" s="19">
        <v>3.59</v>
      </c>
      <c r="Q96" s="19">
        <v>4.2590700000000004</v>
      </c>
      <c r="R96" s="19">
        <v>3.72</v>
      </c>
      <c r="S96" s="19">
        <v>3.5720100000000001</v>
      </c>
      <c r="T96" s="19">
        <v>3.72</v>
      </c>
      <c r="U96" s="19">
        <v>3.3593199999999999</v>
      </c>
      <c r="V96" s="19">
        <v>1.56</v>
      </c>
      <c r="W96" s="19">
        <v>2.5376300000000001</v>
      </c>
      <c r="X96" s="19">
        <v>1.56</v>
      </c>
      <c r="Y96" s="19">
        <v>2.5376300000000001</v>
      </c>
      <c r="Z96" s="4"/>
      <c r="AA96" s="4"/>
      <c r="AB96" s="4" t="e">
        <f ca="1">_xll.ciqfunctions.udf.CIQ("^SPX", "IQ_PRICEDATE", "5/9/2014")</f>
        <v>#NAME?</v>
      </c>
      <c r="AC96" s="16">
        <v>1878.4756878404</v>
      </c>
    </row>
    <row r="97" spans="1:29" x14ac:dyDescent="0.35">
      <c r="A97" s="2" t="s">
        <v>107</v>
      </c>
      <c r="B97" s="4" t="s">
        <v>802</v>
      </c>
      <c r="C97" s="4" t="s">
        <v>525</v>
      </c>
      <c r="D97" s="4" t="s">
        <v>526</v>
      </c>
      <c r="E97" s="4" t="s">
        <v>803</v>
      </c>
      <c r="F97" s="4" t="s">
        <v>804</v>
      </c>
      <c r="G97" s="14">
        <v>141.34</v>
      </c>
      <c r="H97" s="10">
        <v>10.774259000000001</v>
      </c>
      <c r="I97" s="10">
        <v>27.305671</v>
      </c>
      <c r="J97" s="10">
        <v>12.744948000000001</v>
      </c>
      <c r="K97" s="15">
        <v>2.4338000000000002E-2</v>
      </c>
      <c r="L97" s="17">
        <v>84001.950339999996</v>
      </c>
      <c r="M97" s="4" t="s">
        <v>805</v>
      </c>
      <c r="N97" s="19">
        <v>5.1762139999999999</v>
      </c>
      <c r="O97" s="19">
        <v>12.0632</v>
      </c>
      <c r="P97" s="19">
        <v>1.26</v>
      </c>
      <c r="Q97" s="19">
        <v>7.7234999999999996</v>
      </c>
      <c r="R97" s="19">
        <v>-0.11466700000000001</v>
      </c>
      <c r="S97" s="19">
        <v>3.0388000000000002</v>
      </c>
      <c r="T97" s="19">
        <v>-0.11466700000000001</v>
      </c>
      <c r="U97" s="19">
        <v>3.3948</v>
      </c>
      <c r="V97" s="19">
        <v>3.9</v>
      </c>
      <c r="W97" s="19">
        <v>6.7378</v>
      </c>
      <c r="X97" s="19">
        <v>3.9</v>
      </c>
      <c r="Y97" s="19">
        <v>6.7378</v>
      </c>
      <c r="Z97" s="4"/>
      <c r="AA97" s="4"/>
      <c r="AB97" s="4" t="e">
        <f ca="1">_xll.ciqfunctions.udf.CIQ("^SPX", "IQ_PRICEDATE", "5/12/2014")</f>
        <v>#NAME?</v>
      </c>
      <c r="AC97" s="16">
        <v>1896.6543225495</v>
      </c>
    </row>
    <row r="98" spans="1:29" x14ac:dyDescent="0.35">
      <c r="A98" s="2" t="s">
        <v>108</v>
      </c>
      <c r="B98" s="4" t="s">
        <v>806</v>
      </c>
      <c r="C98" s="4" t="s">
        <v>573</v>
      </c>
      <c r="D98" s="4" t="s">
        <v>574</v>
      </c>
      <c r="E98" s="4" t="s">
        <v>575</v>
      </c>
      <c r="F98" s="4" t="s">
        <v>807</v>
      </c>
      <c r="G98" s="14">
        <v>102.64</v>
      </c>
      <c r="H98" s="10">
        <v>15.851008999999999</v>
      </c>
      <c r="I98" s="10">
        <v>22.533776</v>
      </c>
      <c r="J98" s="10" t="s">
        <v>534</v>
      </c>
      <c r="K98" s="15">
        <v>1.2081E-2</v>
      </c>
      <c r="L98" s="17">
        <v>11477.076499999999</v>
      </c>
      <c r="M98" s="4" t="s">
        <v>808</v>
      </c>
      <c r="N98" s="19">
        <v>4.5549400000000002</v>
      </c>
      <c r="O98" s="19">
        <v>4.5174000000000003</v>
      </c>
      <c r="P98" s="19">
        <v>3.69</v>
      </c>
      <c r="Q98" s="19">
        <v>3.8010000000000002</v>
      </c>
      <c r="R98" s="19">
        <v>2.27</v>
      </c>
      <c r="S98" s="19">
        <v>2.4192999999999998</v>
      </c>
      <c r="T98" s="19">
        <v>2.27</v>
      </c>
      <c r="U98" s="19">
        <v>2.5352000000000001</v>
      </c>
      <c r="V98" s="19">
        <v>2.2058399999999998</v>
      </c>
      <c r="W98" s="19">
        <v>2.5146000000000002</v>
      </c>
      <c r="X98" s="19">
        <v>2.2058399999999998</v>
      </c>
      <c r="Y98" s="19">
        <v>2.5146000000000002</v>
      </c>
      <c r="Z98" s="4"/>
      <c r="AA98" s="4"/>
      <c r="AB98" s="4" t="e">
        <f ca="1">_xll.ciqfunctions.udf.CIQ("^SPX", "IQ_PRICEDATE", "5/13/2014")</f>
        <v>#NAME?</v>
      </c>
      <c r="AC98" s="16">
        <v>1897.4458157632</v>
      </c>
    </row>
    <row r="99" spans="1:29" x14ac:dyDescent="0.35">
      <c r="A99" s="2" t="s">
        <v>109</v>
      </c>
      <c r="B99" s="4" t="s">
        <v>809</v>
      </c>
      <c r="C99" s="4" t="s">
        <v>601</v>
      </c>
      <c r="D99" s="4" t="s">
        <v>601</v>
      </c>
      <c r="E99" s="4" t="s">
        <v>810</v>
      </c>
      <c r="F99" s="4" t="s">
        <v>811</v>
      </c>
      <c r="G99" s="14">
        <v>39.659999999999997</v>
      </c>
      <c r="H99" s="10">
        <v>9.3254260000000002</v>
      </c>
      <c r="I99" s="10">
        <v>18.618659999999998</v>
      </c>
      <c r="J99" s="10" t="s">
        <v>534</v>
      </c>
      <c r="K99" s="15">
        <v>0</v>
      </c>
      <c r="L99" s="17">
        <v>13169.513559999999</v>
      </c>
      <c r="M99" s="4" t="s">
        <v>812</v>
      </c>
      <c r="N99" s="19">
        <v>2.1301209999999999</v>
      </c>
      <c r="O99" s="19">
        <v>3.2469000000000001</v>
      </c>
      <c r="P99" s="19">
        <v>2.0299999999999998</v>
      </c>
      <c r="Q99" s="19">
        <v>2.6916000000000002</v>
      </c>
      <c r="R99" s="19">
        <v>1.689999</v>
      </c>
      <c r="S99" s="19">
        <v>2.2982</v>
      </c>
      <c r="T99" s="19">
        <v>1.689999</v>
      </c>
      <c r="U99" s="19">
        <v>2.2416999999999998</v>
      </c>
      <c r="V99" s="19">
        <v>1.449999</v>
      </c>
      <c r="W99" s="19">
        <v>1.8380000000000001</v>
      </c>
      <c r="X99" s="19">
        <v>1.449999</v>
      </c>
      <c r="Y99" s="19">
        <v>1.8380000000000001</v>
      </c>
      <c r="Z99" s="4"/>
      <c r="AA99" s="4"/>
      <c r="AB99" s="4" t="e">
        <f ca="1">_xll.ciqfunctions.udf.CIQ("^SPX", "IQ_PRICEDATE", "5/14/2014")</f>
        <v>#NAME?</v>
      </c>
      <c r="AC99" s="16">
        <v>1888.5257205712001</v>
      </c>
    </row>
    <row r="100" spans="1:29" x14ac:dyDescent="0.35">
      <c r="A100" s="2" t="s">
        <v>110</v>
      </c>
      <c r="B100" s="4" t="s">
        <v>813</v>
      </c>
      <c r="C100" s="4" t="s">
        <v>549</v>
      </c>
      <c r="D100" s="4" t="s">
        <v>550</v>
      </c>
      <c r="E100" s="4" t="s">
        <v>814</v>
      </c>
      <c r="F100" s="4" t="s">
        <v>815</v>
      </c>
      <c r="G100" s="14">
        <v>55.86</v>
      </c>
      <c r="H100" s="10">
        <v>9.9723369999999996</v>
      </c>
      <c r="I100" s="10">
        <v>15.968147999999999</v>
      </c>
      <c r="J100" s="10" t="s">
        <v>534</v>
      </c>
      <c r="K100" s="15">
        <v>1.2888999999999999E-2</v>
      </c>
      <c r="L100" s="17">
        <v>21017.076614000001</v>
      </c>
      <c r="M100" s="4" t="s">
        <v>816</v>
      </c>
      <c r="N100" s="19">
        <v>3.4982139999999999</v>
      </c>
      <c r="O100" s="19">
        <v>5.7276999999999996</v>
      </c>
      <c r="P100" s="19">
        <v>3.22</v>
      </c>
      <c r="Q100" s="19">
        <v>4.7521000000000004</v>
      </c>
      <c r="R100" s="19">
        <v>3.46</v>
      </c>
      <c r="S100" s="19">
        <v>4.3316999999999997</v>
      </c>
      <c r="T100" s="19">
        <v>3.46</v>
      </c>
      <c r="U100" s="19">
        <v>3.7648000000000001</v>
      </c>
      <c r="V100" s="19">
        <v>2.0499999999999998</v>
      </c>
      <c r="W100" s="19">
        <v>3.4969999999999999</v>
      </c>
      <c r="X100" s="19">
        <v>2.0499999999999998</v>
      </c>
      <c r="Y100" s="19">
        <v>3.4969999999999999</v>
      </c>
      <c r="Z100" s="4"/>
      <c r="AA100" s="4"/>
      <c r="AB100" s="4" t="e">
        <f ca="1">_xll.ciqfunctions.udf.CIQ("^SPX", "IQ_PRICEDATE", "5/15/2014")</f>
        <v>#NAME?</v>
      </c>
      <c r="AC100" s="16">
        <v>1870.8486363597001</v>
      </c>
    </row>
    <row r="101" spans="1:29" x14ac:dyDescent="0.35">
      <c r="A101" s="2" t="s">
        <v>111</v>
      </c>
      <c r="B101" s="4" t="s">
        <v>817</v>
      </c>
      <c r="C101" s="4" t="s">
        <v>530</v>
      </c>
      <c r="D101" s="4" t="s">
        <v>537</v>
      </c>
      <c r="E101" s="4" t="s">
        <v>538</v>
      </c>
      <c r="F101" s="4" t="s">
        <v>538</v>
      </c>
      <c r="G101" s="14">
        <v>84.28</v>
      </c>
      <c r="H101" s="10">
        <v>15.243911000000001</v>
      </c>
      <c r="I101" s="10">
        <v>23.439433000000001</v>
      </c>
      <c r="J101" s="10" t="s">
        <v>534</v>
      </c>
      <c r="K101" s="15">
        <v>0</v>
      </c>
      <c r="L101" s="17">
        <v>59279.434482999997</v>
      </c>
      <c r="M101" s="4" t="s">
        <v>818</v>
      </c>
      <c r="N101" s="19">
        <v>3.59565</v>
      </c>
      <c r="O101" s="19">
        <v>9.6285000000000007</v>
      </c>
      <c r="P101" s="19">
        <v>3.64</v>
      </c>
      <c r="Q101" s="19">
        <v>8.2898999999999994</v>
      </c>
      <c r="R101" s="19">
        <v>2.4900000000000002</v>
      </c>
      <c r="S101" s="19">
        <v>6.7851999999999997</v>
      </c>
      <c r="T101" s="19">
        <v>2.4900000000000002</v>
      </c>
      <c r="U101" s="19">
        <v>5.4412000000000003</v>
      </c>
      <c r="V101" s="19">
        <v>2.39</v>
      </c>
      <c r="W101" s="19">
        <v>4.4302000000000001</v>
      </c>
      <c r="X101" s="19">
        <v>2.39</v>
      </c>
      <c r="Y101" s="19">
        <v>4.4302000000000001</v>
      </c>
      <c r="Z101" s="4"/>
      <c r="AA101" s="4"/>
      <c r="AB101" s="4" t="e">
        <f ca="1">_xll.ciqfunctions.udf.CIQ("^SPX", "IQ_PRICEDATE", "5/16/2014")</f>
        <v>#NAME?</v>
      </c>
      <c r="AC101" s="16">
        <v>1877.8552731881</v>
      </c>
    </row>
    <row r="102" spans="1:29" x14ac:dyDescent="0.35">
      <c r="A102" s="2" t="s">
        <v>112</v>
      </c>
      <c r="B102" s="4" t="s">
        <v>819</v>
      </c>
      <c r="C102" s="4" t="s">
        <v>530</v>
      </c>
      <c r="D102" s="4" t="s">
        <v>531</v>
      </c>
      <c r="E102" s="4" t="s">
        <v>569</v>
      </c>
      <c r="F102" s="4" t="s">
        <v>570</v>
      </c>
      <c r="G102" s="14">
        <v>145.36000000000001</v>
      </c>
      <c r="H102" s="10">
        <v>13.104380000000001</v>
      </c>
      <c r="I102" s="10">
        <v>24.729672000000001</v>
      </c>
      <c r="J102" s="10">
        <v>7.9284350000000003</v>
      </c>
      <c r="K102" s="15">
        <v>0</v>
      </c>
      <c r="L102" s="17">
        <v>29836.109697</v>
      </c>
      <c r="M102" s="4" t="s">
        <v>820</v>
      </c>
      <c r="N102" s="19">
        <v>5.8779589999999997</v>
      </c>
      <c r="O102" s="19">
        <v>7.8372000000000002</v>
      </c>
      <c r="P102" s="19">
        <v>4.6900000000000004</v>
      </c>
      <c r="Q102" s="19">
        <v>5.3230000000000004</v>
      </c>
      <c r="R102" s="19">
        <v>3.41</v>
      </c>
      <c r="S102" s="19">
        <v>4.6642999999999999</v>
      </c>
      <c r="T102" s="19">
        <v>3.41</v>
      </c>
      <c r="U102" s="19">
        <v>3.5289000000000001</v>
      </c>
      <c r="V102" s="19">
        <v>2.23</v>
      </c>
      <c r="W102" s="19">
        <v>2.6775000000000002</v>
      </c>
      <c r="X102" s="19">
        <v>2.23</v>
      </c>
      <c r="Y102" s="19">
        <v>2.6775000000000002</v>
      </c>
      <c r="Z102" s="4"/>
      <c r="AA102" s="4"/>
      <c r="AB102" s="4" t="e">
        <f ca="1">_xll.ciqfunctions.udf.CIQ("^SPX", "IQ_PRICEDATE", "5/19/2014")</f>
        <v>#NAME?</v>
      </c>
      <c r="AC102" s="16">
        <v>1885.0848808167</v>
      </c>
    </row>
    <row r="103" spans="1:29" x14ac:dyDescent="0.35">
      <c r="A103" s="2" t="s">
        <v>113</v>
      </c>
      <c r="B103" s="4" t="s">
        <v>821</v>
      </c>
      <c r="C103" s="4" t="s">
        <v>619</v>
      </c>
      <c r="D103" s="4" t="s">
        <v>619</v>
      </c>
      <c r="E103" s="4" t="s">
        <v>634</v>
      </c>
      <c r="F103" s="4" t="s">
        <v>634</v>
      </c>
      <c r="G103" s="14">
        <v>27.56</v>
      </c>
      <c r="H103" s="10">
        <v>8.565016</v>
      </c>
      <c r="I103" s="10">
        <v>7.6807949999999998</v>
      </c>
      <c r="J103" s="10">
        <v>3.1851780000000001</v>
      </c>
      <c r="K103" s="15">
        <v>4.0274999999999998E-2</v>
      </c>
      <c r="L103" s="17">
        <v>13812.765533</v>
      </c>
      <c r="M103" s="4" t="s">
        <v>822</v>
      </c>
      <c r="N103" s="19">
        <v>3.5881699999999999</v>
      </c>
      <c r="O103" s="19">
        <v>1.6241000000000001</v>
      </c>
      <c r="P103" s="19">
        <v>4.13</v>
      </c>
      <c r="Q103" s="19">
        <v>1.4000999999999999</v>
      </c>
      <c r="R103" s="19">
        <v>1</v>
      </c>
      <c r="S103" s="19">
        <v>1.2421</v>
      </c>
      <c r="T103" s="19">
        <v>1</v>
      </c>
      <c r="U103" s="19">
        <v>1.0885</v>
      </c>
      <c r="V103" s="19">
        <v>1.42</v>
      </c>
      <c r="W103" s="19">
        <v>1.1583000000000001</v>
      </c>
      <c r="X103" s="19">
        <v>1.42</v>
      </c>
      <c r="Y103" s="19">
        <v>1.1583000000000001</v>
      </c>
      <c r="Z103" s="4"/>
      <c r="AA103" s="4"/>
      <c r="AB103" s="4" t="e">
        <f ca="1">_xll.ciqfunctions.udf.CIQ("^SPX", "IQ_PRICEDATE", "5/20/2014")</f>
        <v>#NAME?</v>
      </c>
      <c r="AC103" s="16">
        <v>1872.834226359</v>
      </c>
    </row>
    <row r="104" spans="1:29" x14ac:dyDescent="0.35">
      <c r="A104" s="2" t="s">
        <v>114</v>
      </c>
      <c r="B104" s="4" t="s">
        <v>823</v>
      </c>
      <c r="C104" s="4" t="s">
        <v>549</v>
      </c>
      <c r="D104" s="4" t="s">
        <v>713</v>
      </c>
      <c r="E104" s="4" t="s">
        <v>714</v>
      </c>
      <c r="F104" s="4" t="s">
        <v>824</v>
      </c>
      <c r="G104" s="14">
        <v>21.15</v>
      </c>
      <c r="H104" s="10">
        <v>7.876487</v>
      </c>
      <c r="I104" s="10">
        <v>11.669796</v>
      </c>
      <c r="J104" s="10" t="s">
        <v>534</v>
      </c>
      <c r="K104" s="15">
        <v>0.102127</v>
      </c>
      <c r="L104" s="17">
        <v>22844.607350999999</v>
      </c>
      <c r="M104" s="4" t="s">
        <v>825</v>
      </c>
      <c r="N104" s="19">
        <v>1.812371</v>
      </c>
      <c r="O104" s="19">
        <v>1.1889000000000001</v>
      </c>
      <c r="P104" s="19">
        <v>2.21</v>
      </c>
      <c r="Q104" s="19">
        <v>1.4044000000000001</v>
      </c>
      <c r="R104" s="19">
        <v>1.1599999999999999</v>
      </c>
      <c r="S104" s="19">
        <v>2.2555000000000001</v>
      </c>
      <c r="T104" s="19">
        <v>1.1599999999999999</v>
      </c>
      <c r="U104" s="19">
        <v>2.4289999999999998</v>
      </c>
      <c r="V104" s="19">
        <v>1.358114</v>
      </c>
      <c r="W104" s="19">
        <v>2.5156999999999998</v>
      </c>
      <c r="X104" s="19">
        <v>1.358114</v>
      </c>
      <c r="Y104" s="19">
        <v>2.5156999999999998</v>
      </c>
      <c r="Z104" s="4"/>
      <c r="AA104" s="4"/>
      <c r="AB104" s="4" t="e">
        <f ca="1">_xll.ciqfunctions.udf.CIQ("^SPX", "IQ_PRICEDATE", "5/21/2014")</f>
        <v>#NAME?</v>
      </c>
      <c r="AC104" s="16">
        <v>1888.0302964502</v>
      </c>
    </row>
    <row r="105" spans="1:29" x14ac:dyDescent="0.35">
      <c r="A105" s="2" t="s">
        <v>115</v>
      </c>
      <c r="B105" s="4" t="s">
        <v>826</v>
      </c>
      <c r="C105" s="4" t="s">
        <v>530</v>
      </c>
      <c r="D105" s="4" t="s">
        <v>531</v>
      </c>
      <c r="E105" s="4" t="s">
        <v>827</v>
      </c>
      <c r="F105" s="4" t="s">
        <v>827</v>
      </c>
      <c r="G105" s="14">
        <v>64.23</v>
      </c>
      <c r="H105" s="10">
        <v>16.017620000000001</v>
      </c>
      <c r="I105" s="10">
        <v>25.674551000000001</v>
      </c>
      <c r="J105" s="10">
        <v>7.7621149999999997</v>
      </c>
      <c r="K105" s="15">
        <v>0</v>
      </c>
      <c r="L105" s="17">
        <v>21131.950749</v>
      </c>
      <c r="M105" s="4" t="s">
        <v>828</v>
      </c>
      <c r="N105" s="19">
        <v>2.5016989999999999</v>
      </c>
      <c r="O105" s="19">
        <v>2.6396000000000002</v>
      </c>
      <c r="P105" s="19">
        <v>2.57</v>
      </c>
      <c r="Q105" s="19">
        <v>2.5301999999999998</v>
      </c>
      <c r="R105" s="19">
        <v>1.85</v>
      </c>
      <c r="S105" s="19">
        <v>2.4882</v>
      </c>
      <c r="T105" s="19">
        <v>1.85</v>
      </c>
      <c r="U105" s="19">
        <v>2.286</v>
      </c>
      <c r="V105" s="19">
        <v>1.24926</v>
      </c>
      <c r="W105" s="19">
        <v>1.94</v>
      </c>
      <c r="X105" s="19">
        <v>1.24926</v>
      </c>
      <c r="Y105" s="19">
        <v>1.94</v>
      </c>
      <c r="Z105" s="4"/>
      <c r="AA105" s="4"/>
      <c r="AB105" s="4" t="e">
        <f ca="1">_xll.ciqfunctions.udf.CIQ("^SPX", "IQ_PRICEDATE", "5/22/2014")</f>
        <v>#NAME?</v>
      </c>
      <c r="AC105" s="16">
        <v>1892.4936293646999</v>
      </c>
    </row>
    <row r="106" spans="1:29" x14ac:dyDescent="0.35">
      <c r="A106" s="2" t="s">
        <v>116</v>
      </c>
      <c r="B106" s="4" t="s">
        <v>829</v>
      </c>
      <c r="C106" s="4" t="s">
        <v>586</v>
      </c>
      <c r="D106" s="4" t="s">
        <v>586</v>
      </c>
      <c r="E106" s="4" t="s">
        <v>587</v>
      </c>
      <c r="F106" s="4" t="s">
        <v>830</v>
      </c>
      <c r="G106" s="14">
        <v>51.5</v>
      </c>
      <c r="H106" s="10">
        <v>13.435985000000001</v>
      </c>
      <c r="I106" s="10">
        <v>20.480450999999999</v>
      </c>
      <c r="J106" s="10">
        <v>11.226429</v>
      </c>
      <c r="K106" s="15">
        <v>2.3300000000000001E-2</v>
      </c>
      <c r="L106" s="17">
        <v>12023.636145</v>
      </c>
      <c r="M106" s="4" t="s">
        <v>831</v>
      </c>
      <c r="N106" s="19">
        <v>2.5145930000000001</v>
      </c>
      <c r="O106" s="19">
        <v>2.0055000000000001</v>
      </c>
      <c r="P106" s="19">
        <v>1.53</v>
      </c>
      <c r="Q106" s="19">
        <v>0.20280000000000001</v>
      </c>
      <c r="R106" s="19">
        <v>-1.19</v>
      </c>
      <c r="S106" s="19">
        <v>0.26919999999999999</v>
      </c>
      <c r="T106" s="19">
        <v>-1.19</v>
      </c>
      <c r="U106" s="19">
        <v>4.0796000000000001</v>
      </c>
      <c r="V106" s="19">
        <v>5.42</v>
      </c>
      <c r="W106" s="19">
        <v>4.0696000000000003</v>
      </c>
      <c r="X106" s="19">
        <v>5.42</v>
      </c>
      <c r="Y106" s="19">
        <v>4.0696000000000003</v>
      </c>
      <c r="Z106" s="4"/>
      <c r="AA106" s="4"/>
      <c r="AB106" s="4" t="e">
        <f ca="1">_xll.ciqfunctions.udf.CIQ("^SPX", "IQ_PRICEDATE", "5/23/2014")</f>
        <v>#NAME?</v>
      </c>
      <c r="AC106" s="16">
        <v>1900.5332285925999</v>
      </c>
    </row>
    <row r="107" spans="1:29" x14ac:dyDescent="0.35">
      <c r="A107" s="2" t="s">
        <v>117</v>
      </c>
      <c r="B107" s="4" t="s">
        <v>832</v>
      </c>
      <c r="C107" s="4" t="s">
        <v>549</v>
      </c>
      <c r="D107" s="4" t="s">
        <v>550</v>
      </c>
      <c r="E107" s="4" t="s">
        <v>814</v>
      </c>
      <c r="F107" s="4" t="s">
        <v>833</v>
      </c>
      <c r="G107" s="14">
        <v>319.83</v>
      </c>
      <c r="H107" s="10">
        <v>9.9014389999999999</v>
      </c>
      <c r="I107" s="10">
        <v>8.7660979999999995</v>
      </c>
      <c r="J107" s="10" t="s">
        <v>534</v>
      </c>
      <c r="K107" s="15">
        <v>0</v>
      </c>
      <c r="L107" s="17">
        <v>74157.041372000007</v>
      </c>
      <c r="M107" s="4" t="s">
        <v>834</v>
      </c>
      <c r="N107" s="19">
        <v>36.484875000000002</v>
      </c>
      <c r="O107" s="19">
        <v>5.9424999999999999</v>
      </c>
      <c r="P107" s="19">
        <v>34.087850000000003</v>
      </c>
      <c r="Q107" s="19">
        <v>3.9973999999999998</v>
      </c>
      <c r="R107" s="19">
        <v>15.946066</v>
      </c>
      <c r="S107" s="19">
        <v>4.7812999999999999</v>
      </c>
      <c r="T107" s="19">
        <v>15.946066</v>
      </c>
      <c r="U107" s="19">
        <v>0</v>
      </c>
      <c r="V107" s="19">
        <v>-1.879999</v>
      </c>
      <c r="W107" s="19">
        <v>0</v>
      </c>
      <c r="X107" s="19">
        <v>-1.879999</v>
      </c>
      <c r="Y107" s="19">
        <v>0</v>
      </c>
      <c r="Z107" s="4"/>
      <c r="AA107" s="4"/>
      <c r="AB107" s="4" t="e">
        <f ca="1">_xll.ciqfunctions.udf.CIQ("^SPX", "IQ_PRICEDATE", "5/27/2014")</f>
        <v>#NAME?</v>
      </c>
      <c r="AC107" s="16">
        <v>1911.9106246526001</v>
      </c>
    </row>
    <row r="108" spans="1:29" x14ac:dyDescent="0.35">
      <c r="A108" s="2" t="s">
        <v>118</v>
      </c>
      <c r="B108" s="4" t="s">
        <v>835</v>
      </c>
      <c r="C108" s="4" t="s">
        <v>669</v>
      </c>
      <c r="D108" s="4" t="s">
        <v>669</v>
      </c>
      <c r="E108" s="4" t="s">
        <v>670</v>
      </c>
      <c r="F108" s="4" t="s">
        <v>836</v>
      </c>
      <c r="G108" s="14">
        <v>117.29</v>
      </c>
      <c r="H108" s="10">
        <v>8.180911</v>
      </c>
      <c r="I108" s="10">
        <v>18.462710000000001</v>
      </c>
      <c r="J108" s="10">
        <v>1.5218370000000001</v>
      </c>
      <c r="K108" s="15">
        <v>3.8195E-2</v>
      </c>
      <c r="L108" s="17">
        <v>224744.89335900001</v>
      </c>
      <c r="M108" s="4" t="s">
        <v>837</v>
      </c>
      <c r="N108" s="19">
        <v>6.352805</v>
      </c>
      <c r="O108" s="19">
        <v>9.1348000000000003</v>
      </c>
      <c r="P108" s="19">
        <v>4.8499999999999996</v>
      </c>
      <c r="Q108" s="19">
        <v>5.5984999999999996</v>
      </c>
      <c r="R108" s="19">
        <v>-0.27</v>
      </c>
      <c r="S108" s="19">
        <v>3.8411</v>
      </c>
      <c r="T108" s="19">
        <v>-0.27</v>
      </c>
      <c r="U108" s="19">
        <v>3.4708999999999999</v>
      </c>
      <c r="V108" s="19">
        <v>10.14</v>
      </c>
      <c r="W108" s="19">
        <v>6.7920999999999996</v>
      </c>
      <c r="X108" s="19">
        <v>10.14</v>
      </c>
      <c r="Y108" s="19">
        <v>6.7920999999999996</v>
      </c>
      <c r="Z108" s="4"/>
      <c r="AA108" s="4"/>
      <c r="AB108" s="4" t="e">
        <f ca="1">_xll.ciqfunctions.udf.CIQ("^SPX", "IQ_PRICEDATE", "5/28/2014")</f>
        <v>#NAME?</v>
      </c>
      <c r="AC108" s="16">
        <v>1909.7819247730999</v>
      </c>
    </row>
    <row r="109" spans="1:29" x14ac:dyDescent="0.35">
      <c r="A109" s="2" t="s">
        <v>119</v>
      </c>
      <c r="B109" s="4" t="s">
        <v>838</v>
      </c>
      <c r="C109" s="4" t="s">
        <v>559</v>
      </c>
      <c r="D109" s="4" t="s">
        <v>798</v>
      </c>
      <c r="E109" s="4" t="s">
        <v>799</v>
      </c>
      <c r="F109" s="4" t="s">
        <v>839</v>
      </c>
      <c r="G109" s="14">
        <v>429.85</v>
      </c>
      <c r="H109" s="10">
        <v>21.943809000000002</v>
      </c>
      <c r="I109" s="10">
        <v>71.232399999999998</v>
      </c>
      <c r="J109" s="10">
        <v>8.725835</v>
      </c>
      <c r="K109" s="15">
        <v>0</v>
      </c>
      <c r="L109" s="17">
        <v>11951.594534</v>
      </c>
      <c r="M109" s="4" t="s">
        <v>840</v>
      </c>
      <c r="N109" s="19">
        <v>6.0344730000000002</v>
      </c>
      <c r="O109" s="19">
        <v>10.248100000000001</v>
      </c>
      <c r="P109" s="19">
        <v>6.17</v>
      </c>
      <c r="Q109" s="19">
        <v>8.5454000000000008</v>
      </c>
      <c r="R109" s="19">
        <v>0.77</v>
      </c>
      <c r="S109" s="19">
        <v>7.6215000000000002</v>
      </c>
      <c r="T109" s="19">
        <v>0.77</v>
      </c>
      <c r="U109" s="19">
        <v>14.9651</v>
      </c>
      <c r="V109" s="19">
        <v>14.13</v>
      </c>
      <c r="W109" s="19">
        <v>16.701000000000001</v>
      </c>
      <c r="X109" s="19">
        <v>14.13</v>
      </c>
      <c r="Y109" s="19">
        <v>16.701000000000001</v>
      </c>
      <c r="Z109" s="4"/>
      <c r="AA109" s="4"/>
      <c r="AB109" s="4" t="e">
        <f ca="1">_xll.ciqfunctions.udf.CIQ("^SPX", "IQ_PRICEDATE", "5/29/2014")</f>
        <v>#NAME?</v>
      </c>
      <c r="AC109" s="16">
        <v>1920.0268444223</v>
      </c>
    </row>
    <row r="110" spans="1:29" x14ac:dyDescent="0.35">
      <c r="A110" s="2" t="s">
        <v>120</v>
      </c>
      <c r="B110" s="4" t="s">
        <v>841</v>
      </c>
      <c r="C110" s="4" t="s">
        <v>573</v>
      </c>
      <c r="D110" s="4" t="s">
        <v>579</v>
      </c>
      <c r="E110" s="4" t="s">
        <v>579</v>
      </c>
      <c r="F110" s="4" t="s">
        <v>842</v>
      </c>
      <c r="G110" s="14">
        <v>127.13</v>
      </c>
      <c r="H110" s="10">
        <v>15.337028</v>
      </c>
      <c r="I110" s="10">
        <v>15.554173</v>
      </c>
      <c r="J110" s="10">
        <v>2.0171510000000001</v>
      </c>
      <c r="K110" s="15">
        <v>2.2968000000000002E-2</v>
      </c>
      <c r="L110" s="17">
        <v>58616.60828</v>
      </c>
      <c r="M110" s="4" t="s">
        <v>843</v>
      </c>
      <c r="N110" s="19">
        <v>8.1733689999999992</v>
      </c>
      <c r="O110" s="19">
        <v>10.541700000000001</v>
      </c>
      <c r="P110" s="19">
        <v>8.1899990000000003</v>
      </c>
      <c r="Q110" s="19">
        <v>10.3453</v>
      </c>
      <c r="R110" s="19">
        <v>8.869999</v>
      </c>
      <c r="S110" s="19">
        <v>10.172700000000001</v>
      </c>
      <c r="T110" s="19">
        <v>8.869999</v>
      </c>
      <c r="U110" s="19">
        <v>9.4906000000000006</v>
      </c>
      <c r="V110" s="19">
        <v>8.42</v>
      </c>
      <c r="W110" s="19">
        <v>9.2250999999999994</v>
      </c>
      <c r="X110" s="19">
        <v>8.42</v>
      </c>
      <c r="Y110" s="19">
        <v>9.2250999999999994</v>
      </c>
      <c r="Z110" s="4"/>
      <c r="AA110" s="4"/>
      <c r="AB110" s="4" t="e">
        <f ca="1">_xll.ciqfunctions.udf.CIQ("^SPX", "IQ_PRICEDATE", "5/30/2014")</f>
        <v>#NAME?</v>
      </c>
      <c r="AC110" s="16">
        <v>1923.5726606584001</v>
      </c>
    </row>
    <row r="111" spans="1:29" x14ac:dyDescent="0.35">
      <c r="A111" s="2" t="s">
        <v>121</v>
      </c>
      <c r="B111" s="4" t="s">
        <v>844</v>
      </c>
      <c r="C111" s="4" t="s">
        <v>626</v>
      </c>
      <c r="D111" s="4" t="s">
        <v>845</v>
      </c>
      <c r="E111" s="4" t="s">
        <v>846</v>
      </c>
      <c r="F111" s="4" t="s">
        <v>846</v>
      </c>
      <c r="G111" s="14">
        <v>58.51</v>
      </c>
      <c r="H111" s="10">
        <v>17.282603999999999</v>
      </c>
      <c r="I111" s="10">
        <v>18.015260000000001</v>
      </c>
      <c r="J111" s="10" t="s">
        <v>534</v>
      </c>
      <c r="K111" s="15">
        <v>1.4869E-2</v>
      </c>
      <c r="L111" s="17">
        <v>14358.819563999999</v>
      </c>
      <c r="M111" s="4" t="s">
        <v>847</v>
      </c>
      <c r="N111" s="19">
        <v>3.2478020000000001</v>
      </c>
      <c r="O111" s="19">
        <v>2.3222</v>
      </c>
      <c r="P111" s="19">
        <v>2.9</v>
      </c>
      <c r="Q111" s="19">
        <v>2.0617999999999999</v>
      </c>
      <c r="R111" s="19">
        <v>1.75</v>
      </c>
      <c r="S111" s="19">
        <v>1.8452999999999999</v>
      </c>
      <c r="T111" s="19">
        <v>1.75</v>
      </c>
      <c r="U111" s="19">
        <v>1.7171000000000001</v>
      </c>
      <c r="V111" s="19">
        <v>1.51</v>
      </c>
      <c r="W111" s="19">
        <v>1.6175999999999999</v>
      </c>
      <c r="X111" s="19">
        <v>1.51</v>
      </c>
      <c r="Y111" s="19">
        <v>1.6175999999999999</v>
      </c>
      <c r="Z111" s="4"/>
      <c r="AA111" s="4"/>
      <c r="AB111" s="4" t="e">
        <f ca="1">_xll.ciqfunctions.udf.CIQ("^SPX", "IQ_PRICEDATE", "6/2/2014")</f>
        <v>#NAME?</v>
      </c>
      <c r="AC111" s="16">
        <v>1924.9653923408</v>
      </c>
    </row>
    <row r="112" spans="1:29" x14ac:dyDescent="0.35">
      <c r="A112" s="2" t="s">
        <v>122</v>
      </c>
      <c r="B112" s="4" t="s">
        <v>848</v>
      </c>
      <c r="C112" s="4" t="s">
        <v>530</v>
      </c>
      <c r="D112" s="4" t="s">
        <v>531</v>
      </c>
      <c r="E112" s="4" t="s">
        <v>569</v>
      </c>
      <c r="F112" s="4" t="s">
        <v>570</v>
      </c>
      <c r="G112" s="14">
        <v>211.2</v>
      </c>
      <c r="H112" s="10">
        <v>10.692087000000001</v>
      </c>
      <c r="I112" s="10">
        <v>20.594889999999999</v>
      </c>
      <c r="J112" s="10">
        <v>5.9753179999999997</v>
      </c>
      <c r="K112" s="15">
        <v>1.8900000000000001E-4</v>
      </c>
      <c r="L112" s="17">
        <v>51398.599085000002</v>
      </c>
      <c r="M112" s="4" t="s">
        <v>849</v>
      </c>
      <c r="N112" s="19">
        <v>10.254970999999999</v>
      </c>
      <c r="O112" s="19">
        <v>14.3537</v>
      </c>
      <c r="P112" s="19">
        <v>8.77</v>
      </c>
      <c r="Q112" s="19">
        <v>10.8766</v>
      </c>
      <c r="R112" s="19">
        <v>7.19</v>
      </c>
      <c r="S112" s="19">
        <v>9.0960999999999999</v>
      </c>
      <c r="T112" s="19">
        <v>7.19</v>
      </c>
      <c r="U112" s="19">
        <v>9.0611999999999995</v>
      </c>
      <c r="V112" s="19">
        <v>7.83</v>
      </c>
      <c r="W112" s="19">
        <v>7.9344999999999999</v>
      </c>
      <c r="X112" s="19">
        <v>7.83</v>
      </c>
      <c r="Y112" s="19">
        <v>7.9344999999999999</v>
      </c>
      <c r="Z112" s="4"/>
      <c r="AA112" s="4"/>
      <c r="AB112" s="4" t="e">
        <f ca="1">_xll.ciqfunctions.udf.CIQ("^SPX", "IQ_PRICEDATE", "6/3/2014")</f>
        <v>#NAME?</v>
      </c>
      <c r="AC112" s="16">
        <v>1924.2447476350001</v>
      </c>
    </row>
    <row r="113" spans="1:29" x14ac:dyDescent="0.35">
      <c r="A113" s="2" t="s">
        <v>123</v>
      </c>
      <c r="B113" s="4" t="s">
        <v>850</v>
      </c>
      <c r="C113" s="4" t="s">
        <v>669</v>
      </c>
      <c r="D113" s="4" t="s">
        <v>669</v>
      </c>
      <c r="E113" s="4" t="s">
        <v>670</v>
      </c>
      <c r="F113" s="4" t="s">
        <v>671</v>
      </c>
      <c r="G113" s="14">
        <v>92.25</v>
      </c>
      <c r="H113" s="10">
        <v>7.5562699999999996</v>
      </c>
      <c r="I113" s="10">
        <v>14.790518</v>
      </c>
      <c r="J113" s="10">
        <v>3.8152659999999998</v>
      </c>
      <c r="K113" s="15">
        <v>7.8040000000000002E-3</v>
      </c>
      <c r="L113" s="17">
        <v>8796.5978269999996</v>
      </c>
      <c r="M113" s="4" t="s">
        <v>851</v>
      </c>
      <c r="N113" s="19">
        <v>6.2371040000000004</v>
      </c>
      <c r="O113" s="19">
        <v>7.1073000000000004</v>
      </c>
      <c r="P113" s="19">
        <v>5.1950180000000001</v>
      </c>
      <c r="Q113" s="19">
        <v>5.6308999999999996</v>
      </c>
      <c r="R113" s="19">
        <v>-4.38</v>
      </c>
      <c r="S113" s="19">
        <v>3.3431000000000002</v>
      </c>
      <c r="T113" s="19">
        <v>-4.38</v>
      </c>
      <c r="U113" s="19">
        <v>2.5700000000000001E-2</v>
      </c>
      <c r="V113" s="19">
        <v>6.0154290000000001</v>
      </c>
      <c r="W113" s="19">
        <v>3.4388000000000001</v>
      </c>
      <c r="X113" s="19">
        <v>6.0154290000000001</v>
      </c>
      <c r="Y113" s="19">
        <v>3.4388000000000001</v>
      </c>
      <c r="Z113" s="4"/>
      <c r="AA113" s="4"/>
      <c r="AB113" s="4" t="e">
        <f ca="1">_xll.ciqfunctions.udf.CIQ("^SPX", "IQ_PRICEDATE", "6/4/2014")</f>
        <v>#NAME?</v>
      </c>
      <c r="AC113" s="16">
        <v>1927.8750457919</v>
      </c>
    </row>
    <row r="114" spans="1:29" x14ac:dyDescent="0.35">
      <c r="A114" s="2" t="s">
        <v>124</v>
      </c>
      <c r="B114" s="4" t="s">
        <v>852</v>
      </c>
      <c r="C114" s="4" t="s">
        <v>573</v>
      </c>
      <c r="D114" s="4" t="s">
        <v>579</v>
      </c>
      <c r="E114" s="4" t="s">
        <v>579</v>
      </c>
      <c r="F114" s="4" t="s">
        <v>842</v>
      </c>
      <c r="G114" s="14">
        <v>75.75</v>
      </c>
      <c r="H114" s="10">
        <v>19.431715000000001</v>
      </c>
      <c r="I114" s="10">
        <v>13.499415000000001</v>
      </c>
      <c r="J114" s="10">
        <v>1.5559559999999999</v>
      </c>
      <c r="K114" s="15">
        <v>2.7986E-2</v>
      </c>
      <c r="L114" s="17">
        <v>12320.910286</v>
      </c>
      <c r="M114" s="4" t="s">
        <v>853</v>
      </c>
      <c r="N114" s="19">
        <v>5.6113540000000004</v>
      </c>
      <c r="O114" s="19">
        <v>3.1537000000000002</v>
      </c>
      <c r="P114" s="19">
        <v>6.29</v>
      </c>
      <c r="Q114" s="19">
        <v>3.0217000000000001</v>
      </c>
      <c r="R114" s="19">
        <v>3.55</v>
      </c>
      <c r="S114" s="19">
        <v>2.8711000000000002</v>
      </c>
      <c r="T114" s="19">
        <v>3.55</v>
      </c>
      <c r="U114" s="19">
        <v>2.669</v>
      </c>
      <c r="V114" s="19">
        <v>3.18</v>
      </c>
      <c r="W114" s="19">
        <v>2.6869999999999998</v>
      </c>
      <c r="X114" s="19">
        <v>3.18</v>
      </c>
      <c r="Y114" s="19">
        <v>2.6869999999999998</v>
      </c>
      <c r="Z114" s="4"/>
      <c r="AA114" s="4"/>
      <c r="AB114" s="4" t="e">
        <f ca="1">_xll.ciqfunctions.udf.CIQ("^SPX", "IQ_PRICEDATE", "6/5/2014")</f>
        <v>#NAME?</v>
      </c>
      <c r="AC114" s="16">
        <v>1940.4579108554001</v>
      </c>
    </row>
    <row r="115" spans="1:29" x14ac:dyDescent="0.35">
      <c r="A115" s="2" t="s">
        <v>125</v>
      </c>
      <c r="B115" s="4" t="s">
        <v>854</v>
      </c>
      <c r="C115" s="4" t="s">
        <v>525</v>
      </c>
      <c r="D115" s="4" t="s">
        <v>855</v>
      </c>
      <c r="E115" s="4" t="s">
        <v>856</v>
      </c>
      <c r="F115" s="4" t="s">
        <v>857</v>
      </c>
      <c r="G115" s="14">
        <v>186.2</v>
      </c>
      <c r="H115" s="10">
        <v>17.053842</v>
      </c>
      <c r="I115" s="10">
        <v>24.941884000000002</v>
      </c>
      <c r="J115" s="10" t="s">
        <v>534</v>
      </c>
      <c r="K115" s="15">
        <v>8.6999999999999994E-3</v>
      </c>
      <c r="L115" s="17">
        <v>20239.729965999999</v>
      </c>
      <c r="M115" s="4" t="s">
        <v>858</v>
      </c>
      <c r="N115" s="19">
        <v>7.4653539999999996</v>
      </c>
      <c r="O115" s="19">
        <v>7.2948000000000004</v>
      </c>
      <c r="P115" s="19">
        <v>4.5051899999999998</v>
      </c>
      <c r="Q115" s="19">
        <v>6.0221</v>
      </c>
      <c r="R115" s="19">
        <v>4.4190209999999999</v>
      </c>
      <c r="S115" s="19">
        <v>4.6477000000000004</v>
      </c>
      <c r="T115" s="19">
        <v>4.4190209999999999</v>
      </c>
      <c r="U115" s="19">
        <v>4.1696999999999997</v>
      </c>
      <c r="V115" s="19">
        <v>3.481042</v>
      </c>
      <c r="W115" s="19">
        <v>3.4535999999999998</v>
      </c>
      <c r="X115" s="19">
        <v>3.481042</v>
      </c>
      <c r="Y115" s="19">
        <v>3.4535999999999998</v>
      </c>
      <c r="Z115" s="4"/>
      <c r="AA115" s="4"/>
      <c r="AB115" s="4" t="e">
        <f ca="1">_xll.ciqfunctions.udf.CIQ("^SPX", "IQ_PRICEDATE", "6/6/2014")</f>
        <v>#NAME?</v>
      </c>
      <c r="AC115" s="16">
        <v>1949.4407261495001</v>
      </c>
    </row>
    <row r="116" spans="1:29" x14ac:dyDescent="0.35">
      <c r="A116" s="2" t="s">
        <v>126</v>
      </c>
      <c r="B116" s="4" t="s">
        <v>859</v>
      </c>
      <c r="C116" s="4" t="s">
        <v>543</v>
      </c>
      <c r="D116" s="4" t="s">
        <v>664</v>
      </c>
      <c r="E116" s="4" t="s">
        <v>706</v>
      </c>
      <c r="F116" s="4" t="s">
        <v>706</v>
      </c>
      <c r="G116" s="14">
        <v>45.94</v>
      </c>
      <c r="H116" s="10">
        <v>12.831654</v>
      </c>
      <c r="I116" s="10" t="s">
        <v>534</v>
      </c>
      <c r="J116" s="10">
        <v>23.694078999999999</v>
      </c>
      <c r="K116" s="15">
        <v>2.8732999999999998E-2</v>
      </c>
      <c r="L116" s="17">
        <v>210007.09020800001</v>
      </c>
      <c r="M116" s="4" t="s">
        <v>860</v>
      </c>
      <c r="N116" s="19">
        <v>0.02</v>
      </c>
      <c r="O116" s="19">
        <v>2.9945499999999998</v>
      </c>
      <c r="P116" s="19">
        <v>1.920067</v>
      </c>
      <c r="Q116" s="19">
        <v>2.4861</v>
      </c>
      <c r="R116" s="19">
        <v>2.0904799999999999</v>
      </c>
      <c r="S116" s="19">
        <v>2.3752</v>
      </c>
      <c r="T116" s="19">
        <v>2.0904799999999999</v>
      </c>
      <c r="U116" s="19">
        <v>2.2746</v>
      </c>
      <c r="V116" s="19">
        <v>1.470348</v>
      </c>
      <c r="W116" s="19">
        <v>2.1516000000000002</v>
      </c>
      <c r="X116" s="19">
        <v>1.470348</v>
      </c>
      <c r="Y116" s="19">
        <v>2.1516000000000002</v>
      </c>
      <c r="Z116" s="4"/>
      <c r="AA116" s="4"/>
      <c r="AB116" s="4" t="e">
        <f ca="1">_xll.ciqfunctions.udf.CIQ("^SPX", "IQ_PRICEDATE", "6/9/2014")</f>
        <v>#NAME?</v>
      </c>
      <c r="AC116" s="16">
        <v>1951.2725755604999</v>
      </c>
    </row>
    <row r="117" spans="1:29" x14ac:dyDescent="0.35">
      <c r="A117" s="2" t="s">
        <v>127</v>
      </c>
      <c r="B117" s="4" t="s">
        <v>861</v>
      </c>
      <c r="C117" s="4" t="s">
        <v>573</v>
      </c>
      <c r="D117" s="4" t="s">
        <v>737</v>
      </c>
      <c r="E117" s="4" t="s">
        <v>737</v>
      </c>
      <c r="F117" s="4" t="s">
        <v>738</v>
      </c>
      <c r="G117" s="14">
        <v>69.84</v>
      </c>
      <c r="H117" s="10">
        <v>0</v>
      </c>
      <c r="I117" s="10" t="s">
        <v>534</v>
      </c>
      <c r="J117" s="10">
        <v>1.1281369999999999</v>
      </c>
      <c r="K117" s="15">
        <v>2.5773000000000001E-2</v>
      </c>
      <c r="L117" s="17">
        <v>170556.264</v>
      </c>
      <c r="M117" s="4" t="s">
        <v>862</v>
      </c>
      <c r="N117" s="19">
        <v>-2.4616829999999998</v>
      </c>
      <c r="O117" s="19">
        <v>7.3517999999999999</v>
      </c>
      <c r="P117" s="19">
        <v>-2.9412630000000002</v>
      </c>
      <c r="Q117" s="19">
        <v>5.7472000000000003</v>
      </c>
      <c r="R117" s="19">
        <v>4.74</v>
      </c>
      <c r="S117" s="19">
        <v>5.0576999999999996</v>
      </c>
      <c r="T117" s="19">
        <v>4.74</v>
      </c>
      <c r="U117" s="19">
        <v>5.5250000000000004</v>
      </c>
      <c r="V117" s="19">
        <v>2.2031610000000001</v>
      </c>
      <c r="W117" s="19">
        <v>5.2234999999999996</v>
      </c>
      <c r="X117" s="19">
        <v>2.2031610000000001</v>
      </c>
      <c r="Y117" s="19">
        <v>5.2234999999999996</v>
      </c>
      <c r="Z117" s="4"/>
      <c r="AA117" s="4"/>
      <c r="AB117" s="4" t="e">
        <f ca="1">_xll.ciqfunctions.udf.CIQ("^SPX", "IQ_PRICEDATE", "6/10/2014")</f>
        <v>#NAME?</v>
      </c>
      <c r="AC117" s="16">
        <v>1950.7944545133</v>
      </c>
    </row>
    <row r="118" spans="1:29" x14ac:dyDescent="0.35">
      <c r="A118" s="2" t="s">
        <v>128</v>
      </c>
      <c r="B118" s="4" t="s">
        <v>863</v>
      </c>
      <c r="C118" s="4" t="s">
        <v>573</v>
      </c>
      <c r="D118" s="4" t="s">
        <v>737</v>
      </c>
      <c r="E118" s="4" t="s">
        <v>737</v>
      </c>
      <c r="F118" s="4" t="s">
        <v>743</v>
      </c>
      <c r="G118" s="14">
        <v>35.89</v>
      </c>
      <c r="H118" s="10">
        <v>0</v>
      </c>
      <c r="I118" s="10">
        <v>9.7722610000000003</v>
      </c>
      <c r="J118" s="10">
        <v>1.3325709999999999</v>
      </c>
      <c r="K118" s="15">
        <v>3.0091E-2</v>
      </c>
      <c r="L118" s="17">
        <v>17081.717766999998</v>
      </c>
      <c r="M118" s="4" t="s">
        <v>864</v>
      </c>
      <c r="N118" s="19">
        <v>3.6726399999999999</v>
      </c>
      <c r="O118" s="19">
        <v>3.6179000000000001</v>
      </c>
      <c r="P118" s="19">
        <v>3.25</v>
      </c>
      <c r="Q118" s="19">
        <v>2.7635000000000001</v>
      </c>
      <c r="R118" s="19">
        <v>1.9699990000000001</v>
      </c>
      <c r="S118" s="19">
        <v>2.1251000000000002</v>
      </c>
      <c r="T118" s="19">
        <v>1.9699990000000001</v>
      </c>
      <c r="U118" s="19">
        <v>1.788</v>
      </c>
      <c r="V118" s="19">
        <v>1.55</v>
      </c>
      <c r="W118" s="19">
        <v>1.538</v>
      </c>
      <c r="X118" s="19">
        <v>1.55</v>
      </c>
      <c r="Y118" s="19">
        <v>1.538</v>
      </c>
      <c r="Z118" s="4"/>
      <c r="AA118" s="4"/>
      <c r="AB118" s="4" t="e">
        <f ca="1">_xll.ciqfunctions.udf.CIQ("^SPX", "IQ_PRICEDATE", "6/11/2014")</f>
        <v>#NAME?</v>
      </c>
      <c r="AC118" s="16">
        <v>1943.8902085838999</v>
      </c>
    </row>
    <row r="119" spans="1:29" x14ac:dyDescent="0.35">
      <c r="A119" s="2" t="s">
        <v>129</v>
      </c>
      <c r="B119" s="4" t="s">
        <v>865</v>
      </c>
      <c r="C119" s="4" t="s">
        <v>543</v>
      </c>
      <c r="D119" s="4" t="s">
        <v>544</v>
      </c>
      <c r="E119" s="4" t="s">
        <v>555</v>
      </c>
      <c r="F119" s="4" t="s">
        <v>556</v>
      </c>
      <c r="G119" s="14">
        <v>105.12</v>
      </c>
      <c r="H119" s="10">
        <v>16.721952000000002</v>
      </c>
      <c r="I119" s="10">
        <v>169.00267199999999</v>
      </c>
      <c r="J119" s="10" t="s">
        <v>534</v>
      </c>
      <c r="K119" s="15">
        <v>0</v>
      </c>
      <c r="L119" s="17">
        <v>14260.415843999999</v>
      </c>
      <c r="M119" s="4" t="s">
        <v>866</v>
      </c>
      <c r="N119" s="19">
        <v>0.62200200000000005</v>
      </c>
      <c r="O119" s="19">
        <v>5.6304999999999996</v>
      </c>
      <c r="P119" s="19">
        <v>0.14000000000000001</v>
      </c>
      <c r="Q119" s="19">
        <v>4.8891999999999998</v>
      </c>
      <c r="R119" s="19">
        <v>2.99</v>
      </c>
      <c r="S119" s="19">
        <v>5.2575000000000003</v>
      </c>
      <c r="T119" s="19">
        <v>2.99</v>
      </c>
      <c r="U119" s="19">
        <v>4.3033999999999999</v>
      </c>
      <c r="V119" s="19">
        <v>1.47</v>
      </c>
      <c r="W119" s="19">
        <v>3.5560999999999998</v>
      </c>
      <c r="X119" s="19">
        <v>1.47</v>
      </c>
      <c r="Y119" s="19">
        <v>3.5560999999999998</v>
      </c>
      <c r="Z119" s="4"/>
      <c r="AA119" s="4"/>
      <c r="AB119" s="4" t="e">
        <f ca="1">_xll.ciqfunctions.udf.CIQ("^SPX", "IQ_PRICEDATE", "6/12/2014")</f>
        <v>#NAME?</v>
      </c>
      <c r="AC119" s="16">
        <v>1930.1146012465999</v>
      </c>
    </row>
    <row r="120" spans="1:29" x14ac:dyDescent="0.35">
      <c r="A120" s="2" t="s">
        <v>130</v>
      </c>
      <c r="B120" s="4" t="s">
        <v>867</v>
      </c>
      <c r="C120" s="4" t="s">
        <v>573</v>
      </c>
      <c r="D120" s="4" t="s">
        <v>574</v>
      </c>
      <c r="E120" s="4" t="s">
        <v>575</v>
      </c>
      <c r="F120" s="4" t="s">
        <v>807</v>
      </c>
      <c r="G120" s="14">
        <v>181.32</v>
      </c>
      <c r="H120" s="10">
        <v>22.435179000000002</v>
      </c>
      <c r="I120" s="10">
        <v>13.99994</v>
      </c>
      <c r="J120" s="10" t="s">
        <v>534</v>
      </c>
      <c r="K120" s="15">
        <v>3.4744999999999998E-2</v>
      </c>
      <c r="L120" s="17">
        <v>61759.392326000001</v>
      </c>
      <c r="M120" s="4" t="s">
        <v>868</v>
      </c>
      <c r="N120" s="19">
        <v>12.951484000000001</v>
      </c>
      <c r="O120" s="19">
        <v>6.6123000000000003</v>
      </c>
      <c r="P120" s="19">
        <v>11.94</v>
      </c>
      <c r="Q120" s="19">
        <v>5.1109999999999998</v>
      </c>
      <c r="R120" s="19">
        <v>4.53</v>
      </c>
      <c r="S120" s="19">
        <v>4.6337000000000002</v>
      </c>
      <c r="T120" s="19">
        <v>4.53</v>
      </c>
      <c r="U120" s="19">
        <v>4.1345999999999998</v>
      </c>
      <c r="V120" s="19">
        <v>3.35</v>
      </c>
      <c r="W120" s="19">
        <v>3.7172000000000001</v>
      </c>
      <c r="X120" s="19">
        <v>3.35</v>
      </c>
      <c r="Y120" s="19">
        <v>3.7172000000000001</v>
      </c>
      <c r="Z120" s="4"/>
      <c r="AA120" s="4"/>
      <c r="AB120" s="4" t="e">
        <f ca="1">_xll.ciqfunctions.udf.CIQ("^SPX", "IQ_PRICEDATE", "6/13/2014")</f>
        <v>#NAME?</v>
      </c>
      <c r="AC120" s="16">
        <v>1936.1593523250999</v>
      </c>
    </row>
    <row r="121" spans="1:29" x14ac:dyDescent="0.35">
      <c r="A121" s="2" t="s">
        <v>131</v>
      </c>
      <c r="B121" s="4" t="s">
        <v>869</v>
      </c>
      <c r="C121" s="4" t="s">
        <v>619</v>
      </c>
      <c r="D121" s="4" t="s">
        <v>619</v>
      </c>
      <c r="E121" s="4" t="s">
        <v>634</v>
      </c>
      <c r="F121" s="4" t="s">
        <v>634</v>
      </c>
      <c r="G121" s="14">
        <v>49.87</v>
      </c>
      <c r="H121" s="10">
        <v>11.172008999999999</v>
      </c>
      <c r="I121" s="10">
        <v>25.554976</v>
      </c>
      <c r="J121" s="10">
        <v>3.0229409999999999</v>
      </c>
      <c r="K121" s="15">
        <v>2.8673999999999998E-2</v>
      </c>
      <c r="L121" s="17">
        <v>14125.433686</v>
      </c>
      <c r="M121" s="4" t="s">
        <v>870</v>
      </c>
      <c r="N121" s="19">
        <v>1.951479</v>
      </c>
      <c r="O121" s="19">
        <v>2.2949000000000002</v>
      </c>
      <c r="P121" s="19">
        <v>1.64</v>
      </c>
      <c r="Q121" s="19">
        <v>2.327</v>
      </c>
      <c r="R121" s="19">
        <v>1.98</v>
      </c>
      <c r="S121" s="19">
        <v>1.9267000000000001</v>
      </c>
      <c r="T121" s="19">
        <v>1.98</v>
      </c>
      <c r="U121" s="19">
        <v>2.0087000000000002</v>
      </c>
      <c r="V121" s="19">
        <v>1.74</v>
      </c>
      <c r="W121" s="19">
        <v>1.9068000000000001</v>
      </c>
      <c r="X121" s="19">
        <v>1.74</v>
      </c>
      <c r="Y121" s="19">
        <v>1.9068000000000001</v>
      </c>
      <c r="Z121" s="4"/>
      <c r="AA121" s="4"/>
      <c r="AB121" s="4" t="e">
        <f ca="1">_xll.ciqfunctions.udf.CIQ("^SPX", "IQ_PRICEDATE", "6/16/2014")</f>
        <v>#NAME?</v>
      </c>
      <c r="AC121" s="16">
        <v>1937.7839112977999</v>
      </c>
    </row>
    <row r="122" spans="1:29" x14ac:dyDescent="0.35">
      <c r="A122" s="2" t="s">
        <v>132</v>
      </c>
      <c r="B122" s="4" t="s">
        <v>871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14">
        <v>73.989999999999995</v>
      </c>
      <c r="H122" s="10">
        <v>12.299906</v>
      </c>
      <c r="I122" s="10">
        <v>29.942094000000001</v>
      </c>
      <c r="J122" s="10">
        <v>6.5497860000000001</v>
      </c>
      <c r="K122" s="15">
        <v>1.0811999999999999E-2</v>
      </c>
      <c r="L122" s="17">
        <v>42931.501378000001</v>
      </c>
      <c r="M122" s="4" t="s">
        <v>872</v>
      </c>
      <c r="N122" s="19">
        <v>2.4711029999999998</v>
      </c>
      <c r="O122" s="19">
        <v>4.7278000000000002</v>
      </c>
      <c r="P122" s="19">
        <v>2.5299999999999998</v>
      </c>
      <c r="Q122" s="19">
        <v>4.1723999999999997</v>
      </c>
      <c r="R122" s="19">
        <v>2.5499999999999998</v>
      </c>
      <c r="S122" s="19">
        <v>3.5716999999999999</v>
      </c>
      <c r="T122" s="19">
        <v>2.5499999999999998</v>
      </c>
      <c r="U122" s="19">
        <v>3.3288000000000002</v>
      </c>
      <c r="V122" s="19">
        <v>2.35</v>
      </c>
      <c r="W122" s="19">
        <v>2.8256000000000001</v>
      </c>
      <c r="X122" s="19">
        <v>2.35</v>
      </c>
      <c r="Y122" s="19">
        <v>2.8256000000000001</v>
      </c>
      <c r="Z122" s="4"/>
      <c r="AA122" s="4"/>
      <c r="AB122" s="4" t="e">
        <f ca="1">_xll.ciqfunctions.udf.CIQ("^SPX", "IQ_PRICEDATE", "6/17/2014")</f>
        <v>#NAME?</v>
      </c>
      <c r="AC122" s="16">
        <v>1941.9916494408999</v>
      </c>
    </row>
    <row r="123" spans="1:29" x14ac:dyDescent="0.35">
      <c r="A123" s="2" t="s">
        <v>133</v>
      </c>
      <c r="B123" s="4" t="s">
        <v>873</v>
      </c>
      <c r="C123" s="4" t="s">
        <v>626</v>
      </c>
      <c r="D123" s="4" t="s">
        <v>845</v>
      </c>
      <c r="E123" s="4" t="s">
        <v>846</v>
      </c>
      <c r="F123" s="4" t="s">
        <v>846</v>
      </c>
      <c r="G123" s="14">
        <v>63.13</v>
      </c>
      <c r="H123" s="10">
        <v>13.737043</v>
      </c>
      <c r="I123" s="10">
        <v>25.444243</v>
      </c>
      <c r="J123" s="10" t="s">
        <v>534</v>
      </c>
      <c r="K123" s="15">
        <v>2.6435E-2</v>
      </c>
      <c r="L123" s="17">
        <v>55144.794131000002</v>
      </c>
      <c r="M123" s="4" t="s">
        <v>874</v>
      </c>
      <c r="N123" s="19">
        <v>2.4976180000000001</v>
      </c>
      <c r="O123" s="19">
        <v>3.0533000000000001</v>
      </c>
      <c r="P123" s="19">
        <v>2.2799999999999998</v>
      </c>
      <c r="Q123" s="19">
        <v>3.0268999999999999</v>
      </c>
      <c r="R123" s="19">
        <v>2.72</v>
      </c>
      <c r="S123" s="19">
        <v>2.9862000000000002</v>
      </c>
      <c r="T123" s="19">
        <v>2.72</v>
      </c>
      <c r="U123" s="19">
        <v>2.8849</v>
      </c>
      <c r="V123" s="19">
        <v>2.36</v>
      </c>
      <c r="W123" s="19">
        <v>3.0089999999999999</v>
      </c>
      <c r="X123" s="19">
        <v>2.36</v>
      </c>
      <c r="Y123" s="19">
        <v>3.0089999999999999</v>
      </c>
      <c r="Z123" s="4"/>
      <c r="AA123" s="4"/>
      <c r="AB123" s="4" t="e">
        <f ca="1">_xll.ciqfunctions.udf.CIQ("^SPX", "IQ_PRICEDATE", "6/18/2014")</f>
        <v>#NAME?</v>
      </c>
      <c r="AC123" s="16">
        <v>1956.9841140414001</v>
      </c>
    </row>
    <row r="124" spans="1:29" x14ac:dyDescent="0.35">
      <c r="A124" s="2" t="s">
        <v>134</v>
      </c>
      <c r="B124" s="4" t="s">
        <v>875</v>
      </c>
      <c r="C124" s="4" t="s">
        <v>549</v>
      </c>
      <c r="D124" s="4" t="s">
        <v>550</v>
      </c>
      <c r="E124" s="4" t="s">
        <v>814</v>
      </c>
      <c r="F124" s="4" t="s">
        <v>833</v>
      </c>
      <c r="G124" s="14">
        <v>36.4</v>
      </c>
      <c r="H124" s="10">
        <v>8.0111139999999992</v>
      </c>
      <c r="I124" s="10">
        <v>7.1537319999999998</v>
      </c>
      <c r="J124" s="10" t="s">
        <v>534</v>
      </c>
      <c r="K124" s="15">
        <v>2.0878999999999998E-2</v>
      </c>
      <c r="L124" s="17">
        <v>166782.37510500001</v>
      </c>
      <c r="M124" s="4" t="s">
        <v>876</v>
      </c>
      <c r="N124" s="19">
        <v>5.0882529999999999</v>
      </c>
      <c r="O124" s="19">
        <v>2.5960000000000001</v>
      </c>
      <c r="P124" s="19">
        <v>4.75</v>
      </c>
      <c r="Q124" s="19">
        <v>2.1341999999999999</v>
      </c>
      <c r="R124" s="19">
        <v>1.78</v>
      </c>
      <c r="S124" s="19">
        <v>1.827</v>
      </c>
      <c r="T124" s="19">
        <v>1.78</v>
      </c>
      <c r="U124" s="19">
        <v>1.7591000000000001</v>
      </c>
      <c r="V124" s="19">
        <v>1.6</v>
      </c>
      <c r="W124" s="19">
        <v>1.5855999999999999</v>
      </c>
      <c r="X124" s="19">
        <v>1.6</v>
      </c>
      <c r="Y124" s="19">
        <v>1.5855999999999999</v>
      </c>
      <c r="Z124" s="4"/>
      <c r="AA124" s="4"/>
      <c r="AB124" s="4" t="e">
        <f ca="1">_xll.ciqfunctions.udf.CIQ("^SPX", "IQ_PRICEDATE", "6/19/2014")</f>
        <v>#NAME?</v>
      </c>
      <c r="AC124" s="16">
        <v>1959.4843523509001</v>
      </c>
    </row>
    <row r="125" spans="1:29" x14ac:dyDescent="0.35">
      <c r="A125" s="2" t="s">
        <v>135</v>
      </c>
      <c r="B125" s="4" t="s">
        <v>877</v>
      </c>
      <c r="C125" s="4" t="s">
        <v>573</v>
      </c>
      <c r="D125" s="4" t="s">
        <v>737</v>
      </c>
      <c r="E125" s="4" t="s">
        <v>737</v>
      </c>
      <c r="F125" s="4" t="s">
        <v>743</v>
      </c>
      <c r="G125" s="14">
        <v>85.08</v>
      </c>
      <c r="H125" s="10">
        <v>0</v>
      </c>
      <c r="I125" s="10">
        <v>14.323591</v>
      </c>
      <c r="J125" s="10">
        <v>1.975959</v>
      </c>
      <c r="K125" s="15">
        <v>2.8208E-2</v>
      </c>
      <c r="L125" s="17">
        <v>14118.22846</v>
      </c>
      <c r="M125" s="4" t="s">
        <v>878</v>
      </c>
      <c r="N125" s="19">
        <v>5.939851</v>
      </c>
      <c r="O125" s="19">
        <v>7.4924999999999997</v>
      </c>
      <c r="P125" s="19">
        <v>4.1399999999999997</v>
      </c>
      <c r="Q125" s="19">
        <v>5.2862999999999998</v>
      </c>
      <c r="R125" s="19">
        <v>2.68</v>
      </c>
      <c r="S125" s="19">
        <v>3.9453</v>
      </c>
      <c r="T125" s="19">
        <v>2.68</v>
      </c>
      <c r="U125" s="19">
        <v>2.9983</v>
      </c>
      <c r="V125" s="19">
        <v>3.16</v>
      </c>
      <c r="W125" s="19">
        <v>3.1105999999999998</v>
      </c>
      <c r="X125" s="19">
        <v>3.16</v>
      </c>
      <c r="Y125" s="19">
        <v>3.1105999999999998</v>
      </c>
      <c r="Z125" s="4"/>
      <c r="AA125" s="4"/>
      <c r="AB125" s="4" t="e">
        <f ca="1">_xll.ciqfunctions.udf.CIQ("^SPX", "IQ_PRICEDATE", "6/20/2014")</f>
        <v>#NAME?</v>
      </c>
      <c r="AC125" s="16">
        <v>1962.8734464996</v>
      </c>
    </row>
    <row r="126" spans="1:29" x14ac:dyDescent="0.35">
      <c r="A126" s="2" t="s">
        <v>136</v>
      </c>
      <c r="B126" s="4" t="s">
        <v>879</v>
      </c>
      <c r="C126" s="4" t="s">
        <v>626</v>
      </c>
      <c r="D126" s="4" t="s">
        <v>627</v>
      </c>
      <c r="E126" s="4" t="s">
        <v>699</v>
      </c>
      <c r="F126" s="4" t="s">
        <v>789</v>
      </c>
      <c r="G126" s="14">
        <v>35.299999999999997</v>
      </c>
      <c r="H126" s="10">
        <v>11.613946</v>
      </c>
      <c r="I126" s="10">
        <v>17.249796</v>
      </c>
      <c r="J126" s="10" t="s">
        <v>534</v>
      </c>
      <c r="K126" s="15">
        <v>2.4079000000000003E-2</v>
      </c>
      <c r="L126" s="17">
        <v>14408.123683</v>
      </c>
      <c r="M126" s="4" t="s">
        <v>880</v>
      </c>
      <c r="N126" s="19">
        <v>2.0464009999999999</v>
      </c>
      <c r="O126" s="19">
        <v>2.2486000000000002</v>
      </c>
      <c r="P126" s="19">
        <v>1.6588560000000001</v>
      </c>
      <c r="Q126" s="19">
        <v>1.9602999999999999</v>
      </c>
      <c r="R126" s="19">
        <v>0.34010099999999999</v>
      </c>
      <c r="S126" s="19">
        <v>1.8038000000000001</v>
      </c>
      <c r="T126" s="19">
        <v>0.34010099999999999</v>
      </c>
      <c r="U126" s="19">
        <v>2.3411</v>
      </c>
      <c r="V126" s="19">
        <v>0.29288700000000001</v>
      </c>
      <c r="W126" s="19">
        <v>2.4066000000000001</v>
      </c>
      <c r="X126" s="19">
        <v>0.29288700000000001</v>
      </c>
      <c r="Y126" s="19">
        <v>2.4066000000000001</v>
      </c>
      <c r="Z126" s="4"/>
      <c r="AA126" s="4"/>
      <c r="AB126" s="4" t="e">
        <f ca="1">_xll.ciqfunctions.udf.CIQ("^SPX", "IQ_PRICEDATE", "6/23/2014")</f>
        <v>#NAME?</v>
      </c>
      <c r="AC126" s="16">
        <v>1962.6107536819</v>
      </c>
    </row>
    <row r="127" spans="1:29" x14ac:dyDescent="0.35">
      <c r="A127" s="2" t="s">
        <v>137</v>
      </c>
      <c r="B127" s="4" t="s">
        <v>881</v>
      </c>
      <c r="C127" s="4" t="s">
        <v>669</v>
      </c>
      <c r="D127" s="4" t="s">
        <v>669</v>
      </c>
      <c r="E127" s="4" t="s">
        <v>670</v>
      </c>
      <c r="F127" s="4" t="s">
        <v>671</v>
      </c>
      <c r="G127" s="14">
        <v>150.44999999999999</v>
      </c>
      <c r="H127" s="10">
        <v>21.944783999999999</v>
      </c>
      <c r="I127" s="10">
        <v>19.981642000000001</v>
      </c>
      <c r="J127" s="10">
        <v>2.258543</v>
      </c>
      <c r="K127" s="15">
        <v>0</v>
      </c>
      <c r="L127" s="17">
        <v>29964.77866</v>
      </c>
      <c r="M127" s="4" t="s">
        <v>882</v>
      </c>
      <c r="N127" s="19">
        <v>7.5294109999999996</v>
      </c>
      <c r="O127" s="19">
        <v>5.1081000000000003</v>
      </c>
      <c r="P127" s="19">
        <v>6.41</v>
      </c>
      <c r="Q127" s="19">
        <v>2.1577999999999999</v>
      </c>
      <c r="R127" s="19">
        <v>-10.85</v>
      </c>
      <c r="S127" s="19">
        <v>-0.1091</v>
      </c>
      <c r="T127" s="19">
        <v>-10.85</v>
      </c>
      <c r="U127" s="19">
        <v>0.61660000000000004</v>
      </c>
      <c r="V127" s="19">
        <v>4.876938</v>
      </c>
      <c r="W127" s="19">
        <v>2.9695</v>
      </c>
      <c r="X127" s="19">
        <v>4.876938</v>
      </c>
      <c r="Y127" s="19">
        <v>2.9695</v>
      </c>
      <c r="Z127" s="4"/>
      <c r="AA127" s="4"/>
      <c r="AB127" s="4" t="e">
        <f ca="1">_xll.ciqfunctions.udf.CIQ("^SPX", "IQ_PRICEDATE", "6/24/2014")</f>
        <v>#NAME?</v>
      </c>
      <c r="AC127" s="16">
        <v>1949.9824017625001</v>
      </c>
    </row>
    <row r="128" spans="1:29" x14ac:dyDescent="0.35">
      <c r="A128" s="2" t="s">
        <v>138</v>
      </c>
      <c r="B128" s="4" t="s">
        <v>883</v>
      </c>
      <c r="C128" s="4" t="s">
        <v>669</v>
      </c>
      <c r="D128" s="4" t="s">
        <v>669</v>
      </c>
      <c r="E128" s="4" t="s">
        <v>670</v>
      </c>
      <c r="F128" s="4" t="s">
        <v>671</v>
      </c>
      <c r="G128" s="14">
        <v>72.48</v>
      </c>
      <c r="H128" s="10">
        <v>7.4660320000000002</v>
      </c>
      <c r="I128" s="10">
        <v>19.133102000000001</v>
      </c>
      <c r="J128" s="10">
        <v>2.7133769999999999</v>
      </c>
      <c r="K128" s="15">
        <v>1.6832E-2</v>
      </c>
      <c r="L128" s="17">
        <v>84228.667923999994</v>
      </c>
      <c r="M128" s="4" t="s">
        <v>884</v>
      </c>
      <c r="N128" s="19">
        <v>3.7881990000000001</v>
      </c>
      <c r="O128" s="19">
        <v>5.0327999999999999</v>
      </c>
      <c r="P128" s="19">
        <v>-0.70022300000000004</v>
      </c>
      <c r="Q128" s="19">
        <v>1.5112000000000001</v>
      </c>
      <c r="R128" s="19">
        <v>-2.91</v>
      </c>
      <c r="S128" s="19">
        <v>-0.65049999999999997</v>
      </c>
      <c r="T128" s="19">
        <v>-2.91</v>
      </c>
      <c r="U128" s="19">
        <v>-0.83240000000000003</v>
      </c>
      <c r="V128" s="19">
        <v>4.5999999999999996</v>
      </c>
      <c r="W128" s="19">
        <v>3.4333</v>
      </c>
      <c r="X128" s="19">
        <v>4.5999999999999996</v>
      </c>
      <c r="Y128" s="19">
        <v>3.4333</v>
      </c>
      <c r="Z128" s="4"/>
      <c r="AA128" s="4"/>
      <c r="AB128" s="4" t="e">
        <f ca="1">_xll.ciqfunctions.udf.CIQ("^SPX", "IQ_PRICEDATE", "6/25/2014")</f>
        <v>#NAME?</v>
      </c>
      <c r="AC128" s="16">
        <v>1959.5311112085001</v>
      </c>
    </row>
    <row r="129" spans="1:29" x14ac:dyDescent="0.35">
      <c r="A129" s="2" t="s">
        <v>139</v>
      </c>
      <c r="B129" s="4" t="s">
        <v>885</v>
      </c>
      <c r="C129" s="4" t="s">
        <v>619</v>
      </c>
      <c r="D129" s="4" t="s">
        <v>619</v>
      </c>
      <c r="E129" s="4" t="s">
        <v>634</v>
      </c>
      <c r="F129" s="4" t="s">
        <v>634</v>
      </c>
      <c r="G129" s="14">
        <v>76.11</v>
      </c>
      <c r="H129" s="10">
        <v>10.453811</v>
      </c>
      <c r="I129" s="10">
        <v>15.011653000000001</v>
      </c>
      <c r="J129" s="10">
        <v>1.56829</v>
      </c>
      <c r="K129" s="15">
        <v>3.7576999999999999E-2</v>
      </c>
      <c r="L129" s="17">
        <v>23678.048492999998</v>
      </c>
      <c r="M129" s="4" t="s">
        <v>886</v>
      </c>
      <c r="N129" s="19">
        <v>5.0700609999999999</v>
      </c>
      <c r="O129" s="19">
        <v>4.4249999999999998</v>
      </c>
      <c r="P129" s="19">
        <v>4.9400000000000004</v>
      </c>
      <c r="Q129" s="19">
        <v>4.2163000000000004</v>
      </c>
      <c r="R129" s="19">
        <v>4.12</v>
      </c>
      <c r="S129" s="19">
        <v>4.0926999999999998</v>
      </c>
      <c r="T129" s="19">
        <v>4.12</v>
      </c>
      <c r="U129" s="19">
        <v>4.0667</v>
      </c>
      <c r="V129" s="19">
        <v>3.71</v>
      </c>
      <c r="W129" s="19">
        <v>3.8935</v>
      </c>
      <c r="X129" s="19">
        <v>3.71</v>
      </c>
      <c r="Y129" s="19">
        <v>3.8935</v>
      </c>
      <c r="Z129" s="4"/>
      <c r="AA129" s="4"/>
      <c r="AB129" s="4" t="e">
        <f ca="1">_xll.ciqfunctions.udf.CIQ("^SPX", "IQ_PRICEDATE", "6/26/2014")</f>
        <v>#NAME?</v>
      </c>
      <c r="AC129" s="16">
        <v>1957.2197789147001</v>
      </c>
    </row>
    <row r="130" spans="1:29" x14ac:dyDescent="0.35">
      <c r="A130" s="2" t="s">
        <v>140</v>
      </c>
      <c r="B130" s="4" t="s">
        <v>887</v>
      </c>
      <c r="C130" s="4" t="s">
        <v>626</v>
      </c>
      <c r="D130" s="4" t="s">
        <v>627</v>
      </c>
      <c r="E130" s="4" t="s">
        <v>775</v>
      </c>
      <c r="F130" s="4" t="s">
        <v>776</v>
      </c>
      <c r="G130" s="14">
        <v>227.2</v>
      </c>
      <c r="H130" s="10">
        <v>11.984292</v>
      </c>
      <c r="I130" s="10">
        <v>13.603726</v>
      </c>
      <c r="J130" s="10" t="s">
        <v>534</v>
      </c>
      <c r="K130" s="15">
        <v>1.3028E-2</v>
      </c>
      <c r="L130" s="17">
        <v>43070.365850000002</v>
      </c>
      <c r="M130" s="4" t="s">
        <v>888</v>
      </c>
      <c r="N130" s="19">
        <v>16.701305999999999</v>
      </c>
      <c r="O130" s="19">
        <v>9.9064999999999994</v>
      </c>
      <c r="P130" s="19">
        <v>9.1704439999999998</v>
      </c>
      <c r="Q130" s="19">
        <v>8.7951999999999995</v>
      </c>
      <c r="R130" s="19">
        <v>6.4615049999999998</v>
      </c>
      <c r="S130" s="19">
        <v>7.1273</v>
      </c>
      <c r="T130" s="19">
        <v>6.4615049999999998</v>
      </c>
      <c r="U130" s="19">
        <v>5.4321000000000002</v>
      </c>
      <c r="V130" s="19">
        <v>3.8944220000000001</v>
      </c>
      <c r="W130" s="19">
        <v>4.5663999999999998</v>
      </c>
      <c r="X130" s="19">
        <v>3.8944220000000001</v>
      </c>
      <c r="Y130" s="19">
        <v>4.5663999999999998</v>
      </c>
      <c r="Z130" s="4"/>
      <c r="AA130" s="4"/>
      <c r="AB130" s="4" t="e">
        <f ca="1">_xll.ciqfunctions.udf.CIQ("^SPX", "IQ_PRICEDATE", "6/27/2014")</f>
        <v>#NAME?</v>
      </c>
      <c r="AC130" s="16">
        <v>1960.9605158347999</v>
      </c>
    </row>
    <row r="131" spans="1:29" x14ac:dyDescent="0.35">
      <c r="A131" s="2" t="s">
        <v>141</v>
      </c>
      <c r="B131" s="4" t="s">
        <v>889</v>
      </c>
      <c r="C131" s="4" t="s">
        <v>525</v>
      </c>
      <c r="D131" s="4" t="s">
        <v>855</v>
      </c>
      <c r="E131" s="4" t="s">
        <v>856</v>
      </c>
      <c r="F131" s="4" t="s">
        <v>857</v>
      </c>
      <c r="G131" s="14">
        <v>50.99</v>
      </c>
      <c r="H131" s="10">
        <v>16.596482999999999</v>
      </c>
      <c r="I131" s="10">
        <v>29.473987999999999</v>
      </c>
      <c r="J131" s="10">
        <v>10.243567000000001</v>
      </c>
      <c r="K131" s="15">
        <v>0</v>
      </c>
      <c r="L131" s="17">
        <v>11927.386528000001</v>
      </c>
      <c r="M131" s="4" t="s">
        <v>890</v>
      </c>
      <c r="N131" s="19">
        <v>1.73</v>
      </c>
      <c r="O131" s="19">
        <v>2.1323099999999999</v>
      </c>
      <c r="P131" s="19">
        <v>1.278816</v>
      </c>
      <c r="Q131" s="19">
        <v>1.6492</v>
      </c>
      <c r="R131" s="19">
        <v>1.6050340000000001</v>
      </c>
      <c r="S131" s="19">
        <v>1.2623</v>
      </c>
      <c r="T131" s="19">
        <v>1.6050340000000001</v>
      </c>
      <c r="U131" s="19">
        <v>0.97319999999999995</v>
      </c>
      <c r="V131" s="19">
        <v>0.71996300000000002</v>
      </c>
      <c r="W131" s="19">
        <v>0.88519999999999999</v>
      </c>
      <c r="X131" s="19">
        <v>0.71996300000000002</v>
      </c>
      <c r="Y131" s="19">
        <v>0.88519999999999999</v>
      </c>
      <c r="Z131" s="4"/>
      <c r="AA131" s="4"/>
      <c r="AB131" s="4" t="e">
        <f ca="1">_xll.ciqfunctions.udf.CIQ("^SPX", "IQ_PRICEDATE", "6/30/2014")</f>
        <v>#NAME?</v>
      </c>
      <c r="AC131" s="16">
        <v>1960.2312403638</v>
      </c>
    </row>
    <row r="132" spans="1:29" x14ac:dyDescent="0.35">
      <c r="A132" s="2" t="s">
        <v>142</v>
      </c>
      <c r="B132" s="4" t="s">
        <v>891</v>
      </c>
      <c r="C132" s="4" t="s">
        <v>543</v>
      </c>
      <c r="D132" s="4" t="s">
        <v>664</v>
      </c>
      <c r="E132" s="4" t="s">
        <v>665</v>
      </c>
      <c r="F132" s="4" t="s">
        <v>666</v>
      </c>
      <c r="G132" s="14">
        <v>32.39</v>
      </c>
      <c r="H132" s="10">
        <v>10.17916</v>
      </c>
      <c r="I132" s="10" t="s">
        <v>534</v>
      </c>
      <c r="J132" s="10">
        <v>3.1468120000000002</v>
      </c>
      <c r="K132" s="15">
        <v>2.2229000000000002E-2</v>
      </c>
      <c r="L132" s="17">
        <v>26236.386011999999</v>
      </c>
      <c r="M132" s="4" t="s">
        <v>892</v>
      </c>
      <c r="N132" s="19">
        <v>-1.189378</v>
      </c>
      <c r="O132" s="19">
        <v>1.9618</v>
      </c>
      <c r="P132" s="19">
        <v>-0.66480399999999995</v>
      </c>
      <c r="Q132" s="19">
        <v>1.7302999999999999</v>
      </c>
      <c r="R132" s="19">
        <v>3.229895</v>
      </c>
      <c r="S132" s="19">
        <v>1.6541999999999999</v>
      </c>
      <c r="T132" s="19">
        <v>3.229895</v>
      </c>
      <c r="U132" s="19">
        <v>1.3842000000000001</v>
      </c>
      <c r="V132" s="19">
        <v>1.732305</v>
      </c>
      <c r="W132" s="19">
        <v>1.5363</v>
      </c>
      <c r="X132" s="19">
        <v>1.732305</v>
      </c>
      <c r="Y132" s="19">
        <v>1.5363</v>
      </c>
      <c r="Z132" s="4"/>
      <c r="AA132" s="4"/>
      <c r="AB132" s="4" t="e">
        <f ca="1">_xll.ciqfunctions.udf.CIQ("^SPX", "IQ_PRICEDATE", "7/1/2014")</f>
        <v>#NAME?</v>
      </c>
      <c r="AC132" s="16">
        <v>1973.3185916340999</v>
      </c>
    </row>
    <row r="133" spans="1:29" x14ac:dyDescent="0.35">
      <c r="A133" s="2" t="s">
        <v>143</v>
      </c>
      <c r="B133" s="4" t="s">
        <v>893</v>
      </c>
      <c r="C133" s="4" t="s">
        <v>626</v>
      </c>
      <c r="D133" s="4" t="s">
        <v>894</v>
      </c>
      <c r="E133" s="4" t="s">
        <v>894</v>
      </c>
      <c r="F133" s="4" t="s">
        <v>895</v>
      </c>
      <c r="G133" s="14">
        <v>228.49</v>
      </c>
      <c r="H133" s="10">
        <v>17.118725999999999</v>
      </c>
      <c r="I133" s="10">
        <v>32.227080000000001</v>
      </c>
      <c r="J133" s="10">
        <v>7.8226269999999998</v>
      </c>
      <c r="K133" s="15">
        <v>9.9780000000000008E-3</v>
      </c>
      <c r="L133" s="17">
        <v>100121.80461000001</v>
      </c>
      <c r="M133" s="4" t="s">
        <v>896</v>
      </c>
      <c r="N133" s="19">
        <v>7.09</v>
      </c>
      <c r="O133" s="19">
        <v>7.73529</v>
      </c>
      <c r="P133" s="19">
        <v>6.2897129999999999</v>
      </c>
      <c r="Q133" s="19">
        <v>6.6566000000000001</v>
      </c>
      <c r="R133" s="19">
        <v>5.4802949999999999</v>
      </c>
      <c r="S133" s="19">
        <v>6.0366999999999997</v>
      </c>
      <c r="T133" s="19">
        <v>5.4802949999999999</v>
      </c>
      <c r="U133" s="19">
        <v>5.6771000000000003</v>
      </c>
      <c r="V133" s="19">
        <v>4.8100149999999999</v>
      </c>
      <c r="W133" s="19">
        <v>5.2817999999999996</v>
      </c>
      <c r="X133" s="19">
        <v>4.8100149999999999</v>
      </c>
      <c r="Y133" s="19">
        <v>5.2817999999999996</v>
      </c>
      <c r="Z133" s="4"/>
      <c r="AA133" s="4"/>
      <c r="AB133" s="4" t="e">
        <f ca="1">_xll.ciqfunctions.udf.CIQ("^SPX", "IQ_PRICEDATE", "7/2/2014")</f>
        <v>#NAME?</v>
      </c>
      <c r="AC133" s="16">
        <v>1974.6180479468001</v>
      </c>
    </row>
    <row r="134" spans="1:29" x14ac:dyDescent="0.35">
      <c r="A134" s="2" t="s">
        <v>144</v>
      </c>
      <c r="B134" s="4" t="s">
        <v>897</v>
      </c>
      <c r="C134" s="4" t="s">
        <v>626</v>
      </c>
      <c r="D134" s="4" t="s">
        <v>845</v>
      </c>
      <c r="E134" s="4" t="s">
        <v>898</v>
      </c>
      <c r="F134" s="4" t="s">
        <v>898</v>
      </c>
      <c r="G134" s="14">
        <v>11.21</v>
      </c>
      <c r="H134" s="10">
        <v>11.760125</v>
      </c>
      <c r="I134" s="10" t="s">
        <v>534</v>
      </c>
      <c r="J134" s="10" t="s">
        <v>534</v>
      </c>
      <c r="K134" s="15">
        <v>4.4603000000000004E-2</v>
      </c>
      <c r="L134" s="17">
        <v>8416.5130869999994</v>
      </c>
      <c r="M134" s="4" t="s">
        <v>899</v>
      </c>
      <c r="N134" s="19">
        <v>-0.23</v>
      </c>
      <c r="O134" s="19">
        <v>0.74741000000000002</v>
      </c>
      <c r="P134" s="19">
        <v>-0.51250200000000001</v>
      </c>
      <c r="Q134" s="19">
        <v>0.73409999999999997</v>
      </c>
      <c r="R134" s="19">
        <v>-2.5048000000000001E-2</v>
      </c>
      <c r="S134" s="19">
        <v>0.96250000000000002</v>
      </c>
      <c r="T134" s="19">
        <v>-2.5048000000000001E-2</v>
      </c>
      <c r="U134" s="19">
        <v>0.9214</v>
      </c>
      <c r="V134" s="19">
        <v>-0.386963</v>
      </c>
      <c r="W134" s="19">
        <v>0.88639999999999997</v>
      </c>
      <c r="X134" s="19">
        <v>-0.386963</v>
      </c>
      <c r="Y134" s="19">
        <v>0.88639999999999997</v>
      </c>
      <c r="Z134" s="4"/>
      <c r="AA134" s="4"/>
      <c r="AB134" s="4" t="e">
        <f ca="1">_xll.ciqfunctions.udf.CIQ("^SPX", "IQ_PRICEDATE", "7/3/2014")</f>
        <v>#NAME?</v>
      </c>
      <c r="AC134" s="16">
        <v>1985.4371180636999</v>
      </c>
    </row>
    <row r="135" spans="1:29" x14ac:dyDescent="0.35">
      <c r="A135" s="2" t="s">
        <v>145</v>
      </c>
      <c r="B135" s="4" t="s">
        <v>900</v>
      </c>
      <c r="C135" s="4" t="s">
        <v>601</v>
      </c>
      <c r="D135" s="4" t="s">
        <v>601</v>
      </c>
      <c r="E135" s="4" t="s">
        <v>602</v>
      </c>
      <c r="F135" s="4" t="s">
        <v>647</v>
      </c>
      <c r="G135" s="14">
        <v>106.79</v>
      </c>
      <c r="H135" s="10">
        <v>21.127037999999999</v>
      </c>
      <c r="I135" s="10">
        <v>99.061058000000003</v>
      </c>
      <c r="J135" s="10" t="s">
        <v>534</v>
      </c>
      <c r="K135" s="15">
        <v>3.9329000000000003E-2</v>
      </c>
      <c r="L135" s="17">
        <v>44300.758901000001</v>
      </c>
      <c r="M135" s="4" t="s">
        <v>901</v>
      </c>
      <c r="N135" s="19">
        <v>1.078022</v>
      </c>
      <c r="O135" s="19">
        <v>1.4679</v>
      </c>
      <c r="P135" s="19">
        <v>1.01</v>
      </c>
      <c r="Q135" s="19">
        <v>1.083</v>
      </c>
      <c r="R135" s="19">
        <v>0.95</v>
      </c>
      <c r="S135" s="19">
        <v>1.1644000000000001</v>
      </c>
      <c r="T135" s="19">
        <v>0.95</v>
      </c>
      <c r="U135" s="19">
        <v>1.2323999999999999</v>
      </c>
      <c r="V135" s="19">
        <v>0.88258700000000001</v>
      </c>
      <c r="W135" s="19">
        <v>1.2907</v>
      </c>
      <c r="X135" s="19">
        <v>0.88258700000000001</v>
      </c>
      <c r="Y135" s="19">
        <v>1.2907</v>
      </c>
      <c r="Z135" s="4"/>
      <c r="AA135" s="4"/>
      <c r="AB135" s="4" t="e">
        <f ca="1">_xll.ciqfunctions.udf.CIQ("^SPX", "IQ_PRICEDATE", "7/7/2014")</f>
        <v>#NAME?</v>
      </c>
      <c r="AC135" s="16">
        <v>1977.6508625317999</v>
      </c>
    </row>
    <row r="136" spans="1:29" x14ac:dyDescent="0.35">
      <c r="A136" s="2" t="s">
        <v>146</v>
      </c>
      <c r="B136" s="4" t="s">
        <v>902</v>
      </c>
      <c r="C136" s="4" t="s">
        <v>525</v>
      </c>
      <c r="D136" s="4" t="s">
        <v>594</v>
      </c>
      <c r="E136" s="4" t="s">
        <v>903</v>
      </c>
      <c r="F136" s="4" t="s">
        <v>904</v>
      </c>
      <c r="G136" s="14">
        <v>70.709999999999994</v>
      </c>
      <c r="H136" s="10">
        <v>11.6145</v>
      </c>
      <c r="I136" s="10">
        <v>9.3922609999999995</v>
      </c>
      <c r="J136" s="10">
        <v>4.3522819999999998</v>
      </c>
      <c r="K136" s="15">
        <v>1.2444999999999999E-2</v>
      </c>
      <c r="L136" s="17">
        <v>59708.963726000002</v>
      </c>
      <c r="M136" s="4" t="s">
        <v>905</v>
      </c>
      <c r="N136" s="19">
        <v>7.5285380000000002</v>
      </c>
      <c r="O136" s="19">
        <v>3.8658999999999999</v>
      </c>
      <c r="P136" s="19">
        <v>5.99</v>
      </c>
      <c r="Q136" s="19">
        <v>2.5162</v>
      </c>
      <c r="R136" s="19">
        <v>1.80887</v>
      </c>
      <c r="S136" s="19">
        <v>1.9392</v>
      </c>
      <c r="T136" s="19">
        <v>1.80887</v>
      </c>
      <c r="U136" s="19">
        <v>1.9983</v>
      </c>
      <c r="V136" s="19">
        <v>1.92</v>
      </c>
      <c r="W136" s="19">
        <v>2.1070000000000002</v>
      </c>
      <c r="X136" s="19">
        <v>1.92</v>
      </c>
      <c r="Y136" s="19">
        <v>2.1070000000000002</v>
      </c>
      <c r="Z136" s="4"/>
      <c r="AA136" s="4"/>
      <c r="AB136" s="4" t="e">
        <f ca="1">_xll.ciqfunctions.udf.CIQ("^SPX", "IQ_PRICEDATE", "7/8/2014")</f>
        <v>#NAME?</v>
      </c>
      <c r="AC136" s="16">
        <v>1963.7114770538999</v>
      </c>
    </row>
    <row r="137" spans="1:29" x14ac:dyDescent="0.35">
      <c r="A137" s="2" t="s">
        <v>147</v>
      </c>
      <c r="B137" s="4" t="s">
        <v>906</v>
      </c>
      <c r="C137" s="4" t="s">
        <v>525</v>
      </c>
      <c r="D137" s="4" t="s">
        <v>526</v>
      </c>
      <c r="E137" s="4" t="s">
        <v>803</v>
      </c>
      <c r="F137" s="4" t="s">
        <v>804</v>
      </c>
      <c r="G137" s="14">
        <v>146.19</v>
      </c>
      <c r="H137" s="10">
        <v>8.2986369999999994</v>
      </c>
      <c r="I137" s="10">
        <v>23.113306000000001</v>
      </c>
      <c r="J137" s="10">
        <v>4.5075250000000002</v>
      </c>
      <c r="K137" s="15">
        <v>3.1192000000000001E-2</v>
      </c>
      <c r="L137" s="17">
        <v>23801.193899999998</v>
      </c>
      <c r="M137" s="4" t="s">
        <v>907</v>
      </c>
      <c r="N137" s="19">
        <v>6.3249279999999999</v>
      </c>
      <c r="O137" s="19">
        <v>14.9735</v>
      </c>
      <c r="P137" s="19">
        <v>5.9699989999999996</v>
      </c>
      <c r="Q137" s="19">
        <v>11.3878</v>
      </c>
      <c r="R137" s="19">
        <v>8.23</v>
      </c>
      <c r="S137" s="19">
        <v>7.9602000000000004</v>
      </c>
      <c r="T137" s="19">
        <v>8.23</v>
      </c>
      <c r="U137" s="19">
        <v>8.3613</v>
      </c>
      <c r="V137" s="19">
        <v>9.02</v>
      </c>
      <c r="W137" s="19">
        <v>10.5555</v>
      </c>
      <c r="X137" s="19">
        <v>9.02</v>
      </c>
      <c r="Y137" s="19">
        <v>10.5555</v>
      </c>
      <c r="Z137" s="4"/>
      <c r="AA137" s="4"/>
      <c r="AB137" s="4" t="e">
        <f ca="1">_xll.ciqfunctions.udf.CIQ("^SPX", "IQ_PRICEDATE", "7/9/2014")</f>
        <v>#NAME?</v>
      </c>
      <c r="AC137" s="16">
        <v>1972.8330923594999</v>
      </c>
    </row>
    <row r="138" spans="1:29" x14ac:dyDescent="0.35">
      <c r="A138" s="2" t="s">
        <v>148</v>
      </c>
      <c r="B138" s="4" t="s">
        <v>908</v>
      </c>
      <c r="C138" s="4" t="s">
        <v>530</v>
      </c>
      <c r="D138" s="4" t="s">
        <v>531</v>
      </c>
      <c r="E138" s="4" t="s">
        <v>569</v>
      </c>
      <c r="F138" s="4" t="s">
        <v>909</v>
      </c>
      <c r="G138" s="14">
        <v>74.36</v>
      </c>
      <c r="H138" s="10">
        <v>7.6016019999999997</v>
      </c>
      <c r="I138" s="10">
        <v>25.309519000000002</v>
      </c>
      <c r="J138" s="10" t="s">
        <v>534</v>
      </c>
      <c r="K138" s="15">
        <v>2.6896E-2</v>
      </c>
      <c r="L138" s="17">
        <v>75703.223052999994</v>
      </c>
      <c r="M138" s="4" t="s">
        <v>910</v>
      </c>
      <c r="N138" s="19">
        <v>2.9380250000000001</v>
      </c>
      <c r="O138" s="19">
        <v>7.1859000000000002</v>
      </c>
      <c r="P138" s="19">
        <v>6.45</v>
      </c>
      <c r="Q138" s="19">
        <v>6.1665999999999999</v>
      </c>
      <c r="R138" s="19">
        <v>4.91</v>
      </c>
      <c r="S138" s="19">
        <v>5.7864000000000004</v>
      </c>
      <c r="T138" s="19">
        <v>4.91</v>
      </c>
      <c r="U138" s="19">
        <v>5.5949999999999998</v>
      </c>
      <c r="V138" s="19">
        <v>3.96</v>
      </c>
      <c r="W138" s="19">
        <v>4.899</v>
      </c>
      <c r="X138" s="19">
        <v>3.96</v>
      </c>
      <c r="Y138" s="19">
        <v>4.899</v>
      </c>
      <c r="Z138" s="4"/>
      <c r="AA138" s="4"/>
      <c r="AB138" s="4" t="e">
        <f ca="1">_xll.ciqfunctions.udf.CIQ("^SPX", "IQ_PRICEDATE", "7/10/2014")</f>
        <v>#NAME?</v>
      </c>
      <c r="AC138" s="16">
        <v>1964.6766176333001</v>
      </c>
    </row>
    <row r="139" spans="1:29" x14ac:dyDescent="0.35">
      <c r="A139" s="2" t="s">
        <v>149</v>
      </c>
      <c r="B139" s="4" t="s">
        <v>911</v>
      </c>
      <c r="C139" s="4" t="s">
        <v>559</v>
      </c>
      <c r="D139" s="4" t="s">
        <v>912</v>
      </c>
      <c r="E139" s="4" t="s">
        <v>913</v>
      </c>
      <c r="F139" s="4" t="s">
        <v>914</v>
      </c>
      <c r="G139" s="14">
        <v>37.78</v>
      </c>
      <c r="H139" s="10">
        <v>8.130979</v>
      </c>
      <c r="I139" s="10">
        <v>11.080049000000001</v>
      </c>
      <c r="J139" s="10">
        <v>1.677972</v>
      </c>
      <c r="K139" s="15">
        <v>1.3233999999999999E-2</v>
      </c>
      <c r="L139" s="17">
        <v>14220.299212</v>
      </c>
      <c r="M139" s="4" t="s">
        <v>915</v>
      </c>
      <c r="N139" s="19">
        <v>3.409732</v>
      </c>
      <c r="O139" s="19">
        <v>4.4203999999999999</v>
      </c>
      <c r="P139" s="19">
        <v>2.6772079999999998</v>
      </c>
      <c r="Q139" s="19">
        <v>3.2790699999999999</v>
      </c>
      <c r="R139" s="19">
        <v>2.4886949999999999</v>
      </c>
      <c r="S139" s="19">
        <v>2.67048</v>
      </c>
      <c r="T139" s="19">
        <v>2.4886949999999999</v>
      </c>
      <c r="U139" s="19">
        <v>2.3214000000000001</v>
      </c>
      <c r="V139" s="19">
        <v>1.5333889999999999</v>
      </c>
      <c r="W139" s="19">
        <v>1.84293</v>
      </c>
      <c r="X139" s="19">
        <v>1.5333889999999999</v>
      </c>
      <c r="Y139" s="19">
        <v>1.84293</v>
      </c>
      <c r="Z139" s="4"/>
      <c r="AA139" s="4"/>
      <c r="AB139" s="4" t="e">
        <f ca="1">_xll.ciqfunctions.udf.CIQ("^SPX", "IQ_PRICEDATE", "7/11/2014")</f>
        <v>#NAME?</v>
      </c>
      <c r="AC139" s="16">
        <v>1967.5691612269</v>
      </c>
    </row>
    <row r="140" spans="1:29" x14ac:dyDescent="0.35">
      <c r="A140" s="2" t="s">
        <v>150</v>
      </c>
      <c r="B140" s="4" t="s">
        <v>916</v>
      </c>
      <c r="C140" s="4" t="s">
        <v>530</v>
      </c>
      <c r="D140" s="4" t="s">
        <v>531</v>
      </c>
      <c r="E140" s="4" t="s">
        <v>532</v>
      </c>
      <c r="F140" s="4" t="s">
        <v>533</v>
      </c>
      <c r="G140" s="14">
        <v>104.96</v>
      </c>
      <c r="H140" s="10">
        <v>17.27495</v>
      </c>
      <c r="I140" s="10">
        <v>26.980429999999998</v>
      </c>
      <c r="J140" s="10" t="s">
        <v>534</v>
      </c>
      <c r="K140" s="15">
        <v>6.097E-3</v>
      </c>
      <c r="L140" s="17">
        <v>73446.268320999996</v>
      </c>
      <c r="M140" s="4" t="s">
        <v>917</v>
      </c>
      <c r="N140" s="19">
        <v>3.8902269999999999</v>
      </c>
      <c r="O140" s="19">
        <v>4.6703999999999999</v>
      </c>
      <c r="P140" s="19">
        <v>3.5007779999999999</v>
      </c>
      <c r="Q140" s="19">
        <v>4.2243000000000004</v>
      </c>
      <c r="R140" s="19">
        <v>3.0797370000000002</v>
      </c>
      <c r="S140" s="19">
        <v>3.8018999999999998</v>
      </c>
      <c r="T140" s="19">
        <v>3.0797370000000002</v>
      </c>
      <c r="U140" s="19">
        <v>4.7882999999999996</v>
      </c>
      <c r="V140" s="19">
        <v>2.2929750000000002</v>
      </c>
      <c r="W140" s="19">
        <v>4.0403000000000002</v>
      </c>
      <c r="X140" s="19">
        <v>2.2929750000000002</v>
      </c>
      <c r="Y140" s="19">
        <v>4.0403000000000002</v>
      </c>
      <c r="Z140" s="4"/>
      <c r="AA140" s="4"/>
      <c r="AB140" s="4" t="e">
        <f ca="1">_xll.ciqfunctions.udf.CIQ("^SPX", "IQ_PRICEDATE", "7/14/2014")</f>
        <v>#NAME?</v>
      </c>
      <c r="AC140" s="16">
        <v>1977.0993235454</v>
      </c>
    </row>
    <row r="141" spans="1:29" x14ac:dyDescent="0.35">
      <c r="A141" s="2" t="s">
        <v>151</v>
      </c>
      <c r="B141" s="4" t="s">
        <v>918</v>
      </c>
      <c r="C141" s="4" t="s">
        <v>559</v>
      </c>
      <c r="D141" s="4" t="s">
        <v>798</v>
      </c>
      <c r="E141" s="4" t="s">
        <v>799</v>
      </c>
      <c r="F141" s="4" t="s">
        <v>839</v>
      </c>
      <c r="G141" s="14">
        <v>109.94</v>
      </c>
      <c r="H141" s="10">
        <v>13.100484</v>
      </c>
      <c r="I141" s="10">
        <v>21.209614999999999</v>
      </c>
      <c r="J141" s="10">
        <v>96.977331000000007</v>
      </c>
      <c r="K141" s="15">
        <v>2.7286999999999999E-2</v>
      </c>
      <c r="L141" s="17">
        <v>13644.703533</v>
      </c>
      <c r="M141" s="4" t="s">
        <v>919</v>
      </c>
      <c r="N141" s="19">
        <v>5.1834980000000002</v>
      </c>
      <c r="O141" s="19">
        <v>5.6837</v>
      </c>
      <c r="P141" s="19">
        <v>3.9699439999999999</v>
      </c>
      <c r="Q141" s="19">
        <v>4.7085999999999997</v>
      </c>
      <c r="R141" s="19">
        <v>3.448197</v>
      </c>
      <c r="S141" s="19">
        <v>4.0773000000000001</v>
      </c>
      <c r="T141" s="19">
        <v>3.448197</v>
      </c>
      <c r="U141" s="19">
        <v>3.5392999999999999</v>
      </c>
      <c r="V141" s="19">
        <v>0.647281</v>
      </c>
      <c r="W141" s="19">
        <v>2.5777000000000001</v>
      </c>
      <c r="X141" s="19">
        <v>0.647281</v>
      </c>
      <c r="Y141" s="19">
        <v>2.5777000000000001</v>
      </c>
      <c r="Z141" s="4"/>
      <c r="AA141" s="4"/>
      <c r="AB141" s="4" t="e">
        <f ca="1">_xll.ciqfunctions.udf.CIQ("^SPX", "IQ_PRICEDATE", "7/15/2014")</f>
        <v>#NAME?</v>
      </c>
      <c r="AC141" s="16">
        <v>1973.2820561929</v>
      </c>
    </row>
    <row r="142" spans="1:29" x14ac:dyDescent="0.35">
      <c r="A142" s="2" t="s">
        <v>152</v>
      </c>
      <c r="B142" s="4" t="s">
        <v>920</v>
      </c>
      <c r="C142" s="4" t="s">
        <v>530</v>
      </c>
      <c r="D142" s="4" t="s">
        <v>531</v>
      </c>
      <c r="E142" s="4" t="s">
        <v>569</v>
      </c>
      <c r="F142" s="4" t="s">
        <v>909</v>
      </c>
      <c r="G142" s="14">
        <v>68.36</v>
      </c>
      <c r="H142" s="10">
        <v>9.4707399999999993</v>
      </c>
      <c r="I142" s="10">
        <v>17.875937</v>
      </c>
      <c r="J142" s="10" t="s">
        <v>534</v>
      </c>
      <c r="K142" s="15">
        <v>0</v>
      </c>
      <c r="L142" s="17">
        <v>11409.284</v>
      </c>
      <c r="M142" s="4" t="s">
        <v>921</v>
      </c>
      <c r="N142" s="19">
        <v>3.8241350000000001</v>
      </c>
      <c r="O142" s="19">
        <v>4.2111000000000001</v>
      </c>
      <c r="P142" s="19">
        <v>4.7523299999999997</v>
      </c>
      <c r="Q142" s="19">
        <v>3.5078</v>
      </c>
      <c r="R142" s="19">
        <v>5.0623680000000002</v>
      </c>
      <c r="S142" s="19">
        <v>3.6593</v>
      </c>
      <c r="T142" s="19">
        <v>5.0623680000000002</v>
      </c>
      <c r="U142" s="19">
        <v>3.9411999999999998</v>
      </c>
      <c r="V142" s="19">
        <v>3.33</v>
      </c>
      <c r="W142" s="19">
        <v>3.6556999999999999</v>
      </c>
      <c r="X142" s="19">
        <v>3.33</v>
      </c>
      <c r="Y142" s="19">
        <v>3.6556999999999999</v>
      </c>
      <c r="Z142" s="4"/>
      <c r="AA142" s="4"/>
      <c r="AB142" s="4" t="e">
        <f ca="1">_xll.ciqfunctions.udf.CIQ("^SPX", "IQ_PRICEDATE", "7/16/2014")</f>
        <v>#NAME?</v>
      </c>
      <c r="AC142" s="16">
        <v>1981.5672192156001</v>
      </c>
    </row>
    <row r="143" spans="1:29" x14ac:dyDescent="0.35">
      <c r="A143" s="2" t="s">
        <v>153</v>
      </c>
      <c r="B143" s="4" t="s">
        <v>922</v>
      </c>
      <c r="C143" s="4" t="s">
        <v>525</v>
      </c>
      <c r="D143" s="4" t="s">
        <v>526</v>
      </c>
      <c r="E143" s="4" t="s">
        <v>803</v>
      </c>
      <c r="F143" s="4" t="s">
        <v>923</v>
      </c>
      <c r="G143" s="14">
        <v>151.63999999999999</v>
      </c>
      <c r="H143" s="10">
        <v>16.285527999999999</v>
      </c>
      <c r="I143" s="10">
        <v>23.726424999999999</v>
      </c>
      <c r="J143" s="10">
        <v>8.5143249999999995</v>
      </c>
      <c r="K143" s="15">
        <v>1.8201000000000002E-2</v>
      </c>
      <c r="L143" s="17">
        <v>48778.573027999999</v>
      </c>
      <c r="M143" s="4" t="s">
        <v>924</v>
      </c>
      <c r="N143" s="19">
        <v>6.3911860000000003</v>
      </c>
      <c r="O143" s="19">
        <v>11.091900000000001</v>
      </c>
      <c r="P143" s="19">
        <v>6.68</v>
      </c>
      <c r="Q143" s="19">
        <v>8.0858899999999991</v>
      </c>
      <c r="R143" s="19">
        <v>4.8099999999999996</v>
      </c>
      <c r="S143" s="19">
        <v>4.4488899999999996</v>
      </c>
      <c r="T143" s="19">
        <v>4.8099999999999996</v>
      </c>
      <c r="U143" s="19">
        <v>4.2333299999999996</v>
      </c>
      <c r="V143" s="19">
        <v>8.6300000000000008</v>
      </c>
      <c r="W143" s="19">
        <v>5.5261899999999997</v>
      </c>
      <c r="X143" s="19">
        <v>8.6300000000000008</v>
      </c>
      <c r="Y143" s="19">
        <v>5.5261899999999997</v>
      </c>
      <c r="Z143" s="4"/>
      <c r="AA143" s="4"/>
      <c r="AB143" s="4" t="e">
        <f ca="1">_xll.ciqfunctions.udf.CIQ("^SPX", "IQ_PRICEDATE", "7/17/2014")</f>
        <v>#NAME?</v>
      </c>
      <c r="AC143" s="16">
        <v>1958.1194331985</v>
      </c>
    </row>
    <row r="144" spans="1:29" x14ac:dyDescent="0.35">
      <c r="A144" s="2" t="s">
        <v>154</v>
      </c>
      <c r="B144" s="4" t="s">
        <v>925</v>
      </c>
      <c r="C144" s="4" t="s">
        <v>525</v>
      </c>
      <c r="D144" s="4" t="s">
        <v>594</v>
      </c>
      <c r="E144" s="4" t="s">
        <v>595</v>
      </c>
      <c r="F144" s="4" t="s">
        <v>595</v>
      </c>
      <c r="G144" s="14">
        <v>54.3</v>
      </c>
      <c r="H144" s="10">
        <v>6.0119920000000002</v>
      </c>
      <c r="I144" s="10">
        <v>10.695319</v>
      </c>
      <c r="J144" s="10" t="s">
        <v>534</v>
      </c>
      <c r="K144" s="15">
        <v>2.5781999999999999E-2</v>
      </c>
      <c r="L144" s="17">
        <v>37088.012497999996</v>
      </c>
      <c r="M144" s="4" t="s">
        <v>926</v>
      </c>
      <c r="N144" s="19">
        <v>5.0769869999999999</v>
      </c>
      <c r="O144" s="19">
        <v>5.9714</v>
      </c>
      <c r="P144" s="19">
        <v>4.95</v>
      </c>
      <c r="Q144" s="19">
        <v>5.1833</v>
      </c>
      <c r="R144" s="19">
        <v>5.79</v>
      </c>
      <c r="S144" s="19">
        <v>4.9169</v>
      </c>
      <c r="T144" s="19">
        <v>5.79</v>
      </c>
      <c r="U144" s="19">
        <v>6.2106000000000003</v>
      </c>
      <c r="V144" s="19">
        <v>0.78</v>
      </c>
      <c r="W144" s="19">
        <v>4.3926999999999996</v>
      </c>
      <c r="X144" s="19">
        <v>0.78</v>
      </c>
      <c r="Y144" s="19">
        <v>4.3926999999999996</v>
      </c>
      <c r="Z144" s="4"/>
      <c r="AA144" s="4"/>
      <c r="AB144" s="4" t="e">
        <f ca="1">_xll.ciqfunctions.udf.CIQ("^SPX", "IQ_PRICEDATE", "7/18/2014")</f>
        <v>#NAME?</v>
      </c>
      <c r="AC144" s="16">
        <v>1978.2183536964001</v>
      </c>
    </row>
    <row r="145" spans="1:29" x14ac:dyDescent="0.35">
      <c r="A145" s="2" t="s">
        <v>155</v>
      </c>
      <c r="B145" s="4" t="s">
        <v>927</v>
      </c>
      <c r="C145" s="4" t="s">
        <v>530</v>
      </c>
      <c r="D145" s="4" t="s">
        <v>531</v>
      </c>
      <c r="E145" s="4" t="s">
        <v>532</v>
      </c>
      <c r="F145" s="4" t="s">
        <v>608</v>
      </c>
      <c r="G145" s="14">
        <v>37.07</v>
      </c>
      <c r="H145" s="10">
        <v>11.934528999999999</v>
      </c>
      <c r="I145" s="10" t="s">
        <v>534</v>
      </c>
      <c r="J145" s="10" t="s">
        <v>534</v>
      </c>
      <c r="K145" s="15">
        <v>9.4409999999999997E-3</v>
      </c>
      <c r="L145" s="17">
        <v>8242.3244790000008</v>
      </c>
      <c r="M145" s="4" t="s">
        <v>928</v>
      </c>
      <c r="N145" s="19">
        <v>-7.0338539999999998</v>
      </c>
      <c r="O145" s="19">
        <v>2.1023999999999998</v>
      </c>
      <c r="P145" s="19">
        <v>-6.76</v>
      </c>
      <c r="Q145" s="19">
        <v>2.8889999999999998</v>
      </c>
      <c r="R145" s="19">
        <v>1.94</v>
      </c>
      <c r="S145" s="19">
        <v>2.9278</v>
      </c>
      <c r="T145" s="19">
        <v>1.94</v>
      </c>
      <c r="U145" s="19">
        <v>2.7517999999999998</v>
      </c>
      <c r="V145" s="19">
        <v>2.2400000000000002</v>
      </c>
      <c r="W145" s="19">
        <v>2.6354000000000002</v>
      </c>
      <c r="X145" s="19">
        <v>2.2400000000000002</v>
      </c>
      <c r="Y145" s="19">
        <v>2.6354000000000002</v>
      </c>
      <c r="Z145" s="4"/>
      <c r="AA145" s="4"/>
      <c r="AB145" s="4" t="e">
        <f ca="1">_xll.ciqfunctions.udf.CIQ("^SPX", "IQ_PRICEDATE", "7/21/2014")</f>
        <v>#NAME?</v>
      </c>
      <c r="AC145" s="16">
        <v>1973.6278558585</v>
      </c>
    </row>
    <row r="146" spans="1:29" x14ac:dyDescent="0.35">
      <c r="A146" s="2" t="s">
        <v>156</v>
      </c>
      <c r="B146" s="4" t="s">
        <v>929</v>
      </c>
      <c r="C146" s="4" t="s">
        <v>669</v>
      </c>
      <c r="D146" s="4" t="s">
        <v>669</v>
      </c>
      <c r="E146" s="4" t="s">
        <v>670</v>
      </c>
      <c r="F146" s="4" t="s">
        <v>671</v>
      </c>
      <c r="G146" s="14">
        <v>36</v>
      </c>
      <c r="H146" s="10">
        <v>9.4382180000000009</v>
      </c>
      <c r="I146" s="10" t="s">
        <v>534</v>
      </c>
      <c r="J146" s="10">
        <v>2.5821830000000001</v>
      </c>
      <c r="K146" s="15">
        <v>8.8880000000000001E-3</v>
      </c>
      <c r="L146" s="17">
        <v>18316.8</v>
      </c>
      <c r="M146" s="4" t="s">
        <v>930</v>
      </c>
      <c r="N146" s="19">
        <v>-0.78151999999999999</v>
      </c>
      <c r="O146" s="19">
        <v>2.3226</v>
      </c>
      <c r="P146" s="19">
        <v>1.7</v>
      </c>
      <c r="Q146" s="19">
        <v>2.3673999999999999</v>
      </c>
      <c r="R146" s="19">
        <v>-2.09</v>
      </c>
      <c r="S146" s="19">
        <v>1.2303999999999999</v>
      </c>
      <c r="T146" s="19">
        <v>-2.09</v>
      </c>
      <c r="U146" s="19">
        <v>0.6623</v>
      </c>
      <c r="V146" s="19">
        <v>3.91</v>
      </c>
      <c r="W146" s="19">
        <v>4.4607999999999999</v>
      </c>
      <c r="X146" s="19">
        <v>3.91</v>
      </c>
      <c r="Y146" s="19">
        <v>4.4607999999999999</v>
      </c>
      <c r="Z146" s="4"/>
      <c r="AA146" s="4"/>
      <c r="AB146" s="4" t="e">
        <f ca="1">_xll.ciqfunctions.udf.CIQ("^SPX", "IQ_PRICEDATE", "7/22/2014")</f>
        <v>#NAME?</v>
      </c>
      <c r="AC146" s="16">
        <v>1983.5281525706</v>
      </c>
    </row>
    <row r="147" spans="1:29" x14ac:dyDescent="0.35">
      <c r="A147" s="2" t="s">
        <v>157</v>
      </c>
      <c r="B147" s="4" t="s">
        <v>931</v>
      </c>
      <c r="C147" s="4" t="s">
        <v>601</v>
      </c>
      <c r="D147" s="4" t="s">
        <v>601</v>
      </c>
      <c r="E147" s="4" t="s">
        <v>602</v>
      </c>
      <c r="F147" s="4" t="s">
        <v>647</v>
      </c>
      <c r="G147" s="14">
        <v>110.93</v>
      </c>
      <c r="H147" s="10">
        <v>21.229939000000002</v>
      </c>
      <c r="I147" s="10">
        <v>109.680627</v>
      </c>
      <c r="J147" s="10">
        <v>7.973274</v>
      </c>
      <c r="K147" s="15">
        <v>3.6419E-2</v>
      </c>
      <c r="L147" s="17">
        <v>22868.219499999999</v>
      </c>
      <c r="M147" s="4" t="s">
        <v>932</v>
      </c>
      <c r="N147" s="19">
        <v>1.0113909999999999</v>
      </c>
      <c r="O147" s="19">
        <v>1.3041</v>
      </c>
      <c r="P147" s="19">
        <v>0.98999899999999996</v>
      </c>
      <c r="Q147" s="19">
        <v>1.6814</v>
      </c>
      <c r="R147" s="19">
        <v>2.2000000000000002</v>
      </c>
      <c r="S147" s="19">
        <v>1.4057999999999999</v>
      </c>
      <c r="T147" s="19">
        <v>2.2000000000000002</v>
      </c>
      <c r="U147" s="19">
        <v>1.1819999999999999</v>
      </c>
      <c r="V147" s="19">
        <v>0.99</v>
      </c>
      <c r="W147" s="19">
        <v>1.0226</v>
      </c>
      <c r="X147" s="19">
        <v>0.99</v>
      </c>
      <c r="Y147" s="19">
        <v>1.0226</v>
      </c>
      <c r="Z147" s="4"/>
      <c r="AA147" s="4"/>
      <c r="AB147" s="4" t="e">
        <f ca="1">_xll.ciqfunctions.udf.CIQ("^SPX", "IQ_PRICEDATE", "7/23/2014")</f>
        <v>#NAME?</v>
      </c>
      <c r="AC147" s="16">
        <v>1987.0051750061</v>
      </c>
    </row>
    <row r="148" spans="1:29" x14ac:dyDescent="0.35">
      <c r="A148" s="2" t="s">
        <v>158</v>
      </c>
      <c r="B148" s="4" t="s">
        <v>933</v>
      </c>
      <c r="C148" s="4" t="s">
        <v>573</v>
      </c>
      <c r="D148" s="4" t="s">
        <v>574</v>
      </c>
      <c r="E148" s="4" t="s">
        <v>641</v>
      </c>
      <c r="F148" s="4" t="s">
        <v>641</v>
      </c>
      <c r="G148" s="14">
        <v>75.89</v>
      </c>
      <c r="H148" s="10">
        <v>0</v>
      </c>
      <c r="I148" s="10">
        <v>12.084429</v>
      </c>
      <c r="J148" s="10">
        <v>2.6338300000000001</v>
      </c>
      <c r="K148" s="15">
        <v>2.1082999999999998E-2</v>
      </c>
      <c r="L148" s="17">
        <v>26004.33611</v>
      </c>
      <c r="M148" s="4" t="s">
        <v>934</v>
      </c>
      <c r="N148" s="19">
        <v>6.2799820000000004</v>
      </c>
      <c r="O148" s="19">
        <v>8.2516999999999996</v>
      </c>
      <c r="P148" s="19">
        <v>5.42</v>
      </c>
      <c r="Q148" s="19">
        <v>6.4844999999999997</v>
      </c>
      <c r="R148" s="19">
        <v>5.77</v>
      </c>
      <c r="S148" s="19">
        <v>6.0126999999999997</v>
      </c>
      <c r="T148" s="19">
        <v>5.77</v>
      </c>
      <c r="U148" s="19">
        <v>5.5625</v>
      </c>
      <c r="V148" s="19">
        <v>4.9000000000000004</v>
      </c>
      <c r="W148" s="19">
        <v>5.3948</v>
      </c>
      <c r="X148" s="19">
        <v>4.9000000000000004</v>
      </c>
      <c r="Y148" s="19">
        <v>5.3948</v>
      </c>
      <c r="Z148" s="4"/>
      <c r="AA148" s="4"/>
      <c r="AB148" s="4" t="e">
        <f ca="1">_xll.ciqfunctions.udf.CIQ("^SPX", "IQ_PRICEDATE", "7/24/2014")</f>
        <v>#NAME?</v>
      </c>
      <c r="AC148" s="16">
        <v>1987.980474964</v>
      </c>
    </row>
    <row r="149" spans="1:29" x14ac:dyDescent="0.35">
      <c r="A149" s="2" t="s">
        <v>159</v>
      </c>
      <c r="B149" s="4" t="s">
        <v>935</v>
      </c>
      <c r="C149" s="4" t="s">
        <v>549</v>
      </c>
      <c r="D149" s="4" t="s">
        <v>550</v>
      </c>
      <c r="E149" s="4" t="s">
        <v>814</v>
      </c>
      <c r="F149" s="4" t="s">
        <v>815</v>
      </c>
      <c r="G149" s="14">
        <v>33.049999999999997</v>
      </c>
      <c r="H149" s="10">
        <v>15.319791</v>
      </c>
      <c r="I149" s="10" t="s">
        <v>534</v>
      </c>
      <c r="J149" s="10" t="s">
        <v>534</v>
      </c>
      <c r="K149" s="15">
        <v>0</v>
      </c>
      <c r="L149" s="17">
        <v>22389.863355000001</v>
      </c>
      <c r="M149" s="4" t="s">
        <v>936</v>
      </c>
      <c r="N149" s="19">
        <v>-1.2573890000000001</v>
      </c>
      <c r="O149" s="19">
        <v>3.1124000000000001</v>
      </c>
      <c r="P149" s="19">
        <v>-0.59177599999999997</v>
      </c>
      <c r="Q149" s="19">
        <v>2.2099000000000002</v>
      </c>
      <c r="R149" s="19">
        <v>1.601494</v>
      </c>
      <c r="S149" s="19">
        <v>2.2747000000000002</v>
      </c>
      <c r="T149" s="19">
        <v>1.601494</v>
      </c>
      <c r="U149" s="19">
        <v>2.0402999999999998</v>
      </c>
      <c r="V149" s="19">
        <v>1.472186</v>
      </c>
      <c r="W149" s="19">
        <v>1.9071</v>
      </c>
      <c r="X149" s="19">
        <v>1.472186</v>
      </c>
      <c r="Y149" s="19">
        <v>1.9071</v>
      </c>
      <c r="Z149" s="4"/>
      <c r="AA149" s="4"/>
      <c r="AB149" s="4" t="e">
        <f ca="1">_xll.ciqfunctions.udf.CIQ("^SPX", "IQ_PRICEDATE", "7/25/2014")</f>
        <v>#NAME?</v>
      </c>
      <c r="AC149" s="16">
        <v>1978.3388878225001</v>
      </c>
    </row>
    <row r="150" spans="1:29" x14ac:dyDescent="0.35">
      <c r="A150" s="2" t="s">
        <v>160</v>
      </c>
      <c r="B150" s="4" t="s">
        <v>935</v>
      </c>
      <c r="C150" s="4" t="s">
        <v>549</v>
      </c>
      <c r="D150" s="4" t="s">
        <v>550</v>
      </c>
      <c r="E150" s="4" t="s">
        <v>814</v>
      </c>
      <c r="F150" s="4" t="s">
        <v>815</v>
      </c>
      <c r="G150" s="14">
        <v>30.1</v>
      </c>
      <c r="H150" s="10">
        <v>15.319791</v>
      </c>
      <c r="I150" s="10">
        <v>0</v>
      </c>
      <c r="J150" s="10">
        <v>0</v>
      </c>
      <c r="K150" s="15">
        <v>0</v>
      </c>
      <c r="L150" s="17">
        <v>22389.863355000001</v>
      </c>
      <c r="M150" s="4" t="s">
        <v>936</v>
      </c>
      <c r="N150" s="19">
        <v>-1.2573890000000001</v>
      </c>
      <c r="O150" s="19">
        <v>3.1095999999999999</v>
      </c>
      <c r="P150" s="19">
        <v>-0.59177599999999997</v>
      </c>
      <c r="Q150" s="19">
        <v>2.2099000000000002</v>
      </c>
      <c r="R150" s="19">
        <v>1.601494</v>
      </c>
      <c r="S150" s="19">
        <v>2.2747000000000002</v>
      </c>
      <c r="T150" s="19">
        <v>1.601494</v>
      </c>
      <c r="U150" s="19">
        <v>2.0402999999999998</v>
      </c>
      <c r="V150" s="19">
        <v>1.472186</v>
      </c>
      <c r="W150" s="19">
        <v>1.905</v>
      </c>
      <c r="X150" s="19">
        <v>1.472186</v>
      </c>
      <c r="Y150" s="19">
        <v>1.905</v>
      </c>
      <c r="Z150" s="4"/>
      <c r="AA150" s="4"/>
      <c r="AB150" s="4" t="e">
        <f ca="1">_xll.ciqfunctions.udf.CIQ("^SPX", "IQ_PRICEDATE", "7/28/2014")</f>
        <v>#NAME?</v>
      </c>
      <c r="AC150" s="16">
        <v>1978.9113478934</v>
      </c>
    </row>
    <row r="151" spans="1:29" x14ac:dyDescent="0.35">
      <c r="A151" s="2" t="s">
        <v>161</v>
      </c>
      <c r="B151" s="4" t="s">
        <v>937</v>
      </c>
      <c r="C151" s="4" t="s">
        <v>549</v>
      </c>
      <c r="D151" s="4" t="s">
        <v>550</v>
      </c>
      <c r="E151" s="4" t="s">
        <v>814</v>
      </c>
      <c r="F151" s="4" t="s">
        <v>833</v>
      </c>
      <c r="G151" s="14">
        <v>34.44</v>
      </c>
      <c r="H151" s="10">
        <v>11.009216</v>
      </c>
      <c r="I151" s="10">
        <v>7.2768759999999997</v>
      </c>
      <c r="J151" s="10" t="s">
        <v>534</v>
      </c>
      <c r="K151" s="15">
        <v>0</v>
      </c>
      <c r="L151" s="17">
        <v>16101.261406</v>
      </c>
      <c r="M151" s="4" t="s">
        <v>938</v>
      </c>
      <c r="N151" s="19">
        <v>4.7328000000000001</v>
      </c>
      <c r="O151" s="19">
        <v>2.6312000000000002</v>
      </c>
      <c r="P151" s="19">
        <v>4.0733509999999997</v>
      </c>
      <c r="Q151" s="19">
        <v>2.1316999999999999</v>
      </c>
      <c r="R151" s="19">
        <v>3.150709</v>
      </c>
      <c r="S151" s="19">
        <v>2.7755000000000001</v>
      </c>
      <c r="T151" s="19">
        <v>3.150709</v>
      </c>
      <c r="U151" s="19">
        <v>1.4694</v>
      </c>
      <c r="V151" s="19">
        <v>2.04</v>
      </c>
      <c r="W151" s="19">
        <v>1.7709999999999999</v>
      </c>
      <c r="X151" s="19">
        <v>2.04</v>
      </c>
      <c r="Y151" s="19">
        <v>1.7709999999999999</v>
      </c>
      <c r="Z151" s="4"/>
      <c r="AA151" s="4"/>
      <c r="AB151" s="4" t="e">
        <f ca="1">_xll.ciqfunctions.udf.CIQ("^SPX", "IQ_PRICEDATE", "7/29/2014")</f>
        <v>#NAME?</v>
      </c>
      <c r="AC151" s="16">
        <v>1969.9523243767001</v>
      </c>
    </row>
    <row r="152" spans="1:29" x14ac:dyDescent="0.35">
      <c r="A152" s="2" t="s">
        <v>162</v>
      </c>
      <c r="B152" s="4" t="s">
        <v>939</v>
      </c>
      <c r="C152" s="4" t="s">
        <v>559</v>
      </c>
      <c r="D152" s="4" t="s">
        <v>560</v>
      </c>
      <c r="E152" s="4" t="s">
        <v>940</v>
      </c>
      <c r="F152" s="4" t="s">
        <v>941</v>
      </c>
      <c r="G152" s="14">
        <v>109.77</v>
      </c>
      <c r="H152" s="10">
        <v>12.601635</v>
      </c>
      <c r="I152" s="10">
        <v>17.066841</v>
      </c>
      <c r="J152" s="10">
        <v>34.698382000000002</v>
      </c>
      <c r="K152" s="15">
        <v>1.0567E-2</v>
      </c>
      <c r="L152" s="17">
        <v>29147.711198000001</v>
      </c>
      <c r="M152" s="4" t="s">
        <v>942</v>
      </c>
      <c r="N152" s="19">
        <v>6.4317700000000002</v>
      </c>
      <c r="O152" s="19">
        <v>6.4134000000000002</v>
      </c>
      <c r="P152" s="19">
        <v>4.5134610000000004</v>
      </c>
      <c r="Q152" s="19">
        <v>4.8853999999999997</v>
      </c>
      <c r="R152" s="19">
        <v>4.2629200000000003</v>
      </c>
      <c r="S152" s="19">
        <v>4.6322000000000001</v>
      </c>
      <c r="T152" s="19">
        <v>4.2629200000000003</v>
      </c>
      <c r="U152" s="19">
        <v>4.327</v>
      </c>
      <c r="V152" s="19">
        <v>3.3419159999999999</v>
      </c>
      <c r="W152" s="19">
        <v>3.8633999999999999</v>
      </c>
      <c r="X152" s="19">
        <v>3.3419159999999999</v>
      </c>
      <c r="Y152" s="19">
        <v>3.8633999999999999</v>
      </c>
      <c r="Z152" s="4"/>
      <c r="AA152" s="4"/>
      <c r="AB152" s="4" t="e">
        <f ca="1">_xll.ciqfunctions.udf.CIQ("^SPX", "IQ_PRICEDATE", "7/30/2014")</f>
        <v>#NAME?</v>
      </c>
      <c r="AC152" s="16">
        <v>1970.0681100864999</v>
      </c>
    </row>
    <row r="153" spans="1:29" x14ac:dyDescent="0.35">
      <c r="A153" s="2" t="s">
        <v>163</v>
      </c>
      <c r="B153" s="4" t="s">
        <v>943</v>
      </c>
      <c r="C153" s="4" t="s">
        <v>559</v>
      </c>
      <c r="D153" s="4" t="s">
        <v>560</v>
      </c>
      <c r="E153" s="4" t="s">
        <v>940</v>
      </c>
      <c r="F153" s="4" t="s">
        <v>941</v>
      </c>
      <c r="G153" s="14">
        <v>85.3</v>
      </c>
      <c r="H153" s="10">
        <v>9.3989650000000005</v>
      </c>
      <c r="I153" s="10">
        <v>11.86074</v>
      </c>
      <c r="J153" s="10" t="s">
        <v>534</v>
      </c>
      <c r="K153" s="15">
        <v>0</v>
      </c>
      <c r="L153" s="17">
        <v>20291.883676000001</v>
      </c>
      <c r="M153" s="4" t="s">
        <v>944</v>
      </c>
      <c r="N153" s="19">
        <v>7.1917939999999998</v>
      </c>
      <c r="O153" s="19">
        <v>5.7887000000000004</v>
      </c>
      <c r="P153" s="19">
        <v>4.1888069999999997</v>
      </c>
      <c r="Q153" s="19">
        <v>5.2915999999999999</v>
      </c>
      <c r="R153" s="19">
        <v>3.4005070000000002</v>
      </c>
      <c r="S153" s="19">
        <v>4.2846000000000002</v>
      </c>
      <c r="T153" s="19">
        <v>3.4005070000000002</v>
      </c>
      <c r="U153" s="19">
        <v>3.4607000000000001</v>
      </c>
      <c r="V153" s="19">
        <v>2.9125510000000001</v>
      </c>
      <c r="W153" s="19">
        <v>3.3856999999999999</v>
      </c>
      <c r="X153" s="19">
        <v>2.9125510000000001</v>
      </c>
      <c r="Y153" s="19">
        <v>3.3856999999999999</v>
      </c>
      <c r="Z153" s="4"/>
      <c r="AA153" s="4"/>
      <c r="AB153" s="4" t="e">
        <f ca="1">_xll.ciqfunctions.udf.CIQ("^SPX", "IQ_PRICEDATE", "7/31/2014")</f>
        <v>#NAME?</v>
      </c>
      <c r="AC153" s="16">
        <v>1930.6738707454999</v>
      </c>
    </row>
    <row r="154" spans="1:29" x14ac:dyDescent="0.35">
      <c r="A154" s="2" t="s">
        <v>164</v>
      </c>
      <c r="B154" s="4" t="s">
        <v>945</v>
      </c>
      <c r="C154" s="4" t="s">
        <v>619</v>
      </c>
      <c r="D154" s="4" t="s">
        <v>619</v>
      </c>
      <c r="E154" s="4" t="s">
        <v>634</v>
      </c>
      <c r="F154" s="4" t="s">
        <v>634</v>
      </c>
      <c r="G154" s="14">
        <v>72.3</v>
      </c>
      <c r="H154" s="10">
        <v>13.939857999999999</v>
      </c>
      <c r="I154" s="10">
        <v>16.009725</v>
      </c>
      <c r="J154" s="10">
        <v>4.0555960000000004</v>
      </c>
      <c r="K154" s="15">
        <v>4.6196000000000001E-2</v>
      </c>
      <c r="L154" s="17">
        <v>47267.258012999999</v>
      </c>
      <c r="M154" s="4" t="s">
        <v>946</v>
      </c>
      <c r="N154" s="19">
        <v>4.5160049999999998</v>
      </c>
      <c r="O154" s="19">
        <v>4.0656999999999996</v>
      </c>
      <c r="P154" s="19">
        <v>4.715408</v>
      </c>
      <c r="Q154" s="19">
        <v>4.0162000000000004</v>
      </c>
      <c r="R154" s="19">
        <v>3.44</v>
      </c>
      <c r="S154" s="19">
        <v>3.8892000000000002</v>
      </c>
      <c r="T154" s="19">
        <v>3.44</v>
      </c>
      <c r="U154" s="19">
        <v>3.76</v>
      </c>
      <c r="V154" s="19">
        <v>2.2400000000000002</v>
      </c>
      <c r="W154" s="19">
        <v>3.6734</v>
      </c>
      <c r="X154" s="19">
        <v>2.2400000000000002</v>
      </c>
      <c r="Y154" s="19">
        <v>3.6734</v>
      </c>
      <c r="Z154" s="4"/>
      <c r="AA154" s="4"/>
      <c r="AB154" s="4" t="e">
        <f ca="1">_xll.ciqfunctions.udf.CIQ("^SPX", "IQ_PRICEDATE", "8/1/2014")</f>
        <v>#NAME?</v>
      </c>
      <c r="AC154" s="16">
        <v>1925.1518001969</v>
      </c>
    </row>
    <row r="155" spans="1:29" x14ac:dyDescent="0.35">
      <c r="A155" s="2" t="s">
        <v>165</v>
      </c>
      <c r="B155" s="4" t="s">
        <v>947</v>
      </c>
      <c r="C155" s="4" t="s">
        <v>525</v>
      </c>
      <c r="D155" s="4" t="s">
        <v>526</v>
      </c>
      <c r="E155" s="4" t="s">
        <v>803</v>
      </c>
      <c r="F155" s="4" t="s">
        <v>948</v>
      </c>
      <c r="G155" s="14">
        <v>82.23</v>
      </c>
      <c r="H155" s="10">
        <v>10.735773999999999</v>
      </c>
      <c r="I155" s="10">
        <v>16.318162999999998</v>
      </c>
      <c r="J155" s="10" t="s">
        <v>534</v>
      </c>
      <c r="K155" s="15">
        <v>2.3349000000000002E-2</v>
      </c>
      <c r="L155" s="17">
        <v>12145.668755000001</v>
      </c>
      <c r="M155" s="4" t="s">
        <v>949</v>
      </c>
      <c r="N155" s="19">
        <v>5.0391700000000004</v>
      </c>
      <c r="O155" s="19">
        <v>5.2138999999999998</v>
      </c>
      <c r="P155" s="19">
        <v>5.15</v>
      </c>
      <c r="Q155" s="19">
        <v>4.3601000000000001</v>
      </c>
      <c r="R155" s="19">
        <v>3.25</v>
      </c>
      <c r="S155" s="19">
        <v>3.4489000000000001</v>
      </c>
      <c r="T155" s="19">
        <v>3.25</v>
      </c>
      <c r="U155" s="19">
        <v>3.7324999999999999</v>
      </c>
      <c r="V155" s="19">
        <v>4.6100000000000003</v>
      </c>
      <c r="W155" s="19">
        <v>4.9080000000000004</v>
      </c>
      <c r="X155" s="19">
        <v>4.6100000000000003</v>
      </c>
      <c r="Y155" s="19">
        <v>4.9080000000000004</v>
      </c>
      <c r="Z155" s="4"/>
      <c r="AA155" s="4"/>
      <c r="AB155" s="4" t="e">
        <f ca="1">_xll.ciqfunctions.udf.CIQ("^SPX", "IQ_PRICEDATE", "8/4/2014")</f>
        <v>#NAME?</v>
      </c>
      <c r="AC155" s="16">
        <v>1938.9861642804001</v>
      </c>
    </row>
    <row r="156" spans="1:29" x14ac:dyDescent="0.35">
      <c r="A156" s="2" t="s">
        <v>166</v>
      </c>
      <c r="B156" s="4" t="s">
        <v>950</v>
      </c>
      <c r="C156" s="4" t="s">
        <v>586</v>
      </c>
      <c r="D156" s="4" t="s">
        <v>586</v>
      </c>
      <c r="E156" s="4" t="s">
        <v>587</v>
      </c>
      <c r="F156" s="4" t="s">
        <v>951</v>
      </c>
      <c r="G156" s="14">
        <v>59.57</v>
      </c>
      <c r="H156" s="10">
        <v>9.7027640000000002</v>
      </c>
      <c r="I156" s="10">
        <v>58.49877</v>
      </c>
      <c r="J156" s="10">
        <v>20.342451000000001</v>
      </c>
      <c r="K156" s="15">
        <v>2.5516E-2</v>
      </c>
      <c r="L156" s="17">
        <v>137450.44044400001</v>
      </c>
      <c r="M156" s="4" t="s">
        <v>952</v>
      </c>
      <c r="N156" s="19">
        <v>1.0183120000000001</v>
      </c>
      <c r="O156" s="19">
        <v>4.4066999999999998</v>
      </c>
      <c r="P156" s="19">
        <v>0.95</v>
      </c>
      <c r="Q156" s="19">
        <v>3.8010999999999999</v>
      </c>
      <c r="R156" s="19">
        <v>3.52</v>
      </c>
      <c r="S156" s="19">
        <v>0</v>
      </c>
      <c r="T156" s="19">
        <v>3.52</v>
      </c>
      <c r="U156" s="19">
        <v>0</v>
      </c>
      <c r="V156" s="19">
        <v>2.87</v>
      </c>
      <c r="W156" s="19">
        <v>0</v>
      </c>
      <c r="X156" s="19">
        <v>2.87</v>
      </c>
      <c r="Y156" s="19">
        <v>0</v>
      </c>
      <c r="Z156" s="4"/>
      <c r="AA156" s="4"/>
      <c r="AB156" s="4" t="e">
        <f ca="1">_xll.ciqfunctions.udf.CIQ("^SPX", "IQ_PRICEDATE", "8/5/2014")</f>
        <v>#NAME?</v>
      </c>
      <c r="AC156" s="16">
        <v>1920.2111643633</v>
      </c>
    </row>
    <row r="157" spans="1:29" x14ac:dyDescent="0.35">
      <c r="A157" s="2" t="s">
        <v>167</v>
      </c>
      <c r="B157" s="4" t="s">
        <v>953</v>
      </c>
      <c r="C157" s="4" t="s">
        <v>619</v>
      </c>
      <c r="D157" s="4" t="s">
        <v>619</v>
      </c>
      <c r="E157" s="4" t="s">
        <v>634</v>
      </c>
      <c r="F157" s="4" t="s">
        <v>634</v>
      </c>
      <c r="G157" s="14">
        <v>111.29</v>
      </c>
      <c r="H157" s="10">
        <v>12.954603000000001</v>
      </c>
      <c r="I157" s="10">
        <v>17.387701</v>
      </c>
      <c r="J157" s="10">
        <v>3.024289</v>
      </c>
      <c r="K157" s="15">
        <v>3.1718000000000003E-2</v>
      </c>
      <c r="L157" s="17">
        <v>20229.46976</v>
      </c>
      <c r="M157" s="4" t="s">
        <v>954</v>
      </c>
      <c r="N157" s="19">
        <v>6.4005010000000002</v>
      </c>
      <c r="O157" s="19">
        <v>5.9055999999999997</v>
      </c>
      <c r="P157" s="19">
        <v>6.32</v>
      </c>
      <c r="Q157" s="19">
        <v>5.4972000000000003</v>
      </c>
      <c r="R157" s="19">
        <v>4.83</v>
      </c>
      <c r="S157" s="19">
        <v>5.1742999999999997</v>
      </c>
      <c r="T157" s="19">
        <v>4.83</v>
      </c>
      <c r="U157" s="19">
        <v>5.2446000000000002</v>
      </c>
      <c r="V157" s="19">
        <v>5.0999999999999996</v>
      </c>
      <c r="W157" s="19">
        <v>4.8289999999999997</v>
      </c>
      <c r="X157" s="19">
        <v>5.0999999999999996</v>
      </c>
      <c r="Y157" s="19">
        <v>4.8289999999999997</v>
      </c>
      <c r="Z157" s="4"/>
      <c r="AA157" s="4"/>
      <c r="AB157" s="4" t="e">
        <f ca="1">_xll.ciqfunctions.udf.CIQ("^SPX", "IQ_PRICEDATE", "8/6/2014")</f>
        <v>#NAME?</v>
      </c>
      <c r="AC157" s="16">
        <v>1920.2360031712999</v>
      </c>
    </row>
    <row r="158" spans="1:29" x14ac:dyDescent="0.35">
      <c r="A158" s="2" t="s">
        <v>168</v>
      </c>
      <c r="B158" s="4" t="s">
        <v>955</v>
      </c>
      <c r="C158" s="4" t="s">
        <v>619</v>
      </c>
      <c r="D158" s="4" t="s">
        <v>619</v>
      </c>
      <c r="E158" s="4" t="s">
        <v>620</v>
      </c>
      <c r="F158" s="4" t="s">
        <v>620</v>
      </c>
      <c r="G158" s="14">
        <v>80.77</v>
      </c>
      <c r="H158" s="10">
        <v>10.986605000000001</v>
      </c>
      <c r="I158" s="10">
        <v>20.366824000000001</v>
      </c>
      <c r="J158" s="10">
        <v>2.4883489999999999</v>
      </c>
      <c r="K158" s="15">
        <v>4.5932000000000001E-2</v>
      </c>
      <c r="L158" s="17">
        <v>57536.891057000001</v>
      </c>
      <c r="M158" s="4" t="s">
        <v>956</v>
      </c>
      <c r="N158" s="19">
        <v>3.9657629999999999</v>
      </c>
      <c r="O158" s="19">
        <v>4.8086000000000002</v>
      </c>
      <c r="P158" s="19">
        <v>4.37</v>
      </c>
      <c r="Q158" s="19">
        <v>4.6947999999999999</v>
      </c>
      <c r="R158" s="19">
        <v>3.71</v>
      </c>
      <c r="S158" s="19">
        <v>4.6501000000000001</v>
      </c>
      <c r="T158" s="19">
        <v>3.71</v>
      </c>
      <c r="U158" s="19">
        <v>4.5971000000000002</v>
      </c>
      <c r="V158" s="19">
        <v>3.577086</v>
      </c>
      <c r="W158" s="19">
        <v>4.6863999999999999</v>
      </c>
      <c r="X158" s="19">
        <v>3.577086</v>
      </c>
      <c r="Y158" s="19">
        <v>4.6863999999999999</v>
      </c>
      <c r="Z158" s="4"/>
      <c r="AA158" s="4"/>
      <c r="AB158" s="4" t="e">
        <f ca="1">_xll.ciqfunctions.udf.CIQ("^SPX", "IQ_PRICEDATE", "8/7/2014")</f>
        <v>#NAME?</v>
      </c>
      <c r="AC158" s="16">
        <v>1909.5707789905</v>
      </c>
    </row>
    <row r="159" spans="1:29" x14ac:dyDescent="0.35">
      <c r="A159" s="2" t="s">
        <v>169</v>
      </c>
      <c r="B159" s="4" t="s">
        <v>957</v>
      </c>
      <c r="C159" s="4" t="s">
        <v>601</v>
      </c>
      <c r="D159" s="4" t="s">
        <v>601</v>
      </c>
      <c r="E159" s="4" t="s">
        <v>602</v>
      </c>
      <c r="F159" s="4" t="s">
        <v>958</v>
      </c>
      <c r="G159" s="14">
        <v>27.43</v>
      </c>
      <c r="H159" s="10">
        <v>27.522023999999998</v>
      </c>
      <c r="I159" s="10">
        <v>27.700271000000001</v>
      </c>
      <c r="J159" s="10">
        <v>2.1021519999999998</v>
      </c>
      <c r="K159" s="15">
        <v>2.9165E-2</v>
      </c>
      <c r="L159" s="17">
        <v>9799.9187330000004</v>
      </c>
      <c r="M159" s="4" t="s">
        <v>959</v>
      </c>
      <c r="N159" s="19">
        <v>0.99024299999999998</v>
      </c>
      <c r="O159" s="19">
        <v>0.43330000000000002</v>
      </c>
      <c r="P159" s="19">
        <v>0.74966100000000002</v>
      </c>
      <c r="Q159" s="19">
        <v>0.39989999999999998</v>
      </c>
      <c r="R159" s="19">
        <v>0.83560599999999996</v>
      </c>
      <c r="S159" s="19">
        <v>0.30209999999999998</v>
      </c>
      <c r="T159" s="19">
        <v>0.83560599999999996</v>
      </c>
      <c r="U159" s="19">
        <v>0.19550000000000001</v>
      </c>
      <c r="V159" s="19">
        <v>0.51057600000000003</v>
      </c>
      <c r="W159" s="19">
        <v>5.9799999999999999E-2</v>
      </c>
      <c r="X159" s="19">
        <v>0.51057600000000003</v>
      </c>
      <c r="Y159" s="19">
        <v>5.9799999999999999E-2</v>
      </c>
      <c r="Z159" s="4"/>
      <c r="AA159" s="4"/>
      <c r="AB159" s="4" t="e">
        <f ca="1">_xll.ciqfunctions.udf.CIQ("^SPX", "IQ_PRICEDATE", "8/8/2014")</f>
        <v>#NAME?</v>
      </c>
      <c r="AC159" s="16">
        <v>1931.5931512780001</v>
      </c>
    </row>
    <row r="160" spans="1:29" x14ac:dyDescent="0.35">
      <c r="A160" s="2" t="s">
        <v>170</v>
      </c>
      <c r="B160" s="4" t="s">
        <v>960</v>
      </c>
      <c r="C160" s="4" t="s">
        <v>543</v>
      </c>
      <c r="D160" s="4" t="s">
        <v>544</v>
      </c>
      <c r="E160" s="4" t="s">
        <v>545</v>
      </c>
      <c r="F160" s="4" t="s">
        <v>546</v>
      </c>
      <c r="G160" s="14">
        <v>89.47</v>
      </c>
      <c r="H160" s="10">
        <v>5.5289520000000003</v>
      </c>
      <c r="I160" s="10">
        <v>13.785764</v>
      </c>
      <c r="J160" s="10" t="s">
        <v>534</v>
      </c>
      <c r="K160" s="15">
        <v>8.4939999999999998E-3</v>
      </c>
      <c r="L160" s="17">
        <v>25155.450513</v>
      </c>
      <c r="M160" s="4" t="s">
        <v>961</v>
      </c>
      <c r="N160" s="19">
        <v>6.4900279999999997</v>
      </c>
      <c r="O160" s="19">
        <v>8.3515999999999995</v>
      </c>
      <c r="P160" s="19">
        <v>3.9199169999999999</v>
      </c>
      <c r="Q160" s="19">
        <v>8.0617000000000001</v>
      </c>
      <c r="R160" s="19">
        <v>-0.59858800000000001</v>
      </c>
      <c r="S160" s="19">
        <v>0</v>
      </c>
      <c r="T160" s="19">
        <v>-0.59858800000000001</v>
      </c>
      <c r="U160" s="19">
        <v>0</v>
      </c>
      <c r="V160" s="19">
        <v>4.3897409999999999</v>
      </c>
      <c r="W160" s="19">
        <v>0</v>
      </c>
      <c r="X160" s="19">
        <v>4.3897409999999999</v>
      </c>
      <c r="Y160" s="19">
        <v>0</v>
      </c>
      <c r="Z160" s="4"/>
      <c r="AA160" s="4"/>
      <c r="AB160" s="4" t="e">
        <f ca="1">_xll.ciqfunctions.udf.CIQ("^SPX", "IQ_PRICEDATE", "8/11/2014")</f>
        <v>#NAME?</v>
      </c>
      <c r="AC160" s="16">
        <v>1936.9155999371001</v>
      </c>
    </row>
    <row r="161" spans="1:29" x14ac:dyDescent="0.35">
      <c r="A161" s="2" t="s">
        <v>171</v>
      </c>
      <c r="B161" s="4" t="s">
        <v>962</v>
      </c>
      <c r="C161" s="4" t="s">
        <v>573</v>
      </c>
      <c r="D161" s="4" t="s">
        <v>574</v>
      </c>
      <c r="E161" s="4" t="s">
        <v>575</v>
      </c>
      <c r="F161" s="4" t="s">
        <v>963</v>
      </c>
      <c r="G161" s="14">
        <v>50.57</v>
      </c>
      <c r="H161" s="10">
        <v>0</v>
      </c>
      <c r="I161" s="10">
        <v>18.130347</v>
      </c>
      <c r="J161" s="10">
        <v>4.0110700000000001</v>
      </c>
      <c r="K161" s="15">
        <v>0</v>
      </c>
      <c r="L161" s="17">
        <v>13128.831690000001</v>
      </c>
      <c r="M161" s="4" t="s">
        <v>964</v>
      </c>
      <c r="N161" s="19">
        <v>2.7892459999999999</v>
      </c>
      <c r="O161" s="19">
        <v>3.7160000000000002</v>
      </c>
      <c r="P161" s="19">
        <v>2.15</v>
      </c>
      <c r="Q161" s="19">
        <v>2.4701</v>
      </c>
      <c r="R161" s="19">
        <v>1.98</v>
      </c>
      <c r="S161" s="19">
        <v>1.7403</v>
      </c>
      <c r="T161" s="19">
        <v>1.98</v>
      </c>
      <c r="U161" s="19">
        <v>1.4527000000000001</v>
      </c>
      <c r="V161" s="19">
        <v>1</v>
      </c>
      <c r="W161" s="19">
        <v>1.0808</v>
      </c>
      <c r="X161" s="19">
        <v>1</v>
      </c>
      <c r="Y161" s="19">
        <v>1.0808</v>
      </c>
      <c r="Z161" s="4"/>
      <c r="AA161" s="4"/>
      <c r="AB161" s="4" t="e">
        <f ca="1">_xll.ciqfunctions.udf.CIQ("^SPX", "IQ_PRICEDATE", "8/12/2014")</f>
        <v>#NAME?</v>
      </c>
      <c r="AC161" s="16">
        <v>1933.7466377295</v>
      </c>
    </row>
    <row r="162" spans="1:29" x14ac:dyDescent="0.35">
      <c r="A162" s="2" t="s">
        <v>172</v>
      </c>
      <c r="B162" s="4" t="s">
        <v>965</v>
      </c>
      <c r="C162" s="4" t="s">
        <v>586</v>
      </c>
      <c r="D162" s="4" t="s">
        <v>586</v>
      </c>
      <c r="E162" s="4" t="s">
        <v>587</v>
      </c>
      <c r="F162" s="4" t="s">
        <v>951</v>
      </c>
      <c r="G162" s="14">
        <v>83.33</v>
      </c>
      <c r="H162" s="10">
        <v>7.8055570000000003</v>
      </c>
      <c r="I162" s="10">
        <v>8.3477999999999994</v>
      </c>
      <c r="J162" s="10" t="s">
        <v>534</v>
      </c>
      <c r="K162" s="15">
        <v>2.6880999999999999E-2</v>
      </c>
      <c r="L162" s="17">
        <v>11772.866233000001</v>
      </c>
      <c r="M162" s="4" t="s">
        <v>966</v>
      </c>
      <c r="N162" s="19">
        <v>9.9822699999999998</v>
      </c>
      <c r="O162" s="19">
        <v>8.8890999999999991</v>
      </c>
      <c r="P162" s="19">
        <v>9.4700000000000006</v>
      </c>
      <c r="Q162" s="19">
        <v>7.6932999999999998</v>
      </c>
      <c r="R162" s="19">
        <v>5.75</v>
      </c>
      <c r="S162" s="19">
        <v>7.2042999999999999</v>
      </c>
      <c r="T162" s="19">
        <v>5.75</v>
      </c>
      <c r="U162" s="19">
        <v>7.4515000000000002</v>
      </c>
      <c r="V162" s="19">
        <v>4.95</v>
      </c>
      <c r="W162" s="19">
        <v>7.5366</v>
      </c>
      <c r="X162" s="19">
        <v>4.95</v>
      </c>
      <c r="Y162" s="19">
        <v>7.5366</v>
      </c>
      <c r="Z162" s="4"/>
      <c r="AA162" s="4"/>
      <c r="AB162" s="4" t="e">
        <f ca="1">_xll.ciqfunctions.udf.CIQ("^SPX", "IQ_PRICEDATE", "8/13/2014")</f>
        <v>#NAME?</v>
      </c>
      <c r="AC162" s="16">
        <v>1946.7220009985001</v>
      </c>
    </row>
    <row r="163" spans="1:29" x14ac:dyDescent="0.35">
      <c r="A163" s="2" t="s">
        <v>173</v>
      </c>
      <c r="B163" s="4" t="s">
        <v>967</v>
      </c>
      <c r="C163" s="4" t="s">
        <v>525</v>
      </c>
      <c r="D163" s="4" t="s">
        <v>526</v>
      </c>
      <c r="E163" s="4" t="s">
        <v>658</v>
      </c>
      <c r="F163" s="4" t="s">
        <v>659</v>
      </c>
      <c r="G163" s="14">
        <v>79.81</v>
      </c>
      <c r="H163" s="10">
        <v>11.446998000000001</v>
      </c>
      <c r="I163" s="10">
        <v>11.246233</v>
      </c>
      <c r="J163" s="10" t="s">
        <v>534</v>
      </c>
      <c r="K163" s="15">
        <v>3.3077999999999996E-2</v>
      </c>
      <c r="L163" s="17">
        <v>34581.673000000003</v>
      </c>
      <c r="M163" s="4" t="s">
        <v>968</v>
      </c>
      <c r="N163" s="19">
        <v>7.0965980000000002</v>
      </c>
      <c r="O163" s="19">
        <v>5.6635999999999997</v>
      </c>
      <c r="P163" s="19">
        <v>6.68</v>
      </c>
      <c r="Q163" s="19">
        <v>4.9957000000000003</v>
      </c>
      <c r="R163" s="19">
        <v>4.2</v>
      </c>
      <c r="S163" s="19">
        <v>4.2914000000000003</v>
      </c>
      <c r="T163" s="19">
        <v>4.2</v>
      </c>
      <c r="U163" s="19">
        <v>4.2538</v>
      </c>
      <c r="V163" s="19">
        <v>3.76</v>
      </c>
      <c r="W163" s="19">
        <v>4.9215</v>
      </c>
      <c r="X163" s="19">
        <v>3.76</v>
      </c>
      <c r="Y163" s="19">
        <v>4.9215</v>
      </c>
      <c r="Z163" s="4"/>
      <c r="AA163" s="4"/>
      <c r="AB163" s="4" t="e">
        <f ca="1">_xll.ciqfunctions.udf.CIQ("^SPX", "IQ_PRICEDATE", "8/14/2014")</f>
        <v>#NAME?</v>
      </c>
      <c r="AC163" s="16">
        <v>1955.1824066605</v>
      </c>
    </row>
    <row r="164" spans="1:29" x14ac:dyDescent="0.35">
      <c r="A164" s="2" t="s">
        <v>174</v>
      </c>
      <c r="B164" s="4" t="s">
        <v>969</v>
      </c>
      <c r="C164" s="4" t="s">
        <v>559</v>
      </c>
      <c r="D164" s="4" t="s">
        <v>560</v>
      </c>
      <c r="E164" s="4" t="s">
        <v>631</v>
      </c>
      <c r="F164" s="4" t="s">
        <v>631</v>
      </c>
      <c r="G164" s="14">
        <v>32.020000000000003</v>
      </c>
      <c r="H164" s="10">
        <v>12.302358</v>
      </c>
      <c r="I164" s="10" t="s">
        <v>534</v>
      </c>
      <c r="J164" s="10">
        <v>17.361722</v>
      </c>
      <c r="K164" s="15">
        <v>0</v>
      </c>
      <c r="L164" s="17">
        <v>31685.378543999999</v>
      </c>
      <c r="M164" s="4" t="s">
        <v>970</v>
      </c>
      <c r="N164" s="19">
        <v>-1.0063439999999999</v>
      </c>
      <c r="O164" s="19">
        <v>2.4251</v>
      </c>
      <c r="P164" s="19">
        <v>-0.95112699999999994</v>
      </c>
      <c r="Q164" s="19">
        <v>2.1625000000000001</v>
      </c>
      <c r="R164" s="19">
        <v>6.37</v>
      </c>
      <c r="S164" s="19">
        <v>2.0257999999999998</v>
      </c>
      <c r="T164" s="19">
        <v>6.37</v>
      </c>
      <c r="U164" s="19">
        <v>1.9221999999999999</v>
      </c>
      <c r="V164" s="19">
        <v>-0.69144600000000001</v>
      </c>
      <c r="W164" s="19">
        <v>3.1837</v>
      </c>
      <c r="X164" s="19">
        <v>-0.69144600000000001</v>
      </c>
      <c r="Y164" s="19">
        <v>3.1837</v>
      </c>
      <c r="Z164" s="4"/>
      <c r="AA164" s="4"/>
      <c r="AB164" s="4" t="e">
        <f ca="1">_xll.ciqfunctions.udf.CIQ("^SPX", "IQ_PRICEDATE", "8/15/2014")</f>
        <v>#NAME?</v>
      </c>
      <c r="AC164" s="16">
        <v>1955.0626293536</v>
      </c>
    </row>
    <row r="165" spans="1:29" x14ac:dyDescent="0.35">
      <c r="A165" s="2" t="s">
        <v>175</v>
      </c>
      <c r="B165" s="4" t="s">
        <v>971</v>
      </c>
      <c r="C165" s="4" t="s">
        <v>586</v>
      </c>
      <c r="D165" s="4" t="s">
        <v>586</v>
      </c>
      <c r="E165" s="4" t="s">
        <v>587</v>
      </c>
      <c r="F165" s="4" t="s">
        <v>598</v>
      </c>
      <c r="G165" s="14">
        <v>148.52000000000001</v>
      </c>
      <c r="H165" s="10">
        <v>16.581890000000001</v>
      </c>
      <c r="I165" s="10">
        <v>27.950265999999999</v>
      </c>
      <c r="J165" s="10" t="s">
        <v>534</v>
      </c>
      <c r="K165" s="15">
        <v>1.1042000000000001E-2</v>
      </c>
      <c r="L165" s="17">
        <v>42907.971879999997</v>
      </c>
      <c r="M165" s="4" t="s">
        <v>972</v>
      </c>
      <c r="N165" s="19">
        <v>5.3137239999999997</v>
      </c>
      <c r="O165" s="19">
        <v>5.7054</v>
      </c>
      <c r="P165" s="19">
        <v>5.13</v>
      </c>
      <c r="Q165" s="19">
        <v>5.1037999999999997</v>
      </c>
      <c r="R165" s="19">
        <v>4.1399999999999997</v>
      </c>
      <c r="S165" s="19">
        <v>4.7667999999999999</v>
      </c>
      <c r="T165" s="19">
        <v>4.1399999999999997</v>
      </c>
      <c r="U165" s="19">
        <v>4.7922000000000002</v>
      </c>
      <c r="V165" s="19">
        <v>3.93</v>
      </c>
      <c r="W165" s="19">
        <v>4.6219000000000001</v>
      </c>
      <c r="X165" s="19">
        <v>3.93</v>
      </c>
      <c r="Y165" s="19">
        <v>4.6219000000000001</v>
      </c>
      <c r="Z165" s="4"/>
      <c r="AA165" s="4"/>
      <c r="AB165" s="4" t="e">
        <f ca="1">_xll.ciqfunctions.udf.CIQ("^SPX", "IQ_PRICEDATE", "8/18/2014")</f>
        <v>#NAME?</v>
      </c>
      <c r="AC165" s="16">
        <v>1971.7400377105</v>
      </c>
    </row>
    <row r="166" spans="1:29" x14ac:dyDescent="0.35">
      <c r="A166" s="2" t="s">
        <v>176</v>
      </c>
      <c r="B166" s="4" t="s">
        <v>973</v>
      </c>
      <c r="C166" s="4" t="s">
        <v>619</v>
      </c>
      <c r="D166" s="4" t="s">
        <v>619</v>
      </c>
      <c r="E166" s="4" t="s">
        <v>620</v>
      </c>
      <c r="F166" s="4" t="s">
        <v>620</v>
      </c>
      <c r="G166" s="14">
        <v>69.58</v>
      </c>
      <c r="H166" s="10">
        <v>9.8519109999999994</v>
      </c>
      <c r="I166" s="10">
        <v>54.643993000000002</v>
      </c>
      <c r="J166" s="10">
        <v>1.924606</v>
      </c>
      <c r="K166" s="15">
        <v>3.4780000000000005E-2</v>
      </c>
      <c r="L166" s="17">
        <v>22669.943713000001</v>
      </c>
      <c r="M166" s="4" t="s">
        <v>974</v>
      </c>
      <c r="N166" s="19">
        <v>1.273333</v>
      </c>
      <c r="O166" s="19">
        <v>4.3735999999999997</v>
      </c>
      <c r="P166" s="19">
        <v>1.72</v>
      </c>
      <c r="Q166" s="19">
        <v>4.4199000000000002</v>
      </c>
      <c r="R166" s="19">
        <v>3.9393929999999999</v>
      </c>
      <c r="S166" s="19">
        <v>4.1204000000000001</v>
      </c>
      <c r="T166" s="19">
        <v>3.9393929999999999</v>
      </c>
      <c r="U166" s="19">
        <v>3.6566000000000001</v>
      </c>
      <c r="V166" s="19">
        <v>4.3373860000000004</v>
      </c>
      <c r="W166" s="19">
        <v>3.7683</v>
      </c>
      <c r="X166" s="19">
        <v>4.3373860000000004</v>
      </c>
      <c r="Y166" s="19">
        <v>3.7683</v>
      </c>
      <c r="Z166" s="4"/>
      <c r="AA166" s="4"/>
      <c r="AB166" s="4" t="e">
        <f ca="1">_xll.ciqfunctions.udf.CIQ("^SPX", "IQ_PRICEDATE", "8/19/2014")</f>
        <v>#NAME?</v>
      </c>
      <c r="AC166" s="16">
        <v>1981.6009829652</v>
      </c>
    </row>
    <row r="167" spans="1:29" x14ac:dyDescent="0.35">
      <c r="A167" s="2" t="s">
        <v>177</v>
      </c>
      <c r="B167" s="4" t="s">
        <v>975</v>
      </c>
      <c r="C167" s="4" t="s">
        <v>530</v>
      </c>
      <c r="D167" s="4" t="s">
        <v>531</v>
      </c>
      <c r="E167" s="4" t="s">
        <v>532</v>
      </c>
      <c r="F167" s="4" t="s">
        <v>533</v>
      </c>
      <c r="G167" s="14">
        <v>148.63</v>
      </c>
      <c r="H167" s="10">
        <v>28.791409999999999</v>
      </c>
      <c r="I167" s="10">
        <v>48.815831000000003</v>
      </c>
      <c r="J167" s="10">
        <v>19.684348</v>
      </c>
      <c r="K167" s="15">
        <v>0</v>
      </c>
      <c r="L167" s="17">
        <v>31121.037909999999</v>
      </c>
      <c r="M167" s="4" t="s">
        <v>976</v>
      </c>
      <c r="N167" s="19">
        <v>3.0447090000000001</v>
      </c>
      <c r="O167" s="19">
        <v>4.8441000000000001</v>
      </c>
      <c r="P167" s="19">
        <v>2.7</v>
      </c>
      <c r="Q167" s="19">
        <v>4.0354000000000001</v>
      </c>
      <c r="R167" s="19">
        <v>2.61</v>
      </c>
      <c r="S167" s="19">
        <v>3.2158000000000002</v>
      </c>
      <c r="T167" s="19">
        <v>2.61</v>
      </c>
      <c r="U167" s="19">
        <v>2.3344</v>
      </c>
      <c r="V167" s="19">
        <v>3.74</v>
      </c>
      <c r="W167" s="19">
        <v>1.9337</v>
      </c>
      <c r="X167" s="19">
        <v>3.74</v>
      </c>
      <c r="Y167" s="19">
        <v>1.9337</v>
      </c>
      <c r="Z167" s="4"/>
      <c r="AA167" s="4"/>
      <c r="AB167" s="4" t="e">
        <f ca="1">_xll.ciqfunctions.udf.CIQ("^SPX", "IQ_PRICEDATE", "8/20/2014")</f>
        <v>#NAME?</v>
      </c>
      <c r="AC167" s="16">
        <v>1986.5059612120999</v>
      </c>
    </row>
    <row r="168" spans="1:29" x14ac:dyDescent="0.35">
      <c r="A168" s="2" t="s">
        <v>178</v>
      </c>
      <c r="B168" s="4" t="s">
        <v>977</v>
      </c>
      <c r="C168" s="4" t="s">
        <v>549</v>
      </c>
      <c r="D168" s="4" t="s">
        <v>550</v>
      </c>
      <c r="E168" s="4" t="s">
        <v>551</v>
      </c>
      <c r="F168" s="4" t="s">
        <v>552</v>
      </c>
      <c r="G168" s="14">
        <v>108.79</v>
      </c>
      <c r="H168" s="10">
        <v>25.780193000000001</v>
      </c>
      <c r="I168" s="10">
        <v>48.946077000000002</v>
      </c>
      <c r="J168" s="10">
        <v>10.156397</v>
      </c>
      <c r="K168" s="15">
        <v>0</v>
      </c>
      <c r="L168" s="17">
        <v>33161.178505000003</v>
      </c>
      <c r="M168" s="4" t="s">
        <v>978</v>
      </c>
      <c r="N168" s="19">
        <v>2.2226499999999998</v>
      </c>
      <c r="O168" s="19">
        <v>4.9043000000000001</v>
      </c>
      <c r="P168" s="19">
        <v>3.2063999999999999</v>
      </c>
      <c r="Q168" s="19">
        <v>4.4755000000000003</v>
      </c>
      <c r="R168" s="19">
        <v>4.1187959999999997</v>
      </c>
      <c r="S168" s="19">
        <v>4.0602999999999998</v>
      </c>
      <c r="T168" s="19">
        <v>4.1187959999999997</v>
      </c>
      <c r="U168" s="19">
        <v>3.3176999999999999</v>
      </c>
      <c r="V168" s="19">
        <v>2.5926659999999999</v>
      </c>
      <c r="W168" s="19">
        <v>2.0335999999999999</v>
      </c>
      <c r="X168" s="19">
        <v>2.5926659999999999</v>
      </c>
      <c r="Y168" s="19">
        <v>2.0335999999999999</v>
      </c>
      <c r="Z168" s="4"/>
      <c r="AA168" s="4"/>
      <c r="AB168" s="4" t="e">
        <f ca="1">_xll.ciqfunctions.udf.CIQ("^SPX", "IQ_PRICEDATE", "8/21/2014")</f>
        <v>#NAME?</v>
      </c>
      <c r="AC168" s="16">
        <v>1992.3660382058999</v>
      </c>
    </row>
    <row r="169" spans="1:29" x14ac:dyDescent="0.35">
      <c r="A169" s="2" t="s">
        <v>179</v>
      </c>
      <c r="B169" s="4" t="s">
        <v>979</v>
      </c>
      <c r="C169" s="4" t="s">
        <v>530</v>
      </c>
      <c r="D169" s="4" t="s">
        <v>537</v>
      </c>
      <c r="E169" s="4" t="s">
        <v>613</v>
      </c>
      <c r="F169" s="4" t="s">
        <v>613</v>
      </c>
      <c r="G169" s="14">
        <v>113.59</v>
      </c>
      <c r="H169" s="10">
        <v>16.094757999999999</v>
      </c>
      <c r="I169" s="10" t="s">
        <v>534</v>
      </c>
      <c r="J169" s="10">
        <v>33.918964000000003</v>
      </c>
      <c r="K169" s="15">
        <v>1.9807999999999999E-2</v>
      </c>
      <c r="L169" s="17">
        <v>113306.331693</v>
      </c>
      <c r="M169" s="4" t="s">
        <v>980</v>
      </c>
      <c r="N169" s="19">
        <v>-0.137736</v>
      </c>
      <c r="O169" s="19">
        <v>5.5380000000000003</v>
      </c>
      <c r="P169" s="19">
        <v>-0.19400700000000001</v>
      </c>
      <c r="Q169" s="19">
        <v>4.5490000000000004</v>
      </c>
      <c r="R169" s="19">
        <v>2.58</v>
      </c>
      <c r="S169" s="19">
        <v>3.9485999999999999</v>
      </c>
      <c r="T169" s="19">
        <v>2.58</v>
      </c>
      <c r="U169" s="19">
        <v>3.448</v>
      </c>
      <c r="V169" s="19">
        <v>2.23</v>
      </c>
      <c r="W169" s="19">
        <v>3.0585</v>
      </c>
      <c r="X169" s="19">
        <v>2.23</v>
      </c>
      <c r="Y169" s="19">
        <v>3.0585</v>
      </c>
      <c r="Z169" s="4"/>
      <c r="AA169" s="4"/>
      <c r="AB169" s="4" t="e">
        <f ca="1">_xll.ciqfunctions.udf.CIQ("^SPX", "IQ_PRICEDATE", "8/22/2014")</f>
        <v>#NAME?</v>
      </c>
      <c r="AC169" s="16">
        <v>1988.4024349268</v>
      </c>
    </row>
    <row r="170" spans="1:29" x14ac:dyDescent="0.35">
      <c r="A170" s="2" t="s">
        <v>180</v>
      </c>
      <c r="B170" s="4" t="s">
        <v>981</v>
      </c>
      <c r="C170" s="4" t="s">
        <v>525</v>
      </c>
      <c r="D170" s="4" t="s">
        <v>526</v>
      </c>
      <c r="E170" s="4" t="s">
        <v>658</v>
      </c>
      <c r="F170" s="4" t="s">
        <v>659</v>
      </c>
      <c r="G170" s="14">
        <v>74</v>
      </c>
      <c r="H170" s="10">
        <v>13.781332000000001</v>
      </c>
      <c r="I170" s="10">
        <v>22.696148999999998</v>
      </c>
      <c r="J170" s="10">
        <v>91.002887999999999</v>
      </c>
      <c r="K170" s="15">
        <v>2.6216E-2</v>
      </c>
      <c r="L170" s="17">
        <v>46506.450773999997</v>
      </c>
      <c r="M170" s="4" t="s">
        <v>982</v>
      </c>
      <c r="N170" s="19">
        <v>3.2604649999999999</v>
      </c>
      <c r="O170" s="19">
        <v>3.5472999999999999</v>
      </c>
      <c r="P170" s="19">
        <v>2.5902910000000001</v>
      </c>
      <c r="Q170" s="19">
        <v>2.95017</v>
      </c>
      <c r="R170" s="19">
        <v>2.5518689999999999</v>
      </c>
      <c r="S170" s="19">
        <v>2.40157</v>
      </c>
      <c r="T170" s="19">
        <v>2.5518689999999999</v>
      </c>
      <c r="U170" s="19">
        <v>3.0723799999999999</v>
      </c>
      <c r="V170" s="19">
        <v>3.131192</v>
      </c>
      <c r="W170" s="19">
        <v>3.9719000000000002</v>
      </c>
      <c r="X170" s="19">
        <v>3.131192</v>
      </c>
      <c r="Y170" s="19">
        <v>3.9719000000000002</v>
      </c>
      <c r="Z170" s="4"/>
      <c r="AA170" s="4"/>
      <c r="AB170" s="4" t="e">
        <f ca="1">_xll.ciqfunctions.udf.CIQ("^SPX", "IQ_PRICEDATE", "8/25/2014")</f>
        <v>#NAME?</v>
      </c>
      <c r="AC170" s="16">
        <v>1997.9218098548999</v>
      </c>
    </row>
    <row r="171" spans="1:29" x14ac:dyDescent="0.35">
      <c r="A171" s="2" t="s">
        <v>181</v>
      </c>
      <c r="B171" s="4" t="s">
        <v>983</v>
      </c>
      <c r="C171" s="4" t="s">
        <v>619</v>
      </c>
      <c r="D171" s="4" t="s">
        <v>619</v>
      </c>
      <c r="E171" s="4" t="s">
        <v>620</v>
      </c>
      <c r="F171" s="4" t="s">
        <v>620</v>
      </c>
      <c r="G171" s="14">
        <v>82.63</v>
      </c>
      <c r="H171" s="10">
        <v>9.4988519999999994</v>
      </c>
      <c r="I171" s="10">
        <v>50.475062999999999</v>
      </c>
      <c r="J171" s="10">
        <v>1.954523</v>
      </c>
      <c r="K171" s="15">
        <v>4.3083000000000003E-2</v>
      </c>
      <c r="L171" s="17">
        <v>14944.051294000001</v>
      </c>
      <c r="M171" s="4" t="s">
        <v>984</v>
      </c>
      <c r="N171" s="19">
        <v>1.637046</v>
      </c>
      <c r="O171" s="19">
        <v>6.2205000000000004</v>
      </c>
      <c r="P171" s="19">
        <v>2.2799990000000001</v>
      </c>
      <c r="Q171" s="19">
        <v>5.3472</v>
      </c>
      <c r="R171" s="19">
        <v>-3.2625190000000002</v>
      </c>
      <c r="S171" s="19">
        <v>4.5500999999999996</v>
      </c>
      <c r="T171" s="19">
        <v>-3.2625190000000002</v>
      </c>
      <c r="U171" s="19">
        <v>5.7759</v>
      </c>
      <c r="V171" s="19">
        <v>5.22</v>
      </c>
      <c r="W171" s="19">
        <v>5.6532999999999998</v>
      </c>
      <c r="X171" s="19">
        <v>5.22</v>
      </c>
      <c r="Y171" s="19">
        <v>5.6532999999999998</v>
      </c>
      <c r="Z171" s="4"/>
      <c r="AA171" s="4"/>
      <c r="AB171" s="4" t="e">
        <f ca="1">_xll.ciqfunctions.udf.CIQ("^SPX", "IQ_PRICEDATE", "8/26/2014")</f>
        <v>#NAME?</v>
      </c>
      <c r="AC171" s="16">
        <v>2000.0200490082</v>
      </c>
    </row>
    <row r="172" spans="1:29" x14ac:dyDescent="0.35">
      <c r="A172" s="2" t="s">
        <v>182</v>
      </c>
      <c r="B172" s="4" t="s">
        <v>985</v>
      </c>
      <c r="C172" s="4" t="s">
        <v>669</v>
      </c>
      <c r="D172" s="4" t="s">
        <v>669</v>
      </c>
      <c r="E172" s="4" t="s">
        <v>670</v>
      </c>
      <c r="F172" s="4" t="s">
        <v>671</v>
      </c>
      <c r="G172" s="14">
        <v>120.14</v>
      </c>
      <c r="H172" s="10">
        <v>11.950936</v>
      </c>
      <c r="I172" s="10">
        <v>18.020153000000001</v>
      </c>
      <c r="J172" s="10">
        <v>3.987047</v>
      </c>
      <c r="K172" s="15">
        <v>7.3240000000000006E-3</v>
      </c>
      <c r="L172" s="17">
        <v>69585.182190000007</v>
      </c>
      <c r="M172" s="4" t="s">
        <v>986</v>
      </c>
      <c r="N172" s="19">
        <v>6.6669799999999997</v>
      </c>
      <c r="O172" s="19">
        <v>6.6513</v>
      </c>
      <c r="P172" s="19">
        <v>4.46</v>
      </c>
      <c r="Q172" s="19">
        <v>1.89</v>
      </c>
      <c r="R172" s="19">
        <v>-1.981781</v>
      </c>
      <c r="S172" s="19">
        <v>7.17E-2</v>
      </c>
      <c r="T172" s="19">
        <v>-1.981781</v>
      </c>
      <c r="U172" s="19">
        <v>-0.29499999999999998</v>
      </c>
      <c r="V172" s="19">
        <v>5.32</v>
      </c>
      <c r="W172" s="19">
        <v>3.0949</v>
      </c>
      <c r="X172" s="19">
        <v>5.32</v>
      </c>
      <c r="Y172" s="19">
        <v>3.0949</v>
      </c>
      <c r="Z172" s="4"/>
      <c r="AA172" s="4"/>
      <c r="AB172" s="4" t="e">
        <f ca="1">_xll.ciqfunctions.udf.CIQ("^SPX", "IQ_PRICEDATE", "8/27/2014")</f>
        <v>#NAME?</v>
      </c>
      <c r="AC172" s="16">
        <v>2000.1177053447</v>
      </c>
    </row>
    <row r="173" spans="1:29" x14ac:dyDescent="0.35">
      <c r="A173" s="2" t="s">
        <v>183</v>
      </c>
      <c r="B173" s="4" t="s">
        <v>987</v>
      </c>
      <c r="C173" s="4" t="s">
        <v>669</v>
      </c>
      <c r="D173" s="4" t="s">
        <v>669</v>
      </c>
      <c r="E173" s="4" t="s">
        <v>670</v>
      </c>
      <c r="F173" s="4" t="s">
        <v>671</v>
      </c>
      <c r="G173" s="14">
        <v>47.36</v>
      </c>
      <c r="H173" s="10">
        <v>8.3941149999999993</v>
      </c>
      <c r="I173" s="10" t="s">
        <v>534</v>
      </c>
      <c r="J173" s="10">
        <v>1.393189</v>
      </c>
      <c r="K173" s="15">
        <v>2.5330000000000001E-3</v>
      </c>
      <c r="L173" s="17">
        <v>12518.71616</v>
      </c>
      <c r="M173" s="4" t="s">
        <v>988</v>
      </c>
      <c r="N173" s="19">
        <v>-1.1355040000000001</v>
      </c>
      <c r="O173" s="19">
        <v>2.0722</v>
      </c>
      <c r="P173" s="19">
        <v>8.0399999999999991</v>
      </c>
      <c r="Q173" s="19">
        <v>1.4916</v>
      </c>
      <c r="R173" s="19">
        <v>-2.7128299999999999</v>
      </c>
      <c r="S173" s="19">
        <v>0.21540000000000001</v>
      </c>
      <c r="T173" s="19">
        <v>-2.7128299999999999</v>
      </c>
      <c r="U173" s="19">
        <v>-0.4002</v>
      </c>
      <c r="V173" s="19">
        <v>2.5299999999999998</v>
      </c>
      <c r="W173" s="19">
        <v>2.6046</v>
      </c>
      <c r="X173" s="19">
        <v>2.5299999999999998</v>
      </c>
      <c r="Y173" s="19">
        <v>2.6046</v>
      </c>
      <c r="Z173" s="4"/>
      <c r="AA173" s="4"/>
      <c r="AB173" s="4" t="e">
        <f ca="1">_xll.ciqfunctions.udf.CIQ("^SPX", "IQ_PRICEDATE", "8/28/2014")</f>
        <v>#NAME?</v>
      </c>
      <c r="AC173" s="16">
        <v>1996.740450988</v>
      </c>
    </row>
    <row r="174" spans="1:29" x14ac:dyDescent="0.35">
      <c r="A174" s="2" t="s">
        <v>184</v>
      </c>
      <c r="B174" s="4" t="s">
        <v>989</v>
      </c>
      <c r="C174" s="4" t="s">
        <v>525</v>
      </c>
      <c r="D174" s="4" t="s">
        <v>855</v>
      </c>
      <c r="E174" s="4" t="s">
        <v>990</v>
      </c>
      <c r="F174" s="4" t="s">
        <v>991</v>
      </c>
      <c r="G174" s="14">
        <v>124.27</v>
      </c>
      <c r="H174" s="10">
        <v>17.628937000000001</v>
      </c>
      <c r="I174" s="10">
        <v>29.884326999999999</v>
      </c>
      <c r="J174" s="10" t="s">
        <v>534</v>
      </c>
      <c r="K174" s="15">
        <v>1.2553000000000002E-2</v>
      </c>
      <c r="L174" s="17">
        <v>14963.620117</v>
      </c>
      <c r="M174" s="4" t="s">
        <v>992</v>
      </c>
      <c r="N174" s="19">
        <v>4.1583670000000001</v>
      </c>
      <c r="O174" s="19">
        <v>5.9768999999999997</v>
      </c>
      <c r="P174" s="19">
        <v>4.83</v>
      </c>
      <c r="Q174" s="19">
        <v>5.7621000000000002</v>
      </c>
      <c r="R174" s="19">
        <v>4.04</v>
      </c>
      <c r="S174" s="19">
        <v>5.8643999999999998</v>
      </c>
      <c r="T174" s="19">
        <v>4.04</v>
      </c>
      <c r="U174" s="19">
        <v>4.8018999999999998</v>
      </c>
      <c r="V174" s="19">
        <v>2.97</v>
      </c>
      <c r="W174" s="19">
        <v>4.1630000000000003</v>
      </c>
      <c r="X174" s="19">
        <v>2.97</v>
      </c>
      <c r="Y174" s="19">
        <v>4.1630000000000003</v>
      </c>
      <c r="Z174" s="4"/>
      <c r="AA174" s="4"/>
      <c r="AB174" s="4" t="e">
        <f ca="1">_xll.ciqfunctions.udf.CIQ("^SPX", "IQ_PRICEDATE", "8/29/2014")</f>
        <v>#NAME?</v>
      </c>
      <c r="AC174" s="16">
        <v>2003.3676954513001</v>
      </c>
    </row>
    <row r="175" spans="1:29" x14ac:dyDescent="0.35">
      <c r="A175" s="2" t="s">
        <v>185</v>
      </c>
      <c r="B175" s="4" t="s">
        <v>993</v>
      </c>
      <c r="C175" s="4" t="s">
        <v>601</v>
      </c>
      <c r="D175" s="4" t="s">
        <v>601</v>
      </c>
      <c r="E175" s="4" t="s">
        <v>602</v>
      </c>
      <c r="F175" s="4" t="s">
        <v>647</v>
      </c>
      <c r="G175" s="14">
        <v>410.44</v>
      </c>
      <c r="H175" s="10">
        <v>20.167192</v>
      </c>
      <c r="I175" s="10">
        <v>118.416842</v>
      </c>
      <c r="J175" s="10" t="s">
        <v>534</v>
      </c>
      <c r="K175" s="15">
        <v>2.222E-2</v>
      </c>
      <c r="L175" s="17">
        <v>32633.279116999998</v>
      </c>
      <c r="M175" s="4" t="s">
        <v>994</v>
      </c>
      <c r="N175" s="19">
        <v>3.4660609999999998</v>
      </c>
      <c r="O175" s="19">
        <v>5.2591000000000001</v>
      </c>
      <c r="P175" s="19">
        <v>3</v>
      </c>
      <c r="Q175" s="19">
        <v>5.9145000000000003</v>
      </c>
      <c r="R175" s="19">
        <v>1.62</v>
      </c>
      <c r="S175" s="19">
        <v>4.3853999999999997</v>
      </c>
      <c r="T175" s="19">
        <v>1.62</v>
      </c>
      <c r="U175" s="19">
        <v>5.8022</v>
      </c>
      <c r="V175" s="19">
        <v>-4.9570650000000001</v>
      </c>
      <c r="W175" s="19">
        <v>5.0716999999999999</v>
      </c>
      <c r="X175" s="19">
        <v>-4.9570650000000001</v>
      </c>
      <c r="Y175" s="19">
        <v>5.0716999999999999</v>
      </c>
      <c r="Z175" s="4"/>
      <c r="AA175" s="4"/>
      <c r="AB175" s="4" t="e">
        <f ca="1">_xll.ciqfunctions.udf.CIQ("^SPX", "IQ_PRICEDATE", "9/2/2014")</f>
        <v>#NAME?</v>
      </c>
      <c r="AC175" s="16">
        <v>2002.2844031136001</v>
      </c>
    </row>
    <row r="176" spans="1:29" x14ac:dyDescent="0.35">
      <c r="A176" s="2" t="s">
        <v>186</v>
      </c>
      <c r="B176" s="4" t="s">
        <v>995</v>
      </c>
      <c r="C176" s="4" t="s">
        <v>601</v>
      </c>
      <c r="D176" s="4" t="s">
        <v>601</v>
      </c>
      <c r="E176" s="4" t="s">
        <v>602</v>
      </c>
      <c r="F176" s="4" t="s">
        <v>685</v>
      </c>
      <c r="G176" s="14">
        <v>64.069999999999993</v>
      </c>
      <c r="H176" s="10">
        <v>20.299168999999999</v>
      </c>
      <c r="I176" s="10">
        <v>40.351301999999997</v>
      </c>
      <c r="J176" s="10">
        <v>2.3589289999999998</v>
      </c>
      <c r="K176" s="15">
        <v>3.3713E-2</v>
      </c>
      <c r="L176" s="17">
        <v>23595.826138</v>
      </c>
      <c r="M176" s="4" t="s">
        <v>996</v>
      </c>
      <c r="N176" s="19">
        <v>1.5878049999999999</v>
      </c>
      <c r="O176" s="19">
        <v>1.5105999999999999</v>
      </c>
      <c r="P176" s="19">
        <v>1.6279140000000001</v>
      </c>
      <c r="Q176" s="19">
        <v>1.3</v>
      </c>
      <c r="R176" s="19">
        <v>11.675807000000001</v>
      </c>
      <c r="S176" s="19">
        <v>1.2935000000000001</v>
      </c>
      <c r="T176" s="19">
        <v>11.675807000000001</v>
      </c>
      <c r="U176" s="19">
        <v>1.4645999999999999</v>
      </c>
      <c r="V176" s="19">
        <v>1.721873</v>
      </c>
      <c r="W176" s="19">
        <v>1.1733</v>
      </c>
      <c r="X176" s="19">
        <v>1.721873</v>
      </c>
      <c r="Y176" s="19">
        <v>1.1733</v>
      </c>
      <c r="Z176" s="4"/>
      <c r="AA176" s="4"/>
      <c r="AB176" s="4" t="e">
        <f ca="1">_xll.ciqfunctions.udf.CIQ("^SPX", "IQ_PRICEDATE", "9/3/2014")</f>
        <v>#NAME?</v>
      </c>
      <c r="AC176" s="16">
        <v>2000.7236315149</v>
      </c>
    </row>
    <row r="177" spans="1:29" x14ac:dyDescent="0.35">
      <c r="A177" s="2" t="s">
        <v>187</v>
      </c>
      <c r="B177" s="4" t="s">
        <v>997</v>
      </c>
      <c r="C177" s="4" t="s">
        <v>601</v>
      </c>
      <c r="D177" s="4" t="s">
        <v>601</v>
      </c>
      <c r="E177" s="4" t="s">
        <v>602</v>
      </c>
      <c r="F177" s="4" t="s">
        <v>685</v>
      </c>
      <c r="G177" s="14">
        <v>242.8</v>
      </c>
      <c r="H177" s="10">
        <v>22.115749000000001</v>
      </c>
      <c r="I177" s="10">
        <v>42.851011</v>
      </c>
      <c r="J177" s="10">
        <v>2.5238239999999998</v>
      </c>
      <c r="K177" s="15">
        <v>3.0641999999999999E-2</v>
      </c>
      <c r="L177" s="17">
        <v>16036.964523000001</v>
      </c>
      <c r="M177" s="4" t="s">
        <v>998</v>
      </c>
      <c r="N177" s="19">
        <v>5.6661440000000001</v>
      </c>
      <c r="O177" s="19">
        <v>5.0091000000000001</v>
      </c>
      <c r="P177" s="19">
        <v>6.5699990000000001</v>
      </c>
      <c r="Q177" s="19">
        <v>4.6839000000000004</v>
      </c>
      <c r="R177" s="19">
        <v>6.2699990000000003</v>
      </c>
      <c r="S177" s="19">
        <v>4.2704000000000004</v>
      </c>
      <c r="T177" s="19">
        <v>6.2699990000000003</v>
      </c>
      <c r="U177" s="19">
        <v>2.9306999999999999</v>
      </c>
      <c r="V177" s="19">
        <v>2.06</v>
      </c>
      <c r="W177" s="19">
        <v>2.1476000000000002</v>
      </c>
      <c r="X177" s="19">
        <v>2.06</v>
      </c>
      <c r="Y177" s="19">
        <v>2.1476000000000002</v>
      </c>
      <c r="Z177" s="4"/>
      <c r="AA177" s="4"/>
      <c r="AB177" s="4" t="e">
        <f ca="1">_xll.ciqfunctions.udf.CIQ("^SPX", "IQ_PRICEDATE", "9/4/2014")</f>
        <v>#NAME?</v>
      </c>
      <c r="AC177" s="16">
        <v>1997.6509320497</v>
      </c>
    </row>
    <row r="178" spans="1:29" x14ac:dyDescent="0.35">
      <c r="A178" s="2" t="s">
        <v>188</v>
      </c>
      <c r="B178" s="4" t="s">
        <v>999</v>
      </c>
      <c r="C178" s="4" t="s">
        <v>573</v>
      </c>
      <c r="D178" s="4" t="s">
        <v>579</v>
      </c>
      <c r="E178" s="4" t="s">
        <v>579</v>
      </c>
      <c r="F178" s="4" t="s">
        <v>1000</v>
      </c>
      <c r="G178" s="14">
        <v>216.01</v>
      </c>
      <c r="H178" s="10">
        <v>0</v>
      </c>
      <c r="I178" s="10">
        <v>42.051177000000003</v>
      </c>
      <c r="J178" s="10">
        <v>1.0709660000000001</v>
      </c>
      <c r="K178" s="15">
        <v>2.4072E-2</v>
      </c>
      <c r="L178" s="17">
        <v>8825.1840260000008</v>
      </c>
      <c r="M178" s="4" t="s">
        <v>1001</v>
      </c>
      <c r="N178" s="19">
        <v>5.1368359999999997</v>
      </c>
      <c r="O178" s="19">
        <v>23.686399999999999</v>
      </c>
      <c r="P178" s="19">
        <v>11.36</v>
      </c>
      <c r="Q178" s="19">
        <v>19.404699999999998</v>
      </c>
      <c r="R178" s="19">
        <v>23.68</v>
      </c>
      <c r="S178" s="19">
        <v>16.449300000000001</v>
      </c>
      <c r="T178" s="19">
        <v>23.68</v>
      </c>
      <c r="U178" s="19">
        <v>18.015499999999999</v>
      </c>
      <c r="V178" s="19">
        <v>25.91</v>
      </c>
      <c r="W178" s="19">
        <v>17.809699999999999</v>
      </c>
      <c r="X178" s="19">
        <v>25.91</v>
      </c>
      <c r="Y178" s="19">
        <v>17.809699999999999</v>
      </c>
      <c r="Z178" s="4"/>
      <c r="AA178" s="4"/>
      <c r="AB178" s="4" t="e">
        <f ca="1">_xll.ciqfunctions.udf.CIQ("^SPX", "IQ_PRICEDATE", "9/5/2014")</f>
        <v>#NAME?</v>
      </c>
      <c r="AC178" s="16">
        <v>2007.7119082391</v>
      </c>
    </row>
    <row r="179" spans="1:29" x14ac:dyDescent="0.35">
      <c r="A179" s="2" t="s">
        <v>189</v>
      </c>
      <c r="B179" s="4" t="s">
        <v>1002</v>
      </c>
      <c r="C179" s="4" t="s">
        <v>619</v>
      </c>
      <c r="D179" s="4" t="s">
        <v>619</v>
      </c>
      <c r="E179" s="4" t="s">
        <v>620</v>
      </c>
      <c r="F179" s="4" t="s">
        <v>620</v>
      </c>
      <c r="G179" s="14">
        <v>56.01</v>
      </c>
      <c r="H179" s="10">
        <v>20.242328000000001</v>
      </c>
      <c r="I179" s="10">
        <v>24.079768000000001</v>
      </c>
      <c r="J179" s="10">
        <v>1.76854</v>
      </c>
      <c r="K179" s="15">
        <v>2.8565999999999998E-2</v>
      </c>
      <c r="L179" s="17">
        <v>15217.236422</v>
      </c>
      <c r="M179" s="4" t="s">
        <v>1003</v>
      </c>
      <c r="N179" s="19">
        <v>2.3260190000000001</v>
      </c>
      <c r="O179" s="19">
        <v>2.7218</v>
      </c>
      <c r="P179" s="19">
        <v>2.2696000000000001</v>
      </c>
      <c r="Q179" s="19">
        <v>0</v>
      </c>
      <c r="R179" s="19">
        <v>2.4300000000000002</v>
      </c>
      <c r="S179" s="19">
        <v>0</v>
      </c>
      <c r="T179" s="19">
        <v>2.4300000000000002</v>
      </c>
      <c r="U179" s="19">
        <v>0</v>
      </c>
      <c r="V179" s="19">
        <v>2.35</v>
      </c>
      <c r="W179" s="19">
        <v>0</v>
      </c>
      <c r="X179" s="19">
        <v>2.35</v>
      </c>
      <c r="Y179" s="19">
        <v>0</v>
      </c>
      <c r="Z179" s="4"/>
      <c r="AA179" s="4"/>
      <c r="AB179" s="4" t="e">
        <f ca="1">_xll.ciqfunctions.udf.CIQ("^SPX", "IQ_PRICEDATE", "9/8/2014")</f>
        <v>#NAME?</v>
      </c>
      <c r="AC179" s="16">
        <v>2001.5407326029001</v>
      </c>
    </row>
    <row r="180" spans="1:29" x14ac:dyDescent="0.35">
      <c r="A180" s="2" t="s">
        <v>190</v>
      </c>
      <c r="B180" s="4" t="s">
        <v>1004</v>
      </c>
      <c r="C180" s="4" t="s">
        <v>619</v>
      </c>
      <c r="D180" s="4" t="s">
        <v>619</v>
      </c>
      <c r="E180" s="4" t="s">
        <v>620</v>
      </c>
      <c r="F180" s="4" t="s">
        <v>620</v>
      </c>
      <c r="G180" s="14">
        <v>62.49</v>
      </c>
      <c r="H180" s="10">
        <v>12.843249999999999</v>
      </c>
      <c r="I180" s="10">
        <v>19.650980000000001</v>
      </c>
      <c r="J180" s="10">
        <v>2.8925380000000001</v>
      </c>
      <c r="K180" s="15">
        <v>3.2325E-2</v>
      </c>
      <c r="L180" s="17">
        <v>19802.194142</v>
      </c>
      <c r="M180" s="4" t="s">
        <v>1005</v>
      </c>
      <c r="N180" s="19">
        <v>3.1799940000000002</v>
      </c>
      <c r="O180" s="19">
        <v>3.3603000000000001</v>
      </c>
      <c r="P180" s="19">
        <v>3.11</v>
      </c>
      <c r="Q180" s="19">
        <v>3.3008000000000002</v>
      </c>
      <c r="R180" s="19">
        <v>2.9599989999999998</v>
      </c>
      <c r="S180" s="19">
        <v>3.1556000000000002</v>
      </c>
      <c r="T180" s="19">
        <v>2.9599989999999998</v>
      </c>
      <c r="U180" s="19">
        <v>2.9214000000000002</v>
      </c>
      <c r="V180" s="19">
        <v>2.5799989999999999</v>
      </c>
      <c r="W180" s="19">
        <v>2.8431000000000002</v>
      </c>
      <c r="X180" s="19">
        <v>2.5799989999999999</v>
      </c>
      <c r="Y180" s="19">
        <v>2.8431000000000002</v>
      </c>
      <c r="Z180" s="4"/>
      <c r="AA180" s="4"/>
      <c r="AB180" s="4" t="e">
        <f ca="1">_xll.ciqfunctions.udf.CIQ("^SPX", "IQ_PRICEDATE", "9/9/2014")</f>
        <v>#NAME?</v>
      </c>
      <c r="AC180" s="16">
        <v>1988.4448927521</v>
      </c>
    </row>
    <row r="181" spans="1:29" x14ac:dyDescent="0.35">
      <c r="A181" s="2" t="s">
        <v>191</v>
      </c>
      <c r="B181" s="4" t="s">
        <v>1006</v>
      </c>
      <c r="C181" s="4" t="s">
        <v>619</v>
      </c>
      <c r="D181" s="4" t="s">
        <v>619</v>
      </c>
      <c r="E181" s="4" t="s">
        <v>620</v>
      </c>
      <c r="F181" s="4" t="s">
        <v>620</v>
      </c>
      <c r="G181" s="14">
        <v>42.99</v>
      </c>
      <c r="H181" s="10">
        <v>7.7756040000000004</v>
      </c>
      <c r="I181" s="10">
        <v>10.939911</v>
      </c>
      <c r="J181" s="10">
        <v>1.741938</v>
      </c>
      <c r="K181" s="15">
        <v>3.2099999999999997E-2</v>
      </c>
      <c r="L181" s="17">
        <v>41524.329076000002</v>
      </c>
      <c r="M181" s="4" t="s">
        <v>1007</v>
      </c>
      <c r="N181" s="19">
        <v>3.9296479999999998</v>
      </c>
      <c r="O181" s="19">
        <v>3.0278</v>
      </c>
      <c r="P181" s="19">
        <v>3.97</v>
      </c>
      <c r="Q181" s="19">
        <v>2.9451000000000001</v>
      </c>
      <c r="R181" s="19">
        <v>1.22</v>
      </c>
      <c r="S181" s="19">
        <v>2.5779000000000001</v>
      </c>
      <c r="T181" s="19">
        <v>1.22</v>
      </c>
      <c r="U181" s="19">
        <v>2.3527</v>
      </c>
      <c r="V181" s="19">
        <v>1.88</v>
      </c>
      <c r="W181" s="19">
        <v>2.4390000000000001</v>
      </c>
      <c r="X181" s="19">
        <v>1.88</v>
      </c>
      <c r="Y181" s="19">
        <v>2.4390000000000001</v>
      </c>
      <c r="Z181" s="4"/>
      <c r="AA181" s="4"/>
      <c r="AB181" s="4" t="e">
        <f ca="1">_xll.ciqfunctions.udf.CIQ("^SPX", "IQ_PRICEDATE", "9/10/2014")</f>
        <v>#NAME?</v>
      </c>
      <c r="AC181" s="16">
        <v>1995.6923062226001</v>
      </c>
    </row>
    <row r="182" spans="1:29" x14ac:dyDescent="0.35">
      <c r="A182" s="2" t="s">
        <v>192</v>
      </c>
      <c r="B182" s="4" t="s">
        <v>1008</v>
      </c>
      <c r="C182" s="4" t="s">
        <v>559</v>
      </c>
      <c r="D182" s="4" t="s">
        <v>560</v>
      </c>
      <c r="E182" s="4" t="s">
        <v>631</v>
      </c>
      <c r="F182" s="4" t="s">
        <v>631</v>
      </c>
      <c r="G182" s="14">
        <v>120.55</v>
      </c>
      <c r="H182" s="10">
        <v>16.656531999999999</v>
      </c>
      <c r="I182" s="10">
        <v>69.460890000000006</v>
      </c>
      <c r="J182" s="10" t="s">
        <v>534</v>
      </c>
      <c r="K182" s="15">
        <v>1.0618000000000001E-2</v>
      </c>
      <c r="L182" s="17">
        <v>18016.330587</v>
      </c>
      <c r="M182" s="4" t="s">
        <v>1009</v>
      </c>
      <c r="N182" s="19">
        <v>1.735509</v>
      </c>
      <c r="O182" s="19">
        <v>5.5917000000000003</v>
      </c>
      <c r="P182" s="19">
        <v>2.42</v>
      </c>
      <c r="Q182" s="19">
        <v>5.1760999999999999</v>
      </c>
      <c r="R182" s="19">
        <v>1.82</v>
      </c>
      <c r="S182" s="19">
        <v>6.0576999999999996</v>
      </c>
      <c r="T182" s="19">
        <v>1.82</v>
      </c>
      <c r="U182" s="19">
        <v>5.4242999999999997</v>
      </c>
      <c r="V182" s="19">
        <v>2.99</v>
      </c>
      <c r="W182" s="19">
        <v>4.4554</v>
      </c>
      <c r="X182" s="19">
        <v>2.99</v>
      </c>
      <c r="Y182" s="19">
        <v>4.4554</v>
      </c>
      <c r="Z182" s="4"/>
      <c r="AA182" s="4"/>
      <c r="AB182" s="4" t="e">
        <f ca="1">_xll.ciqfunctions.udf.CIQ("^SPX", "IQ_PRICEDATE", "9/11/2014")</f>
        <v>#NAME?</v>
      </c>
      <c r="AC182" s="16">
        <v>1997.4459678967</v>
      </c>
    </row>
    <row r="183" spans="1:29" x14ac:dyDescent="0.35">
      <c r="A183" s="2" t="s">
        <v>193</v>
      </c>
      <c r="B183" s="4" t="s">
        <v>1010</v>
      </c>
      <c r="C183" s="4" t="s">
        <v>525</v>
      </c>
      <c r="D183" s="4" t="s">
        <v>594</v>
      </c>
      <c r="E183" s="4" t="s">
        <v>779</v>
      </c>
      <c r="F183" s="4" t="s">
        <v>779</v>
      </c>
      <c r="G183" s="14">
        <v>68.8</v>
      </c>
      <c r="H183" s="10">
        <v>13.531746</v>
      </c>
      <c r="I183" s="10">
        <v>22.041786999999999</v>
      </c>
      <c r="J183" s="10">
        <v>6.3460190000000001</v>
      </c>
      <c r="K183" s="15">
        <v>1.3081000000000001E-2</v>
      </c>
      <c r="L183" s="17">
        <v>11994.282469</v>
      </c>
      <c r="M183" s="4" t="s">
        <v>1011</v>
      </c>
      <c r="N183" s="19">
        <v>3.1213440000000001</v>
      </c>
      <c r="O183" s="19">
        <v>3.1850999999999998</v>
      </c>
      <c r="P183" s="19">
        <v>2.69</v>
      </c>
      <c r="Q183" s="19">
        <v>2.5196000000000001</v>
      </c>
      <c r="R183" s="19">
        <v>2.36</v>
      </c>
      <c r="S183" s="19">
        <v>2.4504999999999999</v>
      </c>
      <c r="T183" s="19">
        <v>2.36</v>
      </c>
      <c r="U183" s="19">
        <v>2.4470000000000001</v>
      </c>
      <c r="V183" s="19">
        <v>1.92</v>
      </c>
      <c r="W183" s="19">
        <v>2.0312999999999999</v>
      </c>
      <c r="X183" s="19">
        <v>1.92</v>
      </c>
      <c r="Y183" s="19">
        <v>2.0312999999999999</v>
      </c>
      <c r="Z183" s="4"/>
      <c r="AA183" s="4"/>
      <c r="AB183" s="4" t="e">
        <f ca="1">_xll.ciqfunctions.udf.CIQ("^SPX", "IQ_PRICEDATE", "9/12/2014")</f>
        <v>#NAME?</v>
      </c>
      <c r="AC183" s="16">
        <v>1985.5362909214</v>
      </c>
    </row>
    <row r="184" spans="1:29" x14ac:dyDescent="0.35">
      <c r="A184" s="2" t="s">
        <v>194</v>
      </c>
      <c r="B184" s="4" t="s">
        <v>1012</v>
      </c>
      <c r="C184" s="4" t="s">
        <v>530</v>
      </c>
      <c r="D184" s="4" t="s">
        <v>531</v>
      </c>
      <c r="E184" s="4" t="s">
        <v>569</v>
      </c>
      <c r="F184" s="4" t="s">
        <v>909</v>
      </c>
      <c r="G184" s="14">
        <v>95.77</v>
      </c>
      <c r="H184" s="10">
        <v>9.1142730000000007</v>
      </c>
      <c r="I184" s="10">
        <v>11.664173</v>
      </c>
      <c r="J184" s="10" t="s">
        <v>534</v>
      </c>
      <c r="K184" s="15">
        <v>0</v>
      </c>
      <c r="L184" s="17">
        <v>53834.2958</v>
      </c>
      <c r="M184" s="4" t="s">
        <v>1013</v>
      </c>
      <c r="N184" s="19">
        <v>8.2106119999999994</v>
      </c>
      <c r="O184" s="19">
        <v>9.2988</v>
      </c>
      <c r="P184" s="19">
        <v>7.74</v>
      </c>
      <c r="Q184" s="19">
        <v>7.5823</v>
      </c>
      <c r="R184" s="19">
        <v>5.39</v>
      </c>
      <c r="S184" s="19">
        <v>6.8129</v>
      </c>
      <c r="T184" s="19">
        <v>5.39</v>
      </c>
      <c r="U184" s="19">
        <v>5.9778000000000002</v>
      </c>
      <c r="V184" s="19">
        <v>2.64</v>
      </c>
      <c r="W184" s="19">
        <v>5.3201999999999998</v>
      </c>
      <c r="X184" s="19">
        <v>2.64</v>
      </c>
      <c r="Y184" s="19">
        <v>5.3201999999999998</v>
      </c>
      <c r="Z184" s="4"/>
      <c r="AA184" s="4"/>
      <c r="AB184" s="4" t="e">
        <f ca="1">_xll.ciqfunctions.udf.CIQ("^SPX", "IQ_PRICEDATE", "9/15/2014")</f>
        <v>#NAME?</v>
      </c>
      <c r="AC184" s="16">
        <v>1984.1323104619</v>
      </c>
    </row>
    <row r="185" spans="1:29" x14ac:dyDescent="0.35">
      <c r="A185" s="2" t="s">
        <v>195</v>
      </c>
      <c r="B185" s="4" t="s">
        <v>1014</v>
      </c>
      <c r="C185" s="4" t="s">
        <v>601</v>
      </c>
      <c r="D185" s="4" t="s">
        <v>601</v>
      </c>
      <c r="E185" s="4" t="s">
        <v>602</v>
      </c>
      <c r="F185" s="4" t="s">
        <v>647</v>
      </c>
      <c r="G185" s="14">
        <v>86.06</v>
      </c>
      <c r="H185" s="10">
        <v>20.517057999999999</v>
      </c>
      <c r="I185" s="10">
        <v>22.209793999999999</v>
      </c>
      <c r="J185" s="10">
        <v>4.6355079999999997</v>
      </c>
      <c r="K185" s="15">
        <v>3.9972000000000001E-2</v>
      </c>
      <c r="L185" s="17">
        <v>10886.770726000001</v>
      </c>
      <c r="M185" s="4" t="s">
        <v>1015</v>
      </c>
      <c r="N185" s="19">
        <v>3.8748670000000001</v>
      </c>
      <c r="O185" s="19">
        <v>2.9083000000000001</v>
      </c>
      <c r="P185" s="19">
        <v>3.7643330000000002</v>
      </c>
      <c r="Q185" s="19">
        <v>2.8325999999999998</v>
      </c>
      <c r="R185" s="19">
        <v>2.9069669999999999</v>
      </c>
      <c r="S185" s="19">
        <v>2.3908999999999998</v>
      </c>
      <c r="T185" s="19">
        <v>2.9069669999999999</v>
      </c>
      <c r="U185" s="19">
        <v>1.633</v>
      </c>
      <c r="V185" s="19">
        <v>1.5304770000000001</v>
      </c>
      <c r="W185" s="19">
        <v>1.9904999999999999</v>
      </c>
      <c r="X185" s="19">
        <v>1.5304770000000001</v>
      </c>
      <c r="Y185" s="19">
        <v>1.9904999999999999</v>
      </c>
      <c r="Z185" s="4"/>
      <c r="AA185" s="4"/>
      <c r="AB185" s="4" t="e">
        <f ca="1">_xll.ciqfunctions.udf.CIQ("^SPX", "IQ_PRICEDATE", "9/16/2014")</f>
        <v>#NAME?</v>
      </c>
      <c r="AC185" s="16">
        <v>1998.9814103547001</v>
      </c>
    </row>
    <row r="186" spans="1:29" x14ac:dyDescent="0.35">
      <c r="A186" s="2" t="s">
        <v>196</v>
      </c>
      <c r="B186" s="4" t="s">
        <v>1016</v>
      </c>
      <c r="C186" s="4" t="s">
        <v>669</v>
      </c>
      <c r="D186" s="4" t="s">
        <v>669</v>
      </c>
      <c r="E186" s="4" t="s">
        <v>670</v>
      </c>
      <c r="F186" s="4" t="s">
        <v>836</v>
      </c>
      <c r="G186" s="14">
        <v>81.5</v>
      </c>
      <c r="H186" s="10">
        <v>9.1280590000000004</v>
      </c>
      <c r="I186" s="10">
        <v>16.610835000000002</v>
      </c>
      <c r="J186" s="10">
        <v>1.8430280000000001</v>
      </c>
      <c r="K186" s="15">
        <v>4.0244999999999996E-2</v>
      </c>
      <c r="L186" s="17">
        <v>345055.54336200003</v>
      </c>
      <c r="M186" s="4" t="s">
        <v>1017</v>
      </c>
      <c r="N186" s="19">
        <v>4.9064360000000002</v>
      </c>
      <c r="O186" s="19">
        <v>5.3441999999999998</v>
      </c>
      <c r="P186" s="19">
        <v>4.63</v>
      </c>
      <c r="Q186" s="19">
        <v>4.1340000000000003</v>
      </c>
      <c r="R186" s="19">
        <v>1.8769450000000001</v>
      </c>
      <c r="S186" s="19">
        <v>4.0216000000000003</v>
      </c>
      <c r="T186" s="19">
        <v>1.8769450000000001</v>
      </c>
      <c r="U186" s="19">
        <v>3.4946000000000002</v>
      </c>
      <c r="V186" s="19">
        <v>7.5945809999999998</v>
      </c>
      <c r="W186" s="19">
        <v>5.2165999999999997</v>
      </c>
      <c r="X186" s="19">
        <v>7.5945809999999998</v>
      </c>
      <c r="Y186" s="19">
        <v>5.2165999999999997</v>
      </c>
      <c r="Z186" s="4"/>
      <c r="AA186" s="4"/>
      <c r="AB186" s="4" t="e">
        <f ca="1">_xll.ciqfunctions.udf.CIQ("^SPX", "IQ_PRICEDATE", "9/17/2014")</f>
        <v>#NAME?</v>
      </c>
      <c r="AC186" s="16">
        <v>2001.5651818327999</v>
      </c>
    </row>
    <row r="187" spans="1:29" x14ac:dyDescent="0.35">
      <c r="A187" s="2" t="s">
        <v>197</v>
      </c>
      <c r="B187" s="4" t="s">
        <v>1018</v>
      </c>
      <c r="C187" s="4" t="s">
        <v>543</v>
      </c>
      <c r="D187" s="4" t="s">
        <v>664</v>
      </c>
      <c r="E187" s="4" t="s">
        <v>706</v>
      </c>
      <c r="F187" s="4" t="s">
        <v>706</v>
      </c>
      <c r="G187" s="14">
        <v>170.54</v>
      </c>
      <c r="H187" s="10">
        <v>14.283758000000001</v>
      </c>
      <c r="I187" s="10">
        <v>23.367546000000001</v>
      </c>
      <c r="J187" s="10">
        <v>14.608107</v>
      </c>
      <c r="K187" s="15">
        <v>0</v>
      </c>
      <c r="L187" s="17">
        <v>10371.956803999999</v>
      </c>
      <c r="M187" s="4" t="s">
        <v>1019</v>
      </c>
      <c r="N187" s="19">
        <v>7.2981559999999996</v>
      </c>
      <c r="O187" s="19">
        <v>10.2645</v>
      </c>
      <c r="P187" s="19">
        <v>6.4796259999999997</v>
      </c>
      <c r="Q187" s="19">
        <v>8.6733399999999996</v>
      </c>
      <c r="R187" s="19">
        <v>5.5410490000000001</v>
      </c>
      <c r="S187" s="19">
        <v>8.2807499999999994</v>
      </c>
      <c r="T187" s="19">
        <v>5.5410490000000001</v>
      </c>
      <c r="U187" s="19">
        <v>7.0302199999999999</v>
      </c>
      <c r="V187" s="19">
        <v>4.4324199999999996</v>
      </c>
      <c r="W187" s="19">
        <v>6.3712600000000004</v>
      </c>
      <c r="X187" s="19">
        <v>4.4324199999999996</v>
      </c>
      <c r="Y187" s="19">
        <v>6.3712600000000004</v>
      </c>
      <c r="Z187" s="4"/>
      <c r="AA187" s="4"/>
      <c r="AB187" s="4" t="e">
        <f ca="1">_xll.ciqfunctions.udf.CIQ("^SPX", "IQ_PRICEDATE", "9/18/2014")</f>
        <v>#NAME?</v>
      </c>
      <c r="AC187" s="16">
        <v>2011.3638145702</v>
      </c>
    </row>
    <row r="188" spans="1:29" x14ac:dyDescent="0.35">
      <c r="A188" s="2" t="s">
        <v>198</v>
      </c>
      <c r="B188" s="4" t="s">
        <v>1020</v>
      </c>
      <c r="C188" s="4" t="s">
        <v>549</v>
      </c>
      <c r="D188" s="4" t="s">
        <v>550</v>
      </c>
      <c r="E188" s="4" t="s">
        <v>623</v>
      </c>
      <c r="F188" s="4" t="s">
        <v>623</v>
      </c>
      <c r="G188" s="14">
        <v>159.41999999999999</v>
      </c>
      <c r="H188" s="10">
        <v>15.261631</v>
      </c>
      <c r="I188" s="10">
        <v>24.667964000000001</v>
      </c>
      <c r="J188" s="10">
        <v>7.7399519999999997</v>
      </c>
      <c r="K188" s="15">
        <v>0</v>
      </c>
      <c r="L188" s="17">
        <v>460280.39941499999</v>
      </c>
      <c r="M188" s="4" t="s">
        <v>1021</v>
      </c>
      <c r="N188" s="19">
        <v>6.4626330000000003</v>
      </c>
      <c r="O188" s="19">
        <v>7.3093000000000004</v>
      </c>
      <c r="P188" s="19">
        <v>5.3903920000000003</v>
      </c>
      <c r="Q188" s="19">
        <v>6.3734999999999999</v>
      </c>
      <c r="R188" s="19">
        <v>3.492991</v>
      </c>
      <c r="S188" s="19">
        <v>4.9748999999999999</v>
      </c>
      <c r="T188" s="19">
        <v>3.492991</v>
      </c>
      <c r="U188" s="19">
        <v>2.6558999999999999</v>
      </c>
      <c r="V188" s="19">
        <v>1.1036029999999999</v>
      </c>
      <c r="W188" s="19">
        <v>1.8602000000000001</v>
      </c>
      <c r="X188" s="19">
        <v>1.1036029999999999</v>
      </c>
      <c r="Y188" s="19">
        <v>1.8602000000000001</v>
      </c>
      <c r="Z188" s="4"/>
      <c r="AA188" s="4"/>
      <c r="AB188" s="4" t="e">
        <f ca="1">_xll.ciqfunctions.udf.CIQ("^SPX", "IQ_PRICEDATE", "9/19/2014")</f>
        <v>#NAME?</v>
      </c>
      <c r="AC188" s="16">
        <v>2010.3967236043</v>
      </c>
    </row>
    <row r="189" spans="1:29" x14ac:dyDescent="0.35">
      <c r="A189" s="2" t="s">
        <v>199</v>
      </c>
      <c r="B189" s="4" t="s">
        <v>1022</v>
      </c>
      <c r="C189" s="4" t="s">
        <v>525</v>
      </c>
      <c r="D189" s="4" t="s">
        <v>526</v>
      </c>
      <c r="E189" s="4" t="s">
        <v>1023</v>
      </c>
      <c r="F189" s="4" t="s">
        <v>1023</v>
      </c>
      <c r="G189" s="14">
        <v>52.65</v>
      </c>
      <c r="H189" s="10">
        <v>13.934405999999999</v>
      </c>
      <c r="I189" s="10">
        <v>20.566711000000002</v>
      </c>
      <c r="J189" s="10">
        <v>6.5268309999999996</v>
      </c>
      <c r="K189" s="15">
        <v>3.0388999999999999E-2</v>
      </c>
      <c r="L189" s="17">
        <v>15113.530938</v>
      </c>
      <c r="M189" s="4" t="s">
        <v>1024</v>
      </c>
      <c r="N189" s="19">
        <v>2.5599620000000001</v>
      </c>
      <c r="O189" s="19">
        <v>2.7456999999999998</v>
      </c>
      <c r="P189" s="19">
        <v>2.0076329999999998</v>
      </c>
      <c r="Q189" s="19">
        <v>2.0848</v>
      </c>
      <c r="R189" s="19">
        <v>1.7286250000000001</v>
      </c>
      <c r="S189" s="19">
        <v>1.7639</v>
      </c>
      <c r="T189" s="19">
        <v>1.7286250000000001</v>
      </c>
      <c r="U189" s="19">
        <v>1.8460000000000001</v>
      </c>
      <c r="V189" s="19">
        <v>1.659999</v>
      </c>
      <c r="W189" s="19">
        <v>1.8540000000000001</v>
      </c>
      <c r="X189" s="19">
        <v>1.659999</v>
      </c>
      <c r="Y189" s="19">
        <v>1.8540000000000001</v>
      </c>
      <c r="Z189" s="4"/>
      <c r="AA189" s="4"/>
      <c r="AB189" s="4" t="e">
        <f ca="1">_xll.ciqfunctions.udf.CIQ("^SPX", "IQ_PRICEDATE", "9/22/2014")</f>
        <v>#NAME?</v>
      </c>
      <c r="AC189" s="16">
        <v>1994.2887580788999</v>
      </c>
    </row>
    <row r="190" spans="1:29" x14ac:dyDescent="0.35">
      <c r="A190" s="2" t="s">
        <v>200</v>
      </c>
      <c r="B190" s="4" t="s">
        <v>1025</v>
      </c>
      <c r="C190" s="4" t="s">
        <v>601</v>
      </c>
      <c r="D190" s="4" t="s">
        <v>601</v>
      </c>
      <c r="E190" s="4" t="s">
        <v>602</v>
      </c>
      <c r="F190" s="4" t="s">
        <v>1026</v>
      </c>
      <c r="G190" s="14">
        <v>122</v>
      </c>
      <c r="H190" s="10">
        <v>22.317208000000001</v>
      </c>
      <c r="I190" s="10">
        <v>32.213168000000003</v>
      </c>
      <c r="J190" s="10">
        <v>4.2561939999999998</v>
      </c>
      <c r="K190" s="15">
        <v>3.2786000000000003E-2</v>
      </c>
      <c r="L190" s="17">
        <v>8965.9389659999997</v>
      </c>
      <c r="M190" s="4" t="s">
        <v>1027</v>
      </c>
      <c r="N190" s="19">
        <v>3.7872710000000001</v>
      </c>
      <c r="O190" s="19">
        <v>3.3325</v>
      </c>
      <c r="P190" s="19">
        <v>3.97</v>
      </c>
      <c r="Q190" s="19">
        <v>3.1652999999999998</v>
      </c>
      <c r="R190" s="19">
        <v>3.5</v>
      </c>
      <c r="S190" s="19">
        <v>3.2105000000000001</v>
      </c>
      <c r="T190" s="19">
        <v>3.5</v>
      </c>
      <c r="U190" s="19">
        <v>3.1619999999999999</v>
      </c>
      <c r="V190" s="19">
        <v>2.41</v>
      </c>
      <c r="W190" s="19">
        <v>3.1360000000000001</v>
      </c>
      <c r="X190" s="19">
        <v>2.41</v>
      </c>
      <c r="Y190" s="19">
        <v>3.1360000000000001</v>
      </c>
      <c r="Z190" s="4"/>
      <c r="AA190" s="4"/>
      <c r="AB190" s="4" t="e">
        <f ca="1">_xll.ciqfunctions.udf.CIQ("^SPX", "IQ_PRICEDATE", "9/23/2014")</f>
        <v>#NAME?</v>
      </c>
      <c r="AC190" s="16">
        <v>1982.7654266515999</v>
      </c>
    </row>
    <row r="191" spans="1:29" x14ac:dyDescent="0.35">
      <c r="A191" s="2" t="s">
        <v>201</v>
      </c>
      <c r="B191" s="4" t="s">
        <v>1028</v>
      </c>
      <c r="C191" s="4" t="s">
        <v>525</v>
      </c>
      <c r="D191" s="4" t="s">
        <v>594</v>
      </c>
      <c r="E191" s="4" t="s">
        <v>779</v>
      </c>
      <c r="F191" s="4" t="s">
        <v>779</v>
      </c>
      <c r="G191" s="14">
        <v>223.46</v>
      </c>
      <c r="H191" s="10">
        <v>8.630198</v>
      </c>
      <c r="I191" s="10">
        <v>12.614414999999999</v>
      </c>
      <c r="J191" s="10">
        <v>4.7858619999999998</v>
      </c>
      <c r="K191" s="15">
        <v>1.1635E-2</v>
      </c>
      <c r="L191" s="17">
        <v>58885.253405000003</v>
      </c>
      <c r="M191" s="4" t="s">
        <v>1029</v>
      </c>
      <c r="N191" s="19">
        <v>17.714653999999999</v>
      </c>
      <c r="O191" s="19">
        <v>18.309899999999999</v>
      </c>
      <c r="P191" s="19">
        <v>10.857047</v>
      </c>
      <c r="Q191" s="19">
        <v>14.5974</v>
      </c>
      <c r="R191" s="19">
        <v>6.8045949999999999</v>
      </c>
      <c r="S191" s="19">
        <v>12.7448</v>
      </c>
      <c r="T191" s="19">
        <v>6.8045949999999999</v>
      </c>
      <c r="U191" s="19">
        <v>11.2727</v>
      </c>
      <c r="V191" s="19">
        <v>8.9849230000000002</v>
      </c>
      <c r="W191" s="19">
        <v>10.058999999999999</v>
      </c>
      <c r="X191" s="19">
        <v>8.9849230000000002</v>
      </c>
      <c r="Y191" s="19">
        <v>10.058999999999999</v>
      </c>
      <c r="Z191" s="4"/>
      <c r="AA191" s="4"/>
      <c r="AB191" s="4" t="e">
        <f ca="1">_xll.ciqfunctions.udf.CIQ("^SPX", "IQ_PRICEDATE", "9/24/2014")</f>
        <v>#NAME?</v>
      </c>
      <c r="AC191" s="16">
        <v>1998.3021538749999</v>
      </c>
    </row>
    <row r="192" spans="1:29" x14ac:dyDescent="0.35">
      <c r="A192" s="2" t="s">
        <v>202</v>
      </c>
      <c r="B192" s="4" t="s">
        <v>1030</v>
      </c>
      <c r="C192" s="4" t="s">
        <v>543</v>
      </c>
      <c r="D192" s="4" t="s">
        <v>544</v>
      </c>
      <c r="E192" s="4" t="s">
        <v>545</v>
      </c>
      <c r="F192" s="4" t="s">
        <v>616</v>
      </c>
      <c r="G192" s="14">
        <v>104.87</v>
      </c>
      <c r="H192" s="10">
        <v>16.803070999999999</v>
      </c>
      <c r="I192" s="10">
        <v>24.400873000000001</v>
      </c>
      <c r="J192" s="10" t="s">
        <v>534</v>
      </c>
      <c r="K192" s="15">
        <v>1.2204999999999999E-2</v>
      </c>
      <c r="L192" s="17">
        <v>34483.424081999998</v>
      </c>
      <c r="M192" s="4" t="s">
        <v>1031</v>
      </c>
      <c r="N192" s="19">
        <v>4.2977970000000001</v>
      </c>
      <c r="O192" s="19">
        <v>5.5087999999999999</v>
      </c>
      <c r="P192" s="19">
        <v>3.93</v>
      </c>
      <c r="Q192" s="19">
        <v>4.7202999999999999</v>
      </c>
      <c r="R192" s="19">
        <v>1.72</v>
      </c>
      <c r="S192" s="19">
        <v>4.1878000000000002</v>
      </c>
      <c r="T192" s="19">
        <v>1.72</v>
      </c>
      <c r="U192" s="19">
        <v>3.6000999999999999</v>
      </c>
      <c r="V192" s="19">
        <v>2.39</v>
      </c>
      <c r="W192" s="19">
        <v>3.3702999999999999</v>
      </c>
      <c r="X192" s="19">
        <v>2.39</v>
      </c>
      <c r="Y192" s="19">
        <v>3.3702999999999999</v>
      </c>
      <c r="Z192" s="4"/>
      <c r="AA192" s="4"/>
      <c r="AB192" s="4" t="e">
        <f ca="1">_xll.ciqfunctions.udf.CIQ("^SPX", "IQ_PRICEDATE", "9/25/2014")</f>
        <v>#NAME?</v>
      </c>
      <c r="AC192" s="16">
        <v>1965.9897033397999</v>
      </c>
    </row>
    <row r="193" spans="1:29" x14ac:dyDescent="0.35">
      <c r="A193" s="2" t="s">
        <v>203</v>
      </c>
      <c r="B193" s="4" t="s">
        <v>1032</v>
      </c>
      <c r="C193" s="4" t="s">
        <v>573</v>
      </c>
      <c r="D193" s="4" t="s">
        <v>737</v>
      </c>
      <c r="E193" s="4" t="s">
        <v>737</v>
      </c>
      <c r="F193" s="4" t="s">
        <v>743</v>
      </c>
      <c r="G193" s="14">
        <v>27.03</v>
      </c>
      <c r="H193" s="10">
        <v>0</v>
      </c>
      <c r="I193" s="10">
        <v>7.1141519999999998</v>
      </c>
      <c r="J193" s="10">
        <v>1.4772110000000001</v>
      </c>
      <c r="K193" s="15">
        <v>2.6637000000000001E-2</v>
      </c>
      <c r="L193" s="17">
        <v>18011.1702</v>
      </c>
      <c r="M193" s="4" t="s">
        <v>1033</v>
      </c>
      <c r="N193" s="19">
        <v>3.7994690000000002</v>
      </c>
      <c r="O193" s="19">
        <v>2.5295999999999998</v>
      </c>
      <c r="P193" s="19">
        <v>2.8311380000000002</v>
      </c>
      <c r="Q193" s="19">
        <v>1.9758</v>
      </c>
      <c r="R193" s="19">
        <v>1.929999</v>
      </c>
      <c r="S193" s="19">
        <v>1.7267999999999999</v>
      </c>
      <c r="T193" s="19">
        <v>1.929999</v>
      </c>
      <c r="U193" s="19">
        <v>1.6577999999999999</v>
      </c>
      <c r="V193" s="19">
        <v>1.66</v>
      </c>
      <c r="W193" s="19">
        <v>1.7027000000000001</v>
      </c>
      <c r="X193" s="19">
        <v>1.66</v>
      </c>
      <c r="Y193" s="19">
        <v>1.7027000000000001</v>
      </c>
      <c r="Z193" s="4"/>
      <c r="AA193" s="4"/>
      <c r="AB193" s="4" t="e">
        <f ca="1">_xll.ciqfunctions.udf.CIQ("^SPX", "IQ_PRICEDATE", "9/26/2014")</f>
        <v>#NAME?</v>
      </c>
      <c r="AC193" s="16">
        <v>1982.8459381288999</v>
      </c>
    </row>
    <row r="194" spans="1:29" x14ac:dyDescent="0.35">
      <c r="A194" s="2" t="s">
        <v>204</v>
      </c>
      <c r="B194" s="4" t="s">
        <v>1034</v>
      </c>
      <c r="C194" s="4" t="s">
        <v>619</v>
      </c>
      <c r="D194" s="4" t="s">
        <v>619</v>
      </c>
      <c r="E194" s="4" t="s">
        <v>620</v>
      </c>
      <c r="F194" s="4" t="s">
        <v>620</v>
      </c>
      <c r="G194" s="14">
        <v>37.92</v>
      </c>
      <c r="H194" s="10">
        <v>8.8599890000000006</v>
      </c>
      <c r="I194" s="10" t="s">
        <v>534</v>
      </c>
      <c r="J194" s="10">
        <v>9.4358120000000003</v>
      </c>
      <c r="K194" s="15">
        <v>3.7974000000000001E-2</v>
      </c>
      <c r="L194" s="17">
        <v>18429.935242</v>
      </c>
      <c r="M194" s="4" t="s">
        <v>1035</v>
      </c>
      <c r="N194" s="19">
        <v>-4.4685459999999999</v>
      </c>
      <c r="O194" s="19">
        <v>2.4723999999999999</v>
      </c>
      <c r="P194" s="19">
        <v>-3.8828819999999999</v>
      </c>
      <c r="Q194" s="19">
        <v>2.6896</v>
      </c>
      <c r="R194" s="19">
        <v>-14.5</v>
      </c>
      <c r="S194" s="19">
        <v>2.5583</v>
      </c>
      <c r="T194" s="19">
        <v>-14.5</v>
      </c>
      <c r="U194" s="19">
        <v>2.9411</v>
      </c>
      <c r="V194" s="19">
        <v>0.50714199999999998</v>
      </c>
      <c r="W194" s="19">
        <v>2.8877000000000002</v>
      </c>
      <c r="X194" s="19">
        <v>0.50714199999999998</v>
      </c>
      <c r="Y194" s="19">
        <v>2.8877000000000002</v>
      </c>
      <c r="Z194" s="4"/>
      <c r="AA194" s="4"/>
      <c r="AB194" s="4" t="e">
        <f ca="1">_xll.ciqfunctions.udf.CIQ("^SPX", "IQ_PRICEDATE", "9/29/2014")</f>
        <v>#NAME?</v>
      </c>
      <c r="AC194" s="16">
        <v>1977.8010672518999</v>
      </c>
    </row>
    <row r="195" spans="1:29" x14ac:dyDescent="0.35">
      <c r="A195" s="2" t="s">
        <v>205</v>
      </c>
      <c r="B195" s="4" t="s">
        <v>1036</v>
      </c>
      <c r="C195" s="4" t="s">
        <v>543</v>
      </c>
      <c r="D195" s="4" t="s">
        <v>544</v>
      </c>
      <c r="E195" s="4" t="s">
        <v>545</v>
      </c>
      <c r="F195" s="4" t="s">
        <v>616</v>
      </c>
      <c r="G195" s="14">
        <v>79.06</v>
      </c>
      <c r="H195" s="10">
        <v>19.587291</v>
      </c>
      <c r="I195" s="10">
        <v>23.296752000000001</v>
      </c>
      <c r="J195" s="10" t="s">
        <v>534</v>
      </c>
      <c r="K195" s="15">
        <v>0</v>
      </c>
      <c r="L195" s="17">
        <v>32013.536051999999</v>
      </c>
      <c r="M195" s="4" t="s">
        <v>1037</v>
      </c>
      <c r="N195" s="19">
        <v>3.3936060000000001</v>
      </c>
      <c r="O195" s="19">
        <v>3.3001999999999998</v>
      </c>
      <c r="P195" s="19">
        <v>2.855</v>
      </c>
      <c r="Q195" s="19">
        <v>2.7753000000000001</v>
      </c>
      <c r="R195" s="19">
        <v>2.0750000000000002</v>
      </c>
      <c r="S195" s="19">
        <v>2.4135</v>
      </c>
      <c r="T195" s="19">
        <v>2.0750000000000002</v>
      </c>
      <c r="U195" s="19">
        <v>2.0950000000000002</v>
      </c>
      <c r="V195" s="19">
        <v>1.4950000000000001</v>
      </c>
      <c r="W195" s="19">
        <v>1.8223</v>
      </c>
      <c r="X195" s="19">
        <v>1.4950000000000001</v>
      </c>
      <c r="Y195" s="19">
        <v>1.8223</v>
      </c>
      <c r="Z195" s="4"/>
      <c r="AA195" s="4"/>
      <c r="AB195" s="4" t="e">
        <f ca="1">_xll.ciqfunctions.udf.CIQ("^SPX", "IQ_PRICEDATE", "9/30/2014")</f>
        <v>#NAME?</v>
      </c>
      <c r="AC195" s="16">
        <v>1972.28514505</v>
      </c>
    </row>
    <row r="196" spans="1:29" x14ac:dyDescent="0.35">
      <c r="A196" s="2" t="s">
        <v>206</v>
      </c>
      <c r="B196" s="4" t="s">
        <v>1038</v>
      </c>
      <c r="C196" s="4" t="s">
        <v>543</v>
      </c>
      <c r="D196" s="4" t="s">
        <v>544</v>
      </c>
      <c r="E196" s="4" t="s">
        <v>545</v>
      </c>
      <c r="F196" s="4" t="s">
        <v>616</v>
      </c>
      <c r="G196" s="14">
        <v>212.89</v>
      </c>
      <c r="H196" s="10">
        <v>18.159928000000001</v>
      </c>
      <c r="I196" s="10">
        <v>23.627600000000001</v>
      </c>
      <c r="J196" s="10" t="s">
        <v>534</v>
      </c>
      <c r="K196" s="15">
        <v>0</v>
      </c>
      <c r="L196" s="17">
        <v>18817.037345000001</v>
      </c>
      <c r="M196" s="4" t="s">
        <v>1039</v>
      </c>
      <c r="N196" s="19">
        <v>9.0102250000000002</v>
      </c>
      <c r="O196" s="19">
        <v>11.138</v>
      </c>
      <c r="P196" s="19">
        <v>7.91</v>
      </c>
      <c r="Q196" s="19">
        <v>9.4730000000000008</v>
      </c>
      <c r="R196" s="19">
        <v>4.75</v>
      </c>
      <c r="S196" s="19">
        <v>7.8821000000000003</v>
      </c>
      <c r="T196" s="19">
        <v>4.75</v>
      </c>
      <c r="U196" s="19">
        <v>6.8907999999999996</v>
      </c>
      <c r="V196" s="19">
        <v>4.24</v>
      </c>
      <c r="W196" s="19">
        <v>6.0678999999999998</v>
      </c>
      <c r="X196" s="19">
        <v>4.24</v>
      </c>
      <c r="Y196" s="19">
        <v>6.0678999999999998</v>
      </c>
      <c r="Z196" s="4"/>
      <c r="AA196" s="4"/>
      <c r="AB196" s="4" t="e">
        <f ca="1">_xll.ciqfunctions.udf.CIQ("^SPX", "IQ_PRICEDATE", "10/1/2014")</f>
        <v>#NAME?</v>
      </c>
      <c r="AC196" s="16">
        <v>1946.1608292694</v>
      </c>
    </row>
    <row r="197" spans="1:29" x14ac:dyDescent="0.35">
      <c r="A197" s="2" t="s">
        <v>207</v>
      </c>
      <c r="B197" s="4" t="s">
        <v>1040</v>
      </c>
      <c r="C197" s="4" t="s">
        <v>543</v>
      </c>
      <c r="D197" s="4" t="s">
        <v>664</v>
      </c>
      <c r="E197" s="4" t="s">
        <v>665</v>
      </c>
      <c r="F197" s="4" t="s">
        <v>1041</v>
      </c>
      <c r="G197" s="14">
        <v>57.38</v>
      </c>
      <c r="H197" s="10">
        <v>19.104572000000001</v>
      </c>
      <c r="I197" s="10">
        <v>64.862982000000002</v>
      </c>
      <c r="J197" s="10">
        <v>10.855072</v>
      </c>
      <c r="K197" s="15">
        <v>1.1153E-2</v>
      </c>
      <c r="L197" s="17">
        <v>7919.563099</v>
      </c>
      <c r="M197" s="4" t="s">
        <v>1042</v>
      </c>
      <c r="N197" s="19">
        <v>0.88463400000000003</v>
      </c>
      <c r="O197" s="19">
        <v>2.3037999999999998</v>
      </c>
      <c r="P197" s="19">
        <v>0.77</v>
      </c>
      <c r="Q197" s="19">
        <v>2.0055999999999998</v>
      </c>
      <c r="R197" s="19">
        <v>1.2</v>
      </c>
      <c r="S197" s="19">
        <v>1.7371000000000001</v>
      </c>
      <c r="T197" s="19">
        <v>1.2</v>
      </c>
      <c r="U197" s="19">
        <v>1.6857</v>
      </c>
      <c r="V197" s="19">
        <v>1.39</v>
      </c>
      <c r="W197" s="19">
        <v>1.619</v>
      </c>
      <c r="X197" s="19">
        <v>1.39</v>
      </c>
      <c r="Y197" s="19">
        <v>1.619</v>
      </c>
      <c r="Z197" s="4"/>
      <c r="AA197" s="4"/>
      <c r="AB197" s="4" t="e">
        <f ca="1">_xll.ciqfunctions.udf.CIQ("^SPX", "IQ_PRICEDATE", "10/2/2014")</f>
        <v>#NAME?</v>
      </c>
      <c r="AC197" s="16">
        <v>1946.1668289931999</v>
      </c>
    </row>
    <row r="198" spans="1:29" x14ac:dyDescent="0.35">
      <c r="A198" s="2" t="s">
        <v>208</v>
      </c>
      <c r="B198" s="4" t="s">
        <v>1043</v>
      </c>
      <c r="C198" s="4" t="s">
        <v>525</v>
      </c>
      <c r="D198" s="4" t="s">
        <v>526</v>
      </c>
      <c r="E198" s="4" t="s">
        <v>803</v>
      </c>
      <c r="F198" s="4" t="s">
        <v>948</v>
      </c>
      <c r="G198" s="14">
        <v>51.52</v>
      </c>
      <c r="H198" s="10">
        <v>18.082388000000002</v>
      </c>
      <c r="I198" s="10" t="s">
        <v>534</v>
      </c>
      <c r="J198" s="10">
        <v>31.352444999999999</v>
      </c>
      <c r="K198" s="15">
        <v>1.4751E-2</v>
      </c>
      <c r="L198" s="17">
        <v>6741.525952</v>
      </c>
      <c r="M198" s="4" t="s">
        <v>1044</v>
      </c>
      <c r="N198" s="19">
        <v>-0.22873299999999999</v>
      </c>
      <c r="O198" s="19">
        <v>1.9103000000000001</v>
      </c>
      <c r="P198" s="19">
        <v>0.02</v>
      </c>
      <c r="Q198" s="19">
        <v>1.7213000000000001</v>
      </c>
      <c r="R198" s="19">
        <v>1.01</v>
      </c>
      <c r="S198" s="19">
        <v>2.1114000000000002</v>
      </c>
      <c r="T198" s="19">
        <v>1.01</v>
      </c>
      <c r="U198" s="19">
        <v>3.0177</v>
      </c>
      <c r="V198" s="19">
        <v>3.72</v>
      </c>
      <c r="W198" s="19">
        <v>3.9249999999999998</v>
      </c>
      <c r="X198" s="19">
        <v>3.72</v>
      </c>
      <c r="Y198" s="19">
        <v>3.9249999999999998</v>
      </c>
      <c r="Z198" s="4"/>
      <c r="AA198" s="4"/>
      <c r="AB198" s="4" t="e">
        <f ca="1">_xll.ciqfunctions.udf.CIQ("^SPX", "IQ_PRICEDATE", "10/3/2014")</f>
        <v>#NAME?</v>
      </c>
      <c r="AC198" s="16">
        <v>1967.9020787575</v>
      </c>
    </row>
    <row r="199" spans="1:29" x14ac:dyDescent="0.35">
      <c r="A199" s="2" t="s">
        <v>209</v>
      </c>
      <c r="B199" s="4" t="s">
        <v>1045</v>
      </c>
      <c r="C199" s="4" t="s">
        <v>525</v>
      </c>
      <c r="D199" s="4" t="s">
        <v>526</v>
      </c>
      <c r="E199" s="4" t="s">
        <v>1046</v>
      </c>
      <c r="F199" s="4" t="s">
        <v>1046</v>
      </c>
      <c r="G199" s="14">
        <v>46.74</v>
      </c>
      <c r="H199" s="10">
        <v>8.4956359999999993</v>
      </c>
      <c r="I199" s="10">
        <v>26.122253000000001</v>
      </c>
      <c r="J199" s="10">
        <v>2.6463519999999998</v>
      </c>
      <c r="K199" s="15">
        <v>1.7971000000000001E-2</v>
      </c>
      <c r="L199" s="17">
        <v>6572.5307050000001</v>
      </c>
      <c r="M199" s="4" t="s">
        <v>1047</v>
      </c>
      <c r="N199" s="19">
        <v>1.7892790000000001</v>
      </c>
      <c r="O199" s="19">
        <v>2.7768000000000002</v>
      </c>
      <c r="P199" s="19">
        <v>1.36</v>
      </c>
      <c r="Q199" s="19">
        <v>2.4192</v>
      </c>
      <c r="R199" s="19">
        <v>2</v>
      </c>
      <c r="S199" s="19">
        <v>3.0295999999999998</v>
      </c>
      <c r="T199" s="19">
        <v>2</v>
      </c>
      <c r="U199" s="19">
        <v>3.7012999999999998</v>
      </c>
      <c r="V199" s="19">
        <v>4.4800000000000004</v>
      </c>
      <c r="W199" s="19">
        <v>4.5789999999999997</v>
      </c>
      <c r="X199" s="19">
        <v>4.4800000000000004</v>
      </c>
      <c r="Y199" s="19">
        <v>4.5789999999999997</v>
      </c>
      <c r="Z199" s="4"/>
      <c r="AA199" s="4"/>
      <c r="AB199" s="4" t="e">
        <f ca="1">_xll.ciqfunctions.udf.CIQ("^SPX", "IQ_PRICEDATE", "10/6/2014")</f>
        <v>#NAME?</v>
      </c>
      <c r="AC199" s="16">
        <v>1964.8246437980999</v>
      </c>
    </row>
    <row r="200" spans="1:29" x14ac:dyDescent="0.35">
      <c r="A200" s="2" t="s">
        <v>210</v>
      </c>
      <c r="B200" s="4" t="s">
        <v>1048</v>
      </c>
      <c r="C200" s="4" t="s">
        <v>586</v>
      </c>
      <c r="D200" s="4" t="s">
        <v>586</v>
      </c>
      <c r="E200" s="4" t="s">
        <v>587</v>
      </c>
      <c r="F200" s="4" t="s">
        <v>830</v>
      </c>
      <c r="G200" s="14">
        <v>83.62</v>
      </c>
      <c r="H200" s="10">
        <v>12.268874</v>
      </c>
      <c r="I200" s="10">
        <v>51.965871999999997</v>
      </c>
      <c r="J200" s="10" t="s">
        <v>534</v>
      </c>
      <c r="K200" s="15">
        <v>7.8919999999999997E-3</v>
      </c>
      <c r="L200" s="17">
        <v>11257.731333</v>
      </c>
      <c r="M200" s="4" t="s">
        <v>1049</v>
      </c>
      <c r="N200" s="19">
        <v>1.6091329999999999</v>
      </c>
      <c r="O200" s="19">
        <v>6.4019000000000004</v>
      </c>
      <c r="P200" s="19">
        <v>-0.64</v>
      </c>
      <c r="Q200" s="19">
        <v>4.6971999999999996</v>
      </c>
      <c r="R200" s="19">
        <v>0.95376799999999995</v>
      </c>
      <c r="S200" s="19">
        <v>3.2039</v>
      </c>
      <c r="T200" s="19">
        <v>0.95376799999999995</v>
      </c>
      <c r="U200" s="19">
        <v>2.8307000000000002</v>
      </c>
      <c r="V200" s="19">
        <v>2.1820179999999998</v>
      </c>
      <c r="W200" s="19">
        <v>4.1289999999999996</v>
      </c>
      <c r="X200" s="19">
        <v>2.1820179999999998</v>
      </c>
      <c r="Y200" s="19">
        <v>4.1289999999999996</v>
      </c>
      <c r="Z200" s="4"/>
      <c r="AA200" s="4"/>
      <c r="AB200" s="4" t="e">
        <f ca="1">_xll.ciqfunctions.udf.CIQ("^SPX", "IQ_PRICEDATE", "10/7/2014")</f>
        <v>#NAME?</v>
      </c>
      <c r="AC200" s="16">
        <v>1935.0991107952</v>
      </c>
    </row>
    <row r="201" spans="1:29" x14ac:dyDescent="0.35">
      <c r="A201" s="2" t="s">
        <v>211</v>
      </c>
      <c r="B201" s="4" t="s">
        <v>1050</v>
      </c>
      <c r="C201" s="4" t="s">
        <v>559</v>
      </c>
      <c r="D201" s="4" t="s">
        <v>560</v>
      </c>
      <c r="E201" s="4" t="s">
        <v>561</v>
      </c>
      <c r="F201" s="4" t="s">
        <v>1051</v>
      </c>
      <c r="G201" s="14">
        <v>48.984999999999999</v>
      </c>
      <c r="H201" s="10">
        <v>5.2743140000000004</v>
      </c>
      <c r="I201" s="10">
        <v>19.444202000000001</v>
      </c>
      <c r="J201" s="10">
        <v>2.4875470000000002</v>
      </c>
      <c r="K201" s="15">
        <v>2.7974000000000002E-2</v>
      </c>
      <c r="L201" s="17">
        <v>5667.8208640000003</v>
      </c>
      <c r="M201" s="4" t="s">
        <v>1052</v>
      </c>
      <c r="N201" s="19">
        <v>2.5370029999999999</v>
      </c>
      <c r="O201" s="19">
        <v>4.6399999999999997</v>
      </c>
      <c r="P201" s="19">
        <v>3.9729559999999999</v>
      </c>
      <c r="Q201" s="19">
        <v>4.0750999999999999</v>
      </c>
      <c r="R201" s="19">
        <v>4.6323230000000004</v>
      </c>
      <c r="S201" s="19">
        <v>5.0991999999999997</v>
      </c>
      <c r="T201" s="19">
        <v>4.6323230000000004</v>
      </c>
      <c r="U201" s="19">
        <v>4.6013000000000002</v>
      </c>
      <c r="V201" s="19">
        <v>3.3614890000000002</v>
      </c>
      <c r="W201" s="19">
        <v>3.8348</v>
      </c>
      <c r="X201" s="19">
        <v>3.3614890000000002</v>
      </c>
      <c r="Y201" s="19">
        <v>3.8348</v>
      </c>
      <c r="Z201" s="4"/>
      <c r="AA201" s="4"/>
      <c r="AB201" s="4" t="e">
        <f ca="1">_xll.ciqfunctions.udf.CIQ("^SPX", "IQ_PRICEDATE", "10/8/2014")</f>
        <v>#NAME?</v>
      </c>
      <c r="AC201" s="16">
        <v>1968.8892822498999</v>
      </c>
    </row>
    <row r="202" spans="1:29" x14ac:dyDescent="0.35">
      <c r="A202" s="2" t="s">
        <v>212</v>
      </c>
      <c r="B202" s="4" t="s">
        <v>1053</v>
      </c>
      <c r="C202" s="4" t="s">
        <v>559</v>
      </c>
      <c r="D202" s="4" t="s">
        <v>694</v>
      </c>
      <c r="E202" s="4" t="s">
        <v>1054</v>
      </c>
      <c r="F202" s="4" t="s">
        <v>1055</v>
      </c>
      <c r="G202" s="14">
        <v>8.76</v>
      </c>
      <c r="H202" s="10">
        <v>11.090411</v>
      </c>
      <c r="I202" s="10">
        <v>5.1834309999999997</v>
      </c>
      <c r="J202" s="10">
        <v>0.95812299999999995</v>
      </c>
      <c r="K202" s="15">
        <v>6.8492999999999998E-2</v>
      </c>
      <c r="L202" s="17">
        <v>34914.964473</v>
      </c>
      <c r="M202" s="4" t="s">
        <v>1056</v>
      </c>
      <c r="N202" s="19">
        <v>1.69</v>
      </c>
      <c r="O202" s="19">
        <v>1.3078000000000001</v>
      </c>
      <c r="P202" s="19">
        <v>1.9</v>
      </c>
      <c r="Q202" s="19">
        <v>1.6795</v>
      </c>
      <c r="R202" s="19">
        <v>1.1499999999999999</v>
      </c>
      <c r="S202" s="19">
        <v>1.6519999999999999</v>
      </c>
      <c r="T202" s="19">
        <v>1.1499999999999999</v>
      </c>
      <c r="U202" s="19">
        <v>1.9735</v>
      </c>
      <c r="V202" s="19">
        <v>0.31</v>
      </c>
      <c r="W202" s="19">
        <v>1.5533999999999999</v>
      </c>
      <c r="X202" s="19">
        <v>0.31</v>
      </c>
      <c r="Y202" s="19">
        <v>1.5533999999999999</v>
      </c>
      <c r="Z202" s="4"/>
      <c r="AA202" s="4"/>
      <c r="AB202" s="4" t="e">
        <f ca="1">_xll.ciqfunctions.udf.CIQ("^SPX", "IQ_PRICEDATE", "10/9/2014")</f>
        <v>#NAME?</v>
      </c>
      <c r="AC202" s="16">
        <v>1928.2076767870001</v>
      </c>
    </row>
    <row r="203" spans="1:29" x14ac:dyDescent="0.35">
      <c r="A203" s="2" t="s">
        <v>213</v>
      </c>
      <c r="B203" s="4" t="s">
        <v>1057</v>
      </c>
      <c r="C203" s="4" t="s">
        <v>543</v>
      </c>
      <c r="D203" s="4" t="s">
        <v>544</v>
      </c>
      <c r="E203" s="4" t="s">
        <v>555</v>
      </c>
      <c r="F203" s="4" t="s">
        <v>782</v>
      </c>
      <c r="G203" s="14">
        <v>81.66</v>
      </c>
      <c r="H203" s="10">
        <v>57.406658999999998</v>
      </c>
      <c r="I203" s="10">
        <v>159.52053900000001</v>
      </c>
      <c r="J203" s="10">
        <v>18.809512999999999</v>
      </c>
      <c r="K203" s="15">
        <v>0</v>
      </c>
      <c r="L203" s="17">
        <v>13811.72399</v>
      </c>
      <c r="M203" s="4" t="s">
        <v>1058</v>
      </c>
      <c r="N203" s="19">
        <v>0.51190899999999995</v>
      </c>
      <c r="O203" s="19">
        <v>1.7788999999999999</v>
      </c>
      <c r="P203" s="19">
        <v>0.18</v>
      </c>
      <c r="Q203" s="19">
        <v>1.1189</v>
      </c>
      <c r="R203" s="19">
        <v>0.18</v>
      </c>
      <c r="S203" s="19">
        <v>0.74650000000000005</v>
      </c>
      <c r="T203" s="19">
        <v>0.18</v>
      </c>
      <c r="U203" s="19">
        <v>0.63109999999999999</v>
      </c>
      <c r="V203" s="19">
        <v>0.15</v>
      </c>
      <c r="W203" s="19">
        <v>0.54530000000000001</v>
      </c>
      <c r="X203" s="19">
        <v>0.15</v>
      </c>
      <c r="Y203" s="19">
        <v>0.54530000000000001</v>
      </c>
      <c r="Z203" s="4"/>
      <c r="AA203" s="4"/>
      <c r="AB203" s="4" t="e">
        <f ca="1">_xll.ciqfunctions.udf.CIQ("^SPX", "IQ_PRICEDATE", "10/10/2014")</f>
        <v>#NAME?</v>
      </c>
      <c r="AC203" s="16">
        <v>1906.1296827210001</v>
      </c>
    </row>
    <row r="204" spans="1:29" x14ac:dyDescent="0.35">
      <c r="A204" s="2" t="s">
        <v>214</v>
      </c>
      <c r="B204" s="4" t="s">
        <v>1059</v>
      </c>
      <c r="C204" s="4" t="s">
        <v>525</v>
      </c>
      <c r="D204" s="4" t="s">
        <v>526</v>
      </c>
      <c r="E204" s="4" t="s">
        <v>803</v>
      </c>
      <c r="F204" s="4" t="s">
        <v>948</v>
      </c>
      <c r="G204" s="14">
        <v>80.22</v>
      </c>
      <c r="H204" s="10">
        <v>16.869975</v>
      </c>
      <c r="I204" s="10">
        <v>24.466991</v>
      </c>
      <c r="J204" s="10" t="s">
        <v>534</v>
      </c>
      <c r="K204" s="15">
        <v>3.4899999999999996E-3</v>
      </c>
      <c r="L204" s="17">
        <v>26768.379402999999</v>
      </c>
      <c r="M204" s="4" t="s">
        <v>1060</v>
      </c>
      <c r="N204" s="19">
        <v>3.2787030000000001</v>
      </c>
      <c r="O204" s="19">
        <v>3.5583</v>
      </c>
      <c r="P204" s="19">
        <v>2.96</v>
      </c>
      <c r="Q204" s="19">
        <v>3.1240000000000001</v>
      </c>
      <c r="R204" s="19">
        <v>2.5099999999999998</v>
      </c>
      <c r="S204" s="19">
        <v>2.6353</v>
      </c>
      <c r="T204" s="19">
        <v>2.5099999999999998</v>
      </c>
      <c r="U204" s="19">
        <v>0</v>
      </c>
      <c r="V204" s="19">
        <v>2.5590959999999998</v>
      </c>
      <c r="W204" s="19">
        <v>0</v>
      </c>
      <c r="X204" s="19">
        <v>2.5590959999999998</v>
      </c>
      <c r="Y204" s="19">
        <v>0</v>
      </c>
      <c r="Z204" s="4"/>
      <c r="AA204" s="4"/>
      <c r="AB204" s="4" t="e">
        <f ca="1">_xll.ciqfunctions.udf.CIQ("^SPX", "IQ_PRICEDATE", "10/13/2014")</f>
        <v>#NAME?</v>
      </c>
      <c r="AC204" s="16">
        <v>1874.7355245566</v>
      </c>
    </row>
    <row r="205" spans="1:29" x14ac:dyDescent="0.35">
      <c r="A205" s="2" t="s">
        <v>215</v>
      </c>
      <c r="B205" s="4" t="s">
        <v>1061</v>
      </c>
      <c r="C205" s="4" t="s">
        <v>525</v>
      </c>
      <c r="D205" s="4" t="s">
        <v>526</v>
      </c>
      <c r="E205" s="4" t="s">
        <v>527</v>
      </c>
      <c r="F205" s="4" t="s">
        <v>527</v>
      </c>
      <c r="G205" s="14">
        <v>48.06</v>
      </c>
      <c r="H205" s="10">
        <v>10.173107</v>
      </c>
      <c r="I205" s="10">
        <v>15.826988999999999</v>
      </c>
      <c r="J205" s="10" t="s">
        <v>534</v>
      </c>
      <c r="K205" s="15">
        <v>1.6645E-2</v>
      </c>
      <c r="L205" s="17">
        <v>6844.689292</v>
      </c>
      <c r="M205" s="4" t="s">
        <v>1062</v>
      </c>
      <c r="N205" s="19">
        <v>3.0365850000000001</v>
      </c>
      <c r="O205" s="19">
        <v>3.9361999999999999</v>
      </c>
      <c r="P205" s="19">
        <v>3.05</v>
      </c>
      <c r="Q205" s="19">
        <v>3.3161999999999998</v>
      </c>
      <c r="R205" s="19">
        <v>2.61</v>
      </c>
      <c r="S205" s="19">
        <v>2.9676999999999998</v>
      </c>
      <c r="T205" s="19">
        <v>2.61</v>
      </c>
      <c r="U205" s="19">
        <v>2.4134000000000002</v>
      </c>
      <c r="V205" s="19">
        <v>1.64</v>
      </c>
      <c r="W205" s="19">
        <v>2.2147999999999999</v>
      </c>
      <c r="X205" s="19">
        <v>1.64</v>
      </c>
      <c r="Y205" s="19">
        <v>2.2147999999999999</v>
      </c>
      <c r="Z205" s="4"/>
      <c r="AA205" s="4"/>
      <c r="AB205" s="4" t="e">
        <f ca="1">_xll.ciqfunctions.udf.CIQ("^SPX", "IQ_PRICEDATE", "10/14/2014")</f>
        <v>#NAME?</v>
      </c>
      <c r="AC205" s="16">
        <v>1877.6980893514001</v>
      </c>
    </row>
    <row r="206" spans="1:29" x14ac:dyDescent="0.35">
      <c r="A206" s="2" t="s">
        <v>216</v>
      </c>
      <c r="B206" s="4" t="s">
        <v>1063</v>
      </c>
      <c r="C206" s="4" t="s">
        <v>573</v>
      </c>
      <c r="D206" s="4" t="s">
        <v>574</v>
      </c>
      <c r="E206" s="4" t="s">
        <v>575</v>
      </c>
      <c r="F206" s="4" t="s">
        <v>576</v>
      </c>
      <c r="G206" s="14">
        <v>29.89</v>
      </c>
      <c r="H206" s="10">
        <v>3.8271169999999999</v>
      </c>
      <c r="I206" s="10">
        <v>24.524041</v>
      </c>
      <c r="J206" s="10">
        <v>2.1056889999999999</v>
      </c>
      <c r="K206" s="15">
        <v>3.0779000000000001E-2</v>
      </c>
      <c r="L206" s="17">
        <v>15753.771182</v>
      </c>
      <c r="M206" s="4" t="s">
        <v>1064</v>
      </c>
      <c r="N206" s="19">
        <v>1.218804</v>
      </c>
      <c r="O206" s="19">
        <v>2.9811000000000001</v>
      </c>
      <c r="P206" s="19">
        <v>1.1938040000000001</v>
      </c>
      <c r="Q206" s="19">
        <v>2.9167000000000001</v>
      </c>
      <c r="R206" s="19">
        <v>2.9667780000000001</v>
      </c>
      <c r="S206" s="19">
        <v>2.68207</v>
      </c>
      <c r="T206" s="19">
        <v>2.9667780000000001</v>
      </c>
      <c r="U206" s="19">
        <v>3.0409700000000002</v>
      </c>
      <c r="V206" s="19">
        <v>3.7400679999999999</v>
      </c>
      <c r="W206" s="19">
        <v>3.8366699999999998</v>
      </c>
      <c r="X206" s="19">
        <v>3.7400679999999999</v>
      </c>
      <c r="Y206" s="19">
        <v>3.8366699999999998</v>
      </c>
      <c r="Z206" s="4"/>
      <c r="AA206" s="4"/>
      <c r="AB206" s="4" t="e">
        <f ca="1">_xll.ciqfunctions.udf.CIQ("^SPX", "IQ_PRICEDATE", "10/15/2014")</f>
        <v>#NAME?</v>
      </c>
      <c r="AC206" s="16">
        <v>1862.4911375250001</v>
      </c>
    </row>
    <row r="207" spans="1:29" x14ac:dyDescent="0.35">
      <c r="A207" s="2" t="s">
        <v>217</v>
      </c>
      <c r="B207" s="4" t="s">
        <v>1065</v>
      </c>
      <c r="C207" s="4" t="s">
        <v>586</v>
      </c>
      <c r="D207" s="4" t="s">
        <v>586</v>
      </c>
      <c r="E207" s="4" t="s">
        <v>1066</v>
      </c>
      <c r="F207" s="4" t="s">
        <v>1067</v>
      </c>
      <c r="G207" s="14">
        <v>12.4</v>
      </c>
      <c r="H207" s="10">
        <v>3.7355580000000002</v>
      </c>
      <c r="I207" s="10">
        <v>6.2633219999999996</v>
      </c>
      <c r="J207" s="10">
        <v>1.8965160000000001</v>
      </c>
      <c r="K207" s="15">
        <v>1.6129000000000001E-2</v>
      </c>
      <c r="L207" s="17">
        <v>17967.634905999999</v>
      </c>
      <c r="M207" s="4" t="s">
        <v>1068</v>
      </c>
      <c r="N207" s="19">
        <v>1.9797800000000001</v>
      </c>
      <c r="O207" s="19">
        <v>1.0989</v>
      </c>
      <c r="P207" s="19">
        <v>1.21</v>
      </c>
      <c r="Q207" s="19">
        <v>1.7296</v>
      </c>
      <c r="R207" s="19">
        <v>-2.96</v>
      </c>
      <c r="S207" s="19">
        <v>1.327</v>
      </c>
      <c r="T207" s="19">
        <v>-2.96</v>
      </c>
      <c r="U207" s="19">
        <v>0.66510000000000002</v>
      </c>
      <c r="V207" s="19">
        <v>-1.37</v>
      </c>
      <c r="W207" s="19">
        <v>1.8766</v>
      </c>
      <c r="X207" s="19">
        <v>-1.37</v>
      </c>
      <c r="Y207" s="19">
        <v>1.8766</v>
      </c>
      <c r="Z207" s="4"/>
      <c r="AA207" s="4"/>
      <c r="AB207" s="4" t="e">
        <f ca="1">_xll.ciqfunctions.udf.CIQ("^SPX", "IQ_PRICEDATE", "10/16/2014")</f>
        <v>#NAME?</v>
      </c>
      <c r="AC207" s="16">
        <v>1862.7640764024</v>
      </c>
    </row>
    <row r="208" spans="1:29" x14ac:dyDescent="0.35">
      <c r="A208" s="2" t="s">
        <v>218</v>
      </c>
      <c r="B208" s="4" t="s">
        <v>1069</v>
      </c>
      <c r="C208" s="4" t="s">
        <v>559</v>
      </c>
      <c r="D208" s="4" t="s">
        <v>912</v>
      </c>
      <c r="E208" s="4" t="s">
        <v>913</v>
      </c>
      <c r="F208" s="4" t="s">
        <v>1070</v>
      </c>
      <c r="G208" s="14">
        <v>63.05</v>
      </c>
      <c r="H208" s="10">
        <v>13.58897</v>
      </c>
      <c r="I208" s="10">
        <v>19.886509</v>
      </c>
      <c r="J208" s="10">
        <v>3.553941</v>
      </c>
      <c r="K208" s="15">
        <v>3.3624000000000001E-2</v>
      </c>
      <c r="L208" s="17">
        <v>11903.65085</v>
      </c>
      <c r="M208" s="4" t="s">
        <v>1071</v>
      </c>
      <c r="N208" s="19">
        <v>3.1704910000000002</v>
      </c>
      <c r="O208" s="19">
        <v>3.3020999999999998</v>
      </c>
      <c r="P208" s="19">
        <v>3.68</v>
      </c>
      <c r="Q208" s="19">
        <v>2.9405999999999999</v>
      </c>
      <c r="R208" s="19">
        <v>2.7</v>
      </c>
      <c r="S208" s="19">
        <v>2.5659999999999998</v>
      </c>
      <c r="T208" s="19">
        <v>2.7</v>
      </c>
      <c r="U208" s="19">
        <v>2.1513</v>
      </c>
      <c r="V208" s="19">
        <v>1.88</v>
      </c>
      <c r="W208" s="19">
        <v>3.1324999999999998</v>
      </c>
      <c r="X208" s="19">
        <v>1.88</v>
      </c>
      <c r="Y208" s="19">
        <v>3.1324999999999998</v>
      </c>
      <c r="Z208" s="4"/>
      <c r="AA208" s="4"/>
      <c r="AB208" s="4" t="e">
        <f ca="1">_xll.ciqfunctions.udf.CIQ("^SPX", "IQ_PRICEDATE", "10/17/2014")</f>
        <v>#NAME?</v>
      </c>
      <c r="AC208" s="16">
        <v>1886.7640399166</v>
      </c>
    </row>
    <row r="209" spans="1:29" x14ac:dyDescent="0.35">
      <c r="A209" s="2" t="s">
        <v>219</v>
      </c>
      <c r="B209" s="4" t="s">
        <v>1072</v>
      </c>
      <c r="C209" s="4" t="s">
        <v>543</v>
      </c>
      <c r="D209" s="4" t="s">
        <v>544</v>
      </c>
      <c r="E209" s="4" t="s">
        <v>545</v>
      </c>
      <c r="F209" s="4" t="s">
        <v>546</v>
      </c>
      <c r="G209" s="14">
        <v>149.31</v>
      </c>
      <c r="H209" s="10">
        <v>31.25545</v>
      </c>
      <c r="I209" s="10">
        <v>160.722589</v>
      </c>
      <c r="J209" s="10" t="s">
        <v>534</v>
      </c>
      <c r="K209" s="15">
        <v>0</v>
      </c>
      <c r="L209" s="17">
        <v>13560.043195</v>
      </c>
      <c r="M209" s="4" t="s">
        <v>1073</v>
      </c>
      <c r="N209" s="19">
        <v>0.92899200000000004</v>
      </c>
      <c r="O209" s="19">
        <v>3.9851000000000001</v>
      </c>
      <c r="P209" s="19">
        <v>3.7065000000000001E-2</v>
      </c>
      <c r="Q209" s="19">
        <v>3.8176000000000001</v>
      </c>
      <c r="R209" s="19">
        <v>2.31</v>
      </c>
      <c r="S209" s="19">
        <v>3.0979000000000001</v>
      </c>
      <c r="T209" s="19">
        <v>2.31</v>
      </c>
      <c r="U209" s="19">
        <v>2.6688000000000001</v>
      </c>
      <c r="V209" s="19">
        <v>2.0299999999999998</v>
      </c>
      <c r="W209" s="19">
        <v>2.6522000000000001</v>
      </c>
      <c r="X209" s="19">
        <v>2.0299999999999998</v>
      </c>
      <c r="Y209" s="19">
        <v>2.6522000000000001</v>
      </c>
      <c r="Z209" s="4"/>
      <c r="AA209" s="4"/>
      <c r="AB209" s="4" t="e">
        <f ca="1">_xll.ciqfunctions.udf.CIQ("^SPX", "IQ_PRICEDATE", "10/20/2014")</f>
        <v>#NAME?</v>
      </c>
      <c r="AC209" s="16">
        <v>1904.0114248211</v>
      </c>
    </row>
    <row r="210" spans="1:29" x14ac:dyDescent="0.35">
      <c r="A210" s="2" t="s">
        <v>220</v>
      </c>
      <c r="B210" s="4" t="s">
        <v>1074</v>
      </c>
      <c r="C210" s="4" t="s">
        <v>525</v>
      </c>
      <c r="D210" s="4" t="s">
        <v>526</v>
      </c>
      <c r="E210" s="4" t="s">
        <v>703</v>
      </c>
      <c r="F210" s="4" t="s">
        <v>703</v>
      </c>
      <c r="G210" s="14">
        <v>193.84</v>
      </c>
      <c r="H210" s="10">
        <v>14.835851999999999</v>
      </c>
      <c r="I210" s="10">
        <v>19.608174000000002</v>
      </c>
      <c r="J210" s="10" t="s">
        <v>534</v>
      </c>
      <c r="K210" s="15">
        <v>1.9191E-2</v>
      </c>
      <c r="L210" s="17">
        <v>57431.192778999997</v>
      </c>
      <c r="M210" s="4" t="s">
        <v>1075</v>
      </c>
      <c r="N210" s="19">
        <v>9.8856730000000006</v>
      </c>
      <c r="O210" s="19">
        <v>11.714399999999999</v>
      </c>
      <c r="P210" s="19">
        <v>9.56</v>
      </c>
      <c r="Q210" s="19">
        <v>10.0091</v>
      </c>
      <c r="R210" s="19">
        <v>8.64</v>
      </c>
      <c r="S210" s="19">
        <v>9.9268000000000001</v>
      </c>
      <c r="T210" s="19">
        <v>8.64</v>
      </c>
      <c r="U210" s="19">
        <v>9.2800999999999991</v>
      </c>
      <c r="V210" s="19">
        <v>7.83</v>
      </c>
      <c r="W210" s="19">
        <v>8.1577999999999999</v>
      </c>
      <c r="X210" s="19">
        <v>7.83</v>
      </c>
      <c r="Y210" s="19">
        <v>8.1577999999999999</v>
      </c>
      <c r="Z210" s="4"/>
      <c r="AA210" s="4"/>
      <c r="AB210" s="4" t="e">
        <f ca="1">_xll.ciqfunctions.udf.CIQ("^SPX", "IQ_PRICEDATE", "10/21/2014")</f>
        <v>#NAME?</v>
      </c>
      <c r="AC210" s="16">
        <v>1941.2824878514</v>
      </c>
    </row>
    <row r="211" spans="1:29" x14ac:dyDescent="0.35">
      <c r="A211" s="2" t="s">
        <v>221</v>
      </c>
      <c r="B211" s="4" t="s">
        <v>1076</v>
      </c>
      <c r="C211" s="4" t="s">
        <v>525</v>
      </c>
      <c r="D211" s="4" t="s">
        <v>526</v>
      </c>
      <c r="E211" s="4" t="s">
        <v>1077</v>
      </c>
      <c r="F211" s="4" t="s">
        <v>1077</v>
      </c>
      <c r="G211" s="14">
        <v>12.19</v>
      </c>
      <c r="H211" s="10">
        <v>40.009340999999999</v>
      </c>
      <c r="I211" s="10" t="s">
        <v>534</v>
      </c>
      <c r="J211" s="10" t="s">
        <v>534</v>
      </c>
      <c r="K211" s="15">
        <v>3.9376000000000001E-2</v>
      </c>
      <c r="L211" s="17">
        <v>105944.27739</v>
      </c>
      <c r="M211" s="4" t="s">
        <v>1078</v>
      </c>
      <c r="N211" s="19">
        <v>-0.68674400000000002</v>
      </c>
      <c r="O211" s="19">
        <v>0.95369999999999999</v>
      </c>
      <c r="P211" s="19">
        <v>-0.68270500000000001</v>
      </c>
      <c r="Q211" s="19">
        <v>1.0002</v>
      </c>
      <c r="R211" s="19">
        <v>0.99780899999999995</v>
      </c>
      <c r="S211" s="19">
        <v>1.5349999999999999</v>
      </c>
      <c r="T211" s="19">
        <v>0.99780899999999995</v>
      </c>
      <c r="U211" s="19">
        <v>1.4945999999999999</v>
      </c>
      <c r="V211" s="19">
        <v>0.93993800000000005</v>
      </c>
      <c r="W211" s="19">
        <v>1.7267999999999999</v>
      </c>
      <c r="X211" s="19">
        <v>0.93993800000000005</v>
      </c>
      <c r="Y211" s="19">
        <v>1.7267999999999999</v>
      </c>
      <c r="Z211" s="4"/>
      <c r="AA211" s="4"/>
      <c r="AB211" s="4" t="e">
        <f ca="1">_xll.ciqfunctions.udf.CIQ("^SPX", "IQ_PRICEDATE", "10/22/2014")</f>
        <v>#NAME?</v>
      </c>
      <c r="AC211" s="16">
        <v>1927.1103570503999</v>
      </c>
    </row>
    <row r="212" spans="1:29" x14ac:dyDescent="0.35">
      <c r="A212" s="2" t="s">
        <v>222</v>
      </c>
      <c r="B212" s="4" t="s">
        <v>1079</v>
      </c>
      <c r="C212" s="4" t="s">
        <v>626</v>
      </c>
      <c r="D212" s="4" t="s">
        <v>627</v>
      </c>
      <c r="E212" s="4" t="s">
        <v>699</v>
      </c>
      <c r="F212" s="4" t="s">
        <v>789</v>
      </c>
      <c r="G212" s="14">
        <v>44.06</v>
      </c>
      <c r="H212" s="10">
        <v>12.273471000000001</v>
      </c>
      <c r="I212" s="10">
        <v>12.262845</v>
      </c>
      <c r="J212" s="10" t="s">
        <v>534</v>
      </c>
      <c r="K212" s="15">
        <v>4.4484000000000003E-2</v>
      </c>
      <c r="L212" s="17">
        <v>26269.890803999999</v>
      </c>
      <c r="M212" s="4" t="s">
        <v>1080</v>
      </c>
      <c r="N212" s="19">
        <v>3.5929669999999998</v>
      </c>
      <c r="O212" s="19">
        <v>3.1387</v>
      </c>
      <c r="P212" s="19">
        <v>2.7266919999999999</v>
      </c>
      <c r="Q212" s="19">
        <v>3.2000999999999999</v>
      </c>
      <c r="R212" s="19">
        <v>2.6779410000000001</v>
      </c>
      <c r="S212" s="19">
        <v>3.2629999999999999</v>
      </c>
      <c r="T212" s="19">
        <v>2.6779410000000001</v>
      </c>
      <c r="U212" s="19">
        <v>2.9365000000000001</v>
      </c>
      <c r="V212" s="19">
        <v>2.3980549999999998</v>
      </c>
      <c r="W212" s="19">
        <v>3.0118999999999998</v>
      </c>
      <c r="X212" s="19">
        <v>2.3980549999999998</v>
      </c>
      <c r="Y212" s="19">
        <v>3.0118999999999998</v>
      </c>
      <c r="Z212" s="4"/>
      <c r="AA212" s="4"/>
      <c r="AB212" s="4" t="e">
        <f ca="1">_xll.ciqfunctions.udf.CIQ("^SPX", "IQ_PRICEDATE", "10/23/2014")</f>
        <v>#NAME?</v>
      </c>
      <c r="AC212" s="16">
        <v>1950.8220801912</v>
      </c>
    </row>
    <row r="213" spans="1:29" x14ac:dyDescent="0.35">
      <c r="A213" s="2" t="s">
        <v>223</v>
      </c>
      <c r="B213" s="4" t="s">
        <v>1081</v>
      </c>
      <c r="C213" s="4" t="s">
        <v>559</v>
      </c>
      <c r="D213" s="4" t="s">
        <v>694</v>
      </c>
      <c r="E213" s="4" t="s">
        <v>1054</v>
      </c>
      <c r="F213" s="4" t="s">
        <v>1055</v>
      </c>
      <c r="G213" s="14">
        <v>31.93</v>
      </c>
      <c r="H213" s="10">
        <v>5.803058</v>
      </c>
      <c r="I213" s="10" t="s">
        <v>534</v>
      </c>
      <c r="J213" s="10">
        <v>1.4675149999999999</v>
      </c>
      <c r="K213" s="15">
        <v>4.7604E-2</v>
      </c>
      <c r="L213" s="17">
        <v>45049.663930000002</v>
      </c>
      <c r="M213" s="4" t="s">
        <v>1082</v>
      </c>
      <c r="N213" s="19">
        <v>-0.92009099999999999</v>
      </c>
      <c r="O213" s="19">
        <v>5.6577999999999999</v>
      </c>
      <c r="P213" s="19">
        <v>0.22</v>
      </c>
      <c r="Q213" s="19">
        <v>5.9486999999999997</v>
      </c>
      <c r="R213" s="19">
        <v>6</v>
      </c>
      <c r="S213" s="19">
        <v>5.6923000000000004</v>
      </c>
      <c r="T213" s="19">
        <v>6</v>
      </c>
      <c r="U213" s="19">
        <v>5.3997000000000002</v>
      </c>
      <c r="V213" s="19">
        <v>1.6514519999999999</v>
      </c>
      <c r="W213" s="19">
        <v>4.0961999999999996</v>
      </c>
      <c r="X213" s="19">
        <v>1.6514519999999999</v>
      </c>
      <c r="Y213" s="19">
        <v>4.0961999999999996</v>
      </c>
      <c r="Z213" s="4"/>
      <c r="AA213" s="4"/>
      <c r="AB213" s="4" t="e">
        <f ca="1">_xll.ciqfunctions.udf.CIQ("^SPX", "IQ_PRICEDATE", "10/24/2014")</f>
        <v>#NAME?</v>
      </c>
      <c r="AC213" s="16">
        <v>1964.5802966315</v>
      </c>
    </row>
    <row r="214" spans="1:29" x14ac:dyDescent="0.35">
      <c r="A214" s="2" t="s">
        <v>224</v>
      </c>
      <c r="B214" s="4" t="s">
        <v>1083</v>
      </c>
      <c r="C214" s="4" t="s">
        <v>559</v>
      </c>
      <c r="D214" s="4" t="s">
        <v>560</v>
      </c>
      <c r="E214" s="4" t="s">
        <v>1084</v>
      </c>
      <c r="F214" s="4" t="s">
        <v>1084</v>
      </c>
      <c r="G214" s="14">
        <v>95.14</v>
      </c>
      <c r="H214" s="10">
        <v>12.949332</v>
      </c>
      <c r="I214" s="10">
        <v>20.871238999999999</v>
      </c>
      <c r="J214" s="10" t="s">
        <v>534</v>
      </c>
      <c r="K214" s="15">
        <v>3.0270999999999999E-2</v>
      </c>
      <c r="L214" s="17">
        <v>13962.054921999999</v>
      </c>
      <c r="M214" s="4" t="s">
        <v>1085</v>
      </c>
      <c r="N214" s="19">
        <v>4.5584259999999999</v>
      </c>
      <c r="O214" s="19">
        <v>5.7378999999999998</v>
      </c>
      <c r="P214" s="19">
        <v>4.18</v>
      </c>
      <c r="Q214" s="19">
        <v>5.1786000000000003</v>
      </c>
      <c r="R214" s="19">
        <v>4.59</v>
      </c>
      <c r="S214" s="19">
        <v>4.7808999999999999</v>
      </c>
      <c r="T214" s="19">
        <v>4.59</v>
      </c>
      <c r="U214" s="19">
        <v>4.7839</v>
      </c>
      <c r="V214" s="19">
        <v>4.6100000000000003</v>
      </c>
      <c r="W214" s="19">
        <v>4.9005999999999998</v>
      </c>
      <c r="X214" s="19">
        <v>4.6100000000000003</v>
      </c>
      <c r="Y214" s="19">
        <v>4.9005999999999998</v>
      </c>
      <c r="Z214" s="4"/>
      <c r="AA214" s="4"/>
      <c r="AB214" s="4" t="e">
        <f ca="1">_xll.ciqfunctions.udf.CIQ("^SPX", "IQ_PRICEDATE", "10/27/2014")</f>
        <v>#NAME?</v>
      </c>
      <c r="AC214" s="16">
        <v>1961.6305392728</v>
      </c>
    </row>
    <row r="215" spans="1:29" x14ac:dyDescent="0.35">
      <c r="A215" s="2" t="s">
        <v>225</v>
      </c>
      <c r="B215" s="4" t="s">
        <v>1086</v>
      </c>
      <c r="C215" s="4" t="s">
        <v>530</v>
      </c>
      <c r="D215" s="4" t="s">
        <v>537</v>
      </c>
      <c r="E215" s="4" t="s">
        <v>538</v>
      </c>
      <c r="F215" s="4" t="s">
        <v>538</v>
      </c>
      <c r="G215" s="14">
        <v>75.62</v>
      </c>
      <c r="H215" s="10">
        <v>8.1812310000000004</v>
      </c>
      <c r="I215" s="10">
        <v>45.186599000000001</v>
      </c>
      <c r="J215" s="10">
        <v>93.159284</v>
      </c>
      <c r="K215" s="15">
        <v>3.015E-2</v>
      </c>
      <c r="L215" s="17">
        <v>98029.275643000001</v>
      </c>
      <c r="M215" s="4" t="s">
        <v>1087</v>
      </c>
      <c r="N215" s="19">
        <v>1.673505</v>
      </c>
      <c r="O215" s="19">
        <v>6.55</v>
      </c>
      <c r="P215" s="19">
        <v>3.51</v>
      </c>
      <c r="Q215" s="19">
        <v>6.9237000000000002</v>
      </c>
      <c r="R215" s="19">
        <v>9.94</v>
      </c>
      <c r="S215" s="19">
        <v>10.435600000000001</v>
      </c>
      <c r="T215" s="19">
        <v>9.94</v>
      </c>
      <c r="U215" s="19">
        <v>11.6534</v>
      </c>
      <c r="V215" s="19">
        <v>7.35</v>
      </c>
      <c r="W215" s="19">
        <v>9.9133999999999993</v>
      </c>
      <c r="X215" s="19">
        <v>7.35</v>
      </c>
      <c r="Y215" s="19">
        <v>9.9133999999999993</v>
      </c>
      <c r="Z215" s="4"/>
      <c r="AA215" s="4"/>
      <c r="AB215" s="4" t="e">
        <f ca="1">_xll.ciqfunctions.udf.CIQ("^SPX", "IQ_PRICEDATE", "10/28/2014")</f>
        <v>#NAME?</v>
      </c>
      <c r="AC215" s="16">
        <v>1985.0456261344</v>
      </c>
    </row>
    <row r="216" spans="1:29" x14ac:dyDescent="0.35">
      <c r="A216" s="2" t="s">
        <v>226</v>
      </c>
      <c r="B216" s="4" t="s">
        <v>1088</v>
      </c>
      <c r="C216" s="4" t="s">
        <v>543</v>
      </c>
      <c r="D216" s="4" t="s">
        <v>544</v>
      </c>
      <c r="E216" s="4" t="s">
        <v>545</v>
      </c>
      <c r="F216" s="4" t="s">
        <v>616</v>
      </c>
      <c r="G216" s="14">
        <v>119.89</v>
      </c>
      <c r="H216" s="10">
        <v>18.757956</v>
      </c>
      <c r="I216" s="10">
        <v>34.423037000000001</v>
      </c>
      <c r="J216" s="10" t="s">
        <v>534</v>
      </c>
      <c r="K216" s="15">
        <v>3.3300000000000002E-4</v>
      </c>
      <c r="L216" s="17">
        <v>18964.856838</v>
      </c>
      <c r="M216" s="4" t="s">
        <v>1089</v>
      </c>
      <c r="N216" s="19">
        <v>3.4828420000000002</v>
      </c>
      <c r="O216" s="19">
        <v>5.5202</v>
      </c>
      <c r="P216" s="19">
        <v>3.01</v>
      </c>
      <c r="Q216" s="19">
        <v>4.5354999999999999</v>
      </c>
      <c r="R216" s="19">
        <v>1.388571</v>
      </c>
      <c r="S216" s="19">
        <v>0</v>
      </c>
      <c r="T216" s="19">
        <v>1.388571</v>
      </c>
      <c r="U216" s="19">
        <v>3.1545999999999998</v>
      </c>
      <c r="V216" s="19">
        <v>1.8333660000000001</v>
      </c>
      <c r="W216" s="19">
        <v>2.4312999999999998</v>
      </c>
      <c r="X216" s="19">
        <v>1.8333660000000001</v>
      </c>
      <c r="Y216" s="19">
        <v>2.4312999999999998</v>
      </c>
      <c r="Z216" s="4"/>
      <c r="AA216" s="4"/>
      <c r="AB216" s="4" t="e">
        <f ca="1">_xll.ciqfunctions.udf.CIQ("^SPX", "IQ_PRICEDATE", "10/29/2014")</f>
        <v>#NAME?</v>
      </c>
      <c r="AC216" s="16">
        <v>1982.3030206704</v>
      </c>
    </row>
    <row r="217" spans="1:29" x14ac:dyDescent="0.35">
      <c r="A217" s="2" t="s">
        <v>227</v>
      </c>
      <c r="B217" s="4" t="s">
        <v>1090</v>
      </c>
      <c r="C217" s="4" t="s">
        <v>559</v>
      </c>
      <c r="D217" s="4" t="s">
        <v>798</v>
      </c>
      <c r="E217" s="4" t="s">
        <v>1091</v>
      </c>
      <c r="F217" s="4" t="s">
        <v>1092</v>
      </c>
      <c r="G217" s="14">
        <v>26.52</v>
      </c>
      <c r="H217" s="10">
        <v>6.3305619999999996</v>
      </c>
      <c r="I217" s="10">
        <v>9.1991370000000003</v>
      </c>
      <c r="J217" s="10" t="s">
        <v>534</v>
      </c>
      <c r="K217" s="15">
        <v>3.7707000000000004E-2</v>
      </c>
      <c r="L217" s="17">
        <v>5450.4121459999997</v>
      </c>
      <c r="M217" s="4" t="s">
        <v>1093</v>
      </c>
      <c r="N217" s="19">
        <v>2.882879</v>
      </c>
      <c r="O217" s="19">
        <v>1.8934</v>
      </c>
      <c r="P217" s="19">
        <v>1.939716</v>
      </c>
      <c r="Q217" s="19">
        <v>1.9441999999999999</v>
      </c>
      <c r="R217" s="19">
        <v>1.5980000000000001</v>
      </c>
      <c r="S217" s="19">
        <v>1.5812999999999999</v>
      </c>
      <c r="T217" s="19">
        <v>1.5980000000000001</v>
      </c>
      <c r="U217" s="19">
        <v>1.9351</v>
      </c>
      <c r="V217" s="19">
        <v>1.7818830000000001</v>
      </c>
      <c r="W217" s="19">
        <v>1.841</v>
      </c>
      <c r="X217" s="19">
        <v>1.7818830000000001</v>
      </c>
      <c r="Y217" s="19">
        <v>1.841</v>
      </c>
      <c r="Z217" s="4"/>
      <c r="AA217" s="4"/>
      <c r="AB217" s="4" t="e">
        <f ca="1">_xll.ciqfunctions.udf.CIQ("^SPX", "IQ_PRICEDATE", "10/30/2014")</f>
        <v>#NAME?</v>
      </c>
      <c r="AC217" s="16">
        <v>1994.6546509021</v>
      </c>
    </row>
    <row r="218" spans="1:29" x14ac:dyDescent="0.35">
      <c r="A218" s="2" t="s">
        <v>228</v>
      </c>
      <c r="B218" s="4" t="s">
        <v>1094</v>
      </c>
      <c r="C218" s="4" t="s">
        <v>669</v>
      </c>
      <c r="D218" s="4" t="s">
        <v>669</v>
      </c>
      <c r="E218" s="4" t="s">
        <v>730</v>
      </c>
      <c r="F218" s="4" t="s">
        <v>731</v>
      </c>
      <c r="G218" s="14">
        <v>39.56</v>
      </c>
      <c r="H218" s="10">
        <v>9.8760949999999994</v>
      </c>
      <c r="I218" s="10" t="s">
        <v>534</v>
      </c>
      <c r="J218" s="10">
        <v>5.7965059999999999</v>
      </c>
      <c r="K218" s="15">
        <v>1.8200000000000001E-2</v>
      </c>
      <c r="L218" s="17">
        <v>34808.670371</v>
      </c>
      <c r="M218" s="4" t="s">
        <v>1095</v>
      </c>
      <c r="N218" s="19">
        <v>0.13029099999999999</v>
      </c>
      <c r="O218" s="19">
        <v>2.0017</v>
      </c>
      <c r="P218" s="19">
        <v>-0.51034400000000002</v>
      </c>
      <c r="Q218" s="19">
        <v>1.9798</v>
      </c>
      <c r="R218" s="19">
        <v>-6.6910559999999997</v>
      </c>
      <c r="S218" s="19">
        <v>0.62350000000000005</v>
      </c>
      <c r="T218" s="19">
        <v>-6.6910559999999997</v>
      </c>
      <c r="U218" s="19">
        <v>0.95789999999999997</v>
      </c>
      <c r="V218" s="19">
        <v>4.03</v>
      </c>
      <c r="W218" s="19">
        <v>3.7292000000000001</v>
      </c>
      <c r="X218" s="19">
        <v>4.03</v>
      </c>
      <c r="Y218" s="19">
        <v>3.7292000000000001</v>
      </c>
      <c r="Z218" s="4"/>
      <c r="AA218" s="4"/>
      <c r="AB218" s="4" t="e">
        <f ca="1">_xll.ciqfunctions.udf.CIQ("^SPX", "IQ_PRICEDATE", "10/31/2014")</f>
        <v>#NAME?</v>
      </c>
      <c r="AC218" s="16">
        <v>2018.0545032964001</v>
      </c>
    </row>
    <row r="219" spans="1:29" x14ac:dyDescent="0.35">
      <c r="A219" s="2" t="s">
        <v>229</v>
      </c>
      <c r="B219" s="4" t="s">
        <v>1096</v>
      </c>
      <c r="C219" s="4" t="s">
        <v>559</v>
      </c>
      <c r="D219" s="4" t="s">
        <v>912</v>
      </c>
      <c r="E219" s="4" t="s">
        <v>1097</v>
      </c>
      <c r="F219" s="4" t="s">
        <v>1098</v>
      </c>
      <c r="G219" s="14">
        <v>16.88</v>
      </c>
      <c r="H219" s="10">
        <v>9.803369</v>
      </c>
      <c r="I219" s="10">
        <v>158.92742799999999</v>
      </c>
      <c r="J219" s="10" t="s">
        <v>534</v>
      </c>
      <c r="K219" s="15">
        <v>3.5545E-2</v>
      </c>
      <c r="L219" s="17">
        <v>6085.3629030000002</v>
      </c>
      <c r="M219" s="4" t="s">
        <v>1099</v>
      </c>
      <c r="N219" s="19">
        <v>0.106212</v>
      </c>
      <c r="O219" s="19">
        <v>1.7996000000000001</v>
      </c>
      <c r="P219" s="19">
        <v>0.17</v>
      </c>
      <c r="Q219" s="19">
        <v>2.0118</v>
      </c>
      <c r="R219" s="19">
        <v>1.4</v>
      </c>
      <c r="S219" s="19">
        <v>2.0983999999999998</v>
      </c>
      <c r="T219" s="19">
        <v>1.4</v>
      </c>
      <c r="U219" s="19">
        <v>1.8455999999999999</v>
      </c>
      <c r="V219" s="19">
        <v>0.85015499999999999</v>
      </c>
      <c r="W219" s="19">
        <v>1.5659000000000001</v>
      </c>
      <c r="X219" s="19">
        <v>0.85015499999999999</v>
      </c>
      <c r="Y219" s="19">
        <v>1.5659000000000001</v>
      </c>
      <c r="Z219" s="4"/>
      <c r="AA219" s="4"/>
      <c r="AB219" s="4" t="e">
        <f ca="1">_xll.ciqfunctions.udf.CIQ("^SPX", "IQ_PRICEDATE", "11/3/2014")</f>
        <v>#NAME?</v>
      </c>
      <c r="AC219" s="16">
        <v>2017.8115211314</v>
      </c>
    </row>
    <row r="220" spans="1:29" x14ac:dyDescent="0.35">
      <c r="A220" s="2" t="s">
        <v>230</v>
      </c>
      <c r="B220" s="4" t="s">
        <v>1100</v>
      </c>
      <c r="C220" s="4" t="s">
        <v>559</v>
      </c>
      <c r="D220" s="4" t="s">
        <v>694</v>
      </c>
      <c r="E220" s="4" t="s">
        <v>1054</v>
      </c>
      <c r="F220" s="4" t="s">
        <v>1101</v>
      </c>
      <c r="G220" s="14">
        <v>41.67</v>
      </c>
      <c r="H220" s="10">
        <v>12.691546000000001</v>
      </c>
      <c r="I220" s="10">
        <v>14.260604000000001</v>
      </c>
      <c r="J220" s="10">
        <v>3.2960660000000002</v>
      </c>
      <c r="K220" s="15">
        <v>3.5517E-2</v>
      </c>
      <c r="L220" s="17">
        <v>6873.4248299999999</v>
      </c>
      <c r="M220" s="4" t="s">
        <v>1102</v>
      </c>
      <c r="N220" s="19">
        <v>2.9220359999999999</v>
      </c>
      <c r="O220" s="19">
        <v>3.7042999999999999</v>
      </c>
      <c r="P220" s="19">
        <v>3.02</v>
      </c>
      <c r="Q220" s="19">
        <v>3.7370999999999999</v>
      </c>
      <c r="R220" s="19">
        <v>3.83</v>
      </c>
      <c r="S220" s="19">
        <v>4.1135000000000002</v>
      </c>
      <c r="T220" s="19">
        <v>3.83</v>
      </c>
      <c r="U220" s="19">
        <v>3.9474999999999998</v>
      </c>
      <c r="V220" s="19">
        <v>3.88</v>
      </c>
      <c r="W220" s="19">
        <v>4.2760999999999996</v>
      </c>
      <c r="X220" s="19">
        <v>3.88</v>
      </c>
      <c r="Y220" s="19">
        <v>4.2760999999999996</v>
      </c>
      <c r="Z220" s="4"/>
      <c r="AA220" s="4"/>
      <c r="AB220" s="4" t="e">
        <f ca="1">_xll.ciqfunctions.udf.CIQ("^SPX", "IQ_PRICEDATE", "11/4/2014")</f>
        <v>#NAME?</v>
      </c>
      <c r="AC220" s="16">
        <v>2012.0952743803</v>
      </c>
    </row>
    <row r="221" spans="1:29" x14ac:dyDescent="0.35">
      <c r="A221" s="2" t="s">
        <v>231</v>
      </c>
      <c r="B221" s="4" t="s">
        <v>1103</v>
      </c>
      <c r="C221" s="4" t="s">
        <v>525</v>
      </c>
      <c r="D221" s="4" t="s">
        <v>526</v>
      </c>
      <c r="E221" s="4" t="s">
        <v>703</v>
      </c>
      <c r="F221" s="4" t="s">
        <v>703</v>
      </c>
      <c r="G221" s="14">
        <v>171.57</v>
      </c>
      <c r="H221" s="10">
        <v>16.211596</v>
      </c>
      <c r="I221" s="10">
        <v>26.978943000000001</v>
      </c>
      <c r="J221" s="10" t="s">
        <v>534</v>
      </c>
      <c r="K221" s="15">
        <v>1.5969999999999998E-2</v>
      </c>
      <c r="L221" s="17">
        <v>20183.143081999999</v>
      </c>
      <c r="M221" s="4" t="s">
        <v>1104</v>
      </c>
      <c r="N221" s="19">
        <v>6.3594039999999996</v>
      </c>
      <c r="O221" s="19">
        <v>8.1302000000000003</v>
      </c>
      <c r="P221" s="19">
        <v>5.183764</v>
      </c>
      <c r="Q221" s="19">
        <v>6.2394999999999996</v>
      </c>
      <c r="R221" s="19">
        <v>4.8403340000000004</v>
      </c>
      <c r="S221" s="19">
        <v>5.8921000000000001</v>
      </c>
      <c r="T221" s="19">
        <v>4.8403340000000004</v>
      </c>
      <c r="U221" s="19">
        <v>5.8395999999999999</v>
      </c>
      <c r="V221" s="19">
        <v>5.0009810000000003</v>
      </c>
      <c r="W221" s="19">
        <v>4.8646000000000003</v>
      </c>
      <c r="X221" s="19">
        <v>5.0009810000000003</v>
      </c>
      <c r="Y221" s="19">
        <v>4.8646000000000003</v>
      </c>
      <c r="Z221" s="4"/>
      <c r="AA221" s="4"/>
      <c r="AB221" s="4" t="e">
        <f ca="1">_xll.ciqfunctions.udf.CIQ("^SPX", "IQ_PRICEDATE", "11/5/2014")</f>
        <v>#NAME?</v>
      </c>
      <c r="AC221" s="16">
        <v>2023.57465265</v>
      </c>
    </row>
    <row r="222" spans="1:29" x14ac:dyDescent="0.35">
      <c r="A222" s="2" t="s">
        <v>232</v>
      </c>
      <c r="B222" s="4" t="s">
        <v>1105</v>
      </c>
      <c r="C222" s="4" t="s">
        <v>559</v>
      </c>
      <c r="D222" s="4" t="s">
        <v>912</v>
      </c>
      <c r="E222" s="4" t="s">
        <v>1106</v>
      </c>
      <c r="F222" s="4" t="s">
        <v>1106</v>
      </c>
      <c r="G222" s="14">
        <v>100.89</v>
      </c>
      <c r="H222" s="10">
        <v>15.814116</v>
      </c>
      <c r="I222" s="10">
        <v>61.311999999999998</v>
      </c>
      <c r="J222" s="10">
        <v>28.345485</v>
      </c>
      <c r="K222" s="15">
        <v>2.4976999999999999E-2</v>
      </c>
      <c r="L222" s="17">
        <v>12806.873087</v>
      </c>
      <c r="M222" s="4" t="s">
        <v>1107</v>
      </c>
      <c r="N222" s="19">
        <v>1.645518</v>
      </c>
      <c r="O222" s="19">
        <v>4.8720999999999997</v>
      </c>
      <c r="P222" s="19">
        <v>3.12</v>
      </c>
      <c r="Q222" s="19">
        <v>5.2020999999999997</v>
      </c>
      <c r="R222" s="19">
        <v>4.34</v>
      </c>
      <c r="S222" s="19">
        <v>4.2457000000000003</v>
      </c>
      <c r="T222" s="19">
        <v>4.34</v>
      </c>
      <c r="U222" s="19">
        <v>3.6880999999999999</v>
      </c>
      <c r="V222" s="19">
        <v>3.2</v>
      </c>
      <c r="W222" s="19">
        <v>3.3580999999999999</v>
      </c>
      <c r="X222" s="19">
        <v>3.2</v>
      </c>
      <c r="Y222" s="19">
        <v>3.3580999999999999</v>
      </c>
      <c r="Z222" s="4"/>
      <c r="AA222" s="4"/>
      <c r="AB222" s="4" t="e">
        <f ca="1">_xll.ciqfunctions.udf.CIQ("^SPX", "IQ_PRICEDATE", "11/6/2014")</f>
        <v>#NAME?</v>
      </c>
      <c r="AC222" s="16">
        <v>2031.2121546376</v>
      </c>
    </row>
    <row r="223" spans="1:29" x14ac:dyDescent="0.35">
      <c r="A223" s="2" t="s">
        <v>233</v>
      </c>
      <c r="B223" s="4" t="s">
        <v>1108</v>
      </c>
      <c r="C223" s="4" t="s">
        <v>530</v>
      </c>
      <c r="D223" s="4" t="s">
        <v>531</v>
      </c>
      <c r="E223" s="4" t="s">
        <v>569</v>
      </c>
      <c r="F223" s="4" t="s">
        <v>1109</v>
      </c>
      <c r="G223" s="14">
        <v>136.47</v>
      </c>
      <c r="H223" s="10">
        <v>9.5941390000000002</v>
      </c>
      <c r="I223" s="10">
        <v>17.240845</v>
      </c>
      <c r="J223" s="10" t="s">
        <v>534</v>
      </c>
      <c r="K223" s="15">
        <v>1.0258E-2</v>
      </c>
      <c r="L223" s="17">
        <v>47224.897620000003</v>
      </c>
      <c r="M223" s="4" t="s">
        <v>1110</v>
      </c>
      <c r="N223" s="19">
        <v>7.9155049999999996</v>
      </c>
      <c r="O223" s="19">
        <v>9.5292999999999992</v>
      </c>
      <c r="P223" s="19">
        <v>5.95</v>
      </c>
      <c r="Q223" s="19">
        <v>7.1266999999999996</v>
      </c>
      <c r="R223" s="19">
        <v>7.3</v>
      </c>
      <c r="S223" s="19">
        <v>6.8952</v>
      </c>
      <c r="T223" s="19">
        <v>7.3</v>
      </c>
      <c r="U223" s="19">
        <v>5.5753000000000004</v>
      </c>
      <c r="V223" s="19">
        <v>4.16</v>
      </c>
      <c r="W223" s="19">
        <v>4.8982999999999999</v>
      </c>
      <c r="X223" s="19">
        <v>4.16</v>
      </c>
      <c r="Y223" s="19">
        <v>4.8982999999999999</v>
      </c>
      <c r="Z223" s="4"/>
      <c r="AA223" s="4"/>
      <c r="AB223" s="4" t="e">
        <f ca="1">_xll.ciqfunctions.udf.CIQ("^SPX", "IQ_PRICEDATE", "11/7/2014")</f>
        <v>#NAME?</v>
      </c>
      <c r="AC223" s="16">
        <v>2031.9215168768999</v>
      </c>
    </row>
    <row r="224" spans="1:29" x14ac:dyDescent="0.35">
      <c r="A224" s="2" t="s">
        <v>234</v>
      </c>
      <c r="B224" s="4" t="s">
        <v>1111</v>
      </c>
      <c r="C224" s="4" t="s">
        <v>601</v>
      </c>
      <c r="D224" s="4" t="s">
        <v>601</v>
      </c>
      <c r="E224" s="4" t="s">
        <v>602</v>
      </c>
      <c r="F224" s="4" t="s">
        <v>1112</v>
      </c>
      <c r="G224" s="14">
        <v>25.78</v>
      </c>
      <c r="H224" s="10">
        <v>20.386706</v>
      </c>
      <c r="I224" s="10">
        <v>199.348906</v>
      </c>
      <c r="J224" s="10">
        <v>2.497652</v>
      </c>
      <c r="K224" s="15">
        <v>5.7408000000000001E-2</v>
      </c>
      <c r="L224" s="17">
        <v>12112.283629</v>
      </c>
      <c r="M224" s="4" t="s">
        <v>1113</v>
      </c>
      <c r="N224" s="19">
        <v>0.12932099999999999</v>
      </c>
      <c r="O224" s="19">
        <v>0.65949999999999998</v>
      </c>
      <c r="P224" s="19">
        <v>0.88</v>
      </c>
      <c r="Q224" s="19">
        <v>0.82440000000000002</v>
      </c>
      <c r="R224" s="19">
        <v>0.77</v>
      </c>
      <c r="S224" s="19">
        <v>0.84499999999999997</v>
      </c>
      <c r="T224" s="19">
        <v>0.77</v>
      </c>
      <c r="U224" s="19">
        <v>1.9067000000000001</v>
      </c>
      <c r="V224" s="19">
        <v>0.55520499999999995</v>
      </c>
      <c r="W224" s="19">
        <v>1.9539</v>
      </c>
      <c r="X224" s="19">
        <v>0.55520499999999995</v>
      </c>
      <c r="Y224" s="19">
        <v>1.9539</v>
      </c>
      <c r="Z224" s="4"/>
      <c r="AA224" s="4"/>
      <c r="AB224" s="4" t="e">
        <f ca="1">_xll.ciqfunctions.udf.CIQ("^SPX", "IQ_PRICEDATE", "11/10/2014")</f>
        <v>#NAME?</v>
      </c>
      <c r="AC224" s="16">
        <v>2038.2626780918999</v>
      </c>
    </row>
    <row r="225" spans="1:29" x14ac:dyDescent="0.35">
      <c r="A225" s="2" t="s">
        <v>235</v>
      </c>
      <c r="B225" s="4" t="s">
        <v>1114</v>
      </c>
      <c r="C225" s="4" t="s">
        <v>669</v>
      </c>
      <c r="D225" s="4" t="s">
        <v>669</v>
      </c>
      <c r="E225" s="4" t="s">
        <v>730</v>
      </c>
      <c r="F225" s="4" t="s">
        <v>1115</v>
      </c>
      <c r="G225" s="14">
        <v>68.05</v>
      </c>
      <c r="H225" s="10">
        <v>13.788542</v>
      </c>
      <c r="I225" s="10">
        <v>16.015302999999999</v>
      </c>
      <c r="J225" s="10">
        <v>1.725125</v>
      </c>
      <c r="K225" s="15">
        <v>4.1734E-2</v>
      </c>
      <c r="L225" s="17">
        <v>7413.6224599999996</v>
      </c>
      <c r="M225" s="4" t="s">
        <v>1116</v>
      </c>
      <c r="N225" s="19">
        <v>4.2490610000000002</v>
      </c>
      <c r="O225" s="19">
        <v>1.1255999999999999</v>
      </c>
      <c r="P225" s="19">
        <v>3.7040329999999999</v>
      </c>
      <c r="Q225" s="19">
        <v>-0.39090000000000003</v>
      </c>
      <c r="R225" s="19">
        <v>-0.98046599999999995</v>
      </c>
      <c r="S225" s="19">
        <v>-1.2138</v>
      </c>
      <c r="T225" s="19">
        <v>-0.98046599999999995</v>
      </c>
      <c r="U225" s="19">
        <v>-0.36384</v>
      </c>
      <c r="V225" s="19">
        <v>6.7287039999999996</v>
      </c>
      <c r="W225" s="19">
        <v>5.7775999999999996</v>
      </c>
      <c r="X225" s="19">
        <v>6.7287039999999996</v>
      </c>
      <c r="Y225" s="19">
        <v>5.7775999999999996</v>
      </c>
      <c r="Z225" s="4"/>
      <c r="AA225" s="4"/>
      <c r="AB225" s="4" t="e">
        <f ca="1">_xll.ciqfunctions.udf.CIQ("^SPX", "IQ_PRICEDATE", "11/11/2014")</f>
        <v>#NAME?</v>
      </c>
      <c r="AC225" s="16">
        <v>2039.6834548377999</v>
      </c>
    </row>
    <row r="226" spans="1:29" x14ac:dyDescent="0.35">
      <c r="A226" s="2" t="s">
        <v>236</v>
      </c>
      <c r="B226" s="4" t="s">
        <v>1117</v>
      </c>
      <c r="C226" s="4" t="s">
        <v>530</v>
      </c>
      <c r="D226" s="4" t="s">
        <v>531</v>
      </c>
      <c r="E226" s="4" t="s">
        <v>569</v>
      </c>
      <c r="F226" s="4" t="s">
        <v>655</v>
      </c>
      <c r="G226" s="14">
        <v>86.47</v>
      </c>
      <c r="H226" s="10">
        <v>13.928452999999999</v>
      </c>
      <c r="I226" s="10">
        <v>32.701329000000001</v>
      </c>
      <c r="J226" s="10">
        <v>296.09566000000001</v>
      </c>
      <c r="K226" s="15">
        <v>0</v>
      </c>
      <c r="L226" s="17">
        <v>13239.548897000001</v>
      </c>
      <c r="M226" s="4" t="s">
        <v>1118</v>
      </c>
      <c r="N226" s="19">
        <v>2.6442350000000001</v>
      </c>
      <c r="O226" s="19">
        <v>4.2365000000000004</v>
      </c>
      <c r="P226" s="19">
        <v>2.57</v>
      </c>
      <c r="Q226" s="19">
        <v>3.8041</v>
      </c>
      <c r="R226" s="19">
        <v>3.1</v>
      </c>
      <c r="S226" s="19">
        <v>3.5424000000000002</v>
      </c>
      <c r="T226" s="19">
        <v>3.1</v>
      </c>
      <c r="U226" s="19">
        <v>3.2080000000000002</v>
      </c>
      <c r="V226" s="19">
        <v>2.72</v>
      </c>
      <c r="W226" s="19">
        <v>2.9073000000000002</v>
      </c>
      <c r="X226" s="19">
        <v>2.72</v>
      </c>
      <c r="Y226" s="19">
        <v>2.9073000000000002</v>
      </c>
      <c r="Z226" s="4"/>
      <c r="AA226" s="4"/>
      <c r="AB226" s="4" t="e">
        <f ca="1">_xll.ciqfunctions.udf.CIQ("^SPX", "IQ_PRICEDATE", "11/12/2014")</f>
        <v>#NAME?</v>
      </c>
      <c r="AC226" s="16">
        <v>2038.252228283</v>
      </c>
    </row>
    <row r="227" spans="1:29" x14ac:dyDescent="0.35">
      <c r="A227" s="2" t="s">
        <v>237</v>
      </c>
      <c r="B227" s="4" t="s">
        <v>1119</v>
      </c>
      <c r="C227" s="4" t="s">
        <v>669</v>
      </c>
      <c r="D227" s="4" t="s">
        <v>669</v>
      </c>
      <c r="E227" s="4" t="s">
        <v>670</v>
      </c>
      <c r="F227" s="4" t="s">
        <v>671</v>
      </c>
      <c r="G227" s="14">
        <v>64.78</v>
      </c>
      <c r="H227" s="10">
        <v>11.022081</v>
      </c>
      <c r="I227" s="10" t="s">
        <v>534</v>
      </c>
      <c r="J227" s="10">
        <v>2.005207</v>
      </c>
      <c r="K227" s="15">
        <v>1.5436E-2</v>
      </c>
      <c r="L227" s="17">
        <v>19413.710773999999</v>
      </c>
      <c r="M227" s="4" t="s">
        <v>1120</v>
      </c>
      <c r="N227" s="19">
        <v>-11.608229</v>
      </c>
      <c r="O227" s="19">
        <v>0.9839</v>
      </c>
      <c r="P227" s="19">
        <v>-13.12</v>
      </c>
      <c r="Q227" s="19">
        <v>-3.3988999999999998</v>
      </c>
      <c r="R227" s="19">
        <v>-19.920000000000002</v>
      </c>
      <c r="S227" s="19">
        <v>-3.6402000000000001</v>
      </c>
      <c r="T227" s="19">
        <v>-19.920000000000002</v>
      </c>
      <c r="U227" s="19">
        <v>-4.3436000000000003</v>
      </c>
      <c r="V227" s="19">
        <v>5.313555</v>
      </c>
      <c r="W227" s="19">
        <v>1.3163</v>
      </c>
      <c r="X227" s="19">
        <v>5.313555</v>
      </c>
      <c r="Y227" s="19">
        <v>1.3163</v>
      </c>
      <c r="Z227" s="4"/>
      <c r="AA227" s="4"/>
      <c r="AB227" s="4" t="e">
        <f ca="1">_xll.ciqfunctions.udf.CIQ("^SPX", "IQ_PRICEDATE", "11/13/2014")</f>
        <v>#NAME?</v>
      </c>
      <c r="AC227" s="16">
        <v>2039.3258251799</v>
      </c>
    </row>
    <row r="228" spans="1:29" x14ac:dyDescent="0.35">
      <c r="A228" s="2" t="s">
        <v>238</v>
      </c>
      <c r="B228" s="4" t="s">
        <v>1121</v>
      </c>
      <c r="C228" s="4" t="s">
        <v>543</v>
      </c>
      <c r="D228" s="4" t="s">
        <v>664</v>
      </c>
      <c r="E228" s="4" t="s">
        <v>688</v>
      </c>
      <c r="F228" s="4" t="s">
        <v>688</v>
      </c>
      <c r="G228" s="14">
        <v>15.52</v>
      </c>
      <c r="H228" s="10">
        <v>9.8948680000000007</v>
      </c>
      <c r="I228" s="10">
        <v>7.8298690000000004</v>
      </c>
      <c r="J228" s="10">
        <v>4.6559999999999997</v>
      </c>
      <c r="K228" s="15">
        <v>2.8993999999999999E-2</v>
      </c>
      <c r="L228" s="17">
        <v>22839.981351999999</v>
      </c>
      <c r="M228" s="4" t="s">
        <v>1122</v>
      </c>
      <c r="N228" s="19">
        <v>1.9821530000000001</v>
      </c>
      <c r="O228" s="19">
        <v>1.5551999999999999</v>
      </c>
      <c r="P228" s="19">
        <v>0.26</v>
      </c>
      <c r="Q228" s="19">
        <v>1.1793499999999999</v>
      </c>
      <c r="R228" s="19">
        <v>1.86</v>
      </c>
      <c r="S228" s="19">
        <v>1.96451</v>
      </c>
      <c r="T228" s="19">
        <v>1.86</v>
      </c>
      <c r="U228" s="19">
        <v>1.87812</v>
      </c>
      <c r="V228" s="19">
        <v>0.9</v>
      </c>
      <c r="W228" s="19">
        <v>0</v>
      </c>
      <c r="X228" s="19">
        <v>0.9</v>
      </c>
      <c r="Y228" s="19">
        <v>0</v>
      </c>
      <c r="Z228" s="4"/>
      <c r="AA228" s="4"/>
      <c r="AB228" s="4" t="e">
        <f ca="1">_xll.ciqfunctions.udf.CIQ("^SPX", "IQ_PRICEDATE", "11/14/2014")</f>
        <v>#NAME?</v>
      </c>
      <c r="AC228" s="16">
        <v>2039.8168721008999</v>
      </c>
    </row>
    <row r="229" spans="1:29" x14ac:dyDescent="0.35">
      <c r="A229" s="2" t="s">
        <v>239</v>
      </c>
      <c r="B229" s="4" t="s">
        <v>1123</v>
      </c>
      <c r="C229" s="4" t="s">
        <v>559</v>
      </c>
      <c r="D229" s="4" t="s">
        <v>798</v>
      </c>
      <c r="E229" s="4" t="s">
        <v>799</v>
      </c>
      <c r="F229" s="4" t="s">
        <v>800</v>
      </c>
      <c r="G229" s="14">
        <v>74.52</v>
      </c>
      <c r="H229" s="10">
        <v>16.663544000000002</v>
      </c>
      <c r="I229" s="10">
        <v>16.461948</v>
      </c>
      <c r="J229" s="10" t="s">
        <v>534</v>
      </c>
      <c r="K229" s="15">
        <v>8.0510000000000009E-3</v>
      </c>
      <c r="L229" s="17">
        <v>22220.82847</v>
      </c>
      <c r="M229" s="4" t="s">
        <v>1124</v>
      </c>
      <c r="N229" s="19">
        <v>4.5268030000000001</v>
      </c>
      <c r="O229" s="19">
        <v>2.9209999999999998</v>
      </c>
      <c r="P229" s="19">
        <v>3.85</v>
      </c>
      <c r="Q229" s="19">
        <v>2.2208000000000001</v>
      </c>
      <c r="R229" s="19">
        <v>-7.2947999999999999E-2</v>
      </c>
      <c r="S229" s="19">
        <v>2.6854</v>
      </c>
      <c r="T229" s="19">
        <v>-7.2947999999999999E-2</v>
      </c>
      <c r="U229" s="19">
        <v>2.8351000000000002</v>
      </c>
      <c r="V229" s="19">
        <v>0.51829199999999997</v>
      </c>
      <c r="W229" s="19">
        <v>2.4211999999999998</v>
      </c>
      <c r="X229" s="19">
        <v>0.51829199999999997</v>
      </c>
      <c r="Y229" s="19">
        <v>2.4211999999999998</v>
      </c>
      <c r="Z229" s="4"/>
      <c r="AA229" s="4"/>
      <c r="AB229" s="4" t="e">
        <f ca="1">_xll.ciqfunctions.udf.CIQ("^SPX", "IQ_PRICEDATE", "11/17/2014")</f>
        <v>#NAME?</v>
      </c>
      <c r="AC229" s="16">
        <v>2041.3181411687001</v>
      </c>
    </row>
    <row r="230" spans="1:29" x14ac:dyDescent="0.35">
      <c r="A230" s="2" t="s">
        <v>240</v>
      </c>
      <c r="B230" s="4" t="s">
        <v>1125</v>
      </c>
      <c r="C230" s="4" t="s">
        <v>669</v>
      </c>
      <c r="D230" s="4" t="s">
        <v>669</v>
      </c>
      <c r="E230" s="4" t="s">
        <v>670</v>
      </c>
      <c r="F230" s="4" t="s">
        <v>1126</v>
      </c>
      <c r="G230" s="14">
        <v>66.78</v>
      </c>
      <c r="H230" s="10">
        <v>6.460629</v>
      </c>
      <c r="I230" s="10">
        <v>8.4823199999999996</v>
      </c>
      <c r="J230" s="10">
        <v>3.6724160000000001</v>
      </c>
      <c r="K230" s="15">
        <v>1.9765999999999999E-2</v>
      </c>
      <c r="L230" s="17">
        <v>11665.805412</v>
      </c>
      <c r="M230" s="4" t="s">
        <v>1127</v>
      </c>
      <c r="N230" s="19">
        <v>7.872846</v>
      </c>
      <c r="O230" s="19">
        <v>6.6196000000000002</v>
      </c>
      <c r="P230" s="19">
        <v>4.5199999999999996</v>
      </c>
      <c r="Q230" s="19">
        <v>3.1905000000000001</v>
      </c>
      <c r="R230" s="19">
        <v>-1.484693</v>
      </c>
      <c r="S230" s="19">
        <v>1.8978999999999999</v>
      </c>
      <c r="T230" s="19">
        <v>-1.484693</v>
      </c>
      <c r="U230" s="19">
        <v>4.3582999999999998</v>
      </c>
      <c r="V230" s="19">
        <v>1.42</v>
      </c>
      <c r="W230" s="19">
        <v>2.9977</v>
      </c>
      <c r="X230" s="19">
        <v>1.42</v>
      </c>
      <c r="Y230" s="19">
        <v>2.9977</v>
      </c>
      <c r="Z230" s="4"/>
      <c r="AA230" s="4"/>
      <c r="AB230" s="4" t="e">
        <f ca="1">_xll.ciqfunctions.udf.CIQ("^SPX", "IQ_PRICEDATE", "11/18/2014")</f>
        <v>#NAME?</v>
      </c>
      <c r="AC230" s="16">
        <v>2051.7957989265001</v>
      </c>
    </row>
    <row r="231" spans="1:29" x14ac:dyDescent="0.35">
      <c r="A231" s="2" t="s">
        <v>241</v>
      </c>
      <c r="B231" s="4" t="s">
        <v>1128</v>
      </c>
      <c r="C231" s="4" t="s">
        <v>530</v>
      </c>
      <c r="D231" s="4" t="s">
        <v>531</v>
      </c>
      <c r="E231" s="4" t="s">
        <v>532</v>
      </c>
      <c r="F231" s="4" t="s">
        <v>533</v>
      </c>
      <c r="G231" s="14">
        <v>41.59</v>
      </c>
      <c r="H231" s="10">
        <v>13.499745000000001</v>
      </c>
      <c r="I231" s="10" t="s">
        <v>534</v>
      </c>
      <c r="J231" s="10" t="s">
        <v>534</v>
      </c>
      <c r="K231" s="15">
        <v>0</v>
      </c>
      <c r="L231" s="17">
        <v>11317.585921</v>
      </c>
      <c r="M231" s="4" t="s">
        <v>1129</v>
      </c>
      <c r="N231" s="19">
        <v>-0.29137600000000002</v>
      </c>
      <c r="O231" s="19">
        <v>2.37</v>
      </c>
      <c r="P231" s="19">
        <v>3.7781910000000001</v>
      </c>
      <c r="Q231" s="19">
        <v>2.1189800000000001</v>
      </c>
      <c r="R231" s="19">
        <v>1.17</v>
      </c>
      <c r="S231" s="19">
        <v>2.0952799999999998</v>
      </c>
      <c r="T231" s="19">
        <v>1.17</v>
      </c>
      <c r="U231" s="19">
        <v>1.82551</v>
      </c>
      <c r="V231" s="19">
        <v>0.17963499999999999</v>
      </c>
      <c r="W231" s="19">
        <v>1.5294700000000001</v>
      </c>
      <c r="X231" s="19">
        <v>0.17963499999999999</v>
      </c>
      <c r="Y231" s="19">
        <v>1.5294700000000001</v>
      </c>
      <c r="Z231" s="4"/>
      <c r="AA231" s="4"/>
      <c r="AB231" s="4" t="e">
        <f ca="1">_xll.ciqfunctions.udf.CIQ("^SPX", "IQ_PRICEDATE", "11/19/2014")</f>
        <v>#NAME?</v>
      </c>
      <c r="AC231" s="16">
        <v>2048.7209640499</v>
      </c>
    </row>
    <row r="232" spans="1:29" x14ac:dyDescent="0.35">
      <c r="A232" s="2" t="s">
        <v>242</v>
      </c>
      <c r="B232" s="4" t="s">
        <v>1130</v>
      </c>
      <c r="C232" s="4" t="s">
        <v>525</v>
      </c>
      <c r="D232" s="4" t="s">
        <v>526</v>
      </c>
      <c r="E232" s="4" t="s">
        <v>1077</v>
      </c>
      <c r="F232" s="4" t="s">
        <v>1077</v>
      </c>
      <c r="G232" s="14">
        <v>158.05000000000001</v>
      </c>
      <c r="H232" s="10">
        <v>14.336119999999999</v>
      </c>
      <c r="I232" s="10">
        <v>73.565415999999999</v>
      </c>
      <c r="J232" s="10" t="s">
        <v>534</v>
      </c>
      <c r="K232" s="15">
        <v>2.0752000000000003E-2</v>
      </c>
      <c r="L232" s="17">
        <v>117369.593792</v>
      </c>
      <c r="M232" s="4" t="s">
        <v>1131</v>
      </c>
      <c r="N232" s="19">
        <v>2.148428</v>
      </c>
      <c r="O232" s="19">
        <v>8.3530999999999995</v>
      </c>
      <c r="P232" s="19">
        <v>2.14</v>
      </c>
      <c r="Q232" s="19">
        <v>7.5151000000000003</v>
      </c>
      <c r="R232" s="19">
        <v>6.2</v>
      </c>
      <c r="S232" s="19">
        <v>6.8556999999999997</v>
      </c>
      <c r="T232" s="19">
        <v>6.2</v>
      </c>
      <c r="U232" s="19">
        <v>6.4187000000000003</v>
      </c>
      <c r="V232" s="19">
        <v>5.33</v>
      </c>
      <c r="W232" s="19">
        <v>5.9169999999999998</v>
      </c>
      <c r="X232" s="19">
        <v>5.33</v>
      </c>
      <c r="Y232" s="19">
        <v>5.9169999999999998</v>
      </c>
      <c r="Z232" s="4"/>
      <c r="AA232" s="4"/>
      <c r="AB232" s="4" t="e">
        <f ca="1">_xll.ciqfunctions.udf.CIQ("^SPX", "IQ_PRICEDATE", "11/20/2014")</f>
        <v>#NAME?</v>
      </c>
      <c r="AC232" s="16">
        <v>2052.7522479220002</v>
      </c>
    </row>
    <row r="233" spans="1:29" x14ac:dyDescent="0.35">
      <c r="A233" s="2" t="s">
        <v>243</v>
      </c>
      <c r="B233" s="4" t="s">
        <v>1132</v>
      </c>
      <c r="C233" s="4" t="s">
        <v>626</v>
      </c>
      <c r="D233" s="4" t="s">
        <v>627</v>
      </c>
      <c r="E233" s="4" t="s">
        <v>699</v>
      </c>
      <c r="F233" s="4" t="s">
        <v>789</v>
      </c>
      <c r="G233" s="14">
        <v>40.9</v>
      </c>
      <c r="H233" s="10">
        <v>16.366792</v>
      </c>
      <c r="I233" s="10">
        <v>22.971475000000002</v>
      </c>
      <c r="J233" s="10">
        <v>15.295895</v>
      </c>
      <c r="K233" s="15">
        <v>1.8337000000000003E-2</v>
      </c>
      <c r="L233" s="17">
        <v>21804.522273999999</v>
      </c>
      <c r="M233" s="4" t="s">
        <v>1133</v>
      </c>
      <c r="N233" s="19">
        <v>1.7804690000000001</v>
      </c>
      <c r="O233" s="19">
        <v>1.7768999999999999</v>
      </c>
      <c r="P233" s="19">
        <v>1.57</v>
      </c>
      <c r="Q233" s="19">
        <v>1.67</v>
      </c>
      <c r="R233" s="19">
        <v>1.64</v>
      </c>
      <c r="S233" s="19">
        <v>1.7055100000000001</v>
      </c>
      <c r="T233" s="19">
        <v>1.64</v>
      </c>
      <c r="U233" s="19">
        <v>1.45903</v>
      </c>
      <c r="V233" s="19">
        <v>1.1200000000000001</v>
      </c>
      <c r="W233" s="19">
        <v>1.27227</v>
      </c>
      <c r="X233" s="19">
        <v>1.1200000000000001</v>
      </c>
      <c r="Y233" s="19">
        <v>1.27227</v>
      </c>
      <c r="Z233" s="4"/>
      <c r="AA233" s="4"/>
      <c r="AB233" s="4" t="e">
        <f ca="1">_xll.ciqfunctions.udf.CIQ("^SPX", "IQ_PRICEDATE", "11/21/2014")</f>
        <v>#NAME?</v>
      </c>
      <c r="AC233" s="16">
        <v>2063.5024452877001</v>
      </c>
    </row>
    <row r="234" spans="1:29" x14ac:dyDescent="0.35">
      <c r="A234" s="2" t="s">
        <v>244</v>
      </c>
      <c r="B234" s="4" t="s">
        <v>1134</v>
      </c>
      <c r="C234" s="4" t="s">
        <v>601</v>
      </c>
      <c r="D234" s="4" t="s">
        <v>601</v>
      </c>
      <c r="E234" s="4" t="s">
        <v>602</v>
      </c>
      <c r="F234" s="4" t="s">
        <v>1135</v>
      </c>
      <c r="G234" s="14">
        <v>19.329999999999998</v>
      </c>
      <c r="H234" s="10">
        <v>12.242989</v>
      </c>
      <c r="I234" s="10">
        <v>21.959845000000001</v>
      </c>
      <c r="J234" s="10">
        <v>2.003409</v>
      </c>
      <c r="K234" s="15">
        <v>4.3973000000000005E-2</v>
      </c>
      <c r="L234" s="17">
        <v>14336.624992999999</v>
      </c>
      <c r="M234" s="4" t="s">
        <v>1136</v>
      </c>
      <c r="N234" s="19">
        <v>0.880243</v>
      </c>
      <c r="O234" s="19">
        <v>0.76629999999999998</v>
      </c>
      <c r="P234" s="19">
        <v>0.76</v>
      </c>
      <c r="Q234" s="19">
        <v>0.66769999999999996</v>
      </c>
      <c r="R234" s="19">
        <v>1.02</v>
      </c>
      <c r="S234" s="19">
        <v>0.64</v>
      </c>
      <c r="T234" s="19">
        <v>1.02</v>
      </c>
      <c r="U234" s="19">
        <v>0.73870000000000002</v>
      </c>
      <c r="V234" s="19">
        <v>0.96466700000000005</v>
      </c>
      <c r="W234" s="19">
        <v>0.75</v>
      </c>
      <c r="X234" s="19">
        <v>0.96466700000000005</v>
      </c>
      <c r="Y234" s="19">
        <v>0.75</v>
      </c>
      <c r="Z234" s="4"/>
      <c r="AA234" s="4"/>
      <c r="AB234" s="4" t="e">
        <f ca="1">_xll.ciqfunctions.udf.CIQ("^SPX", "IQ_PRICEDATE", "11/24/2014")</f>
        <v>#NAME?</v>
      </c>
      <c r="AC234" s="16">
        <v>2069.4102024734998</v>
      </c>
    </row>
    <row r="235" spans="1:29" x14ac:dyDescent="0.35">
      <c r="A235" s="2" t="s">
        <v>245</v>
      </c>
      <c r="B235" s="4" t="s">
        <v>1137</v>
      </c>
      <c r="C235" s="4" t="s">
        <v>543</v>
      </c>
      <c r="D235" s="4" t="s">
        <v>664</v>
      </c>
      <c r="E235" s="4" t="s">
        <v>688</v>
      </c>
      <c r="F235" s="4" t="s">
        <v>688</v>
      </c>
      <c r="G235" s="14">
        <v>23.87</v>
      </c>
      <c r="H235" s="10">
        <v>7.9920049999999998</v>
      </c>
      <c r="I235" s="10">
        <v>8.7068290000000008</v>
      </c>
      <c r="J235" s="10" t="s">
        <v>534</v>
      </c>
      <c r="K235" s="15">
        <v>2.6844999999999997E-2</v>
      </c>
      <c r="L235" s="17">
        <v>37772.091086</v>
      </c>
      <c r="M235" s="4" t="s">
        <v>1138</v>
      </c>
      <c r="N235" s="19">
        <v>2.7415259999999999</v>
      </c>
      <c r="O235" s="19">
        <v>2.1341999999999999</v>
      </c>
      <c r="P235" s="19">
        <v>1.48</v>
      </c>
      <c r="Q235" s="19">
        <v>1.8087599999999999</v>
      </c>
      <c r="R235" s="19">
        <v>1.53</v>
      </c>
      <c r="S235" s="19">
        <v>1.58786</v>
      </c>
      <c r="T235" s="19">
        <v>1.53</v>
      </c>
      <c r="U235" s="19">
        <v>1.6143700000000001</v>
      </c>
      <c r="V235" s="19">
        <v>1.53</v>
      </c>
      <c r="W235" s="19">
        <v>3.9609700000000001</v>
      </c>
      <c r="X235" s="19">
        <v>1.53</v>
      </c>
      <c r="Y235" s="19">
        <v>3.9609700000000001</v>
      </c>
      <c r="Z235" s="4"/>
      <c r="AA235" s="4"/>
      <c r="AB235" s="4" t="e">
        <f ca="1">_xll.ciqfunctions.udf.CIQ("^SPX", "IQ_PRICEDATE", "11/25/2014")</f>
        <v>#NAME?</v>
      </c>
      <c r="AC235" s="16">
        <v>2067.0345340898002</v>
      </c>
    </row>
    <row r="236" spans="1:29" x14ac:dyDescent="0.35">
      <c r="A236" s="2" t="s">
        <v>246</v>
      </c>
      <c r="B236" s="4" t="s">
        <v>1139</v>
      </c>
      <c r="C236" s="4" t="s">
        <v>530</v>
      </c>
      <c r="D236" s="4" t="s">
        <v>531</v>
      </c>
      <c r="E236" s="4" t="s">
        <v>569</v>
      </c>
      <c r="F236" s="4" t="s">
        <v>570</v>
      </c>
      <c r="G236" s="14">
        <v>328.08</v>
      </c>
      <c r="H236" s="10">
        <v>12.340733</v>
      </c>
      <c r="I236" s="10">
        <v>33.914434</v>
      </c>
      <c r="J236" s="10">
        <v>7.4929399999999999</v>
      </c>
      <c r="K236" s="15">
        <v>6.0960000000000007E-3</v>
      </c>
      <c r="L236" s="17">
        <v>45197.418569000001</v>
      </c>
      <c r="M236" s="4" t="s">
        <v>1140</v>
      </c>
      <c r="N236" s="19">
        <v>9.6737570000000002</v>
      </c>
      <c r="O236" s="19">
        <v>15.735300000000001</v>
      </c>
      <c r="P236" s="19">
        <v>16.809999999999999</v>
      </c>
      <c r="Q236" s="19">
        <v>11.841200000000001</v>
      </c>
      <c r="R236" s="19">
        <v>4.07</v>
      </c>
      <c r="S236" s="19">
        <v>10.41</v>
      </c>
      <c r="T236" s="19">
        <v>4.07</v>
      </c>
      <c r="U236" s="19">
        <v>8.5888000000000009</v>
      </c>
      <c r="V236" s="19">
        <v>7.36</v>
      </c>
      <c r="W236" s="19">
        <v>8.5393000000000008</v>
      </c>
      <c r="X236" s="19">
        <v>7.36</v>
      </c>
      <c r="Y236" s="19">
        <v>8.5393000000000008</v>
      </c>
      <c r="Z236" s="4"/>
      <c r="AA236" s="4"/>
      <c r="AB236" s="4" t="e">
        <f ca="1">_xll.ciqfunctions.udf.CIQ("^SPX", "IQ_PRICEDATE", "11/26/2014")</f>
        <v>#NAME?</v>
      </c>
      <c r="AC236" s="16">
        <v>2072.8294926639001</v>
      </c>
    </row>
    <row r="237" spans="1:29" x14ac:dyDescent="0.35">
      <c r="A237" s="2" t="s">
        <v>247</v>
      </c>
      <c r="B237" s="4" t="s">
        <v>1141</v>
      </c>
      <c r="C237" s="4" t="s">
        <v>573</v>
      </c>
      <c r="D237" s="4" t="s">
        <v>737</v>
      </c>
      <c r="E237" s="4" t="s">
        <v>737</v>
      </c>
      <c r="F237" s="4" t="s">
        <v>743</v>
      </c>
      <c r="G237" s="14">
        <v>14.39</v>
      </c>
      <c r="H237" s="10">
        <v>0</v>
      </c>
      <c r="I237" s="10">
        <v>12.197695</v>
      </c>
      <c r="J237" s="10">
        <v>1.996961</v>
      </c>
      <c r="K237" s="15">
        <v>3.8915000000000005E-2</v>
      </c>
      <c r="L237" s="17">
        <v>15889.820817</v>
      </c>
      <c r="M237" s="4" t="s">
        <v>1142</v>
      </c>
      <c r="N237" s="19">
        <v>1.1797310000000001</v>
      </c>
      <c r="O237" s="19">
        <v>1.3174999999999999</v>
      </c>
      <c r="P237" s="19">
        <v>1.0042359999999999</v>
      </c>
      <c r="Q237" s="19">
        <v>1.0569999999999999</v>
      </c>
      <c r="R237" s="19">
        <v>0.7</v>
      </c>
      <c r="S237" s="19">
        <v>0.93700000000000006</v>
      </c>
      <c r="T237" s="19">
        <v>0.7</v>
      </c>
      <c r="U237" s="19">
        <v>0.87780000000000002</v>
      </c>
      <c r="V237" s="19">
        <v>0.72</v>
      </c>
      <c r="W237" s="19">
        <v>0.78029999999999999</v>
      </c>
      <c r="X237" s="19">
        <v>0.72</v>
      </c>
      <c r="Y237" s="19">
        <v>0.78029999999999999</v>
      </c>
      <c r="Z237" s="4"/>
      <c r="AA237" s="4"/>
      <c r="AB237" s="4" t="e">
        <f ca="1">_xll.ciqfunctions.udf.CIQ("^SPX", "IQ_PRICEDATE", "11/28/2014")</f>
        <v>#NAME?</v>
      </c>
      <c r="AC237" s="16">
        <v>2067.5620445270001</v>
      </c>
    </row>
    <row r="238" spans="1:29" x14ac:dyDescent="0.35">
      <c r="A238" s="2" t="s">
        <v>248</v>
      </c>
      <c r="B238" s="4" t="s">
        <v>1143</v>
      </c>
      <c r="C238" s="4" t="s">
        <v>525</v>
      </c>
      <c r="D238" s="4" t="s">
        <v>526</v>
      </c>
      <c r="E238" s="4" t="s">
        <v>703</v>
      </c>
      <c r="F238" s="4" t="s">
        <v>703</v>
      </c>
      <c r="G238" s="14">
        <v>233.12</v>
      </c>
      <c r="H238" s="10">
        <v>9.6159199999999991</v>
      </c>
      <c r="I238" s="10">
        <v>17.266672</v>
      </c>
      <c r="J238" s="10" t="s">
        <v>534</v>
      </c>
      <c r="K238" s="15">
        <v>1.2354E-2</v>
      </c>
      <c r="L238" s="17">
        <v>10098.381212</v>
      </c>
      <c r="M238" s="4" t="s">
        <v>1144</v>
      </c>
      <c r="N238" s="19">
        <v>13.501154</v>
      </c>
      <c r="O238" s="19">
        <v>16.617599999999999</v>
      </c>
      <c r="P238" s="19">
        <v>10.46</v>
      </c>
      <c r="Q238" s="19">
        <v>12.1607</v>
      </c>
      <c r="R238" s="19">
        <v>12.14</v>
      </c>
      <c r="S238" s="19">
        <v>10.048999999999999</v>
      </c>
      <c r="T238" s="19">
        <v>12.14</v>
      </c>
      <c r="U238" s="19">
        <v>9.1852999999999998</v>
      </c>
      <c r="V238" s="19">
        <v>6.86</v>
      </c>
      <c r="W238" s="19">
        <v>8.0312999999999999</v>
      </c>
      <c r="X238" s="19">
        <v>6.86</v>
      </c>
      <c r="Y238" s="19">
        <v>8.0312999999999999</v>
      </c>
      <c r="Z238" s="4"/>
      <c r="AA238" s="4"/>
      <c r="AB238" s="4" t="e">
        <f ca="1">_xll.ciqfunctions.udf.CIQ("^SPX", "IQ_PRICEDATE", "12/1/2014")</f>
        <v>#NAME?</v>
      </c>
      <c r="AC238" s="16">
        <v>2053.4400601961001</v>
      </c>
    </row>
    <row r="239" spans="1:29" x14ac:dyDescent="0.35">
      <c r="A239" s="2" t="s">
        <v>249</v>
      </c>
      <c r="B239" s="4" t="s">
        <v>1145</v>
      </c>
      <c r="C239" s="4" t="s">
        <v>530</v>
      </c>
      <c r="D239" s="4" t="s">
        <v>531</v>
      </c>
      <c r="E239" s="4" t="s">
        <v>532</v>
      </c>
      <c r="F239" s="4" t="s">
        <v>533</v>
      </c>
      <c r="G239" s="14">
        <v>228.49</v>
      </c>
      <c r="H239" s="10">
        <v>38.185912999999999</v>
      </c>
      <c r="I239" s="10">
        <v>66.313771000000003</v>
      </c>
      <c r="J239" s="10" t="s">
        <v>534</v>
      </c>
      <c r="K239" s="15">
        <v>0</v>
      </c>
      <c r="L239" s="17">
        <v>19785.169364000001</v>
      </c>
      <c r="M239" s="4" t="s">
        <v>1146</v>
      </c>
      <c r="N239" s="19">
        <v>3.445589</v>
      </c>
      <c r="O239" s="19">
        <v>4.4249999999999998</v>
      </c>
      <c r="P239" s="19">
        <v>2.94</v>
      </c>
      <c r="Q239" s="19">
        <v>3.4529000000000001</v>
      </c>
      <c r="R239" s="19">
        <v>2.44</v>
      </c>
      <c r="S239" s="19">
        <v>2.7244999999999999</v>
      </c>
      <c r="T239" s="19">
        <v>2.44</v>
      </c>
      <c r="U239" s="19">
        <v>2.1274999999999999</v>
      </c>
      <c r="V239" s="19">
        <v>1.79</v>
      </c>
      <c r="W239" s="19">
        <v>2.0825</v>
      </c>
      <c r="X239" s="19">
        <v>1.79</v>
      </c>
      <c r="Y239" s="19">
        <v>2.0825</v>
      </c>
      <c r="Z239" s="4"/>
      <c r="AA239" s="4"/>
      <c r="AB239" s="4" t="e">
        <f ca="1">_xll.ciqfunctions.udf.CIQ("^SPX", "IQ_PRICEDATE", "12/2/2014")</f>
        <v>#NAME?</v>
      </c>
      <c r="AC239" s="16">
        <v>2066.5486235941999</v>
      </c>
    </row>
    <row r="240" spans="1:29" x14ac:dyDescent="0.35">
      <c r="A240" s="2" t="s">
        <v>250</v>
      </c>
      <c r="B240" s="4" t="s">
        <v>1147</v>
      </c>
      <c r="C240" s="4" t="s">
        <v>525</v>
      </c>
      <c r="D240" s="4" t="s">
        <v>855</v>
      </c>
      <c r="E240" s="4" t="s">
        <v>990</v>
      </c>
      <c r="F240" s="4" t="s">
        <v>991</v>
      </c>
      <c r="G240" s="14">
        <v>52.57</v>
      </c>
      <c r="H240" s="10">
        <v>20.822817000000001</v>
      </c>
      <c r="I240" s="10">
        <v>38.133440999999998</v>
      </c>
      <c r="J240" s="10" t="s">
        <v>534</v>
      </c>
      <c r="K240" s="15">
        <v>0</v>
      </c>
      <c r="L240" s="17">
        <v>20721.266089000001</v>
      </c>
      <c r="M240" s="4" t="s">
        <v>1148</v>
      </c>
      <c r="N240" s="19">
        <v>1.3785799999999999</v>
      </c>
      <c r="O240" s="19">
        <v>2.4763999999999999</v>
      </c>
      <c r="P240" s="19">
        <v>1</v>
      </c>
      <c r="Q240" s="19">
        <v>2.1244999999999998</v>
      </c>
      <c r="R240" s="19">
        <v>0.45</v>
      </c>
      <c r="S240" s="19">
        <v>1.9504999999999999</v>
      </c>
      <c r="T240" s="19">
        <v>0.45</v>
      </c>
      <c r="U240" s="19">
        <v>0</v>
      </c>
      <c r="V240" s="19">
        <v>0.72</v>
      </c>
      <c r="W240" s="19">
        <v>0</v>
      </c>
      <c r="X240" s="19">
        <v>0.72</v>
      </c>
      <c r="Y240" s="19">
        <v>0</v>
      </c>
      <c r="Z240" s="4"/>
      <c r="AA240" s="4"/>
      <c r="AB240" s="4" t="e">
        <f ca="1">_xll.ciqfunctions.udf.CIQ("^SPX", "IQ_PRICEDATE", "12/3/2014")</f>
        <v>#NAME?</v>
      </c>
      <c r="AC240" s="16">
        <v>2074.3346391546002</v>
      </c>
    </row>
    <row r="241" spans="1:29" x14ac:dyDescent="0.35">
      <c r="A241" s="2" t="s">
        <v>251</v>
      </c>
      <c r="B241" s="4" t="s">
        <v>1149</v>
      </c>
      <c r="C241" s="4" t="s">
        <v>525</v>
      </c>
      <c r="D241" s="4" t="s">
        <v>526</v>
      </c>
      <c r="E241" s="4" t="s">
        <v>803</v>
      </c>
      <c r="F241" s="4" t="s">
        <v>948</v>
      </c>
      <c r="G241" s="14">
        <v>132.01</v>
      </c>
      <c r="H241" s="10">
        <v>12.407420999999999</v>
      </c>
      <c r="I241" s="10">
        <v>24.096838000000002</v>
      </c>
      <c r="J241" s="10" t="s">
        <v>534</v>
      </c>
      <c r="K241" s="15">
        <v>3.0299999999999997E-2</v>
      </c>
      <c r="L241" s="17">
        <v>44269.946494000003</v>
      </c>
      <c r="M241" s="4" t="s">
        <v>1150</v>
      </c>
      <c r="N241" s="19">
        <v>5.4783119999999998</v>
      </c>
      <c r="O241" s="19">
        <v>7.8270999999999997</v>
      </c>
      <c r="P241" s="19">
        <v>4.8600000000000003</v>
      </c>
      <c r="Q241" s="19">
        <v>7.0208000000000004</v>
      </c>
      <c r="R241" s="19">
        <v>5.7</v>
      </c>
      <c r="S241" s="19">
        <v>6.0159000000000002</v>
      </c>
      <c r="T241" s="19">
        <v>5.7</v>
      </c>
      <c r="U241" s="19">
        <v>5.3254000000000001</v>
      </c>
      <c r="V241" s="19">
        <v>4.67</v>
      </c>
      <c r="W241" s="19">
        <v>5.1177999999999999</v>
      </c>
      <c r="X241" s="19">
        <v>4.67</v>
      </c>
      <c r="Y241" s="19">
        <v>5.1177999999999999</v>
      </c>
      <c r="Z241" s="4"/>
      <c r="AA241" s="4"/>
      <c r="AB241" s="4" t="e">
        <f ca="1">_xll.ciqfunctions.udf.CIQ("^SPX", "IQ_PRICEDATE", "12/4/2014")</f>
        <v>#NAME?</v>
      </c>
      <c r="AC241" s="16">
        <v>2071.9155710278001</v>
      </c>
    </row>
    <row r="242" spans="1:29" x14ac:dyDescent="0.35">
      <c r="A242" s="2" t="s">
        <v>252</v>
      </c>
      <c r="B242" s="4" t="s">
        <v>1151</v>
      </c>
      <c r="C242" s="4" t="s">
        <v>530</v>
      </c>
      <c r="D242" s="4" t="s">
        <v>537</v>
      </c>
      <c r="E242" s="4" t="s">
        <v>583</v>
      </c>
      <c r="F242" s="4" t="s">
        <v>583</v>
      </c>
      <c r="G242" s="14">
        <v>328.96</v>
      </c>
      <c r="H242" s="10">
        <v>46.618369999999999</v>
      </c>
      <c r="I242" s="10">
        <v>74.801428000000001</v>
      </c>
      <c r="J242" s="10">
        <v>21.772679</v>
      </c>
      <c r="K242" s="15">
        <v>0</v>
      </c>
      <c r="L242" s="17">
        <v>48357.120000000003</v>
      </c>
      <c r="M242" s="4" t="s">
        <v>1152</v>
      </c>
      <c r="N242" s="19">
        <v>4.3977769999999996</v>
      </c>
      <c r="O242" s="19">
        <v>5.5975000000000001</v>
      </c>
      <c r="P242" s="19">
        <v>4.92</v>
      </c>
      <c r="Q242" s="19">
        <v>4.4610000000000003</v>
      </c>
      <c r="R242" s="19">
        <v>2.9797060000000002</v>
      </c>
      <c r="S242" s="19">
        <v>3.5125000000000002</v>
      </c>
      <c r="T242" s="19">
        <v>2.9797060000000002</v>
      </c>
      <c r="U242" s="19">
        <v>3.5518000000000001</v>
      </c>
      <c r="V242" s="19">
        <v>2.37</v>
      </c>
      <c r="W242" s="19">
        <v>3.0598000000000001</v>
      </c>
      <c r="X242" s="19">
        <v>2.37</v>
      </c>
      <c r="Y242" s="19">
        <v>3.0598000000000001</v>
      </c>
      <c r="Z242" s="4"/>
      <c r="AA242" s="4"/>
      <c r="AB242" s="4" t="e">
        <f ca="1">_xll.ciqfunctions.udf.CIQ("^SPX", "IQ_PRICEDATE", "12/5/2014")</f>
        <v>#NAME?</v>
      </c>
      <c r="AC242" s="16">
        <v>2075.3681926275999</v>
      </c>
    </row>
    <row r="243" spans="1:29" x14ac:dyDescent="0.35">
      <c r="A243" s="2" t="s">
        <v>253</v>
      </c>
      <c r="B243" s="4" t="s">
        <v>1153</v>
      </c>
      <c r="C243" s="4" t="s">
        <v>530</v>
      </c>
      <c r="D243" s="4" t="s">
        <v>537</v>
      </c>
      <c r="E243" s="4" t="s">
        <v>538</v>
      </c>
      <c r="F243" s="4" t="s">
        <v>538</v>
      </c>
      <c r="G243" s="14">
        <v>65.040000000000006</v>
      </c>
      <c r="H243" s="10" t="s">
        <v>534</v>
      </c>
      <c r="I243" s="10" t="s">
        <v>534</v>
      </c>
      <c r="J243" s="10">
        <v>10.224328</v>
      </c>
      <c r="K243" s="15">
        <v>0</v>
      </c>
      <c r="L243" s="17">
        <v>13826.037283</v>
      </c>
      <c r="M243" s="4" t="s">
        <v>1154</v>
      </c>
      <c r="N243" s="19">
        <v>-0.48619499999999999</v>
      </c>
      <c r="O243" s="19">
        <v>1.7767999999999999</v>
      </c>
      <c r="P243" s="19">
        <v>-1.5306569999999999</v>
      </c>
      <c r="Q243" s="19">
        <v>0.2218</v>
      </c>
      <c r="R243" s="19">
        <v>0.54</v>
      </c>
      <c r="S243" s="19">
        <v>1.2790999999999999</v>
      </c>
      <c r="T243" s="19">
        <v>0.54</v>
      </c>
      <c r="U243" s="19">
        <v>0.2427</v>
      </c>
      <c r="V243" s="19">
        <v>-0.28999999999999998</v>
      </c>
      <c r="W243" s="19">
        <v>-0.30499999999999999</v>
      </c>
      <c r="X243" s="19">
        <v>-0.28999999999999998</v>
      </c>
      <c r="Y243" s="19">
        <v>-0.30499999999999999</v>
      </c>
      <c r="Z243" s="4"/>
      <c r="AA243" s="4"/>
      <c r="AB243" s="4" t="e">
        <f ca="1">_xll.ciqfunctions.udf.CIQ("^SPX", "IQ_PRICEDATE", "12/8/2014")</f>
        <v>#NAME?</v>
      </c>
      <c r="AC243" s="16">
        <v>2060.3101311963001</v>
      </c>
    </row>
    <row r="244" spans="1:29" x14ac:dyDescent="0.35">
      <c r="A244" s="2" t="s">
        <v>254</v>
      </c>
      <c r="B244" s="4" t="s">
        <v>1155</v>
      </c>
      <c r="C244" s="4" t="s">
        <v>525</v>
      </c>
      <c r="D244" s="4" t="s">
        <v>526</v>
      </c>
      <c r="E244" s="4" t="s">
        <v>803</v>
      </c>
      <c r="F244" s="4" t="s">
        <v>948</v>
      </c>
      <c r="G244" s="14">
        <v>97.52</v>
      </c>
      <c r="H244" s="10">
        <v>12.479763999999999</v>
      </c>
      <c r="I244" s="10">
        <v>17.215479999999999</v>
      </c>
      <c r="J244" s="10" t="s">
        <v>534</v>
      </c>
      <c r="K244" s="15">
        <v>2.1739000000000001E-2</v>
      </c>
      <c r="L244" s="17">
        <v>23922.588876000002</v>
      </c>
      <c r="M244" s="4" t="s">
        <v>1156</v>
      </c>
      <c r="N244" s="19">
        <v>5.664669</v>
      </c>
      <c r="O244" s="19">
        <v>5.9066999999999998</v>
      </c>
      <c r="P244" s="19">
        <v>5.14</v>
      </c>
      <c r="Q244" s="19">
        <v>4.9977999999999998</v>
      </c>
      <c r="R244" s="19">
        <v>5.52</v>
      </c>
      <c r="S244" s="19">
        <v>4.3587999999999996</v>
      </c>
      <c r="T244" s="19">
        <v>5.52</v>
      </c>
      <c r="U244" s="19">
        <v>3.9148000000000001</v>
      </c>
      <c r="V244" s="19">
        <v>3.27</v>
      </c>
      <c r="W244" s="19">
        <v>3.6715</v>
      </c>
      <c r="X244" s="19">
        <v>3.27</v>
      </c>
      <c r="Y244" s="19">
        <v>3.6715</v>
      </c>
      <c r="Z244" s="4"/>
      <c r="AA244" s="4"/>
      <c r="AB244" s="4" t="e">
        <f ca="1">_xll.ciqfunctions.udf.CIQ("^SPX", "IQ_PRICEDATE", "12/9/2014")</f>
        <v>#NAME?</v>
      </c>
      <c r="AC244" s="16">
        <v>2059.8161266401999</v>
      </c>
    </row>
    <row r="245" spans="1:29" x14ac:dyDescent="0.35">
      <c r="A245" s="2" t="s">
        <v>255</v>
      </c>
      <c r="B245" s="4" t="s">
        <v>1157</v>
      </c>
      <c r="C245" s="4" t="s">
        <v>543</v>
      </c>
      <c r="D245" s="4" t="s">
        <v>565</v>
      </c>
      <c r="E245" s="4" t="s">
        <v>565</v>
      </c>
      <c r="F245" s="4" t="s">
        <v>566</v>
      </c>
      <c r="G245" s="14">
        <v>45.89</v>
      </c>
      <c r="H245" s="10">
        <v>7.8529540000000004</v>
      </c>
      <c r="I245" s="10">
        <v>16.549143999999998</v>
      </c>
      <c r="J245" s="10">
        <v>6.2979580000000004</v>
      </c>
      <c r="K245" s="15">
        <v>2.6148999999999999E-2</v>
      </c>
      <c r="L245" s="17">
        <v>211598.79</v>
      </c>
      <c r="M245" s="4" t="s">
        <v>1158</v>
      </c>
      <c r="N245" s="19">
        <v>2.7729529999999998</v>
      </c>
      <c r="O245" s="19">
        <v>4.1656000000000004</v>
      </c>
      <c r="P245" s="19">
        <v>1.99</v>
      </c>
      <c r="Q245" s="19">
        <v>3.2406999999999999</v>
      </c>
      <c r="R245" s="19">
        <v>2.12</v>
      </c>
      <c r="S245" s="19">
        <v>2.7601</v>
      </c>
      <c r="T245" s="19">
        <v>2.12</v>
      </c>
      <c r="U245" s="19">
        <v>2.3210999999999999</v>
      </c>
      <c r="V245" s="19">
        <v>2.31</v>
      </c>
      <c r="W245" s="19">
        <v>2.3691</v>
      </c>
      <c r="X245" s="19">
        <v>2.31</v>
      </c>
      <c r="Y245" s="19">
        <v>2.3691</v>
      </c>
      <c r="Z245" s="4"/>
      <c r="AA245" s="4"/>
      <c r="AB245" s="4" t="e">
        <f ca="1">_xll.ciqfunctions.udf.CIQ("^SPX", "IQ_PRICEDATE", "12/10/2014")</f>
        <v>#NAME?</v>
      </c>
      <c r="AC245" s="16">
        <v>2026.1434555635999</v>
      </c>
    </row>
    <row r="246" spans="1:29" x14ac:dyDescent="0.35">
      <c r="A246" s="2" t="s">
        <v>256</v>
      </c>
      <c r="B246" s="4" t="s">
        <v>1159</v>
      </c>
      <c r="C246" s="4" t="s">
        <v>573</v>
      </c>
      <c r="D246" s="4" t="s">
        <v>574</v>
      </c>
      <c r="E246" s="4" t="s">
        <v>575</v>
      </c>
      <c r="F246" s="4" t="s">
        <v>807</v>
      </c>
      <c r="G246" s="14">
        <v>73.569999999999993</v>
      </c>
      <c r="H246" s="10">
        <v>16.175283</v>
      </c>
      <c r="I246" s="10">
        <v>17.216322999999999</v>
      </c>
      <c r="J246" s="10" t="s">
        <v>534</v>
      </c>
      <c r="K246" s="15">
        <v>1.3047999999999999E-2</v>
      </c>
      <c r="L246" s="17">
        <v>42187.726394999998</v>
      </c>
      <c r="M246" s="4" t="s">
        <v>1160</v>
      </c>
      <c r="N246" s="19">
        <v>4.2732700000000001</v>
      </c>
      <c r="O246" s="19">
        <v>3.5750999999999999</v>
      </c>
      <c r="P246" s="19">
        <v>4.2300000000000004</v>
      </c>
      <c r="Q246" s="19">
        <v>3.2305000000000001</v>
      </c>
      <c r="R246" s="19">
        <v>2.37</v>
      </c>
      <c r="S246" s="19">
        <v>2.9710999999999999</v>
      </c>
      <c r="T246" s="19">
        <v>2.37</v>
      </c>
      <c r="U246" s="19">
        <v>2.6977000000000002</v>
      </c>
      <c r="V246" s="19">
        <v>1.69</v>
      </c>
      <c r="W246" s="19">
        <v>2.2726000000000002</v>
      </c>
      <c r="X246" s="19">
        <v>1.69</v>
      </c>
      <c r="Y246" s="19">
        <v>2.2726000000000002</v>
      </c>
      <c r="Z246" s="4"/>
      <c r="AA246" s="4"/>
      <c r="AB246" s="4" t="e">
        <f ca="1">_xll.ciqfunctions.udf.CIQ("^SPX", "IQ_PRICEDATE", "12/11/2014")</f>
        <v>#NAME?</v>
      </c>
      <c r="AC246" s="16">
        <v>2035.3266285533</v>
      </c>
    </row>
    <row r="247" spans="1:29" x14ac:dyDescent="0.35">
      <c r="A247" s="2" t="s">
        <v>257</v>
      </c>
      <c r="B247" s="4" t="s">
        <v>1161</v>
      </c>
      <c r="C247" s="4" t="s">
        <v>543</v>
      </c>
      <c r="D247" s="4" t="s">
        <v>544</v>
      </c>
      <c r="E247" s="4" t="s">
        <v>545</v>
      </c>
      <c r="F247" s="4" t="s">
        <v>546</v>
      </c>
      <c r="G247" s="14">
        <v>134.05000000000001</v>
      </c>
      <c r="H247" s="10">
        <v>9.2836680000000005</v>
      </c>
      <c r="I247" s="10">
        <v>21.612307999999999</v>
      </c>
      <c r="J247" s="10" t="s">
        <v>534</v>
      </c>
      <c r="K247" s="15">
        <v>4.6848000000000001E-2</v>
      </c>
      <c r="L247" s="17">
        <v>122356.57573500001</v>
      </c>
      <c r="M247" s="4" t="s">
        <v>1162</v>
      </c>
      <c r="N247" s="19">
        <v>6.2024840000000001</v>
      </c>
      <c r="O247" s="19">
        <v>13.776300000000001</v>
      </c>
      <c r="P247" s="19">
        <v>6.1404820000000004</v>
      </c>
      <c r="Q247" s="19">
        <v>14.017099999999999</v>
      </c>
      <c r="R247" s="19">
        <v>12.39</v>
      </c>
      <c r="S247" s="19">
        <v>14.0162</v>
      </c>
      <c r="T247" s="19">
        <v>12.39</v>
      </c>
      <c r="U247" s="19">
        <v>14.968299999999999</v>
      </c>
      <c r="V247" s="19">
        <v>15.593061000000001</v>
      </c>
      <c r="W247" s="19">
        <v>16.736899999999999</v>
      </c>
      <c r="X247" s="19">
        <v>15.593061000000001</v>
      </c>
      <c r="Y247" s="19">
        <v>16.736899999999999</v>
      </c>
      <c r="Z247" s="4"/>
      <c r="AA247" s="4"/>
      <c r="AB247" s="4" t="e">
        <f ca="1">_xll.ciqfunctions.udf.CIQ("^SPX", "IQ_PRICEDATE", "12/12/2014")</f>
        <v>#NAME?</v>
      </c>
      <c r="AC247" s="16">
        <v>2002.3342396802</v>
      </c>
    </row>
    <row r="248" spans="1:29" x14ac:dyDescent="0.35">
      <c r="A248" s="2" t="s">
        <v>258</v>
      </c>
      <c r="B248" s="4" t="s">
        <v>1163</v>
      </c>
      <c r="C248" s="4" t="s">
        <v>586</v>
      </c>
      <c r="D248" s="4" t="s">
        <v>586</v>
      </c>
      <c r="E248" s="4" t="s">
        <v>587</v>
      </c>
      <c r="F248" s="4" t="s">
        <v>598</v>
      </c>
      <c r="G248" s="14">
        <v>138.22999999999999</v>
      </c>
      <c r="H248" s="10">
        <v>20.308163</v>
      </c>
      <c r="I248" s="10">
        <v>36.862974000000001</v>
      </c>
      <c r="J248" s="10">
        <v>52.070168000000002</v>
      </c>
      <c r="K248" s="15">
        <v>2.1124E-2</v>
      </c>
      <c r="L248" s="17">
        <v>14742.229499999999</v>
      </c>
      <c r="M248" s="4" t="s">
        <v>1164</v>
      </c>
      <c r="N248" s="19">
        <v>3.7498330000000002</v>
      </c>
      <c r="O248" s="19">
        <v>6.1638000000000002</v>
      </c>
      <c r="P248" s="19">
        <v>3.72</v>
      </c>
      <c r="Q248" s="19">
        <v>6.1523000000000003</v>
      </c>
      <c r="R248" s="19">
        <v>5.05</v>
      </c>
      <c r="S248" s="19">
        <v>5.76</v>
      </c>
      <c r="T248" s="19">
        <v>5.05</v>
      </c>
      <c r="U248" s="19">
        <v>5.4825999999999997</v>
      </c>
      <c r="V248" s="19">
        <v>5.0599999999999996</v>
      </c>
      <c r="W248" s="19">
        <v>5.3129999999999997</v>
      </c>
      <c r="X248" s="19">
        <v>5.0599999999999996</v>
      </c>
      <c r="Y248" s="19">
        <v>5.3129999999999997</v>
      </c>
      <c r="Z248" s="4"/>
      <c r="AA248" s="4"/>
      <c r="AB248" s="4" t="e">
        <f ca="1">_xll.ciqfunctions.udf.CIQ("^SPX", "IQ_PRICEDATE", "12/15/2014")</f>
        <v>#NAME?</v>
      </c>
      <c r="AC248" s="16">
        <v>1989.6307630511999</v>
      </c>
    </row>
    <row r="249" spans="1:29" x14ac:dyDescent="0.35">
      <c r="A249" s="2" t="s">
        <v>259</v>
      </c>
      <c r="B249" s="4" t="s">
        <v>1165</v>
      </c>
      <c r="C249" s="4" t="s">
        <v>586</v>
      </c>
      <c r="D249" s="4" t="s">
        <v>586</v>
      </c>
      <c r="E249" s="4" t="s">
        <v>726</v>
      </c>
      <c r="F249" s="4" t="s">
        <v>727</v>
      </c>
      <c r="G249" s="14">
        <v>43.2</v>
      </c>
      <c r="H249" s="10">
        <v>7.1976259999999996</v>
      </c>
      <c r="I249" s="10">
        <v>6.9000849999999998</v>
      </c>
      <c r="J249" s="10">
        <v>5.0965030000000002</v>
      </c>
      <c r="K249" s="15">
        <v>4.6295999999999997E-2</v>
      </c>
      <c r="L249" s="17">
        <v>17663.532407999999</v>
      </c>
      <c r="M249" s="4" t="s">
        <v>1166</v>
      </c>
      <c r="N249" s="19">
        <v>6.2607920000000004</v>
      </c>
      <c r="O249" s="19">
        <v>5.5339</v>
      </c>
      <c r="P249" s="19">
        <v>5.05</v>
      </c>
      <c r="Q249" s="19">
        <v>4.3665000000000003</v>
      </c>
      <c r="R249" s="19">
        <v>1.93</v>
      </c>
      <c r="S249" s="19">
        <v>3.7856999999999998</v>
      </c>
      <c r="T249" s="19">
        <v>1.93</v>
      </c>
      <c r="U249" s="19">
        <v>3.8092000000000001</v>
      </c>
      <c r="V249" s="19">
        <v>1.31</v>
      </c>
      <c r="W249" s="19">
        <v>3.6678000000000002</v>
      </c>
      <c r="X249" s="19">
        <v>1.31</v>
      </c>
      <c r="Y249" s="19">
        <v>3.6678000000000002</v>
      </c>
      <c r="Z249" s="4"/>
      <c r="AA249" s="4"/>
      <c r="AB249" s="4" t="e">
        <f ca="1">_xll.ciqfunctions.udf.CIQ("^SPX", "IQ_PRICEDATE", "12/16/2014")</f>
        <v>#NAME?</v>
      </c>
      <c r="AC249" s="16">
        <v>1972.7364597573001</v>
      </c>
    </row>
    <row r="250" spans="1:29" x14ac:dyDescent="0.35">
      <c r="A250" s="2" t="s">
        <v>260</v>
      </c>
      <c r="B250" s="4" t="s">
        <v>1167</v>
      </c>
      <c r="C250" s="4" t="s">
        <v>543</v>
      </c>
      <c r="D250" s="4" t="s">
        <v>544</v>
      </c>
      <c r="E250" s="4" t="s">
        <v>555</v>
      </c>
      <c r="F250" s="4" t="s">
        <v>556</v>
      </c>
      <c r="G250" s="14">
        <v>218.83</v>
      </c>
      <c r="H250" s="10">
        <v>31.888824</v>
      </c>
      <c r="I250" s="10">
        <v>47.161636999999999</v>
      </c>
      <c r="J250" s="10">
        <v>82.980863999999997</v>
      </c>
      <c r="K250" s="15">
        <v>8.5909999999999997E-3</v>
      </c>
      <c r="L250" s="17">
        <v>56605.110605000002</v>
      </c>
      <c r="M250" s="4" t="s">
        <v>1168</v>
      </c>
      <c r="N250" s="19">
        <v>4.6399999999999997</v>
      </c>
      <c r="O250" s="19">
        <v>6.4806299999999997</v>
      </c>
      <c r="P250" s="19">
        <v>3.7771970000000001</v>
      </c>
      <c r="Q250" s="19">
        <v>4.9840999999999998</v>
      </c>
      <c r="R250" s="19">
        <v>3.076711</v>
      </c>
      <c r="S250" s="19">
        <v>4.4196</v>
      </c>
      <c r="T250" s="19">
        <v>3.076711</v>
      </c>
      <c r="U250" s="19">
        <v>3.5710999999999999</v>
      </c>
      <c r="V250" s="19">
        <v>2.8676759999999999</v>
      </c>
      <c r="W250" s="19">
        <v>2.5811999999999999</v>
      </c>
      <c r="X250" s="19">
        <v>2.8676759999999999</v>
      </c>
      <c r="Y250" s="19">
        <v>2.5811999999999999</v>
      </c>
      <c r="Z250" s="4"/>
      <c r="AA250" s="4"/>
      <c r="AB250" s="4" t="e">
        <f ca="1">_xll.ciqfunctions.udf.CIQ("^SPX", "IQ_PRICEDATE", "12/17/2014")</f>
        <v>#NAME?</v>
      </c>
      <c r="AC250" s="16">
        <v>2012.8859796547999</v>
      </c>
    </row>
    <row r="251" spans="1:29" x14ac:dyDescent="0.35">
      <c r="A251" s="2" t="s">
        <v>261</v>
      </c>
      <c r="B251" s="4" t="s">
        <v>1169</v>
      </c>
      <c r="C251" s="4" t="s">
        <v>530</v>
      </c>
      <c r="D251" s="4" t="s">
        <v>531</v>
      </c>
      <c r="E251" s="4" t="s">
        <v>532</v>
      </c>
      <c r="F251" s="4" t="s">
        <v>533</v>
      </c>
      <c r="G251" s="14">
        <v>542.91</v>
      </c>
      <c r="H251" s="10">
        <v>44.728051000000001</v>
      </c>
      <c r="I251" s="10">
        <v>80.058972999999995</v>
      </c>
      <c r="J251" s="10">
        <v>11.144607000000001</v>
      </c>
      <c r="K251" s="15">
        <v>0</v>
      </c>
      <c r="L251" s="17">
        <v>61754.706258999999</v>
      </c>
      <c r="M251" s="4" t="s">
        <v>1170</v>
      </c>
      <c r="N251" s="19">
        <v>6.7813759999999998</v>
      </c>
      <c r="O251" s="19">
        <v>11.362399999999999</v>
      </c>
      <c r="P251" s="19">
        <v>5.67</v>
      </c>
      <c r="Q251" s="19">
        <v>8.8413000000000004</v>
      </c>
      <c r="R251" s="19">
        <v>6.24</v>
      </c>
      <c r="S251" s="19">
        <v>7.8052000000000001</v>
      </c>
      <c r="T251" s="19">
        <v>6.24</v>
      </c>
      <c r="U251" s="19">
        <v>6.3647</v>
      </c>
      <c r="V251" s="19">
        <v>3.7033</v>
      </c>
      <c r="W251" s="19">
        <v>5.6635999999999997</v>
      </c>
      <c r="X251" s="19">
        <v>3.7033</v>
      </c>
      <c r="Y251" s="19">
        <v>5.6635999999999997</v>
      </c>
      <c r="Z251" s="4"/>
      <c r="AA251" s="4"/>
      <c r="AB251" s="4" t="e">
        <f ca="1">_xll.ciqfunctions.udf.CIQ("^SPX", "IQ_PRICEDATE", "12/18/2014")</f>
        <v>#NAME?</v>
      </c>
      <c r="AC251" s="16">
        <v>2061.2301186246</v>
      </c>
    </row>
    <row r="252" spans="1:29" x14ac:dyDescent="0.35">
      <c r="A252" s="2" t="s">
        <v>262</v>
      </c>
      <c r="B252" s="4" t="s">
        <v>1171</v>
      </c>
      <c r="C252" s="4" t="s">
        <v>573</v>
      </c>
      <c r="D252" s="4" t="s">
        <v>574</v>
      </c>
      <c r="E252" s="4" t="s">
        <v>575</v>
      </c>
      <c r="F252" s="4" t="s">
        <v>576</v>
      </c>
      <c r="G252" s="14">
        <v>20.94</v>
      </c>
      <c r="H252" s="10">
        <v>9.7137360000000008</v>
      </c>
      <c r="I252" s="10">
        <v>7.3317629999999996</v>
      </c>
      <c r="J252" s="10" t="s">
        <v>534</v>
      </c>
      <c r="K252" s="15">
        <v>5.7305999999999996E-2</v>
      </c>
      <c r="L252" s="17">
        <v>8603.1766779999998</v>
      </c>
      <c r="M252" s="4" t="s">
        <v>1172</v>
      </c>
      <c r="N252" s="19">
        <v>2.8560660000000002</v>
      </c>
      <c r="O252" s="19">
        <v>2.6720000000000002</v>
      </c>
      <c r="P252" s="19">
        <v>2.75</v>
      </c>
      <c r="Q252" s="19">
        <v>2.8094000000000001</v>
      </c>
      <c r="R252" s="19">
        <v>2.0598019999999999</v>
      </c>
      <c r="S252" s="19">
        <v>2.5004</v>
      </c>
      <c r="T252" s="19">
        <v>2.0598019999999999</v>
      </c>
      <c r="U252" s="19">
        <v>2.5954999999999999</v>
      </c>
      <c r="V252" s="19">
        <v>2.2794599999999998</v>
      </c>
      <c r="W252" s="19">
        <v>2.6703999999999999</v>
      </c>
      <c r="X252" s="19">
        <v>2.2794599999999998</v>
      </c>
      <c r="Y252" s="19">
        <v>2.6703999999999999</v>
      </c>
      <c r="Z252" s="4"/>
      <c r="AA252" s="4"/>
      <c r="AB252" s="4" t="e">
        <f ca="1">_xll.ciqfunctions.udf.CIQ("^SPX", "IQ_PRICEDATE", "12/19/2014")</f>
        <v>#NAME?</v>
      </c>
      <c r="AC252" s="16">
        <v>2070.6469553891998</v>
      </c>
    </row>
    <row r="253" spans="1:29" x14ac:dyDescent="0.35">
      <c r="A253" s="2" t="s">
        <v>263</v>
      </c>
      <c r="B253" s="4" t="s">
        <v>1173</v>
      </c>
      <c r="C253" s="4" t="s">
        <v>543</v>
      </c>
      <c r="D253" s="4" t="s">
        <v>664</v>
      </c>
      <c r="E253" s="4" t="s">
        <v>665</v>
      </c>
      <c r="F253" s="4" t="s">
        <v>1174</v>
      </c>
      <c r="G253" s="14">
        <v>139.94</v>
      </c>
      <c r="H253" s="10">
        <v>9.4032289999999996</v>
      </c>
      <c r="I253" s="10">
        <v>19.402211000000001</v>
      </c>
      <c r="J253" s="10">
        <v>3.6402589999999999</v>
      </c>
      <c r="K253" s="15">
        <v>0</v>
      </c>
      <c r="L253" s="17">
        <v>7523.2652209999997</v>
      </c>
      <c r="M253" s="4" t="s">
        <v>1175</v>
      </c>
      <c r="N253" s="19">
        <v>7.21258</v>
      </c>
      <c r="O253" s="19">
        <v>7.3319999999999999</v>
      </c>
      <c r="P253" s="19">
        <v>6.36</v>
      </c>
      <c r="Q253" s="19">
        <v>7.5782999999999996</v>
      </c>
      <c r="R253" s="19">
        <v>4.8499999999999996</v>
      </c>
      <c r="S253" s="19">
        <v>5.2008000000000001</v>
      </c>
      <c r="T253" s="19">
        <v>4.8499999999999996</v>
      </c>
      <c r="U253" s="19">
        <v>4.9156000000000004</v>
      </c>
      <c r="V253" s="19">
        <v>3.79</v>
      </c>
      <c r="W253" s="19">
        <v>4.0875000000000004</v>
      </c>
      <c r="X253" s="19">
        <v>3.79</v>
      </c>
      <c r="Y253" s="19">
        <v>4.0875000000000004</v>
      </c>
      <c r="Z253" s="4"/>
      <c r="AA253" s="4"/>
      <c r="AB253" s="4" t="e">
        <f ca="1">_xll.ciqfunctions.udf.CIQ("^SPX", "IQ_PRICEDATE", "12/22/2014")</f>
        <v>#NAME?</v>
      </c>
      <c r="AC253" s="16">
        <v>2078.5361717518999</v>
      </c>
    </row>
    <row r="254" spans="1:29" x14ac:dyDescent="0.35">
      <c r="A254" s="2" t="s">
        <v>264</v>
      </c>
      <c r="B254" s="4" t="s">
        <v>1176</v>
      </c>
      <c r="C254" s="4" t="s">
        <v>530</v>
      </c>
      <c r="D254" s="4" t="s">
        <v>537</v>
      </c>
      <c r="E254" s="4" t="s">
        <v>583</v>
      </c>
      <c r="F254" s="4" t="s">
        <v>583</v>
      </c>
      <c r="G254" s="14">
        <v>129.38</v>
      </c>
      <c r="H254" s="10">
        <v>20.103487999999999</v>
      </c>
      <c r="I254" s="10">
        <v>21.650442999999999</v>
      </c>
      <c r="J254" s="10" t="s">
        <v>534</v>
      </c>
      <c r="K254" s="15">
        <v>0</v>
      </c>
      <c r="L254" s="17">
        <v>26210.692475</v>
      </c>
      <c r="M254" s="4" t="s">
        <v>1177</v>
      </c>
      <c r="N254" s="19">
        <v>5.9758589999999998</v>
      </c>
      <c r="O254" s="19">
        <v>5.8357000000000001</v>
      </c>
      <c r="P254" s="19">
        <v>5.88</v>
      </c>
      <c r="Q254" s="19">
        <v>5.1369999999999996</v>
      </c>
      <c r="R254" s="19">
        <v>0.76</v>
      </c>
      <c r="S254" s="19">
        <v>4.3288000000000002</v>
      </c>
      <c r="T254" s="19">
        <v>0.76</v>
      </c>
      <c r="U254" s="19">
        <v>3.5811000000000002</v>
      </c>
      <c r="V254" s="19">
        <v>2.72</v>
      </c>
      <c r="W254" s="19">
        <v>2.8815</v>
      </c>
      <c r="X254" s="19">
        <v>2.72</v>
      </c>
      <c r="Y254" s="19">
        <v>2.8815</v>
      </c>
      <c r="Z254" s="4"/>
      <c r="AA254" s="4"/>
      <c r="AB254" s="4" t="e">
        <f ca="1">_xll.ciqfunctions.udf.CIQ("^SPX", "IQ_PRICEDATE", "12/23/2014")</f>
        <v>#NAME?</v>
      </c>
      <c r="AC254" s="16">
        <v>2082.1676604115</v>
      </c>
    </row>
    <row r="255" spans="1:29" x14ac:dyDescent="0.35">
      <c r="A255" s="2" t="s">
        <v>265</v>
      </c>
      <c r="B255" s="4" t="s">
        <v>1178</v>
      </c>
      <c r="C255" s="4" t="s">
        <v>601</v>
      </c>
      <c r="D255" s="4" t="s">
        <v>601</v>
      </c>
      <c r="E255" s="4" t="s">
        <v>602</v>
      </c>
      <c r="F255" s="4" t="s">
        <v>647</v>
      </c>
      <c r="G255" s="14">
        <v>31.74</v>
      </c>
      <c r="H255" s="10">
        <v>12.41197</v>
      </c>
      <c r="I255" s="10">
        <v>46.523148999999997</v>
      </c>
      <c r="J255" s="10" t="s">
        <v>534</v>
      </c>
      <c r="K255" s="15">
        <v>7.4039000000000008E-2</v>
      </c>
      <c r="L255" s="17">
        <v>9082.2671520000004</v>
      </c>
      <c r="M255" s="4" t="s">
        <v>1179</v>
      </c>
      <c r="N255" s="19">
        <v>0.68224099999999999</v>
      </c>
      <c r="O255" s="19">
        <v>1.1133999999999999</v>
      </c>
      <c r="P255" s="19">
        <v>0.71</v>
      </c>
      <c r="Q255" s="19">
        <v>1.2918000000000001</v>
      </c>
      <c r="R255" s="19">
        <v>0.409999</v>
      </c>
      <c r="S255" s="19">
        <v>1.1473</v>
      </c>
      <c r="T255" s="19">
        <v>0.409999</v>
      </c>
      <c r="U255" s="19">
        <v>1.3130999999999999</v>
      </c>
      <c r="V255" s="19">
        <v>1.661062</v>
      </c>
      <c r="W255" s="19">
        <v>1.2966</v>
      </c>
      <c r="X255" s="19">
        <v>1.661062</v>
      </c>
      <c r="Y255" s="19">
        <v>1.2966</v>
      </c>
      <c r="Z255" s="4"/>
      <c r="AA255" s="4"/>
      <c r="AB255" s="4" t="e">
        <f ca="1">_xll.ciqfunctions.udf.CIQ("^SPX", "IQ_PRICEDATE", "12/24/2014")</f>
        <v>#NAME?</v>
      </c>
      <c r="AC255" s="16">
        <v>2081.8815308929002</v>
      </c>
    </row>
    <row r="256" spans="1:29" x14ac:dyDescent="0.35">
      <c r="A256" s="2" t="s">
        <v>266</v>
      </c>
      <c r="B256" s="4" t="s">
        <v>1180</v>
      </c>
      <c r="C256" s="4" t="s">
        <v>525</v>
      </c>
      <c r="D256" s="4" t="s">
        <v>594</v>
      </c>
      <c r="E256" s="4" t="s">
        <v>903</v>
      </c>
      <c r="F256" s="4" t="s">
        <v>1181</v>
      </c>
      <c r="G256" s="14">
        <v>112.2</v>
      </c>
      <c r="H256" s="10">
        <v>11.778181</v>
      </c>
      <c r="I256" s="10">
        <v>15.781701999999999</v>
      </c>
      <c r="J256" s="10">
        <v>5.8875690000000001</v>
      </c>
      <c r="K256" s="15">
        <v>8.5560000000000011E-3</v>
      </c>
      <c r="L256" s="17">
        <v>12268.400165999999</v>
      </c>
      <c r="M256" s="4" t="s">
        <v>1182</v>
      </c>
      <c r="N256" s="19">
        <v>7.1094989999999996</v>
      </c>
      <c r="O256" s="19">
        <v>6.1639999999999997</v>
      </c>
      <c r="P256" s="19">
        <v>6.18</v>
      </c>
      <c r="Q256" s="19">
        <v>4.1931000000000003</v>
      </c>
      <c r="R256" s="19">
        <v>3.81</v>
      </c>
      <c r="S256" s="19">
        <v>4.0339999999999998</v>
      </c>
      <c r="T256" s="19">
        <v>3.81</v>
      </c>
      <c r="U256" s="19">
        <v>3.9384000000000001</v>
      </c>
      <c r="V256" s="19">
        <v>3.16</v>
      </c>
      <c r="W256" s="19">
        <v>3.4761000000000002</v>
      </c>
      <c r="X256" s="19">
        <v>3.16</v>
      </c>
      <c r="Y256" s="19">
        <v>3.4761000000000002</v>
      </c>
      <c r="Z256" s="4"/>
      <c r="AA256" s="4"/>
      <c r="AB256" s="4" t="e">
        <f ca="1">_xll.ciqfunctions.udf.CIQ("^SPX", "IQ_PRICEDATE", "12/26/2014")</f>
        <v>#NAME?</v>
      </c>
      <c r="AC256" s="16">
        <v>2088.7660628378999</v>
      </c>
    </row>
    <row r="257" spans="1:29" x14ac:dyDescent="0.35">
      <c r="A257" s="2" t="s">
        <v>267</v>
      </c>
      <c r="B257" s="4" t="s">
        <v>1183</v>
      </c>
      <c r="C257" s="4" t="s">
        <v>525</v>
      </c>
      <c r="D257" s="4" t="s">
        <v>526</v>
      </c>
      <c r="E257" s="4" t="s">
        <v>1046</v>
      </c>
      <c r="F257" s="4" t="s">
        <v>1046</v>
      </c>
      <c r="G257" s="14">
        <v>73.849999999999994</v>
      </c>
      <c r="H257" s="10">
        <v>12.781662000000001</v>
      </c>
      <c r="I257" s="10">
        <v>33.384928000000002</v>
      </c>
      <c r="J257" s="10" t="s">
        <v>534</v>
      </c>
      <c r="K257" s="15">
        <v>8.1239999999999993E-3</v>
      </c>
      <c r="L257" s="17">
        <v>10479.617711000001</v>
      </c>
      <c r="M257" s="4" t="s">
        <v>1184</v>
      </c>
      <c r="N257" s="19">
        <v>2.2120760000000002</v>
      </c>
      <c r="O257" s="19">
        <v>5.1555</v>
      </c>
      <c r="P257" s="19">
        <v>1.9205760000000001</v>
      </c>
      <c r="Q257" s="19">
        <v>3.4943499999999998</v>
      </c>
      <c r="R257" s="19">
        <v>1.850436</v>
      </c>
      <c r="S257" s="19">
        <v>3.1346599999999998</v>
      </c>
      <c r="T257" s="19">
        <v>1.850436</v>
      </c>
      <c r="U257" s="19">
        <v>3.0944799999999999</v>
      </c>
      <c r="V257" s="19">
        <v>2.537652</v>
      </c>
      <c r="W257" s="19">
        <v>3.5872199999999999</v>
      </c>
      <c r="X257" s="19">
        <v>2.537652</v>
      </c>
      <c r="Y257" s="19">
        <v>3.5872199999999999</v>
      </c>
      <c r="Z257" s="4"/>
      <c r="AA257" s="4"/>
      <c r="AB257" s="4" t="e">
        <f ca="1">_xll.ciqfunctions.udf.CIQ("^SPX", "IQ_PRICEDATE", "12/29/2014")</f>
        <v>#NAME?</v>
      </c>
      <c r="AC257" s="16">
        <v>2090.5738632215998</v>
      </c>
    </row>
    <row r="258" spans="1:29" x14ac:dyDescent="0.35">
      <c r="A258" s="2" t="s">
        <v>268</v>
      </c>
      <c r="B258" s="4" t="s">
        <v>1185</v>
      </c>
      <c r="C258" s="4" t="s">
        <v>573</v>
      </c>
      <c r="D258" s="4" t="s">
        <v>574</v>
      </c>
      <c r="E258" s="4" t="s">
        <v>748</v>
      </c>
      <c r="F258" s="4" t="s">
        <v>749</v>
      </c>
      <c r="G258" s="14">
        <v>21.7</v>
      </c>
      <c r="H258" s="10">
        <v>10.817069999999999</v>
      </c>
      <c r="I258" s="10" t="s">
        <v>534</v>
      </c>
      <c r="J258" s="10">
        <v>0.83744099999999999</v>
      </c>
      <c r="K258" s="15">
        <v>2.3040999999999999E-2</v>
      </c>
      <c r="L258" s="17">
        <v>7233.3064400000003</v>
      </c>
      <c r="M258" s="4" t="s">
        <v>1186</v>
      </c>
      <c r="N258" s="19">
        <v>-8.6269999999999993E-3</v>
      </c>
      <c r="O258" s="19">
        <v>1.87</v>
      </c>
      <c r="P258" s="19">
        <v>0.44976100000000002</v>
      </c>
      <c r="Q258" s="19">
        <v>1.65</v>
      </c>
      <c r="R258" s="19">
        <v>0.33738600000000002</v>
      </c>
      <c r="S258" s="19">
        <v>1.085</v>
      </c>
      <c r="T258" s="19">
        <v>0.33738600000000002</v>
      </c>
      <c r="U258" s="19">
        <v>0.78</v>
      </c>
      <c r="V258" s="19">
        <v>0.57973699999999995</v>
      </c>
      <c r="W258" s="19">
        <v>-0.6</v>
      </c>
      <c r="X258" s="19">
        <v>0.57973699999999995</v>
      </c>
      <c r="Y258" s="19">
        <v>-0.6</v>
      </c>
      <c r="Z258" s="4"/>
      <c r="AA258" s="4"/>
      <c r="AB258" s="4" t="e">
        <f ca="1">_xll.ciqfunctions.udf.CIQ("^SPX", "IQ_PRICEDATE", "12/30/2014")</f>
        <v>#NAME?</v>
      </c>
      <c r="AC258" s="16">
        <v>2080.3458639493001</v>
      </c>
    </row>
    <row r="259" spans="1:29" x14ac:dyDescent="0.35">
      <c r="A259" s="2" t="s">
        <v>269</v>
      </c>
      <c r="B259" s="4" t="s">
        <v>1187</v>
      </c>
      <c r="C259" s="4" t="s">
        <v>530</v>
      </c>
      <c r="D259" s="4" t="s">
        <v>537</v>
      </c>
      <c r="E259" s="4" t="s">
        <v>613</v>
      </c>
      <c r="F259" s="4" t="s">
        <v>613</v>
      </c>
      <c r="G259" s="14">
        <v>139.46</v>
      </c>
      <c r="H259" s="10">
        <v>13.82794</v>
      </c>
      <c r="I259" s="10">
        <v>245.060483</v>
      </c>
      <c r="J259" s="10" t="s">
        <v>534</v>
      </c>
      <c r="K259" s="15">
        <v>2.5813000000000003E-2</v>
      </c>
      <c r="L259" s="17">
        <v>374137.16026700003</v>
      </c>
      <c r="M259" s="4" t="s">
        <v>1188</v>
      </c>
      <c r="N259" s="19">
        <v>0.56908400000000003</v>
      </c>
      <c r="O259" s="19">
        <v>8.3667999999999996</v>
      </c>
      <c r="P259" s="19">
        <v>0.47389999999999999</v>
      </c>
      <c r="Q259" s="19">
        <v>7.7030000000000003</v>
      </c>
      <c r="R259" s="19">
        <v>5.6973520000000004</v>
      </c>
      <c r="S259" s="19">
        <v>6.9474999999999998</v>
      </c>
      <c r="T259" s="19">
        <v>5.6973520000000004</v>
      </c>
      <c r="U259" s="19">
        <v>6.2648000000000001</v>
      </c>
      <c r="V259" s="19">
        <v>5.7006180000000004</v>
      </c>
      <c r="W259" s="19">
        <v>5.9557000000000002</v>
      </c>
      <c r="X259" s="19">
        <v>5.7006180000000004</v>
      </c>
      <c r="Y259" s="19">
        <v>5.9557000000000002</v>
      </c>
      <c r="Z259" s="4"/>
      <c r="AA259" s="4"/>
      <c r="AB259" s="4" t="e">
        <f ca="1">_xll.ciqfunctions.udf.CIQ("^SPX", "IQ_PRICEDATE", "12/31/2014")</f>
        <v>#NAME?</v>
      </c>
      <c r="AC259" s="16">
        <v>2058.9023788569002</v>
      </c>
    </row>
    <row r="260" spans="1:29" x14ac:dyDescent="0.35">
      <c r="A260" s="2" t="s">
        <v>270</v>
      </c>
      <c r="B260" s="4" t="s">
        <v>1189</v>
      </c>
      <c r="C260" s="4" t="s">
        <v>525</v>
      </c>
      <c r="D260" s="4" t="s">
        <v>526</v>
      </c>
      <c r="E260" s="4" t="s">
        <v>527</v>
      </c>
      <c r="F260" s="4" t="s">
        <v>527</v>
      </c>
      <c r="G260" s="14">
        <v>33.86</v>
      </c>
      <c r="H260" s="10">
        <v>8.6155080000000002</v>
      </c>
      <c r="I260" s="10">
        <v>13.953128</v>
      </c>
      <c r="J260" s="10" t="s">
        <v>534</v>
      </c>
      <c r="K260" s="15">
        <v>3.0714000000000002E-2</v>
      </c>
      <c r="L260" s="17">
        <v>31317.865049</v>
      </c>
      <c r="M260" s="4" t="s">
        <v>1190</v>
      </c>
      <c r="N260" s="19">
        <v>2.4266960000000002</v>
      </c>
      <c r="O260" s="19">
        <v>2.9670000000000001</v>
      </c>
      <c r="P260" s="19">
        <v>1.6118680000000001</v>
      </c>
      <c r="Q260" s="19">
        <v>2.8096299999999998</v>
      </c>
      <c r="R260" s="19">
        <v>1.111035</v>
      </c>
      <c r="S260" s="19">
        <v>2.6903999999999999</v>
      </c>
      <c r="T260" s="19">
        <v>1.111035</v>
      </c>
      <c r="U260" s="19">
        <v>3.9556200000000001</v>
      </c>
      <c r="V260" s="19">
        <v>2.1573060000000002</v>
      </c>
      <c r="W260" s="19">
        <v>3.7068099999999999</v>
      </c>
      <c r="X260" s="19">
        <v>2.1573060000000002</v>
      </c>
      <c r="Y260" s="19">
        <v>3.7068099999999999</v>
      </c>
      <c r="Z260" s="4"/>
      <c r="AA260" s="4"/>
      <c r="AB260" s="4" t="e">
        <f ca="1">_xll.ciqfunctions.udf.CIQ("^SPX", "IQ_PRICEDATE", "1/2/2015")</f>
        <v>#NAME?</v>
      </c>
      <c r="AC260" s="16">
        <v>2058.2047787243</v>
      </c>
    </row>
    <row r="261" spans="1:29" x14ac:dyDescent="0.35">
      <c r="A261" s="2" t="s">
        <v>271</v>
      </c>
      <c r="B261" s="4" t="s">
        <v>1191</v>
      </c>
      <c r="C261" s="4" t="s">
        <v>573</v>
      </c>
      <c r="D261" s="4" t="s">
        <v>737</v>
      </c>
      <c r="E261" s="4" t="s">
        <v>737</v>
      </c>
      <c r="F261" s="4" t="s">
        <v>738</v>
      </c>
      <c r="G261" s="14">
        <v>109.83</v>
      </c>
      <c r="H261" s="10">
        <v>0</v>
      </c>
      <c r="I261" s="10">
        <v>13.631594</v>
      </c>
      <c r="J261" s="10">
        <v>2.0270100000000002</v>
      </c>
      <c r="K261" s="15">
        <v>2.9135000000000001E-2</v>
      </c>
      <c r="L261" s="17">
        <v>369073.95704399998</v>
      </c>
      <c r="M261" s="4" t="s">
        <v>1192</v>
      </c>
      <c r="N261" s="19">
        <v>8.0570179999999993</v>
      </c>
      <c r="O261" s="19">
        <v>9.8957999999999995</v>
      </c>
      <c r="P261" s="19">
        <v>6.31</v>
      </c>
      <c r="Q261" s="19">
        <v>7.5556999999999999</v>
      </c>
      <c r="R261" s="19">
        <v>6.19</v>
      </c>
      <c r="S261" s="19">
        <v>6.2808000000000002</v>
      </c>
      <c r="T261" s="19">
        <v>6.19</v>
      </c>
      <c r="U261" s="19">
        <v>5.9207000000000001</v>
      </c>
      <c r="V261" s="19">
        <v>5.29</v>
      </c>
      <c r="W261" s="19">
        <v>5.8353999999999999</v>
      </c>
      <c r="X261" s="19">
        <v>5.29</v>
      </c>
      <c r="Y261" s="19">
        <v>5.8353999999999999</v>
      </c>
      <c r="Z261" s="4"/>
      <c r="AA261" s="4"/>
      <c r="AB261" s="4" t="e">
        <f ca="1">_xll.ciqfunctions.udf.CIQ("^SPX", "IQ_PRICEDATE", "1/5/2015")</f>
        <v>#NAME?</v>
      </c>
      <c r="AC261" s="16">
        <v>2020.5778843052001</v>
      </c>
    </row>
    <row r="262" spans="1:29" x14ac:dyDescent="0.35">
      <c r="A262" s="2" t="s">
        <v>272</v>
      </c>
      <c r="B262" s="4" t="s">
        <v>1193</v>
      </c>
      <c r="C262" s="4" t="s">
        <v>543</v>
      </c>
      <c r="D262" s="4" t="s">
        <v>664</v>
      </c>
      <c r="E262" s="4" t="s">
        <v>706</v>
      </c>
      <c r="F262" s="4" t="s">
        <v>706</v>
      </c>
      <c r="G262" s="14">
        <v>28.87</v>
      </c>
      <c r="H262" s="10">
        <v>9.7576499999999999</v>
      </c>
      <c r="I262" s="10">
        <v>62.486877999999997</v>
      </c>
      <c r="J262" s="10">
        <v>8.3905999999999992</v>
      </c>
      <c r="K262" s="15">
        <v>2.4938999999999999E-2</v>
      </c>
      <c r="L262" s="17">
        <v>9954.2319389999993</v>
      </c>
      <c r="M262" s="4" t="s">
        <v>1194</v>
      </c>
      <c r="N262" s="19">
        <v>0.46201700000000001</v>
      </c>
      <c r="O262" s="19">
        <v>1.8831</v>
      </c>
      <c r="P262" s="19">
        <v>0.8</v>
      </c>
      <c r="Q262" s="19">
        <v>2.0438999999999998</v>
      </c>
      <c r="R262" s="19">
        <v>1.53</v>
      </c>
      <c r="S262" s="19">
        <v>2.2212999999999998</v>
      </c>
      <c r="T262" s="19">
        <v>1.53</v>
      </c>
      <c r="U262" s="19">
        <v>2.1717</v>
      </c>
      <c r="V262" s="19">
        <v>-0.73087000000000002</v>
      </c>
      <c r="W262" s="19">
        <v>1.4215</v>
      </c>
      <c r="X262" s="19">
        <v>-0.73087000000000002</v>
      </c>
      <c r="Y262" s="19">
        <v>1.4215</v>
      </c>
      <c r="Z262" s="4"/>
      <c r="AA262" s="4"/>
      <c r="AB262" s="4" t="e">
        <f ca="1">_xll.ciqfunctions.udf.CIQ("^SPX", "IQ_PRICEDATE", "1/6/2015")</f>
        <v>#NAME?</v>
      </c>
      <c r="AC262" s="16">
        <v>2002.6135878652999</v>
      </c>
    </row>
    <row r="263" spans="1:29" x14ac:dyDescent="0.35">
      <c r="A263" s="2" t="s">
        <v>273</v>
      </c>
      <c r="B263" s="4" t="s">
        <v>1195</v>
      </c>
      <c r="C263" s="4" t="s">
        <v>525</v>
      </c>
      <c r="D263" s="4" t="s">
        <v>594</v>
      </c>
      <c r="E263" s="4" t="s">
        <v>903</v>
      </c>
      <c r="F263" s="4" t="s">
        <v>904</v>
      </c>
      <c r="G263" s="14">
        <v>104.01</v>
      </c>
      <c r="H263" s="10">
        <v>10.648586999999999</v>
      </c>
      <c r="I263" s="10">
        <v>11.040803</v>
      </c>
      <c r="J263" s="10">
        <v>2.2738339999999999</v>
      </c>
      <c r="K263" s="15">
        <v>1.3844E-2</v>
      </c>
      <c r="L263" s="17">
        <v>10625.573504</v>
      </c>
      <c r="M263" s="4" t="s">
        <v>1196</v>
      </c>
      <c r="N263" s="19">
        <v>9.4205100000000002</v>
      </c>
      <c r="O263" s="19">
        <v>6.4467999999999996</v>
      </c>
      <c r="P263" s="19">
        <v>9.16</v>
      </c>
      <c r="Q263" s="19">
        <v>5.7092000000000001</v>
      </c>
      <c r="R263" s="19">
        <v>4.43</v>
      </c>
      <c r="S263" s="19">
        <v>5.0011999999999999</v>
      </c>
      <c r="T263" s="19">
        <v>4.43</v>
      </c>
      <c r="U263" s="19">
        <v>4.6532</v>
      </c>
      <c r="V263" s="19">
        <v>4.55</v>
      </c>
      <c r="W263" s="19">
        <v>5.3170000000000002</v>
      </c>
      <c r="X263" s="19">
        <v>4.55</v>
      </c>
      <c r="Y263" s="19">
        <v>5.3170000000000002</v>
      </c>
      <c r="Z263" s="4"/>
      <c r="AA263" s="4"/>
      <c r="AB263" s="4" t="e">
        <f ca="1">_xll.ciqfunctions.udf.CIQ("^SPX", "IQ_PRICEDATE", "1/7/2015")</f>
        <v>#NAME?</v>
      </c>
      <c r="AC263" s="16">
        <v>2025.9010505617</v>
      </c>
    </row>
    <row r="264" spans="1:29" x14ac:dyDescent="0.35">
      <c r="A264" s="2" t="s">
        <v>274</v>
      </c>
      <c r="B264" s="4" t="s">
        <v>1197</v>
      </c>
      <c r="C264" s="4" t="s">
        <v>626</v>
      </c>
      <c r="D264" s="4" t="s">
        <v>627</v>
      </c>
      <c r="E264" s="4" t="s">
        <v>699</v>
      </c>
      <c r="F264" s="4" t="s">
        <v>789</v>
      </c>
      <c r="G264" s="14">
        <v>69.650000000000006</v>
      </c>
      <c r="H264" s="10">
        <v>10.42374</v>
      </c>
      <c r="I264" s="10">
        <v>13.776654000000001</v>
      </c>
      <c r="J264" s="10" t="s">
        <v>534</v>
      </c>
      <c r="K264" s="15">
        <v>3.2160000000000001E-2</v>
      </c>
      <c r="L264" s="17">
        <v>24145.750281000001</v>
      </c>
      <c r="M264" s="4" t="s">
        <v>1198</v>
      </c>
      <c r="N264" s="19">
        <v>5.0556539999999996</v>
      </c>
      <c r="O264" s="19">
        <v>4.4913999999999996</v>
      </c>
      <c r="P264" s="19">
        <v>3.62</v>
      </c>
      <c r="Q264" s="19">
        <v>4.1802999999999999</v>
      </c>
      <c r="R264" s="19">
        <v>1.96</v>
      </c>
      <c r="S264" s="19">
        <v>3.8578000000000001</v>
      </c>
      <c r="T264" s="19">
        <v>1.96</v>
      </c>
      <c r="U264" s="19">
        <v>3.6122999999999998</v>
      </c>
      <c r="V264" s="19">
        <v>4.814006</v>
      </c>
      <c r="W264" s="19">
        <v>4.0225</v>
      </c>
      <c r="X264" s="19">
        <v>4.814006</v>
      </c>
      <c r="Y264" s="19">
        <v>4.0225</v>
      </c>
      <c r="Z264" s="4"/>
      <c r="AA264" s="4"/>
      <c r="AB264" s="4" t="e">
        <f ca="1">_xll.ciqfunctions.udf.CIQ("^SPX", "IQ_PRICEDATE", "1/8/2015")</f>
        <v>#NAME?</v>
      </c>
      <c r="AC264" s="16">
        <v>2062.1435548651002</v>
      </c>
    </row>
    <row r="265" spans="1:29" x14ac:dyDescent="0.35">
      <c r="A265" s="2" t="s">
        <v>275</v>
      </c>
      <c r="B265" s="4" t="s">
        <v>1199</v>
      </c>
      <c r="C265" s="4" t="s">
        <v>573</v>
      </c>
      <c r="D265" s="4" t="s">
        <v>737</v>
      </c>
      <c r="E265" s="4" t="s">
        <v>737</v>
      </c>
      <c r="F265" s="4" t="s">
        <v>743</v>
      </c>
      <c r="G265" s="14">
        <v>18.739999999999998</v>
      </c>
      <c r="H265" s="10">
        <v>0</v>
      </c>
      <c r="I265" s="10">
        <v>14.445731</v>
      </c>
      <c r="J265" s="10">
        <v>1.7721560000000001</v>
      </c>
      <c r="K265" s="15">
        <v>3.6285999999999999E-2</v>
      </c>
      <c r="L265" s="17">
        <v>19715.156327000001</v>
      </c>
      <c r="M265" s="4" t="s">
        <v>1200</v>
      </c>
      <c r="N265" s="19">
        <v>1.297269</v>
      </c>
      <c r="O265" s="19">
        <v>1.8280000000000001</v>
      </c>
      <c r="P265" s="19">
        <v>1.1200000000000001</v>
      </c>
      <c r="Q265" s="19">
        <v>1.4718</v>
      </c>
      <c r="R265" s="19">
        <v>0.8</v>
      </c>
      <c r="S265" s="19">
        <v>1.2474000000000001</v>
      </c>
      <c r="T265" s="19">
        <v>0.8</v>
      </c>
      <c r="U265" s="19">
        <v>1.1483000000000001</v>
      </c>
      <c r="V265" s="19">
        <v>1.04</v>
      </c>
      <c r="W265" s="19">
        <v>1.0779000000000001</v>
      </c>
      <c r="X265" s="19">
        <v>1.04</v>
      </c>
      <c r="Y265" s="19">
        <v>1.0779000000000001</v>
      </c>
      <c r="Z265" s="4"/>
      <c r="AA265" s="4"/>
      <c r="AB265" s="4" t="e">
        <f ca="1">_xll.ciqfunctions.udf.CIQ("^SPX", "IQ_PRICEDATE", "1/9/2015")</f>
        <v>#NAME?</v>
      </c>
      <c r="AC265" s="16">
        <v>2044.8099000578</v>
      </c>
    </row>
    <row r="266" spans="1:29" x14ac:dyDescent="0.35">
      <c r="A266" s="2" t="s">
        <v>276</v>
      </c>
      <c r="B266" s="4" t="s">
        <v>1201</v>
      </c>
      <c r="C266" s="4" t="s">
        <v>626</v>
      </c>
      <c r="D266" s="4" t="s">
        <v>845</v>
      </c>
      <c r="E266" s="4" t="s">
        <v>846</v>
      </c>
      <c r="F266" s="4" t="s">
        <v>846</v>
      </c>
      <c r="G266" s="14">
        <v>108.82</v>
      </c>
      <c r="H266" s="10">
        <v>10.97031</v>
      </c>
      <c r="I266" s="10">
        <v>22.168955</v>
      </c>
      <c r="J266" s="10" t="s">
        <v>534</v>
      </c>
      <c r="K266" s="15">
        <v>3.6756999999999998E-2</v>
      </c>
      <c r="L266" s="17">
        <v>37832.855351999999</v>
      </c>
      <c r="M266" s="4" t="s">
        <v>1202</v>
      </c>
      <c r="N266" s="19">
        <v>4.9086660000000002</v>
      </c>
      <c r="O266" s="19">
        <v>6.6669</v>
      </c>
      <c r="P266" s="19">
        <v>6.4</v>
      </c>
      <c r="Q266" s="19">
        <v>6.4035000000000002</v>
      </c>
      <c r="R266" s="19">
        <v>5.99</v>
      </c>
      <c r="S266" s="19">
        <v>6.1612999999999998</v>
      </c>
      <c r="T266" s="19">
        <v>5.99</v>
      </c>
      <c r="U266" s="19">
        <v>6.0574000000000003</v>
      </c>
      <c r="V266" s="19">
        <v>3.91</v>
      </c>
      <c r="W266" s="19">
        <v>5.8613</v>
      </c>
      <c r="X266" s="19">
        <v>3.91</v>
      </c>
      <c r="Y266" s="19">
        <v>5.8613</v>
      </c>
      <c r="Z266" s="4"/>
      <c r="AA266" s="4"/>
      <c r="AB266" s="4" t="e">
        <f ca="1">_xll.ciqfunctions.udf.CIQ("^SPX", "IQ_PRICEDATE", "1/12/2015")</f>
        <v>#NAME?</v>
      </c>
      <c r="AC266" s="16">
        <v>2028.2638224775001</v>
      </c>
    </row>
    <row r="267" spans="1:29" x14ac:dyDescent="0.35">
      <c r="A267" s="2" t="s">
        <v>277</v>
      </c>
      <c r="B267" s="4" t="s">
        <v>1203</v>
      </c>
      <c r="C267" s="4" t="s">
        <v>601</v>
      </c>
      <c r="D267" s="4" t="s">
        <v>601</v>
      </c>
      <c r="E267" s="4" t="s">
        <v>602</v>
      </c>
      <c r="F267" s="4" t="s">
        <v>1026</v>
      </c>
      <c r="G267" s="14">
        <v>15.21</v>
      </c>
      <c r="H267" s="10">
        <v>12.975284</v>
      </c>
      <c r="I267" s="10">
        <v>14.244694000000001</v>
      </c>
      <c r="J267" s="10">
        <v>1.184458</v>
      </c>
      <c r="K267" s="15">
        <v>7.3635000000000006E-2</v>
      </c>
      <c r="L267" s="17">
        <v>6409.221939</v>
      </c>
      <c r="M267" s="4" t="s">
        <v>1204</v>
      </c>
      <c r="N267" s="19">
        <v>1.067766</v>
      </c>
      <c r="O267" s="19">
        <v>0.4889</v>
      </c>
      <c r="P267" s="19">
        <v>0.87</v>
      </c>
      <c r="Q267" s="19">
        <v>0.62929999999999997</v>
      </c>
      <c r="R267" s="19">
        <v>0.79</v>
      </c>
      <c r="S267" s="19">
        <v>0.63900000000000001</v>
      </c>
      <c r="T267" s="19">
        <v>0.79</v>
      </c>
      <c r="U267" s="19">
        <v>0.54549999999999998</v>
      </c>
      <c r="V267" s="19">
        <v>0.76270800000000005</v>
      </c>
      <c r="W267" s="19">
        <v>0.53769999999999996</v>
      </c>
      <c r="X267" s="19">
        <v>0.76270800000000005</v>
      </c>
      <c r="Y267" s="19">
        <v>0.53769999999999996</v>
      </c>
      <c r="Z267" s="4"/>
      <c r="AA267" s="4"/>
      <c r="AB267" s="4" t="e">
        <f ca="1">_xll.ciqfunctions.udf.CIQ("^SPX", "IQ_PRICEDATE", "1/13/2015")</f>
        <v>#NAME?</v>
      </c>
      <c r="AC267" s="16">
        <v>2023.0292191098999</v>
      </c>
    </row>
    <row r="268" spans="1:29" x14ac:dyDescent="0.35">
      <c r="A268" s="2" t="s">
        <v>278</v>
      </c>
      <c r="B268" s="4" t="s">
        <v>1205</v>
      </c>
      <c r="C268" s="4" t="s">
        <v>669</v>
      </c>
      <c r="D268" s="4" t="s">
        <v>669</v>
      </c>
      <c r="E268" s="4" t="s">
        <v>670</v>
      </c>
      <c r="F268" s="4" t="s">
        <v>1206</v>
      </c>
      <c r="G268" s="14">
        <v>17.95</v>
      </c>
      <c r="H268" s="10">
        <v>11.323112</v>
      </c>
      <c r="I268" s="10" t="s">
        <v>534</v>
      </c>
      <c r="J268" s="10">
        <v>3.435146</v>
      </c>
      <c r="K268" s="15">
        <v>4.4568000000000003E-2</v>
      </c>
      <c r="L268" s="17">
        <v>39612.580011999999</v>
      </c>
      <c r="M268" s="4" t="s">
        <v>1207</v>
      </c>
      <c r="N268" s="19">
        <v>-2.5257000000000002E-2</v>
      </c>
      <c r="O268" s="19">
        <v>0.92900000000000005</v>
      </c>
      <c r="P268" s="19">
        <v>9.8650000000000005E-3</v>
      </c>
      <c r="Q268" s="19">
        <v>0.67010000000000003</v>
      </c>
      <c r="R268" s="19">
        <v>0.24573900000000001</v>
      </c>
      <c r="S268" s="19">
        <v>0.70679999999999998</v>
      </c>
      <c r="T268" s="19">
        <v>0.24573900000000001</v>
      </c>
      <c r="U268" s="19">
        <v>0.70279999999999998</v>
      </c>
      <c r="V268" s="19">
        <v>0.89</v>
      </c>
      <c r="W268" s="19">
        <v>1.107</v>
      </c>
      <c r="X268" s="19">
        <v>0.89</v>
      </c>
      <c r="Y268" s="19">
        <v>1.107</v>
      </c>
      <c r="Z268" s="4"/>
      <c r="AA268" s="4"/>
      <c r="AB268" s="4" t="e">
        <f ca="1">_xll.ciqfunctions.udf.CIQ("^SPX", "IQ_PRICEDATE", "1/14/2015")</f>
        <v>#NAME?</v>
      </c>
      <c r="AC268" s="16">
        <v>2011.2728977286999</v>
      </c>
    </row>
    <row r="269" spans="1:29" x14ac:dyDescent="0.35">
      <c r="A269" s="2" t="s">
        <v>279</v>
      </c>
      <c r="B269" s="4" t="s">
        <v>1208</v>
      </c>
      <c r="C269" s="4" t="s">
        <v>543</v>
      </c>
      <c r="D269" s="4" t="s">
        <v>565</v>
      </c>
      <c r="E269" s="4" t="s">
        <v>565</v>
      </c>
      <c r="F269" s="4" t="s">
        <v>691</v>
      </c>
      <c r="G269" s="14">
        <v>93.82</v>
      </c>
      <c r="H269" s="10">
        <v>8.6779770000000003</v>
      </c>
      <c r="I269" s="10">
        <v>18.396077999999999</v>
      </c>
      <c r="J269" s="10">
        <v>11.745414</v>
      </c>
      <c r="K269" s="15">
        <v>3.1975999999999997E-2</v>
      </c>
      <c r="L269" s="17">
        <v>14526.620919999999</v>
      </c>
      <c r="M269" s="4" t="s">
        <v>1209</v>
      </c>
      <c r="N269" s="19">
        <v>5.0999999999999996</v>
      </c>
      <c r="O269" s="19">
        <v>8.80443</v>
      </c>
      <c r="P269" s="19">
        <v>4.1599719999999998</v>
      </c>
      <c r="Q269" s="19">
        <v>7.1634000000000002</v>
      </c>
      <c r="R269" s="19">
        <v>5.5011720000000004</v>
      </c>
      <c r="S269" s="19">
        <v>5.5274000000000001</v>
      </c>
      <c r="T269" s="19">
        <v>5.5011720000000004</v>
      </c>
      <c r="U269" s="19">
        <v>3.6928999999999998</v>
      </c>
      <c r="V269" s="19">
        <v>2.5487500000000001</v>
      </c>
      <c r="W269" s="19">
        <v>3.6116999999999999</v>
      </c>
      <c r="X269" s="19">
        <v>2.5487500000000001</v>
      </c>
      <c r="Y269" s="19">
        <v>3.6116999999999999</v>
      </c>
      <c r="Z269" s="4"/>
      <c r="AA269" s="4"/>
      <c r="AB269" s="4" t="e">
        <f ca="1">_xll.ciqfunctions.udf.CIQ("^SPX", "IQ_PRICEDATE", "1/15/2015")</f>
        <v>#NAME?</v>
      </c>
      <c r="AC269" s="16">
        <v>1992.6702757841001</v>
      </c>
    </row>
    <row r="270" spans="1:29" x14ac:dyDescent="0.35">
      <c r="A270" s="2" t="s">
        <v>280</v>
      </c>
      <c r="B270" s="4" t="s">
        <v>1210</v>
      </c>
      <c r="C270" s="4" t="s">
        <v>559</v>
      </c>
      <c r="D270" s="4" t="s">
        <v>560</v>
      </c>
      <c r="E270" s="4" t="s">
        <v>940</v>
      </c>
      <c r="F270" s="4" t="s">
        <v>1211</v>
      </c>
      <c r="G270" s="14">
        <v>70.84</v>
      </c>
      <c r="H270" s="10">
        <v>5.9201030000000001</v>
      </c>
      <c r="I270" s="10">
        <v>12.375621000000001</v>
      </c>
      <c r="J270" s="10">
        <v>2.156056</v>
      </c>
      <c r="K270" s="15">
        <v>3.4443000000000001E-2</v>
      </c>
      <c r="L270" s="17">
        <v>11809.937798000001</v>
      </c>
      <c r="M270" s="4" t="s">
        <v>1212</v>
      </c>
      <c r="N270" s="19">
        <v>5.7241569999999999</v>
      </c>
      <c r="O270" s="19">
        <v>5.6593999999999998</v>
      </c>
      <c r="P270" s="19">
        <v>3.789606</v>
      </c>
      <c r="Q270" s="19">
        <v>3.7555999999999998</v>
      </c>
      <c r="R270" s="19">
        <v>3.2859250000000002</v>
      </c>
      <c r="S270" s="19">
        <v>4.0464000000000002</v>
      </c>
      <c r="T270" s="19">
        <v>3.2859250000000002</v>
      </c>
      <c r="U270" s="19">
        <v>4.5217000000000001</v>
      </c>
      <c r="V270" s="19">
        <v>4.01173</v>
      </c>
      <c r="W270" s="19">
        <v>4.2188999999999997</v>
      </c>
      <c r="X270" s="19">
        <v>4.01173</v>
      </c>
      <c r="Y270" s="19">
        <v>4.2188999999999997</v>
      </c>
      <c r="Z270" s="4"/>
      <c r="AA270" s="4"/>
      <c r="AB270" s="4" t="e">
        <f ca="1">_xll.ciqfunctions.udf.CIQ("^SPX", "IQ_PRICEDATE", "1/16/2015")</f>
        <v>#NAME?</v>
      </c>
      <c r="AC270" s="16">
        <v>2019.4186537802</v>
      </c>
    </row>
    <row r="271" spans="1:29" x14ac:dyDescent="0.35">
      <c r="A271" s="2" t="s">
        <v>281</v>
      </c>
      <c r="B271" s="4" t="s">
        <v>1213</v>
      </c>
      <c r="C271" s="4" t="s">
        <v>559</v>
      </c>
      <c r="D271" s="4" t="s">
        <v>560</v>
      </c>
      <c r="E271" s="4" t="s">
        <v>561</v>
      </c>
      <c r="F271" s="4" t="s">
        <v>1051</v>
      </c>
      <c r="G271" s="14">
        <v>31.28</v>
      </c>
      <c r="H271" s="10">
        <v>6.1939539999999997</v>
      </c>
      <c r="I271" s="10">
        <v>9.894857</v>
      </c>
      <c r="J271" s="10" t="s">
        <v>534</v>
      </c>
      <c r="K271" s="15">
        <v>7.6726000000000003E-2</v>
      </c>
      <c r="L271" s="17">
        <v>8603.9841840000008</v>
      </c>
      <c r="M271" s="4" t="s">
        <v>1214</v>
      </c>
      <c r="N271" s="19">
        <v>3.161238</v>
      </c>
      <c r="O271" s="19">
        <v>2.5167000000000002</v>
      </c>
      <c r="P271" s="19">
        <v>3.294025</v>
      </c>
      <c r="Q271" s="19">
        <v>3.2151000000000001</v>
      </c>
      <c r="R271" s="19">
        <v>3.9736410000000002</v>
      </c>
      <c r="S271" s="19">
        <v>3.6696</v>
      </c>
      <c r="T271" s="19">
        <v>3.9736410000000002</v>
      </c>
      <c r="U271" s="19">
        <v>4.0000999999999998</v>
      </c>
      <c r="V271" s="19">
        <v>3.2443689999999998</v>
      </c>
      <c r="W271" s="19">
        <v>3.6316000000000002</v>
      </c>
      <c r="X271" s="19">
        <v>3.2443689999999998</v>
      </c>
      <c r="Y271" s="19">
        <v>3.6316000000000002</v>
      </c>
      <c r="Z271" s="4"/>
      <c r="AA271" s="4"/>
      <c r="AB271" s="4" t="e">
        <f ca="1">_xll.ciqfunctions.udf.CIQ("^SPX", "IQ_PRICEDATE", "1/20/2015")</f>
        <v>#NAME?</v>
      </c>
      <c r="AC271" s="16">
        <v>2022.5468815523</v>
      </c>
    </row>
    <row r="272" spans="1:29" x14ac:dyDescent="0.35">
      <c r="A272" s="2" t="s">
        <v>282</v>
      </c>
      <c r="B272" s="4" t="s">
        <v>1215</v>
      </c>
      <c r="C272" s="4" t="s">
        <v>525</v>
      </c>
      <c r="D272" s="4" t="s">
        <v>526</v>
      </c>
      <c r="E272" s="4" t="s">
        <v>703</v>
      </c>
      <c r="F272" s="4" t="s">
        <v>703</v>
      </c>
      <c r="G272" s="14">
        <v>220.16</v>
      </c>
      <c r="H272" s="10">
        <v>14.906272</v>
      </c>
      <c r="I272" s="10">
        <v>22.445765999999999</v>
      </c>
      <c r="J272" s="10" t="s">
        <v>534</v>
      </c>
      <c r="K272" s="15">
        <v>1.4534E-2</v>
      </c>
      <c r="L272" s="17">
        <v>17308.686387000002</v>
      </c>
      <c r="M272" s="4" t="s">
        <v>1216</v>
      </c>
      <c r="N272" s="19">
        <v>9.8085310000000003</v>
      </c>
      <c r="O272" s="19">
        <v>11.1175</v>
      </c>
      <c r="P272" s="19">
        <v>9.4600000000000009</v>
      </c>
      <c r="Q272" s="19">
        <v>8.6592000000000002</v>
      </c>
      <c r="R272" s="19">
        <v>7.86</v>
      </c>
      <c r="S272" s="19">
        <v>8.3239999999999998</v>
      </c>
      <c r="T272" s="19">
        <v>7.86</v>
      </c>
      <c r="U272" s="19">
        <v>0</v>
      </c>
      <c r="V272" s="19">
        <v>7.2</v>
      </c>
      <c r="W272" s="19">
        <v>0</v>
      </c>
      <c r="X272" s="19">
        <v>7.2</v>
      </c>
      <c r="Y272" s="19">
        <v>0</v>
      </c>
      <c r="Z272" s="4"/>
      <c r="AA272" s="4"/>
      <c r="AB272" s="4" t="e">
        <f ca="1">_xll.ciqfunctions.udf.CIQ("^SPX", "IQ_PRICEDATE", "1/21/2015")</f>
        <v>#NAME?</v>
      </c>
      <c r="AC272" s="16">
        <v>2032.1202886573999</v>
      </c>
    </row>
    <row r="273" spans="1:29" x14ac:dyDescent="0.35">
      <c r="A273" s="2" t="s">
        <v>283</v>
      </c>
      <c r="B273" s="4" t="s">
        <v>1217</v>
      </c>
      <c r="C273" s="4" t="s">
        <v>530</v>
      </c>
      <c r="D273" s="4" t="s">
        <v>531</v>
      </c>
      <c r="E273" s="4" t="s">
        <v>569</v>
      </c>
      <c r="F273" s="4" t="s">
        <v>909</v>
      </c>
      <c r="G273" s="14">
        <v>174.09</v>
      </c>
      <c r="H273" s="10">
        <v>11.488761</v>
      </c>
      <c r="I273" s="10">
        <v>13.787807000000001</v>
      </c>
      <c r="J273" s="10" t="s">
        <v>534</v>
      </c>
      <c r="K273" s="15">
        <v>0</v>
      </c>
      <c r="L273" s="17">
        <v>17739.771000000001</v>
      </c>
      <c r="M273" s="4" t="s">
        <v>1218</v>
      </c>
      <c r="N273" s="19">
        <v>12.626372999999999</v>
      </c>
      <c r="O273" s="19">
        <v>11.591799999999999</v>
      </c>
      <c r="P273" s="19">
        <v>12.21</v>
      </c>
      <c r="Q273" s="19">
        <v>10.067600000000001</v>
      </c>
      <c r="R273" s="19">
        <v>7.02</v>
      </c>
      <c r="S273" s="19">
        <v>9.4003999999999994</v>
      </c>
      <c r="T273" s="19">
        <v>7.02</v>
      </c>
      <c r="U273" s="19">
        <v>8.5863999999999994</v>
      </c>
      <c r="V273" s="19">
        <v>5.91</v>
      </c>
      <c r="W273" s="19">
        <v>7.1456</v>
      </c>
      <c r="X273" s="19">
        <v>5.91</v>
      </c>
      <c r="Y273" s="19">
        <v>7.1456</v>
      </c>
      <c r="Z273" s="4"/>
      <c r="AA273" s="4"/>
      <c r="AB273" s="4" t="e">
        <f ca="1">_xll.ciqfunctions.udf.CIQ("^SPX", "IQ_PRICEDATE", "1/22/2015")</f>
        <v>#NAME?</v>
      </c>
      <c r="AC273" s="16">
        <v>2063.1455908886001</v>
      </c>
    </row>
    <row r="274" spans="1:29" x14ac:dyDescent="0.35">
      <c r="A274" s="2" t="s">
        <v>284</v>
      </c>
      <c r="B274" s="4" t="s">
        <v>1219</v>
      </c>
      <c r="C274" s="4" t="s">
        <v>543</v>
      </c>
      <c r="D274" s="4" t="s">
        <v>565</v>
      </c>
      <c r="E274" s="4" t="s">
        <v>565</v>
      </c>
      <c r="F274" s="4" t="s">
        <v>691</v>
      </c>
      <c r="G274" s="14">
        <v>147.18</v>
      </c>
      <c r="H274" s="10">
        <v>6.185867</v>
      </c>
      <c r="I274" s="10">
        <v>11.152145000000001</v>
      </c>
      <c r="J274" s="10">
        <v>6.3497570000000003</v>
      </c>
      <c r="K274" s="15">
        <v>2.9895000000000001E-2</v>
      </c>
      <c r="L274" s="17">
        <v>22575.057120000001</v>
      </c>
      <c r="M274" s="4" t="s">
        <v>1220</v>
      </c>
      <c r="N274" s="19">
        <v>13.197461000000001</v>
      </c>
      <c r="O274" s="19">
        <v>14.30048</v>
      </c>
      <c r="P274" s="19">
        <v>9.1047969999999996</v>
      </c>
      <c r="Q274" s="19">
        <v>14.9114</v>
      </c>
      <c r="R274" s="19">
        <v>5.5792659999999996</v>
      </c>
      <c r="S274" s="19">
        <v>8.3873999999999995</v>
      </c>
      <c r="T274" s="19">
        <v>5.5792659999999996</v>
      </c>
      <c r="U274" s="19">
        <v>5.8806000000000003</v>
      </c>
      <c r="V274" s="19">
        <v>4.0359680000000004</v>
      </c>
      <c r="W274" s="19">
        <v>5.0499000000000001</v>
      </c>
      <c r="X274" s="19">
        <v>4.0359680000000004</v>
      </c>
      <c r="Y274" s="19">
        <v>5.0499000000000001</v>
      </c>
      <c r="Z274" s="4"/>
      <c r="AA274" s="4"/>
      <c r="AB274" s="4" t="e">
        <f ca="1">_xll.ciqfunctions.udf.CIQ("^SPX", "IQ_PRICEDATE", "1/23/2015")</f>
        <v>#NAME?</v>
      </c>
      <c r="AC274" s="16">
        <v>2051.8218117762999</v>
      </c>
    </row>
    <row r="275" spans="1:29" x14ac:dyDescent="0.35">
      <c r="A275" s="2" t="s">
        <v>285</v>
      </c>
      <c r="B275" s="4" t="s">
        <v>1221</v>
      </c>
      <c r="C275" s="4" t="s">
        <v>559</v>
      </c>
      <c r="D275" s="4" t="s">
        <v>912</v>
      </c>
      <c r="E275" s="4" t="s">
        <v>913</v>
      </c>
      <c r="F275" s="4" t="s">
        <v>1222</v>
      </c>
      <c r="G275" s="14">
        <v>39.229999999999997</v>
      </c>
      <c r="H275" s="10">
        <v>11.058248000000001</v>
      </c>
      <c r="I275" s="10">
        <v>18.884972999999999</v>
      </c>
      <c r="J275" s="10">
        <v>47.833413</v>
      </c>
      <c r="K275" s="15">
        <v>3.8745000000000002E-2</v>
      </c>
      <c r="L275" s="17">
        <v>5106.1939830000001</v>
      </c>
      <c r="M275" s="4" t="s">
        <v>1223</v>
      </c>
      <c r="N275" s="19">
        <v>2.0773130000000002</v>
      </c>
      <c r="O275" s="19">
        <v>2.7982999999999998</v>
      </c>
      <c r="P275" s="19">
        <v>2.14</v>
      </c>
      <c r="Q275" s="19">
        <v>2.6697000000000002</v>
      </c>
      <c r="R275" s="19">
        <v>2.62</v>
      </c>
      <c r="S275" s="19">
        <v>2.6225000000000001</v>
      </c>
      <c r="T275" s="19">
        <v>2.62</v>
      </c>
      <c r="U275" s="19">
        <v>2.2907000000000002</v>
      </c>
      <c r="V275" s="19">
        <v>1.55</v>
      </c>
      <c r="W275" s="19">
        <v>2.0756999999999999</v>
      </c>
      <c r="X275" s="19">
        <v>1.55</v>
      </c>
      <c r="Y275" s="19">
        <v>2.0756999999999999</v>
      </c>
      <c r="Z275" s="4"/>
      <c r="AA275" s="4"/>
      <c r="AB275" s="4" t="e">
        <f ca="1">_xll.ciqfunctions.udf.CIQ("^SPX", "IQ_PRICEDATE", "1/26/2015")</f>
        <v>#NAME?</v>
      </c>
      <c r="AC275" s="16">
        <v>2057.0944058770001</v>
      </c>
    </row>
    <row r="276" spans="1:29" x14ac:dyDescent="0.35">
      <c r="A276" s="2" t="s">
        <v>286</v>
      </c>
      <c r="B276" s="4" t="s">
        <v>1224</v>
      </c>
      <c r="C276" s="4" t="s">
        <v>559</v>
      </c>
      <c r="D276" s="4" t="s">
        <v>912</v>
      </c>
      <c r="E276" s="4" t="s">
        <v>913</v>
      </c>
      <c r="F276" s="4" t="s">
        <v>914</v>
      </c>
      <c r="G276" s="14">
        <v>43.04</v>
      </c>
      <c r="H276" s="10">
        <v>13.108779</v>
      </c>
      <c r="I276" s="10">
        <v>10.307684</v>
      </c>
      <c r="J276" s="10">
        <v>1.375713</v>
      </c>
      <c r="K276" s="15">
        <v>3.7140000000000003E-3</v>
      </c>
      <c r="L276" s="17">
        <v>13959.947106</v>
      </c>
      <c r="M276" s="4" t="s">
        <v>1225</v>
      </c>
      <c r="N276" s="19">
        <v>4.1794060000000002</v>
      </c>
      <c r="O276" s="19">
        <v>6.4625000000000004</v>
      </c>
      <c r="P276" s="19">
        <v>3.3802509999999999</v>
      </c>
      <c r="Q276" s="19">
        <v>4.6959999999999997</v>
      </c>
      <c r="R276" s="19">
        <v>3.8559239999999999</v>
      </c>
      <c r="S276" s="19">
        <v>4.0663400000000003</v>
      </c>
      <c r="T276" s="19">
        <v>3.8559239999999999</v>
      </c>
      <c r="U276" s="19">
        <v>3.64412</v>
      </c>
      <c r="V276" s="19">
        <v>2.7482160000000002</v>
      </c>
      <c r="W276" s="19">
        <v>2.9942000000000002</v>
      </c>
      <c r="X276" s="19">
        <v>2.7482160000000002</v>
      </c>
      <c r="Y276" s="19">
        <v>2.9942000000000002</v>
      </c>
      <c r="Z276" s="4"/>
      <c r="AA276" s="4"/>
      <c r="AB276" s="4" t="e">
        <f ca="1">_xll.ciqfunctions.udf.CIQ("^SPX", "IQ_PRICEDATE", "1/27/2015")</f>
        <v>#NAME?</v>
      </c>
      <c r="AC276" s="16">
        <v>2029.5544684716999</v>
      </c>
    </row>
    <row r="277" spans="1:29" x14ac:dyDescent="0.35">
      <c r="A277" s="2" t="s">
        <v>287</v>
      </c>
      <c r="B277" s="4" t="s">
        <v>1226</v>
      </c>
      <c r="C277" s="4" t="s">
        <v>573</v>
      </c>
      <c r="D277" s="4" t="s">
        <v>579</v>
      </c>
      <c r="E277" s="4" t="s">
        <v>579</v>
      </c>
      <c r="F277" s="4" t="s">
        <v>580</v>
      </c>
      <c r="G277" s="14">
        <v>65.64</v>
      </c>
      <c r="H277" s="10">
        <v>8.0877119999999998</v>
      </c>
      <c r="I277" s="10">
        <v>7.3838210000000002</v>
      </c>
      <c r="J277" s="10">
        <v>1.062276</v>
      </c>
      <c r="K277" s="15">
        <v>2.0108999999999998E-2</v>
      </c>
      <c r="L277" s="17">
        <v>14222.914978000001</v>
      </c>
      <c r="M277" s="4" t="s">
        <v>1227</v>
      </c>
      <c r="N277" s="19">
        <v>8.8897060000000003</v>
      </c>
      <c r="O277" s="19">
        <v>8.8598999999999997</v>
      </c>
      <c r="P277" s="19">
        <v>9.2210719999999995</v>
      </c>
      <c r="Q277" s="19">
        <v>7.7031000000000001</v>
      </c>
      <c r="R277" s="19">
        <v>5.03</v>
      </c>
      <c r="S277" s="19">
        <v>6.8211000000000004</v>
      </c>
      <c r="T277" s="19">
        <v>5.03</v>
      </c>
      <c r="U277" s="19">
        <v>6.3890000000000002</v>
      </c>
      <c r="V277" s="19">
        <v>5.6649399999999996</v>
      </c>
      <c r="W277" s="19">
        <v>6.09</v>
      </c>
      <c r="X277" s="19">
        <v>5.6649399999999996</v>
      </c>
      <c r="Y277" s="19">
        <v>6.09</v>
      </c>
      <c r="Z277" s="4"/>
      <c r="AA277" s="4"/>
      <c r="AB277" s="4" t="e">
        <f ca="1">_xll.ciqfunctions.udf.CIQ("^SPX", "IQ_PRICEDATE", "1/28/2015")</f>
        <v>#NAME?</v>
      </c>
      <c r="AC277" s="16">
        <v>2002.1564474966999</v>
      </c>
    </row>
    <row r="278" spans="1:29" x14ac:dyDescent="0.35">
      <c r="A278" s="2" t="s">
        <v>288</v>
      </c>
      <c r="B278" s="4" t="s">
        <v>1228</v>
      </c>
      <c r="C278" s="4" t="s">
        <v>559</v>
      </c>
      <c r="D278" s="4" t="s">
        <v>560</v>
      </c>
      <c r="E278" s="4" t="s">
        <v>1084</v>
      </c>
      <c r="F278" s="4" t="s">
        <v>1084</v>
      </c>
      <c r="G278" s="14">
        <v>28.61</v>
      </c>
      <c r="H278" s="10">
        <v>11.58916</v>
      </c>
      <c r="I278" s="10">
        <v>15.977313000000001</v>
      </c>
      <c r="J278" s="10" t="s">
        <v>534</v>
      </c>
      <c r="K278" s="15">
        <v>0</v>
      </c>
      <c r="L278" s="17">
        <v>9100.3140320000002</v>
      </c>
      <c r="M278" s="4" t="s">
        <v>1229</v>
      </c>
      <c r="N278" s="19">
        <v>1.790664</v>
      </c>
      <c r="O278" s="19">
        <v>2.4980000000000002</v>
      </c>
      <c r="P278" s="19">
        <v>1.74</v>
      </c>
      <c r="Q278" s="19">
        <v>2.0796999999999999</v>
      </c>
      <c r="R278" s="19">
        <v>1.47</v>
      </c>
      <c r="S278" s="19">
        <v>1.9739</v>
      </c>
      <c r="T278" s="19">
        <v>1.47</v>
      </c>
      <c r="U278" s="19">
        <v>1.5546</v>
      </c>
      <c r="V278" s="19">
        <v>1.25</v>
      </c>
      <c r="W278" s="19">
        <v>1.5710999999999999</v>
      </c>
      <c r="X278" s="19">
        <v>1.25</v>
      </c>
      <c r="Y278" s="19">
        <v>1.5710999999999999</v>
      </c>
      <c r="Z278" s="4"/>
      <c r="AA278" s="4"/>
      <c r="AB278" s="4" t="e">
        <f ca="1">_xll.ciqfunctions.udf.CIQ("^SPX", "IQ_PRICEDATE", "1/29/2015")</f>
        <v>#NAME?</v>
      </c>
      <c r="AC278" s="16">
        <v>2021.2516383586999</v>
      </c>
    </row>
    <row r="279" spans="1:29" x14ac:dyDescent="0.35">
      <c r="A279" s="2" t="s">
        <v>289</v>
      </c>
      <c r="B279" s="4" t="s">
        <v>1230</v>
      </c>
      <c r="C279" s="4" t="s">
        <v>525</v>
      </c>
      <c r="D279" s="4" t="s">
        <v>526</v>
      </c>
      <c r="E279" s="4" t="s">
        <v>703</v>
      </c>
      <c r="F279" s="4" t="s">
        <v>703</v>
      </c>
      <c r="G279" s="14">
        <v>333.4</v>
      </c>
      <c r="H279" s="10">
        <v>14.847073999999999</v>
      </c>
      <c r="I279" s="10">
        <v>38.355111000000001</v>
      </c>
      <c r="J279" s="10" t="s">
        <v>534</v>
      </c>
      <c r="K279" s="15">
        <v>2.6394000000000001E-2</v>
      </c>
      <c r="L279" s="17">
        <v>94946.007404000004</v>
      </c>
      <c r="M279" s="4" t="s">
        <v>1231</v>
      </c>
      <c r="N279" s="19">
        <v>8.6924530000000004</v>
      </c>
      <c r="O279" s="19">
        <v>18.1432</v>
      </c>
      <c r="P279" s="19">
        <v>6.64</v>
      </c>
      <c r="Q279" s="19">
        <v>13.624599999999999</v>
      </c>
      <c r="R279" s="19">
        <v>12.38</v>
      </c>
      <c r="S279" s="19">
        <v>12.129200000000001</v>
      </c>
      <c r="T279" s="19">
        <v>12.38</v>
      </c>
      <c r="U279" s="19">
        <v>11.674099999999999</v>
      </c>
      <c r="V279" s="19">
        <v>10.09</v>
      </c>
      <c r="W279" s="19">
        <v>11.2652</v>
      </c>
      <c r="X279" s="19">
        <v>10.09</v>
      </c>
      <c r="Y279" s="19">
        <v>11.2652</v>
      </c>
      <c r="Z279" s="4"/>
      <c r="AA279" s="4"/>
      <c r="AB279" s="4" t="e">
        <f ca="1">_xll.ciqfunctions.udf.CIQ("^SPX", "IQ_PRICEDATE", "1/30/2015")</f>
        <v>#NAME?</v>
      </c>
      <c r="AC279" s="16">
        <v>1994.9904120547001</v>
      </c>
    </row>
    <row r="280" spans="1:29" x14ac:dyDescent="0.35">
      <c r="A280" s="2" t="s">
        <v>290</v>
      </c>
      <c r="B280" s="4" t="s">
        <v>1232</v>
      </c>
      <c r="C280" s="4" t="s">
        <v>573</v>
      </c>
      <c r="D280" s="4" t="s">
        <v>579</v>
      </c>
      <c r="E280" s="4" t="s">
        <v>579</v>
      </c>
      <c r="F280" s="4" t="s">
        <v>644</v>
      </c>
      <c r="G280" s="14">
        <v>47.32</v>
      </c>
      <c r="H280" s="10">
        <v>9.4377519999999997</v>
      </c>
      <c r="I280" s="10">
        <v>13.497897999999999</v>
      </c>
      <c r="J280" s="10">
        <v>0.82094400000000001</v>
      </c>
      <c r="K280" s="15">
        <v>5.2829999999999995E-3</v>
      </c>
      <c r="L280" s="17">
        <v>14952.273067</v>
      </c>
      <c r="M280" s="4" t="s">
        <v>1233</v>
      </c>
      <c r="N280" s="19">
        <v>3.5057309999999999</v>
      </c>
      <c r="O280" s="19">
        <v>3.7761999999999998</v>
      </c>
      <c r="P280" s="19">
        <v>3.45</v>
      </c>
      <c r="Q280" s="19">
        <v>3.11</v>
      </c>
      <c r="R280" s="19">
        <v>1.93</v>
      </c>
      <c r="S280" s="19">
        <v>3.1341000000000001</v>
      </c>
      <c r="T280" s="19">
        <v>1.93</v>
      </c>
      <c r="U280" s="19">
        <v>2.8605</v>
      </c>
      <c r="V280" s="19">
        <v>2.5712190000000001</v>
      </c>
      <c r="W280" s="19">
        <v>2.9527000000000001</v>
      </c>
      <c r="X280" s="19">
        <v>2.5712190000000001</v>
      </c>
      <c r="Y280" s="19">
        <v>2.9527000000000001</v>
      </c>
      <c r="Z280" s="4"/>
      <c r="AA280" s="4"/>
      <c r="AB280" s="4" t="e">
        <f ca="1">_xll.ciqfunctions.udf.CIQ("^SPX", "IQ_PRICEDATE", "2/2/2015")</f>
        <v>#NAME?</v>
      </c>
      <c r="AC280" s="16">
        <v>2020.8491870268999</v>
      </c>
    </row>
    <row r="281" spans="1:29" x14ac:dyDescent="0.35">
      <c r="A281" s="2" t="s">
        <v>291</v>
      </c>
      <c r="B281" s="4" t="s">
        <v>1234</v>
      </c>
      <c r="C281" s="4" t="s">
        <v>559</v>
      </c>
      <c r="D281" s="4" t="s">
        <v>560</v>
      </c>
      <c r="E281" s="4" t="s">
        <v>561</v>
      </c>
      <c r="F281" s="4" t="s">
        <v>1235</v>
      </c>
      <c r="G281" s="14">
        <v>102.44</v>
      </c>
      <c r="H281" s="10">
        <v>12.012658</v>
      </c>
      <c r="I281" s="10">
        <v>21.547898</v>
      </c>
      <c r="J281" s="10">
        <v>19.543367</v>
      </c>
      <c r="K281" s="15">
        <v>1.8742000000000002E-2</v>
      </c>
      <c r="L281" s="17">
        <v>83078.84</v>
      </c>
      <c r="M281" s="4" t="s">
        <v>1236</v>
      </c>
      <c r="N281" s="19">
        <v>4.75406</v>
      </c>
      <c r="O281" s="19">
        <v>5.4198000000000004</v>
      </c>
      <c r="P281" s="19">
        <v>4.1492279999999999</v>
      </c>
      <c r="Q281" s="19">
        <v>5.0171000000000001</v>
      </c>
      <c r="R281" s="19">
        <v>2.7239559999999998</v>
      </c>
      <c r="S281" s="19">
        <v>4.4570999999999996</v>
      </c>
      <c r="T281" s="19">
        <v>2.7239559999999998</v>
      </c>
      <c r="U281" s="19">
        <v>3.8195000000000001</v>
      </c>
      <c r="V281" s="19">
        <v>2.5195729999999998</v>
      </c>
      <c r="W281" s="19">
        <v>3.1554000000000002</v>
      </c>
      <c r="X281" s="19">
        <v>2.5195729999999998</v>
      </c>
      <c r="Y281" s="19">
        <v>3.1554000000000002</v>
      </c>
      <c r="Z281" s="4"/>
      <c r="AA281" s="4"/>
      <c r="AB281" s="4" t="e">
        <f ca="1">_xll.ciqfunctions.udf.CIQ("^SPX", "IQ_PRICEDATE", "2/3/2015")</f>
        <v>#NAME?</v>
      </c>
      <c r="AC281" s="16">
        <v>2050.0328023764</v>
      </c>
    </row>
    <row r="282" spans="1:29" x14ac:dyDescent="0.35">
      <c r="A282" s="2" t="s">
        <v>292</v>
      </c>
      <c r="B282" s="4" t="s">
        <v>1237</v>
      </c>
      <c r="C282" s="4" t="s">
        <v>586</v>
      </c>
      <c r="D282" s="4" t="s">
        <v>586</v>
      </c>
      <c r="E282" s="4" t="s">
        <v>587</v>
      </c>
      <c r="F282" s="4" t="s">
        <v>1238</v>
      </c>
      <c r="G282" s="14">
        <v>96.22</v>
      </c>
      <c r="H282" s="10">
        <v>5.8906320000000001</v>
      </c>
      <c r="I282" s="10">
        <v>6.4894470000000002</v>
      </c>
      <c r="J282" s="10">
        <v>3.9485730000000001</v>
      </c>
      <c r="K282" s="15">
        <v>4.1570999999999997E-2</v>
      </c>
      <c r="L282" s="17">
        <v>37460.754894999998</v>
      </c>
      <c r="M282" s="4" t="s">
        <v>1239</v>
      </c>
      <c r="N282" s="19">
        <v>14.827147999999999</v>
      </c>
      <c r="O282" s="19">
        <v>10.6684</v>
      </c>
      <c r="P282" s="19">
        <v>12.28</v>
      </c>
      <c r="Q282" s="19">
        <v>10.118</v>
      </c>
      <c r="R282" s="19">
        <v>9.15</v>
      </c>
      <c r="S282" s="19">
        <v>9.5814000000000004</v>
      </c>
      <c r="T282" s="19">
        <v>9.15</v>
      </c>
      <c r="U282" s="19">
        <v>10.048500000000001</v>
      </c>
      <c r="V282" s="19">
        <v>8</v>
      </c>
      <c r="W282" s="19">
        <v>8.5454000000000008</v>
      </c>
      <c r="X282" s="19">
        <v>8</v>
      </c>
      <c r="Y282" s="19">
        <v>8.5454000000000008</v>
      </c>
      <c r="Z282" s="4"/>
      <c r="AA282" s="4"/>
      <c r="AB282" s="4" t="e">
        <f ca="1">_xll.ciqfunctions.udf.CIQ("^SPX", "IQ_PRICEDATE", "2/4/2015")</f>
        <v>#NAME?</v>
      </c>
      <c r="AC282" s="16">
        <v>2041.5093509660001</v>
      </c>
    </row>
    <row r="283" spans="1:29" x14ac:dyDescent="0.35">
      <c r="A283" s="2" t="s">
        <v>293</v>
      </c>
      <c r="B283" s="4" t="s">
        <v>1240</v>
      </c>
      <c r="C283" s="4" t="s">
        <v>573</v>
      </c>
      <c r="D283" s="4" t="s">
        <v>737</v>
      </c>
      <c r="E283" s="4" t="s">
        <v>737</v>
      </c>
      <c r="F283" s="4" t="s">
        <v>743</v>
      </c>
      <c r="G283" s="14">
        <v>161.9</v>
      </c>
      <c r="H283" s="10">
        <v>0</v>
      </c>
      <c r="I283" s="10">
        <v>14.738292</v>
      </c>
      <c r="J283" s="10">
        <v>2.3962059999999998</v>
      </c>
      <c r="K283" s="15">
        <v>2.4706000000000002E-2</v>
      </c>
      <c r="L283" s="17">
        <v>23279.740558000001</v>
      </c>
      <c r="M283" s="4" t="s">
        <v>1241</v>
      </c>
      <c r="N283" s="19">
        <v>10.98499</v>
      </c>
      <c r="O283" s="19">
        <v>13.4016</v>
      </c>
      <c r="P283" s="19">
        <v>8.7021189999999997</v>
      </c>
      <c r="Q283" s="19">
        <v>9.7939000000000007</v>
      </c>
      <c r="R283" s="19">
        <v>7.7778119999999999</v>
      </c>
      <c r="S283" s="19">
        <v>8.3176000000000005</v>
      </c>
      <c r="T283" s="19">
        <v>7.7778119999999999</v>
      </c>
      <c r="U283" s="19">
        <v>8.3454999999999995</v>
      </c>
      <c r="V283" s="19">
        <v>7.4222640000000002</v>
      </c>
      <c r="W283" s="19">
        <v>8.1942000000000004</v>
      </c>
      <c r="X283" s="19">
        <v>7.4222640000000002</v>
      </c>
      <c r="Y283" s="19">
        <v>8.1942000000000004</v>
      </c>
      <c r="Z283" s="4"/>
      <c r="AA283" s="4"/>
      <c r="AB283" s="4" t="e">
        <f ca="1">_xll.ciqfunctions.udf.CIQ("^SPX", "IQ_PRICEDATE", "2/5/2015")</f>
        <v>#NAME?</v>
      </c>
      <c r="AC283" s="16">
        <v>2062.5215572874999</v>
      </c>
    </row>
    <row r="284" spans="1:29" x14ac:dyDescent="0.35">
      <c r="A284" s="2" t="s">
        <v>294</v>
      </c>
      <c r="B284" s="4" t="s">
        <v>1242</v>
      </c>
      <c r="C284" s="4" t="s">
        <v>601</v>
      </c>
      <c r="D284" s="4" t="s">
        <v>601</v>
      </c>
      <c r="E284" s="4" t="s">
        <v>602</v>
      </c>
      <c r="F284" s="4" t="s">
        <v>1026</v>
      </c>
      <c r="G284" s="14">
        <v>51.49</v>
      </c>
      <c r="H284" s="10">
        <v>19.994215000000001</v>
      </c>
      <c r="I284" s="10" t="s">
        <v>534</v>
      </c>
      <c r="J284" s="10">
        <v>2.4890050000000001</v>
      </c>
      <c r="K284" s="15">
        <v>5.7485999999999995E-2</v>
      </c>
      <c r="L284" s="17">
        <v>7262.7109440000004</v>
      </c>
      <c r="M284" s="4" t="s">
        <v>1243</v>
      </c>
      <c r="N284" s="19">
        <v>0.158355</v>
      </c>
      <c r="O284" s="19">
        <v>0.83819999999999995</v>
      </c>
      <c r="P284" s="19">
        <v>1.02</v>
      </c>
      <c r="Q284" s="19">
        <v>0.80669999999999997</v>
      </c>
      <c r="R284" s="19">
        <v>3.52</v>
      </c>
      <c r="S284" s="19">
        <v>1.0861000000000001</v>
      </c>
      <c r="T284" s="19">
        <v>3.52</v>
      </c>
      <c r="U284" s="19">
        <v>0.80020000000000002</v>
      </c>
      <c r="V284" s="19">
        <v>10.45</v>
      </c>
      <c r="W284" s="19">
        <v>1.3734</v>
      </c>
      <c r="X284" s="19">
        <v>10.45</v>
      </c>
      <c r="Y284" s="19">
        <v>1.3734</v>
      </c>
      <c r="Z284" s="4"/>
      <c r="AA284" s="4"/>
      <c r="AB284" s="4" t="e">
        <f ca="1">_xll.ciqfunctions.udf.CIQ("^SPX", "IQ_PRICEDATE", "2/6/2015")</f>
        <v>#NAME?</v>
      </c>
      <c r="AC284" s="16">
        <v>2055.4722418257002</v>
      </c>
    </row>
    <row r="285" spans="1:29" x14ac:dyDescent="0.35">
      <c r="A285" s="2" t="s">
        <v>295</v>
      </c>
      <c r="B285" s="4" t="s">
        <v>1244</v>
      </c>
      <c r="C285" s="4" t="s">
        <v>559</v>
      </c>
      <c r="D285" s="4" t="s">
        <v>560</v>
      </c>
      <c r="E285" s="4" t="s">
        <v>940</v>
      </c>
      <c r="F285" s="4" t="s">
        <v>1211</v>
      </c>
      <c r="G285" s="14">
        <v>31.84</v>
      </c>
      <c r="H285" s="10">
        <v>5.4130219999999998</v>
      </c>
      <c r="I285" s="10">
        <v>5.9208530000000001</v>
      </c>
      <c r="J285" s="10">
        <v>6.4091880000000003</v>
      </c>
      <c r="K285" s="15">
        <v>4.7424000000000001E-2</v>
      </c>
      <c r="L285" s="17">
        <v>9774.0111500000003</v>
      </c>
      <c r="M285" s="4" t="s">
        <v>1245</v>
      </c>
      <c r="N285" s="19">
        <v>5.3776029999999997</v>
      </c>
      <c r="O285" s="19">
        <v>3.9506000000000001</v>
      </c>
      <c r="P285" s="19">
        <v>2.2871980000000001</v>
      </c>
      <c r="Q285" s="19">
        <v>3.3380999999999998</v>
      </c>
      <c r="R285" s="19">
        <v>2.1972100000000001</v>
      </c>
      <c r="S285" s="19">
        <v>3.4695999999999998</v>
      </c>
      <c r="T285" s="19">
        <v>2.1972100000000001</v>
      </c>
      <c r="U285" s="19">
        <v>4.0442</v>
      </c>
      <c r="V285" s="19">
        <v>4.1997819999999999</v>
      </c>
      <c r="W285" s="19">
        <v>4.6668000000000003</v>
      </c>
      <c r="X285" s="19">
        <v>4.1997819999999999</v>
      </c>
      <c r="Y285" s="19">
        <v>4.6668000000000003</v>
      </c>
      <c r="Z285" s="4"/>
      <c r="AA285" s="4"/>
      <c r="AB285" s="4" t="e">
        <f ca="1">_xll.ciqfunctions.udf.CIQ("^SPX", "IQ_PRICEDATE", "2/9/2015")</f>
        <v>#NAME?</v>
      </c>
      <c r="AC285" s="16">
        <v>2046.7436014545999</v>
      </c>
    </row>
    <row r="286" spans="1:29" x14ac:dyDescent="0.35">
      <c r="A286" s="2" t="s">
        <v>296</v>
      </c>
      <c r="B286" s="4" t="s">
        <v>1246</v>
      </c>
      <c r="C286" s="4" t="s">
        <v>669</v>
      </c>
      <c r="D286" s="4" t="s">
        <v>669</v>
      </c>
      <c r="E286" s="4" t="s">
        <v>670</v>
      </c>
      <c r="F286" s="4" t="s">
        <v>671</v>
      </c>
      <c r="G286" s="14">
        <v>20.89</v>
      </c>
      <c r="H286" s="10">
        <v>6.7266110000000001</v>
      </c>
      <c r="I286" s="10" t="s">
        <v>534</v>
      </c>
      <c r="J286" s="10">
        <v>1.4824710000000001</v>
      </c>
      <c r="K286" s="15">
        <v>9.5729999999999999E-3</v>
      </c>
      <c r="L286" s="17">
        <v>17843.141232999998</v>
      </c>
      <c r="M286" s="4" t="s">
        <v>1247</v>
      </c>
      <c r="N286" s="19">
        <v>-0.20551900000000001</v>
      </c>
      <c r="O286" s="19">
        <v>1.0368999999999999</v>
      </c>
      <c r="P286" s="19">
        <v>-0.97646999999999995</v>
      </c>
      <c r="Q286" s="19">
        <v>-3.7100000000000001E-2</v>
      </c>
      <c r="R286" s="19">
        <v>-2.5499999999999998</v>
      </c>
      <c r="S286" s="19">
        <v>-0.30819999999999997</v>
      </c>
      <c r="T286" s="19">
        <v>-2.5499999999999998</v>
      </c>
      <c r="U286" s="19">
        <v>-1.3289</v>
      </c>
      <c r="V286" s="19">
        <v>1.42</v>
      </c>
      <c r="W286" s="19">
        <v>0.56810000000000005</v>
      </c>
      <c r="X286" s="19">
        <v>1.42</v>
      </c>
      <c r="Y286" s="19">
        <v>0.56810000000000005</v>
      </c>
      <c r="Z286" s="4"/>
      <c r="AA286" s="4"/>
      <c r="AB286" s="4" t="e">
        <f ca="1">_xll.ciqfunctions.udf.CIQ("^SPX", "IQ_PRICEDATE", "2/10/2015")</f>
        <v>#NAME?</v>
      </c>
      <c r="AC286" s="16">
        <v>2068.5927921291</v>
      </c>
    </row>
    <row r="287" spans="1:29" x14ac:dyDescent="0.35">
      <c r="A287" s="2" t="s">
        <v>297</v>
      </c>
      <c r="B287" s="4" t="s">
        <v>1248</v>
      </c>
      <c r="C287" s="4" t="s">
        <v>669</v>
      </c>
      <c r="D287" s="4" t="s">
        <v>669</v>
      </c>
      <c r="E287" s="4" t="s">
        <v>670</v>
      </c>
      <c r="F287" s="4" t="s">
        <v>1126</v>
      </c>
      <c r="G287" s="14">
        <v>79.150000000000006</v>
      </c>
      <c r="H287" s="10">
        <v>10.389061999999999</v>
      </c>
      <c r="I287" s="10">
        <v>9.606973</v>
      </c>
      <c r="J287" s="10">
        <v>3.1737950000000001</v>
      </c>
      <c r="K287" s="15">
        <v>2.3246000000000003E-2</v>
      </c>
      <c r="L287" s="17">
        <v>54678.201008999997</v>
      </c>
      <c r="M287" s="4" t="s">
        <v>1249</v>
      </c>
      <c r="N287" s="19">
        <v>8.2388069999999995</v>
      </c>
      <c r="O287" s="19">
        <v>6.4508000000000001</v>
      </c>
      <c r="P287" s="19">
        <v>6.7</v>
      </c>
      <c r="Q287" s="19">
        <v>4.8760000000000003</v>
      </c>
      <c r="R287" s="19">
        <v>2.21</v>
      </c>
      <c r="S287" s="19">
        <v>3.3616000000000001</v>
      </c>
      <c r="T287" s="19">
        <v>2.21</v>
      </c>
      <c r="U287" s="19">
        <v>5.3543000000000003</v>
      </c>
      <c r="V287" s="19">
        <v>4.3899999999999997</v>
      </c>
      <c r="W287" s="19">
        <v>4.2502000000000004</v>
      </c>
      <c r="X287" s="19">
        <v>4.3899999999999997</v>
      </c>
      <c r="Y287" s="19">
        <v>4.2502000000000004</v>
      </c>
      <c r="Z287" s="4"/>
      <c r="AA287" s="4"/>
      <c r="AB287" s="4" t="e">
        <f ca="1">_xll.ciqfunctions.udf.CIQ("^SPX", "IQ_PRICEDATE", "2/11/2015")</f>
        <v>#NAME?</v>
      </c>
      <c r="AC287" s="16">
        <v>2068.5319770619999</v>
      </c>
    </row>
    <row r="288" spans="1:29" x14ac:dyDescent="0.35">
      <c r="A288" s="2" t="s">
        <v>298</v>
      </c>
      <c r="B288" s="4" t="s">
        <v>1250</v>
      </c>
      <c r="C288" s="4" t="s">
        <v>559</v>
      </c>
      <c r="D288" s="4" t="s">
        <v>798</v>
      </c>
      <c r="E288" s="4" t="s">
        <v>799</v>
      </c>
      <c r="F288" s="4" t="s">
        <v>800</v>
      </c>
      <c r="G288" s="14">
        <v>117.96</v>
      </c>
      <c r="H288" s="10">
        <v>17.070519999999998</v>
      </c>
      <c r="I288" s="10">
        <v>28.495912000000001</v>
      </c>
      <c r="J288" s="10" t="s">
        <v>534</v>
      </c>
      <c r="K288" s="15">
        <v>1.3903E-2</v>
      </c>
      <c r="L288" s="17">
        <v>40930.720641</v>
      </c>
      <c r="M288" s="4" t="s">
        <v>1251</v>
      </c>
      <c r="N288" s="19">
        <v>4.1395410000000004</v>
      </c>
      <c r="O288" s="19">
        <v>5.9173</v>
      </c>
      <c r="P288" s="19">
        <v>3.61</v>
      </c>
      <c r="Q288" s="19">
        <v>4.6467000000000001</v>
      </c>
      <c r="R288" s="19">
        <v>2.64</v>
      </c>
      <c r="S288" s="19">
        <v>3.8769</v>
      </c>
      <c r="T288" s="19">
        <v>2.64</v>
      </c>
      <c r="U288" s="19">
        <v>3.6078000000000001</v>
      </c>
      <c r="V288" s="19">
        <v>2.54</v>
      </c>
      <c r="W288" s="19">
        <v>2.9331</v>
      </c>
      <c r="X288" s="19">
        <v>2.54</v>
      </c>
      <c r="Y288" s="19">
        <v>2.9331</v>
      </c>
      <c r="Z288" s="4"/>
      <c r="AA288" s="4"/>
      <c r="AB288" s="4" t="e">
        <f ca="1">_xll.ciqfunctions.udf.CIQ("^SPX", "IQ_PRICEDATE", "2/12/2015")</f>
        <v>#NAME?</v>
      </c>
      <c r="AC288" s="16">
        <v>2088.4847683353</v>
      </c>
    </row>
    <row r="289" spans="1:29" x14ac:dyDescent="0.35">
      <c r="A289" s="2" t="s">
        <v>299</v>
      </c>
      <c r="B289" s="4" t="s">
        <v>1252</v>
      </c>
      <c r="C289" s="4" t="s">
        <v>573</v>
      </c>
      <c r="D289" s="4" t="s">
        <v>579</v>
      </c>
      <c r="E289" s="4" t="s">
        <v>579</v>
      </c>
      <c r="F289" s="4" t="s">
        <v>680</v>
      </c>
      <c r="G289" s="14">
        <v>80.91</v>
      </c>
      <c r="H289" s="10">
        <v>13.168301</v>
      </c>
      <c r="I289" s="10">
        <v>25.370277000000002</v>
      </c>
      <c r="J289" s="10" t="s">
        <v>534</v>
      </c>
      <c r="K289" s="15">
        <v>2.0516E-2</v>
      </c>
      <c r="L289" s="17">
        <v>40857.895066999998</v>
      </c>
      <c r="M289" s="4" t="s">
        <v>1253</v>
      </c>
      <c r="N289" s="19">
        <v>3.189165</v>
      </c>
      <c r="O289" s="19">
        <v>4.4569000000000001</v>
      </c>
      <c r="P289" s="19">
        <v>2.87</v>
      </c>
      <c r="Q289" s="19">
        <v>4.0698999999999996</v>
      </c>
      <c r="R289" s="19">
        <v>3.38</v>
      </c>
      <c r="S289" s="19">
        <v>3.6168</v>
      </c>
      <c r="T289" s="19">
        <v>3.38</v>
      </c>
      <c r="U289" s="19">
        <v>3.2086999999999999</v>
      </c>
      <c r="V289" s="19">
        <v>2.61</v>
      </c>
      <c r="W289" s="19">
        <v>3.0276999999999998</v>
      </c>
      <c r="X289" s="19">
        <v>2.61</v>
      </c>
      <c r="Y289" s="19">
        <v>3.0276999999999998</v>
      </c>
      <c r="Z289" s="4"/>
      <c r="AA289" s="4"/>
      <c r="AB289" s="4" t="e">
        <f ca="1">_xll.ciqfunctions.udf.CIQ("^SPX", "IQ_PRICEDATE", "2/13/2015")</f>
        <v>#NAME?</v>
      </c>
      <c r="AC289" s="16">
        <v>2096.9879019150999</v>
      </c>
    </row>
    <row r="290" spans="1:29" x14ac:dyDescent="0.35">
      <c r="A290" s="2" t="s">
        <v>300</v>
      </c>
      <c r="B290" s="4" t="s">
        <v>1254</v>
      </c>
      <c r="C290" s="4" t="s">
        <v>586</v>
      </c>
      <c r="D290" s="4" t="s">
        <v>586</v>
      </c>
      <c r="E290" s="4" t="s">
        <v>1255</v>
      </c>
      <c r="F290" s="4" t="s">
        <v>1255</v>
      </c>
      <c r="G290" s="14">
        <v>166.11</v>
      </c>
      <c r="H290" s="10">
        <v>13.140537999999999</v>
      </c>
      <c r="I290" s="10">
        <v>14.545806000000001</v>
      </c>
      <c r="J290" s="10">
        <v>5.4309950000000002</v>
      </c>
      <c r="K290" s="15">
        <v>1.1557999999999999E-2</v>
      </c>
      <c r="L290" s="17">
        <v>10466.918669000001</v>
      </c>
      <c r="M290" s="4" t="s">
        <v>1256</v>
      </c>
      <c r="N290" s="19">
        <v>11.419786</v>
      </c>
      <c r="O290" s="19">
        <v>9.4571000000000005</v>
      </c>
      <c r="P290" s="19">
        <v>11.25</v>
      </c>
      <c r="Q290" s="19">
        <v>7.9074999999999998</v>
      </c>
      <c r="R290" s="19">
        <v>6.63</v>
      </c>
      <c r="S290" s="19">
        <v>8.3643999999999998</v>
      </c>
      <c r="T290" s="19">
        <v>6.63</v>
      </c>
      <c r="U290" s="19">
        <v>6.5189000000000004</v>
      </c>
      <c r="V290" s="19">
        <v>2.71</v>
      </c>
      <c r="W290" s="19">
        <v>4.7074999999999996</v>
      </c>
      <c r="X290" s="19">
        <v>2.71</v>
      </c>
      <c r="Y290" s="19">
        <v>4.7074999999999996</v>
      </c>
      <c r="Z290" s="4"/>
      <c r="AA290" s="4"/>
      <c r="AB290" s="4" t="e">
        <f ca="1">_xll.ciqfunctions.udf.CIQ("^SPX", "IQ_PRICEDATE", "2/17/2015")</f>
        <v>#NAME?</v>
      </c>
      <c r="AC290" s="16">
        <v>2100.3432492548</v>
      </c>
    </row>
    <row r="291" spans="1:29" x14ac:dyDescent="0.35">
      <c r="A291" s="2" t="s">
        <v>301</v>
      </c>
      <c r="B291" s="4" t="s">
        <v>1257</v>
      </c>
      <c r="C291" s="4" t="s">
        <v>525</v>
      </c>
      <c r="D291" s="4" t="s">
        <v>526</v>
      </c>
      <c r="E291" s="4" t="s">
        <v>527</v>
      </c>
      <c r="F291" s="4" t="s">
        <v>527</v>
      </c>
      <c r="G291" s="14">
        <v>31.96</v>
      </c>
      <c r="H291" s="10">
        <v>9.8165139999999997</v>
      </c>
      <c r="I291" s="10">
        <v>17.041934000000001</v>
      </c>
      <c r="J291" s="10" t="s">
        <v>534</v>
      </c>
      <c r="K291" s="15">
        <v>1.5018E-2</v>
      </c>
      <c r="L291" s="17">
        <v>9826.9552359999998</v>
      </c>
      <c r="M291" s="4" t="s">
        <v>1258</v>
      </c>
      <c r="N291" s="19">
        <v>1.8753740000000001</v>
      </c>
      <c r="O291" s="19">
        <v>2.7391000000000001</v>
      </c>
      <c r="P291" s="19">
        <v>1.66</v>
      </c>
      <c r="Q291" s="19">
        <v>2.1812</v>
      </c>
      <c r="R291" s="19">
        <v>1.47</v>
      </c>
      <c r="S291" s="19">
        <v>1.8372999999999999</v>
      </c>
      <c r="T291" s="19">
        <v>1.47</v>
      </c>
      <c r="U291" s="19">
        <v>1.41</v>
      </c>
      <c r="V291" s="19">
        <v>2.2799999999999998</v>
      </c>
      <c r="W291" s="19">
        <v>1.151</v>
      </c>
      <c r="X291" s="19">
        <v>2.2799999999999998</v>
      </c>
      <c r="Y291" s="19">
        <v>1.151</v>
      </c>
      <c r="Z291" s="4"/>
      <c r="AA291" s="4"/>
      <c r="AB291" s="4" t="e">
        <f ca="1">_xll.ciqfunctions.udf.CIQ("^SPX", "IQ_PRICEDATE", "2/18/2015")</f>
        <v>#NAME?</v>
      </c>
      <c r="AC291" s="16">
        <v>2099.6753437890002</v>
      </c>
    </row>
    <row r="292" spans="1:29" x14ac:dyDescent="0.35">
      <c r="A292" s="2" t="s">
        <v>302</v>
      </c>
      <c r="B292" s="4" t="s">
        <v>1259</v>
      </c>
      <c r="C292" s="4" t="s">
        <v>543</v>
      </c>
      <c r="D292" s="4" t="s">
        <v>544</v>
      </c>
      <c r="E292" s="4" t="s">
        <v>545</v>
      </c>
      <c r="F292" s="4" t="s">
        <v>616</v>
      </c>
      <c r="G292" s="14">
        <v>207.38</v>
      </c>
      <c r="H292" s="10">
        <v>26.015381999999999</v>
      </c>
      <c r="I292" s="10">
        <v>46.511147999999999</v>
      </c>
      <c r="J292" s="10">
        <v>173.88154599999999</v>
      </c>
      <c r="K292" s="15">
        <v>4.8219999999999999E-3</v>
      </c>
      <c r="L292" s="17">
        <v>215354.27094700001</v>
      </c>
      <c r="M292" s="4" t="s">
        <v>1260</v>
      </c>
      <c r="N292" s="19">
        <v>4.4587159999999999</v>
      </c>
      <c r="O292" s="19">
        <v>6.8643000000000001</v>
      </c>
      <c r="P292" s="19">
        <v>3.65</v>
      </c>
      <c r="Q292" s="19">
        <v>5.1303999999999998</v>
      </c>
      <c r="R292" s="19">
        <v>3.69</v>
      </c>
      <c r="S292" s="19">
        <v>4.1387</v>
      </c>
      <c r="T292" s="19">
        <v>3.69</v>
      </c>
      <c r="U292" s="19">
        <v>3.6930000000000001</v>
      </c>
      <c r="V292" s="19">
        <v>3.1</v>
      </c>
      <c r="W292" s="19">
        <v>3.4184999999999999</v>
      </c>
      <c r="X292" s="19">
        <v>3.1</v>
      </c>
      <c r="Y292" s="19">
        <v>3.4184999999999999</v>
      </c>
      <c r="Z292" s="4"/>
      <c r="AA292" s="4"/>
      <c r="AB292" s="4" t="e">
        <f ca="1">_xll.ciqfunctions.udf.CIQ("^SPX", "IQ_PRICEDATE", "2/19/2015")</f>
        <v>#NAME?</v>
      </c>
      <c r="AC292" s="16">
        <v>2097.4493476088001</v>
      </c>
    </row>
    <row r="293" spans="1:29" x14ac:dyDescent="0.35">
      <c r="A293" s="2" t="s">
        <v>303</v>
      </c>
      <c r="B293" s="4" t="s">
        <v>1261</v>
      </c>
      <c r="C293" s="4" t="s">
        <v>559</v>
      </c>
      <c r="D293" s="4" t="s">
        <v>912</v>
      </c>
      <c r="E293" s="4" t="s">
        <v>1106</v>
      </c>
      <c r="F293" s="4" t="s">
        <v>1106</v>
      </c>
      <c r="G293" s="14">
        <v>14.77</v>
      </c>
      <c r="H293" s="10" t="s">
        <v>534</v>
      </c>
      <c r="I293" s="10" t="s">
        <v>534</v>
      </c>
      <c r="J293" s="10" t="s">
        <v>534</v>
      </c>
      <c r="K293" s="15">
        <v>0</v>
      </c>
      <c r="L293" s="17">
        <v>5083.1402680000001</v>
      </c>
      <c r="M293" s="4" t="s">
        <v>1262</v>
      </c>
      <c r="N293" s="19">
        <v>-4.1761299999999997</v>
      </c>
      <c r="O293" s="19">
        <v>-0.16669999999999999</v>
      </c>
      <c r="P293" s="19">
        <v>-3.07</v>
      </c>
      <c r="Q293" s="19">
        <v>0.2369</v>
      </c>
      <c r="R293" s="19">
        <v>0.92</v>
      </c>
      <c r="S293" s="19">
        <v>1.5628</v>
      </c>
      <c r="T293" s="19">
        <v>0.92</v>
      </c>
      <c r="U293" s="19">
        <v>1.343</v>
      </c>
      <c r="V293" s="19">
        <v>1.45</v>
      </c>
      <c r="W293" s="19">
        <v>2.1236000000000002</v>
      </c>
      <c r="X293" s="19">
        <v>1.45</v>
      </c>
      <c r="Y293" s="19">
        <v>2.1236000000000002</v>
      </c>
      <c r="Z293" s="4"/>
      <c r="AA293" s="4"/>
      <c r="AB293" s="4" t="e">
        <f ca="1">_xll.ciqfunctions.udf.CIQ("^SPX", "IQ_PRICEDATE", "2/20/2015")</f>
        <v>#NAME?</v>
      </c>
      <c r="AC293" s="16">
        <v>2110.3008991643001</v>
      </c>
    </row>
    <row r="294" spans="1:29" x14ac:dyDescent="0.35">
      <c r="A294" s="2" t="s">
        <v>304</v>
      </c>
      <c r="B294" s="4" t="s">
        <v>1263</v>
      </c>
      <c r="C294" s="4" t="s">
        <v>626</v>
      </c>
      <c r="D294" s="4" t="s">
        <v>627</v>
      </c>
      <c r="E294" s="4" t="s">
        <v>699</v>
      </c>
      <c r="F294" s="4" t="s">
        <v>789</v>
      </c>
      <c r="G294" s="14">
        <v>137.69</v>
      </c>
      <c r="H294" s="10">
        <v>20.631674</v>
      </c>
      <c r="I294" s="10">
        <v>20.406457</v>
      </c>
      <c r="J294" s="10" t="s">
        <v>534</v>
      </c>
      <c r="K294" s="15">
        <v>1.5106E-2</v>
      </c>
      <c r="L294" s="17">
        <v>18127.496093000002</v>
      </c>
      <c r="M294" s="4" t="s">
        <v>1264</v>
      </c>
      <c r="N294" s="19">
        <v>6.7473739999999998</v>
      </c>
      <c r="O294" s="19">
        <v>5.2282000000000002</v>
      </c>
      <c r="P294" s="19">
        <v>3.72</v>
      </c>
      <c r="Q294" s="19">
        <v>4.5216000000000003</v>
      </c>
      <c r="R294" s="19">
        <v>3.69</v>
      </c>
      <c r="S294" s="19">
        <v>3.9647999999999999</v>
      </c>
      <c r="T294" s="19">
        <v>3.69</v>
      </c>
      <c r="U294" s="19">
        <v>3.6116999999999999</v>
      </c>
      <c r="V294" s="19">
        <v>3.34</v>
      </c>
      <c r="W294" s="19">
        <v>3.4861</v>
      </c>
      <c r="X294" s="19">
        <v>3.34</v>
      </c>
      <c r="Y294" s="19">
        <v>3.4861</v>
      </c>
      <c r="Z294" s="4"/>
      <c r="AA294" s="4"/>
      <c r="AB294" s="4" t="e">
        <f ca="1">_xll.ciqfunctions.udf.CIQ("^SPX", "IQ_PRICEDATE", "2/23/2015")</f>
        <v>#NAME?</v>
      </c>
      <c r="AC294" s="16">
        <v>2109.6566290026999</v>
      </c>
    </row>
    <row r="295" spans="1:29" x14ac:dyDescent="0.35">
      <c r="A295" s="2" t="s">
        <v>305</v>
      </c>
      <c r="B295" s="4" t="s">
        <v>1265</v>
      </c>
      <c r="C295" s="4" t="s">
        <v>559</v>
      </c>
      <c r="D295" s="4" t="s">
        <v>798</v>
      </c>
      <c r="E295" s="4" t="s">
        <v>799</v>
      </c>
      <c r="F295" s="4" t="s">
        <v>839</v>
      </c>
      <c r="G295" s="14">
        <v>166.77</v>
      </c>
      <c r="H295" s="10">
        <v>15.762727</v>
      </c>
      <c r="I295" s="10">
        <v>24.466937000000001</v>
      </c>
      <c r="J295" s="10" t="s">
        <v>534</v>
      </c>
      <c r="K295" s="15">
        <v>2.7822E-2</v>
      </c>
      <c r="L295" s="17">
        <v>129380.234209</v>
      </c>
      <c r="M295" s="4" t="s">
        <v>1266</v>
      </c>
      <c r="N295" s="19">
        <v>6.8161370000000003</v>
      </c>
      <c r="O295" s="19">
        <v>7.7857000000000003</v>
      </c>
      <c r="P295" s="19">
        <v>6.37</v>
      </c>
      <c r="Q295" s="19">
        <v>6.835</v>
      </c>
      <c r="R295" s="19">
        <v>5.44</v>
      </c>
      <c r="S295" s="19">
        <v>6.0103</v>
      </c>
      <c r="T295" s="19">
        <v>5.44</v>
      </c>
      <c r="U295" s="19">
        <v>5.2130000000000001</v>
      </c>
      <c r="V295" s="19">
        <v>4.82</v>
      </c>
      <c r="W295" s="19">
        <v>5.2888999999999999</v>
      </c>
      <c r="X295" s="19">
        <v>4.82</v>
      </c>
      <c r="Y295" s="19">
        <v>5.2888999999999999</v>
      </c>
      <c r="Z295" s="4"/>
      <c r="AA295" s="4"/>
      <c r="AB295" s="4" t="e">
        <f ca="1">_xll.ciqfunctions.udf.CIQ("^SPX", "IQ_PRICEDATE", "2/24/2015")</f>
        <v>#NAME?</v>
      </c>
      <c r="AC295" s="16">
        <v>2115.4838159563001</v>
      </c>
    </row>
    <row r="296" spans="1:29" x14ac:dyDescent="0.35">
      <c r="A296" s="2" t="s">
        <v>306</v>
      </c>
      <c r="B296" s="4" t="s">
        <v>1267</v>
      </c>
      <c r="C296" s="4" t="s">
        <v>530</v>
      </c>
      <c r="D296" s="4" t="s">
        <v>531</v>
      </c>
      <c r="E296" s="4" t="s">
        <v>569</v>
      </c>
      <c r="F296" s="4" t="s">
        <v>655</v>
      </c>
      <c r="G296" s="14">
        <v>135.04</v>
      </c>
      <c r="H296" s="10">
        <v>9.6127769999999995</v>
      </c>
      <c r="I296" s="10" t="s">
        <v>534</v>
      </c>
      <c r="J296" s="10" t="s">
        <v>534</v>
      </c>
      <c r="K296" s="15">
        <v>1.1552E-2</v>
      </c>
      <c r="L296" s="17">
        <v>26977.071924</v>
      </c>
      <c r="M296" s="4" t="s">
        <v>1268</v>
      </c>
      <c r="N296" s="19">
        <v>-1.8663419999999999</v>
      </c>
      <c r="O296" s="19">
        <v>13.4869</v>
      </c>
      <c r="P296" s="19">
        <v>22.754123</v>
      </c>
      <c r="Q296" s="19">
        <v>12.5558</v>
      </c>
      <c r="R296" s="19">
        <v>9.0365629999999992</v>
      </c>
      <c r="S296" s="19">
        <v>12.116899999999999</v>
      </c>
      <c r="T296" s="19">
        <v>9.0365629999999992</v>
      </c>
      <c r="U296" s="19">
        <v>13.3017</v>
      </c>
      <c r="V296" s="19">
        <v>7.5714709999999998</v>
      </c>
      <c r="W296" s="19">
        <v>11.6843</v>
      </c>
      <c r="X296" s="19">
        <v>7.5714709999999998</v>
      </c>
      <c r="Y296" s="19">
        <v>11.6843</v>
      </c>
      <c r="Z296" s="4"/>
      <c r="AA296" s="4"/>
      <c r="AB296" s="4" t="e">
        <f ca="1">_xll.ciqfunctions.udf.CIQ("^SPX", "IQ_PRICEDATE", "2/25/2015")</f>
        <v>#NAME?</v>
      </c>
      <c r="AC296" s="16">
        <v>2113.8635148128001</v>
      </c>
    </row>
    <row r="297" spans="1:29" x14ac:dyDescent="0.35">
      <c r="A297" s="2" t="s">
        <v>307</v>
      </c>
      <c r="B297" s="4" t="s">
        <v>1269</v>
      </c>
      <c r="C297" s="4" t="s">
        <v>530</v>
      </c>
      <c r="D297" s="4" t="s">
        <v>531</v>
      </c>
      <c r="E297" s="4" t="s">
        <v>532</v>
      </c>
      <c r="F297" s="4" t="s">
        <v>533</v>
      </c>
      <c r="G297" s="14">
        <v>97.29</v>
      </c>
      <c r="H297" s="10">
        <v>15.317556</v>
      </c>
      <c r="I297" s="10">
        <v>41.958820000000003</v>
      </c>
      <c r="J297" s="10" t="s">
        <v>534</v>
      </c>
      <c r="K297" s="15">
        <v>2.0556999999999999E-2</v>
      </c>
      <c r="L297" s="17">
        <v>131391.23396700001</v>
      </c>
      <c r="M297" s="4" t="s">
        <v>1270</v>
      </c>
      <c r="N297" s="19">
        <v>2.318702</v>
      </c>
      <c r="O297" s="19">
        <v>5.2145999999999999</v>
      </c>
      <c r="P297" s="19">
        <v>3.6437590000000002</v>
      </c>
      <c r="Q297" s="19">
        <v>4.9591000000000003</v>
      </c>
      <c r="R297" s="19">
        <v>3.0034299999999998</v>
      </c>
      <c r="S297" s="19">
        <v>4.8093000000000004</v>
      </c>
      <c r="T297" s="19">
        <v>3.0034299999999998</v>
      </c>
      <c r="U297" s="19">
        <v>4.6657000000000002</v>
      </c>
      <c r="V297" s="19">
        <v>2.8895770000000001</v>
      </c>
      <c r="W297" s="19">
        <v>4.2085999999999997</v>
      </c>
      <c r="X297" s="19">
        <v>2.8895770000000001</v>
      </c>
      <c r="Y297" s="19">
        <v>4.2085999999999997</v>
      </c>
      <c r="Z297" s="4"/>
      <c r="AA297" s="4"/>
      <c r="AB297" s="4" t="e">
        <f ca="1">_xll.ciqfunctions.udf.CIQ("^SPX", "IQ_PRICEDATE", "2/26/2015")</f>
        <v>#NAME?</v>
      </c>
      <c r="AC297" s="16">
        <v>2110.7418309157001</v>
      </c>
    </row>
    <row r="298" spans="1:29" x14ac:dyDescent="0.35">
      <c r="A298" s="2" t="s">
        <v>308</v>
      </c>
      <c r="B298" s="4" t="s">
        <v>1271</v>
      </c>
      <c r="C298" s="4" t="s">
        <v>530</v>
      </c>
      <c r="D298" s="4" t="s">
        <v>537</v>
      </c>
      <c r="E298" s="4" t="s">
        <v>613</v>
      </c>
      <c r="F298" s="4" t="s">
        <v>613</v>
      </c>
      <c r="G298" s="14">
        <v>71.819999999999993</v>
      </c>
      <c r="H298" s="10">
        <v>17.355464000000001</v>
      </c>
      <c r="I298" s="10">
        <v>148.119427</v>
      </c>
      <c r="J298" s="10">
        <v>141.313693</v>
      </c>
      <c r="K298" s="15">
        <v>2.6732999999999996E-2</v>
      </c>
      <c r="L298" s="17">
        <v>191007.10783600001</v>
      </c>
      <c r="M298" s="4" t="s">
        <v>1272</v>
      </c>
      <c r="N298" s="19">
        <v>0.484879</v>
      </c>
      <c r="O298" s="19">
        <v>4.4579000000000004</v>
      </c>
      <c r="P298" s="19">
        <v>0.87</v>
      </c>
      <c r="Q298" s="19">
        <v>3.9620000000000002</v>
      </c>
      <c r="R298" s="19">
        <v>1.41</v>
      </c>
      <c r="S298" s="19">
        <v>3.7530999999999999</v>
      </c>
      <c r="T298" s="19">
        <v>1.41</v>
      </c>
      <c r="U298" s="19">
        <v>3.6737000000000002</v>
      </c>
      <c r="V298" s="19">
        <v>4.07</v>
      </c>
      <c r="W298" s="19">
        <v>3.4413</v>
      </c>
      <c r="X298" s="19">
        <v>4.07</v>
      </c>
      <c r="Y298" s="19">
        <v>3.4413</v>
      </c>
      <c r="Z298" s="4"/>
      <c r="AA298" s="4"/>
      <c r="AB298" s="4" t="e">
        <f ca="1">_xll.ciqfunctions.udf.CIQ("^SPX", "IQ_PRICEDATE", "2/27/2015")</f>
        <v>#NAME?</v>
      </c>
      <c r="AC298" s="16">
        <v>2104.5032493243002</v>
      </c>
    </row>
    <row r="299" spans="1:29" x14ac:dyDescent="0.35">
      <c r="A299" s="2" t="s">
        <v>309</v>
      </c>
      <c r="B299" s="4" t="s">
        <v>1273</v>
      </c>
      <c r="C299" s="4" t="s">
        <v>573</v>
      </c>
      <c r="D299" s="4" t="s">
        <v>579</v>
      </c>
      <c r="E299" s="4" t="s">
        <v>579</v>
      </c>
      <c r="F299" s="4" t="s">
        <v>580</v>
      </c>
      <c r="G299" s="14">
        <v>44.66</v>
      </c>
      <c r="H299" s="10">
        <v>21.555149</v>
      </c>
      <c r="I299" s="10">
        <v>8.9880689999999994</v>
      </c>
      <c r="J299" s="10">
        <v>1.0120739999999999</v>
      </c>
      <c r="K299" s="15">
        <v>3.7616999999999998E-2</v>
      </c>
      <c r="L299" s="17">
        <v>44429.462444999997</v>
      </c>
      <c r="M299" s="4" t="s">
        <v>1274</v>
      </c>
      <c r="N299" s="19">
        <v>4.9688090000000003</v>
      </c>
      <c r="O299" s="19">
        <v>5.2276999999999996</v>
      </c>
      <c r="P299" s="19">
        <v>4.53</v>
      </c>
      <c r="Q299" s="19">
        <v>4.5159000000000002</v>
      </c>
      <c r="R299" s="19">
        <v>3.13</v>
      </c>
      <c r="S299" s="19">
        <v>5.3220000000000001</v>
      </c>
      <c r="T299" s="19">
        <v>3.13</v>
      </c>
      <c r="U299" s="19">
        <v>5.7436999999999996</v>
      </c>
      <c r="V299" s="19">
        <v>5.42</v>
      </c>
      <c r="W299" s="19">
        <v>5.76</v>
      </c>
      <c r="X299" s="19">
        <v>5.42</v>
      </c>
      <c r="Y299" s="19">
        <v>5.76</v>
      </c>
      <c r="Z299" s="4"/>
      <c r="AA299" s="4"/>
      <c r="AB299" s="4" t="e">
        <f ca="1">_xll.ciqfunctions.udf.CIQ("^SPX", "IQ_PRICEDATE", "3/2/2015")</f>
        <v>#NAME?</v>
      </c>
      <c r="AC299" s="16">
        <v>2117.3933347360999</v>
      </c>
    </row>
    <row r="300" spans="1:29" x14ac:dyDescent="0.35">
      <c r="A300" s="2" t="s">
        <v>310</v>
      </c>
      <c r="B300" s="4" t="s">
        <v>1275</v>
      </c>
      <c r="C300" s="4" t="s">
        <v>530</v>
      </c>
      <c r="D300" s="4" t="s">
        <v>537</v>
      </c>
      <c r="E300" s="4" t="s">
        <v>583</v>
      </c>
      <c r="F300" s="4" t="s">
        <v>583</v>
      </c>
      <c r="G300" s="14">
        <v>578.69000000000005</v>
      </c>
      <c r="H300" s="10">
        <v>22.263456999999999</v>
      </c>
      <c r="I300" s="10">
        <v>39.119819999999997</v>
      </c>
      <c r="J300" s="10" t="s">
        <v>534</v>
      </c>
      <c r="K300" s="15">
        <v>0</v>
      </c>
      <c r="L300" s="17">
        <v>14590.990125</v>
      </c>
      <c r="M300" s="4" t="s">
        <v>1276</v>
      </c>
      <c r="N300" s="19">
        <v>14.792757</v>
      </c>
      <c r="O300" s="19">
        <v>21.353000000000002</v>
      </c>
      <c r="P300" s="19">
        <v>14.24</v>
      </c>
      <c r="Q300" s="19">
        <v>19.140499999999999</v>
      </c>
      <c r="R300" s="19">
        <v>14.219999</v>
      </c>
      <c r="S300" s="19">
        <v>15.7037</v>
      </c>
      <c r="T300" s="19">
        <v>14.219999</v>
      </c>
      <c r="U300" s="19">
        <v>13.7766</v>
      </c>
      <c r="V300" s="19">
        <v>11.44</v>
      </c>
      <c r="W300" s="19">
        <v>12.564299999999999</v>
      </c>
      <c r="X300" s="19">
        <v>11.44</v>
      </c>
      <c r="Y300" s="19">
        <v>12.564299999999999</v>
      </c>
      <c r="Z300" s="4"/>
      <c r="AA300" s="4"/>
      <c r="AB300" s="4" t="e">
        <f ca="1">_xll.ciqfunctions.udf.CIQ("^SPX", "IQ_PRICEDATE", "3/3/2015")</f>
        <v>#NAME?</v>
      </c>
      <c r="AC300" s="16">
        <v>2107.7784174444</v>
      </c>
    </row>
    <row r="301" spans="1:29" x14ac:dyDescent="0.35">
      <c r="A301" s="2" t="s">
        <v>311</v>
      </c>
      <c r="B301" s="4" t="s">
        <v>1277</v>
      </c>
      <c r="C301" s="4" t="s">
        <v>559</v>
      </c>
      <c r="D301" s="4" t="s">
        <v>798</v>
      </c>
      <c r="E301" s="4" t="s">
        <v>799</v>
      </c>
      <c r="F301" s="4" t="s">
        <v>1278</v>
      </c>
      <c r="G301" s="14">
        <v>27.92</v>
      </c>
      <c r="H301" s="10">
        <v>12.402637</v>
      </c>
      <c r="I301" s="10">
        <v>8.5436420000000002</v>
      </c>
      <c r="J301" s="10">
        <v>11.830769</v>
      </c>
      <c r="K301" s="15">
        <v>1.7191000000000001E-2</v>
      </c>
      <c r="L301" s="17">
        <v>15018.227079</v>
      </c>
      <c r="M301" s="4" t="s">
        <v>1279</v>
      </c>
      <c r="N301" s="19">
        <v>3.2679269999999998</v>
      </c>
      <c r="O301" s="19">
        <v>1.1268</v>
      </c>
      <c r="P301" s="19">
        <v>3.3546499999999999</v>
      </c>
      <c r="Q301" s="19">
        <v>1.236</v>
      </c>
      <c r="R301" s="19">
        <v>1.921033</v>
      </c>
      <c r="S301" s="19">
        <v>1.2794000000000001</v>
      </c>
      <c r="T301" s="19">
        <v>1.921033</v>
      </c>
      <c r="U301" s="19">
        <v>0.57110000000000005</v>
      </c>
      <c r="V301" s="19">
        <v>-0.30601</v>
      </c>
      <c r="W301" s="19">
        <v>0.53300000000000003</v>
      </c>
      <c r="X301" s="19">
        <v>-0.30601</v>
      </c>
      <c r="Y301" s="19">
        <v>0.53300000000000003</v>
      </c>
      <c r="Z301" s="4"/>
      <c r="AA301" s="4"/>
      <c r="AB301" s="4" t="e">
        <f ca="1">_xll.ciqfunctions.udf.CIQ("^SPX", "IQ_PRICEDATE", "3/4/2015")</f>
        <v>#NAME?</v>
      </c>
      <c r="AC301" s="16">
        <v>2098.5330535804001</v>
      </c>
    </row>
    <row r="302" spans="1:29" x14ac:dyDescent="0.35">
      <c r="A302" s="2" t="s">
        <v>312</v>
      </c>
      <c r="B302" s="4" t="s">
        <v>1280</v>
      </c>
      <c r="C302" s="4" t="s">
        <v>559</v>
      </c>
      <c r="D302" s="4" t="s">
        <v>912</v>
      </c>
      <c r="E302" s="4" t="s">
        <v>1097</v>
      </c>
      <c r="F302" s="4" t="s">
        <v>1098</v>
      </c>
      <c r="G302" s="14">
        <v>62.38</v>
      </c>
      <c r="H302" s="10">
        <v>8.4249170000000007</v>
      </c>
      <c r="I302" s="10">
        <v>14.711650000000001</v>
      </c>
      <c r="J302" s="10">
        <v>173.590723</v>
      </c>
      <c r="K302" s="15">
        <v>0</v>
      </c>
      <c r="L302" s="17">
        <v>9305.1369560000003</v>
      </c>
      <c r="M302" s="4" t="s">
        <v>1281</v>
      </c>
      <c r="N302" s="19">
        <v>4.2401770000000001</v>
      </c>
      <c r="O302" s="19">
        <v>5.0564999999999998</v>
      </c>
      <c r="P302" s="19">
        <v>3.3294570000000001</v>
      </c>
      <c r="Q302" s="19">
        <v>3.9893999999999998</v>
      </c>
      <c r="R302" s="19">
        <v>4.3754530000000003</v>
      </c>
      <c r="S302" s="19">
        <v>4.4847999999999999</v>
      </c>
      <c r="T302" s="19">
        <v>4.3754530000000003</v>
      </c>
      <c r="U302" s="19">
        <v>4.3769999999999998</v>
      </c>
      <c r="V302" s="19">
        <v>4.1599360000000001</v>
      </c>
      <c r="W302" s="19">
        <v>4.4702999999999999</v>
      </c>
      <c r="X302" s="19">
        <v>4.1599360000000001</v>
      </c>
      <c r="Y302" s="19">
        <v>4.4702999999999999</v>
      </c>
      <c r="Z302" s="4"/>
      <c r="AA302" s="4"/>
      <c r="AB302" s="4" t="e">
        <f ca="1">_xll.ciqfunctions.udf.CIQ("^SPX", "IQ_PRICEDATE", "3/5/2015")</f>
        <v>#NAME?</v>
      </c>
      <c r="AC302" s="16">
        <v>2101.0420529524999</v>
      </c>
    </row>
    <row r="303" spans="1:29" x14ac:dyDescent="0.35">
      <c r="A303" s="2" t="s">
        <v>313</v>
      </c>
      <c r="B303" s="4" t="s">
        <v>1282</v>
      </c>
      <c r="C303" s="4" t="s">
        <v>543</v>
      </c>
      <c r="D303" s="4" t="s">
        <v>565</v>
      </c>
      <c r="E303" s="4" t="s">
        <v>565</v>
      </c>
      <c r="F303" s="4" t="s">
        <v>566</v>
      </c>
      <c r="G303" s="14">
        <v>69.05</v>
      </c>
      <c r="H303" s="10">
        <v>17.165426</v>
      </c>
      <c r="I303" s="10">
        <v>142.604299</v>
      </c>
      <c r="J303" s="10" t="s">
        <v>534</v>
      </c>
      <c r="K303" s="15">
        <v>2.1086000000000001E-2</v>
      </c>
      <c r="L303" s="17">
        <v>16265.268023000001</v>
      </c>
      <c r="M303" s="4" t="s">
        <v>1283</v>
      </c>
      <c r="N303" s="19">
        <v>0.484207</v>
      </c>
      <c r="O303" s="19">
        <v>6.9287000000000001</v>
      </c>
      <c r="P303" s="19">
        <v>1.0271079999999999</v>
      </c>
      <c r="Q303" s="19">
        <v>5.6483999999999996</v>
      </c>
      <c r="R303" s="19">
        <v>0.43665500000000002</v>
      </c>
      <c r="S303" s="19">
        <v>3.8492999999999999</v>
      </c>
      <c r="T303" s="19">
        <v>0.43665500000000002</v>
      </c>
      <c r="U303" s="19">
        <v>2.7298</v>
      </c>
      <c r="V303" s="19">
        <v>1.7077009999999999</v>
      </c>
      <c r="W303" s="19">
        <v>2.6915</v>
      </c>
      <c r="X303" s="19">
        <v>1.7077009999999999</v>
      </c>
      <c r="Y303" s="19">
        <v>2.6915</v>
      </c>
      <c r="Z303" s="4"/>
      <c r="AA303" s="4"/>
      <c r="AB303" s="4" t="e">
        <f ca="1">_xll.ciqfunctions.udf.CIQ("^SPX", "IQ_PRICEDATE", "3/6/2015")</f>
        <v>#NAME?</v>
      </c>
      <c r="AC303" s="16">
        <v>2071.2621063056999</v>
      </c>
    </row>
    <row r="304" spans="1:29" x14ac:dyDescent="0.35">
      <c r="A304" s="2" t="s">
        <v>314</v>
      </c>
      <c r="B304" s="4" t="s">
        <v>1284</v>
      </c>
      <c r="C304" s="4" t="s">
        <v>543</v>
      </c>
      <c r="D304" s="4" t="s">
        <v>565</v>
      </c>
      <c r="E304" s="4" t="s">
        <v>565</v>
      </c>
      <c r="F304" s="4" t="s">
        <v>566</v>
      </c>
      <c r="G304" s="14">
        <v>42.35</v>
      </c>
      <c r="H304" s="10">
        <v>2.3795829999999998</v>
      </c>
      <c r="I304" s="10">
        <v>3.6794090000000002</v>
      </c>
      <c r="J304" s="10">
        <v>1.5997509999999999</v>
      </c>
      <c r="K304" s="15">
        <v>0</v>
      </c>
      <c r="L304" s="17">
        <v>48035.715130999997</v>
      </c>
      <c r="M304" s="4" t="s">
        <v>1285</v>
      </c>
      <c r="N304" s="19">
        <v>11.51</v>
      </c>
      <c r="O304" s="19">
        <v>10.607049999999999</v>
      </c>
      <c r="P304" s="19">
        <v>6.3977510000000004</v>
      </c>
      <c r="Q304" s="19">
        <v>9.7083999999999993</v>
      </c>
      <c r="R304" s="19">
        <v>-0.30013000000000001</v>
      </c>
      <c r="S304" s="19">
        <v>2.7976000000000001</v>
      </c>
      <c r="T304" s="19">
        <v>-0.30013000000000001</v>
      </c>
      <c r="U304" s="19">
        <v>0.56930000000000003</v>
      </c>
      <c r="V304" s="19">
        <v>3.0776029999999999</v>
      </c>
      <c r="W304" s="19">
        <v>3.7490700000000001</v>
      </c>
      <c r="X304" s="19">
        <v>3.0776029999999999</v>
      </c>
      <c r="Y304" s="19">
        <v>3.7490700000000001</v>
      </c>
      <c r="Z304" s="4"/>
      <c r="AA304" s="4"/>
      <c r="AB304" s="4" t="e">
        <f ca="1">_xll.ciqfunctions.udf.CIQ("^SPX", "IQ_PRICEDATE", "3/9/2015")</f>
        <v>#NAME?</v>
      </c>
      <c r="AC304" s="16">
        <v>2079.4254666122001</v>
      </c>
    </row>
    <row r="305" spans="1:29" x14ac:dyDescent="0.35">
      <c r="A305" s="2" t="s">
        <v>315</v>
      </c>
      <c r="B305" s="4" t="s">
        <v>1286</v>
      </c>
      <c r="C305" s="4" t="s">
        <v>543</v>
      </c>
      <c r="D305" s="4" t="s">
        <v>544</v>
      </c>
      <c r="E305" s="4" t="s">
        <v>555</v>
      </c>
      <c r="F305" s="4" t="s">
        <v>782</v>
      </c>
      <c r="G305" s="14">
        <v>110.71</v>
      </c>
      <c r="H305" s="10">
        <v>17.879272</v>
      </c>
      <c r="I305" s="10">
        <v>51.976525000000002</v>
      </c>
      <c r="J305" s="10">
        <v>21.802903000000001</v>
      </c>
      <c r="K305" s="15">
        <v>1.6618999999999998E-2</v>
      </c>
      <c r="L305" s="17">
        <v>849977.32351799996</v>
      </c>
      <c r="M305" s="4" t="s">
        <v>1287</v>
      </c>
      <c r="N305" s="19">
        <v>2.13</v>
      </c>
      <c r="O305" s="19">
        <v>4.2925899999999997</v>
      </c>
      <c r="P305" s="19">
        <v>1.2299960000000001</v>
      </c>
      <c r="Q305" s="19">
        <v>3.4314</v>
      </c>
      <c r="R305" s="19">
        <v>2.383178</v>
      </c>
      <c r="S305" s="19">
        <v>2.9746999999999999</v>
      </c>
      <c r="T305" s="19">
        <v>2.383178</v>
      </c>
      <c r="U305" s="19">
        <v>2.7997000000000001</v>
      </c>
      <c r="V305" s="19">
        <v>2.4794459999999998</v>
      </c>
      <c r="W305" s="19">
        <v>2.8952</v>
      </c>
      <c r="X305" s="19">
        <v>2.4794459999999998</v>
      </c>
      <c r="Y305" s="19">
        <v>2.8952</v>
      </c>
      <c r="Z305" s="4"/>
      <c r="AA305" s="4"/>
      <c r="AB305" s="4" t="e">
        <f ca="1">_xll.ciqfunctions.udf.CIQ("^SPX", "IQ_PRICEDATE", "3/10/2015")</f>
        <v>#NAME?</v>
      </c>
      <c r="AC305" s="16">
        <v>2044.1626309388</v>
      </c>
    </row>
    <row r="306" spans="1:29" x14ac:dyDescent="0.35">
      <c r="A306" s="2" t="s">
        <v>316</v>
      </c>
      <c r="B306" s="4" t="s">
        <v>1288</v>
      </c>
      <c r="C306" s="4" t="s">
        <v>601</v>
      </c>
      <c r="D306" s="4" t="s">
        <v>601</v>
      </c>
      <c r="E306" s="4" t="s">
        <v>602</v>
      </c>
      <c r="F306" s="4" t="s">
        <v>685</v>
      </c>
      <c r="G306" s="14">
        <v>98.11</v>
      </c>
      <c r="H306" s="10">
        <v>18.067543000000001</v>
      </c>
      <c r="I306" s="10">
        <v>32.507334999999998</v>
      </c>
      <c r="J306" s="10">
        <v>1.7858449999999999</v>
      </c>
      <c r="K306" s="15">
        <v>3.7610000000000005E-2</v>
      </c>
      <c r="L306" s="17">
        <v>11165.894587000001</v>
      </c>
      <c r="M306" s="4" t="s">
        <v>1289</v>
      </c>
      <c r="N306" s="19">
        <v>3.0180880000000001</v>
      </c>
      <c r="O306" s="19">
        <v>1.9883</v>
      </c>
      <c r="P306" s="19">
        <v>2.8560080000000001</v>
      </c>
      <c r="Q306" s="19">
        <v>2.0318999999999998</v>
      </c>
      <c r="R306" s="19">
        <v>2.689276</v>
      </c>
      <c r="S306" s="19">
        <v>1.895</v>
      </c>
      <c r="T306" s="19">
        <v>2.689276</v>
      </c>
      <c r="U306" s="19">
        <v>2.1225000000000001</v>
      </c>
      <c r="V306" s="19">
        <v>1.8986019999999999</v>
      </c>
      <c r="W306" s="19">
        <v>1.885</v>
      </c>
      <c r="X306" s="19">
        <v>1.8986019999999999</v>
      </c>
      <c r="Y306" s="19">
        <v>1.885</v>
      </c>
      <c r="Z306" s="4"/>
      <c r="AA306" s="4"/>
      <c r="AB306" s="4" t="e">
        <f ca="1">_xll.ciqfunctions.udf.CIQ("^SPX", "IQ_PRICEDATE", "3/11/2015")</f>
        <v>#NAME?</v>
      </c>
      <c r="AC306" s="16">
        <v>2040.2351976913999</v>
      </c>
    </row>
    <row r="307" spans="1:29" x14ac:dyDescent="0.35">
      <c r="A307" s="2" t="s">
        <v>317</v>
      </c>
      <c r="B307" s="4" t="s">
        <v>1290</v>
      </c>
      <c r="C307" s="4" t="s">
        <v>559</v>
      </c>
      <c r="D307" s="4" t="s">
        <v>912</v>
      </c>
      <c r="E307" s="4" t="s">
        <v>913</v>
      </c>
      <c r="F307" s="4" t="s">
        <v>1222</v>
      </c>
      <c r="G307" s="14">
        <v>155.94999999999999</v>
      </c>
      <c r="H307" s="10">
        <v>7.5434130000000001</v>
      </c>
      <c r="I307" s="10">
        <v>12.762679</v>
      </c>
      <c r="J307" s="10">
        <v>2.8655789999999999</v>
      </c>
      <c r="K307" s="15">
        <v>0</v>
      </c>
      <c r="L307" s="17">
        <v>11634.320851</v>
      </c>
      <c r="M307" s="4" t="s">
        <v>1291</v>
      </c>
      <c r="N307" s="19">
        <v>12.219220999999999</v>
      </c>
      <c r="O307" s="19">
        <v>14.0388</v>
      </c>
      <c r="P307" s="19">
        <v>12.98</v>
      </c>
      <c r="Q307" s="19">
        <v>14.451700000000001</v>
      </c>
      <c r="R307" s="19">
        <v>12.48</v>
      </c>
      <c r="S307" s="19">
        <v>13.2964</v>
      </c>
      <c r="T307" s="19">
        <v>12.48</v>
      </c>
      <c r="U307" s="19">
        <v>11.652699999999999</v>
      </c>
      <c r="V307" s="19">
        <v>7.25</v>
      </c>
      <c r="W307" s="19">
        <v>9.0420999999999996</v>
      </c>
      <c r="X307" s="19">
        <v>7.25</v>
      </c>
      <c r="Y307" s="19">
        <v>9.0420999999999996</v>
      </c>
      <c r="Z307" s="4"/>
      <c r="AA307" s="4"/>
      <c r="AB307" s="4" t="e">
        <f ca="1">_xll.ciqfunctions.udf.CIQ("^SPX", "IQ_PRICEDATE", "3/12/2015")</f>
        <v>#NAME?</v>
      </c>
      <c r="AC307" s="16">
        <v>2065.9542896005</v>
      </c>
    </row>
    <row r="308" spans="1:29" x14ac:dyDescent="0.35">
      <c r="A308" s="2" t="s">
        <v>318</v>
      </c>
      <c r="B308" s="4" t="s">
        <v>1292</v>
      </c>
      <c r="C308" s="4" t="s">
        <v>626</v>
      </c>
      <c r="D308" s="4" t="s">
        <v>627</v>
      </c>
      <c r="E308" s="4" t="s">
        <v>775</v>
      </c>
      <c r="F308" s="4" t="s">
        <v>1293</v>
      </c>
      <c r="G308" s="14">
        <v>59.57</v>
      </c>
      <c r="H308" s="10">
        <v>9.5026679999999999</v>
      </c>
      <c r="I308" s="10">
        <v>8.1947489999999998</v>
      </c>
      <c r="J308" s="10" t="s">
        <v>534</v>
      </c>
      <c r="K308" s="15">
        <v>2.7530000000000002E-2</v>
      </c>
      <c r="L308" s="17">
        <v>12872.404688000001</v>
      </c>
      <c r="M308" s="4" t="s">
        <v>1294</v>
      </c>
      <c r="N308" s="19">
        <v>7.2692889999999997</v>
      </c>
      <c r="O308" s="19">
        <v>4.9176000000000002</v>
      </c>
      <c r="P308" s="19">
        <v>6.52</v>
      </c>
      <c r="Q308" s="19">
        <v>4.7706999999999997</v>
      </c>
      <c r="R308" s="19">
        <v>9.35</v>
      </c>
      <c r="S308" s="19">
        <v>5.3032000000000004</v>
      </c>
      <c r="T308" s="19">
        <v>9.35</v>
      </c>
      <c r="U308" s="19">
        <v>3.8633000000000002</v>
      </c>
      <c r="V308" s="19">
        <v>2.76</v>
      </c>
      <c r="W308" s="19">
        <v>4.2073999999999998</v>
      </c>
      <c r="X308" s="19">
        <v>2.76</v>
      </c>
      <c r="Y308" s="19">
        <v>4.2073999999999998</v>
      </c>
      <c r="Z308" s="4"/>
      <c r="AA308" s="4"/>
      <c r="AB308" s="4" t="e">
        <f ca="1">_xll.ciqfunctions.udf.CIQ("^SPX", "IQ_PRICEDATE", "3/13/2015")</f>
        <v>#NAME?</v>
      </c>
      <c r="AC308" s="16">
        <v>2053.3982557016998</v>
      </c>
    </row>
    <row r="309" spans="1:29" x14ac:dyDescent="0.35">
      <c r="A309" s="2" t="s">
        <v>319</v>
      </c>
      <c r="B309" s="4" t="s">
        <v>1295</v>
      </c>
      <c r="C309" s="4" t="s">
        <v>626</v>
      </c>
      <c r="D309" s="4" t="s">
        <v>627</v>
      </c>
      <c r="E309" s="4" t="s">
        <v>699</v>
      </c>
      <c r="F309" s="4" t="s">
        <v>789</v>
      </c>
      <c r="G309" s="14">
        <v>41.16</v>
      </c>
      <c r="H309" s="10">
        <v>14.952602000000001</v>
      </c>
      <c r="I309" s="10">
        <v>20.312253999999999</v>
      </c>
      <c r="J309" s="10" t="s">
        <v>534</v>
      </c>
      <c r="K309" s="15">
        <v>2.5266999999999998E-2</v>
      </c>
      <c r="L309" s="17">
        <v>60363.650718999997</v>
      </c>
      <c r="M309" s="4" t="s">
        <v>1296</v>
      </c>
      <c r="N309" s="19">
        <v>2.0263629999999999</v>
      </c>
      <c r="O309" s="19">
        <v>2.4335</v>
      </c>
      <c r="P309" s="19">
        <v>1.91</v>
      </c>
      <c r="Q309" s="19">
        <v>2.3098000000000001</v>
      </c>
      <c r="R309" s="19">
        <v>1.05</v>
      </c>
      <c r="S309" s="19">
        <v>2.0310999999999999</v>
      </c>
      <c r="T309" s="19">
        <v>1.05</v>
      </c>
      <c r="U309" s="19">
        <v>1.927</v>
      </c>
      <c r="V309" s="19">
        <v>1.28</v>
      </c>
      <c r="W309" s="19">
        <v>1.7676000000000001</v>
      </c>
      <c r="X309" s="19">
        <v>1.28</v>
      </c>
      <c r="Y309" s="19">
        <v>1.7676000000000001</v>
      </c>
      <c r="Z309" s="4"/>
      <c r="AA309" s="4"/>
      <c r="AB309" s="4" t="e">
        <f ca="1">_xll.ciqfunctions.udf.CIQ("^SPX", "IQ_PRICEDATE", "3/16/2015")</f>
        <v>#NAME?</v>
      </c>
      <c r="AC309" s="16">
        <v>2081.1927519049</v>
      </c>
    </row>
    <row r="310" spans="1:29" x14ac:dyDescent="0.35">
      <c r="A310" s="2" t="s">
        <v>320</v>
      </c>
      <c r="B310" s="4" t="s">
        <v>1297</v>
      </c>
      <c r="C310" s="4" t="s">
        <v>626</v>
      </c>
      <c r="D310" s="4" t="s">
        <v>627</v>
      </c>
      <c r="E310" s="4" t="s">
        <v>775</v>
      </c>
      <c r="F310" s="4" t="s">
        <v>1298</v>
      </c>
      <c r="G310" s="14">
        <v>52.63</v>
      </c>
      <c r="H310" s="10">
        <v>21.630203999999999</v>
      </c>
      <c r="I310" s="10">
        <v>33.323265999999997</v>
      </c>
      <c r="J310" s="10">
        <v>23.560040999999998</v>
      </c>
      <c r="K310" s="15">
        <v>0</v>
      </c>
      <c r="L310" s="17">
        <v>29079.292332000001</v>
      </c>
      <c r="M310" s="4" t="s">
        <v>1299</v>
      </c>
      <c r="N310" s="19">
        <v>1.579377</v>
      </c>
      <c r="O310" s="19">
        <v>1.8596999999999999</v>
      </c>
      <c r="P310" s="19">
        <v>1.42</v>
      </c>
      <c r="Q310" s="19">
        <v>1.6449</v>
      </c>
      <c r="R310" s="19">
        <v>1.19</v>
      </c>
      <c r="S310" s="19">
        <v>1.4362999999999999</v>
      </c>
      <c r="T310" s="19">
        <v>1.19</v>
      </c>
      <c r="U310" s="19">
        <v>1.2426999999999999</v>
      </c>
      <c r="V310" s="19">
        <v>0.92</v>
      </c>
      <c r="W310" s="19">
        <v>1.0047999999999999</v>
      </c>
      <c r="X310" s="19">
        <v>0.92</v>
      </c>
      <c r="Y310" s="19">
        <v>1.0047999999999999</v>
      </c>
      <c r="Z310" s="4"/>
      <c r="AA310" s="4"/>
      <c r="AB310" s="4" t="e">
        <f ca="1">_xll.ciqfunctions.udf.CIQ("^SPX", "IQ_PRICEDATE", "3/17/2015")</f>
        <v>#NAME?</v>
      </c>
      <c r="AC310" s="16">
        <v>2074.2764352814002</v>
      </c>
    </row>
    <row r="311" spans="1:29" x14ac:dyDescent="0.35">
      <c r="A311" s="2" t="s">
        <v>321</v>
      </c>
      <c r="B311" s="4" t="s">
        <v>1300</v>
      </c>
      <c r="C311" s="4" t="s">
        <v>573</v>
      </c>
      <c r="D311" s="4" t="s">
        <v>574</v>
      </c>
      <c r="E311" s="4" t="s">
        <v>575</v>
      </c>
      <c r="F311" s="4" t="s">
        <v>807</v>
      </c>
      <c r="G311" s="14">
        <v>161.83000000000001</v>
      </c>
      <c r="H311" s="10">
        <v>16.366043000000001</v>
      </c>
      <c r="I311" s="10">
        <v>28.836867999999999</v>
      </c>
      <c r="J311" s="10" t="s">
        <v>534</v>
      </c>
      <c r="K311" s="15">
        <v>1.0874999999999999E-2</v>
      </c>
      <c r="L311" s="17">
        <v>31055.177</v>
      </c>
      <c r="M311" s="4" t="s">
        <v>1301</v>
      </c>
      <c r="N311" s="19">
        <v>5.6119130000000004</v>
      </c>
      <c r="O311" s="19">
        <v>7.9436</v>
      </c>
      <c r="P311" s="19">
        <v>5.15</v>
      </c>
      <c r="Q311" s="19">
        <v>6.2826000000000004</v>
      </c>
      <c r="R311" s="19">
        <v>1.36</v>
      </c>
      <c r="S311" s="19">
        <v>4.9725999999999999</v>
      </c>
      <c r="T311" s="19">
        <v>1.36</v>
      </c>
      <c r="U311" s="19">
        <v>4.9287000000000001</v>
      </c>
      <c r="V311" s="19">
        <v>4.6100000000000003</v>
      </c>
      <c r="W311" s="19">
        <v>4.4413999999999998</v>
      </c>
      <c r="X311" s="19">
        <v>4.6100000000000003</v>
      </c>
      <c r="Y311" s="19">
        <v>4.4413999999999998</v>
      </c>
      <c r="Z311" s="4"/>
      <c r="AA311" s="4"/>
      <c r="AB311" s="4" t="e">
        <f ca="1">_xll.ciqfunctions.udf.CIQ("^SPX", "IQ_PRICEDATE", "3/18/2015")</f>
        <v>#NAME?</v>
      </c>
      <c r="AC311" s="16">
        <v>2099.5007136298</v>
      </c>
    </row>
    <row r="312" spans="1:29" x14ac:dyDescent="0.35">
      <c r="A312" s="2" t="s">
        <v>322</v>
      </c>
      <c r="B312" s="4" t="s">
        <v>1302</v>
      </c>
      <c r="C312" s="4" t="s">
        <v>573</v>
      </c>
      <c r="D312" s="4" t="s">
        <v>574</v>
      </c>
      <c r="E312" s="4" t="s">
        <v>575</v>
      </c>
      <c r="F312" s="4" t="s">
        <v>963</v>
      </c>
      <c r="G312" s="14">
        <v>47.19</v>
      </c>
      <c r="H312" s="10">
        <v>0</v>
      </c>
      <c r="I312" s="10">
        <v>11.312206</v>
      </c>
      <c r="J312" s="10">
        <v>1.341121</v>
      </c>
      <c r="K312" s="15">
        <v>2.5429E-2</v>
      </c>
      <c r="L312" s="17">
        <v>80223</v>
      </c>
      <c r="M312" s="4" t="s">
        <v>1303</v>
      </c>
      <c r="N312" s="19">
        <v>4.1715999999999998</v>
      </c>
      <c r="O312" s="19">
        <v>4.7832999999999997</v>
      </c>
      <c r="P312" s="19">
        <v>3.08</v>
      </c>
      <c r="Q312" s="19">
        <v>3.9678</v>
      </c>
      <c r="R312" s="19">
        <v>2.92</v>
      </c>
      <c r="S312" s="19">
        <v>3.2086999999999999</v>
      </c>
      <c r="T312" s="19">
        <v>2.92</v>
      </c>
      <c r="U312" s="19">
        <v>2.9138999999999999</v>
      </c>
      <c r="V312" s="19">
        <v>1.61</v>
      </c>
      <c r="W312" s="19">
        <v>2.8113999999999999</v>
      </c>
      <c r="X312" s="19">
        <v>1.61</v>
      </c>
      <c r="Y312" s="19">
        <v>2.8113999999999999</v>
      </c>
      <c r="Z312" s="4"/>
      <c r="AA312" s="4"/>
      <c r="AB312" s="4" t="e">
        <f ca="1">_xll.ciqfunctions.udf.CIQ("^SPX", "IQ_PRICEDATE", "3/19/2015")</f>
        <v>#NAME?</v>
      </c>
      <c r="AC312" s="16">
        <v>2089.274370696</v>
      </c>
    </row>
    <row r="313" spans="1:29" x14ac:dyDescent="0.35">
      <c r="A313" s="2" t="s">
        <v>323</v>
      </c>
      <c r="B313" s="4" t="s">
        <v>1304</v>
      </c>
      <c r="C313" s="4" t="s">
        <v>543</v>
      </c>
      <c r="D313" s="4" t="s">
        <v>664</v>
      </c>
      <c r="E313" s="4" t="s">
        <v>706</v>
      </c>
      <c r="F313" s="4" t="s">
        <v>706</v>
      </c>
      <c r="G313" s="14">
        <v>123.56</v>
      </c>
      <c r="H313" s="10">
        <v>14.005463000000001</v>
      </c>
      <c r="I313" s="10" t="s">
        <v>534</v>
      </c>
      <c r="J313" s="10" t="s">
        <v>534</v>
      </c>
      <c r="K313" s="15">
        <v>1.6833000000000001E-2</v>
      </c>
      <c r="L313" s="17">
        <v>20049.685932</v>
      </c>
      <c r="M313" s="4" t="s">
        <v>1305</v>
      </c>
      <c r="N313" s="19">
        <v>-0.41529899999999997</v>
      </c>
      <c r="O313" s="19">
        <v>7.0298999999999996</v>
      </c>
      <c r="P313" s="19">
        <v>-0.95150299999999999</v>
      </c>
      <c r="Q313" s="19">
        <v>5.5968999999999998</v>
      </c>
      <c r="R313" s="19">
        <v>3.24</v>
      </c>
      <c r="S313" s="19">
        <v>4.9733000000000001</v>
      </c>
      <c r="T313" s="19">
        <v>3.24</v>
      </c>
      <c r="U313" s="19">
        <v>3.8220999999999998</v>
      </c>
      <c r="V313" s="19">
        <v>-2.84</v>
      </c>
      <c r="W313" s="19">
        <v>3.1013999999999999</v>
      </c>
      <c r="X313" s="19">
        <v>-2.84</v>
      </c>
      <c r="Y313" s="19">
        <v>3.1013999999999999</v>
      </c>
      <c r="Z313" s="4"/>
      <c r="AA313" s="4"/>
      <c r="AB313" s="4" t="e">
        <f ca="1">_xll.ciqfunctions.udf.CIQ("^SPX", "IQ_PRICEDATE", "3/20/2015")</f>
        <v>#NAME?</v>
      </c>
      <c r="AC313" s="16">
        <v>2108.0973212684999</v>
      </c>
    </row>
    <row r="314" spans="1:29" x14ac:dyDescent="0.35">
      <c r="A314" s="2" t="s">
        <v>324</v>
      </c>
      <c r="B314" s="4" t="s">
        <v>1306</v>
      </c>
      <c r="C314" s="4" t="s">
        <v>573</v>
      </c>
      <c r="D314" s="4" t="s">
        <v>574</v>
      </c>
      <c r="E314" s="4" t="s">
        <v>575</v>
      </c>
      <c r="F314" s="4" t="s">
        <v>807</v>
      </c>
      <c r="G314" s="14">
        <v>157.28</v>
      </c>
      <c r="H314" s="10">
        <v>20.900062999999999</v>
      </c>
      <c r="I314" s="10">
        <v>37.901049999999998</v>
      </c>
      <c r="J314" s="10" t="s">
        <v>534</v>
      </c>
      <c r="K314" s="15">
        <v>1.4750000000000001E-2</v>
      </c>
      <c r="L314" s="17">
        <v>13971.638354999999</v>
      </c>
      <c r="M314" s="4" t="s">
        <v>1307</v>
      </c>
      <c r="N314" s="19">
        <v>4.1497529999999996</v>
      </c>
      <c r="O314" s="19">
        <v>5.5590999999999999</v>
      </c>
      <c r="P314" s="19">
        <v>3.31</v>
      </c>
      <c r="Q314" s="19">
        <v>4.3346</v>
      </c>
      <c r="R314" s="19">
        <v>2.7</v>
      </c>
      <c r="S314" s="19">
        <v>3.2816999999999998</v>
      </c>
      <c r="T314" s="19">
        <v>2.7</v>
      </c>
      <c r="U314" s="19">
        <v>2.6101000000000001</v>
      </c>
      <c r="V314" s="19">
        <v>1.7</v>
      </c>
      <c r="W314" s="19">
        <v>2.0375000000000001</v>
      </c>
      <c r="X314" s="19">
        <v>1.7</v>
      </c>
      <c r="Y314" s="19">
        <v>2.0375000000000001</v>
      </c>
      <c r="Z314" s="4"/>
      <c r="AA314" s="4"/>
      <c r="AB314" s="4" t="e">
        <f ca="1">_xll.ciqfunctions.udf.CIQ("^SPX", "IQ_PRICEDATE", "3/23/2015")</f>
        <v>#NAME?</v>
      </c>
      <c r="AC314" s="16">
        <v>2104.4201169500998</v>
      </c>
    </row>
    <row r="315" spans="1:29" x14ac:dyDescent="0.35">
      <c r="A315" s="2" t="s">
        <v>325</v>
      </c>
      <c r="B315" s="4" t="s">
        <v>1308</v>
      </c>
      <c r="C315" s="4" t="s">
        <v>530</v>
      </c>
      <c r="D315" s="4" t="s">
        <v>537</v>
      </c>
      <c r="E315" s="4" t="s">
        <v>613</v>
      </c>
      <c r="F315" s="4" t="s">
        <v>613</v>
      </c>
      <c r="G315" s="14">
        <v>33.020000000000003</v>
      </c>
      <c r="H315" s="10">
        <v>9.0554609999999993</v>
      </c>
      <c r="I315" s="10">
        <v>38.080475999999997</v>
      </c>
      <c r="J315" s="10" t="s">
        <v>534</v>
      </c>
      <c r="K315" s="15">
        <v>0</v>
      </c>
      <c r="L315" s="17">
        <v>17024.030727000001</v>
      </c>
      <c r="M315" s="4" t="s">
        <v>1309</v>
      </c>
      <c r="N315" s="19">
        <v>0.86711099999999997</v>
      </c>
      <c r="O315" s="19">
        <v>4.9622000000000002</v>
      </c>
      <c r="P315" s="19">
        <v>1.3</v>
      </c>
      <c r="Q315" s="19">
        <v>5.2491000000000003</v>
      </c>
      <c r="R315" s="19">
        <v>0.92</v>
      </c>
      <c r="S315" s="19">
        <v>5.3051000000000004</v>
      </c>
      <c r="T315" s="19">
        <v>0.92</v>
      </c>
      <c r="U315" s="19">
        <v>4.8670999999999998</v>
      </c>
      <c r="V315" s="19">
        <v>2.34</v>
      </c>
      <c r="W315" s="19">
        <v>4.0833000000000004</v>
      </c>
      <c r="X315" s="19">
        <v>2.34</v>
      </c>
      <c r="Y315" s="19">
        <v>4.0833000000000004</v>
      </c>
      <c r="Z315" s="4"/>
      <c r="AA315" s="4"/>
      <c r="AB315" s="4" t="e">
        <f ca="1">_xll.ciqfunctions.udf.CIQ("^SPX", "IQ_PRICEDATE", "3/24/2015")</f>
        <v>#NAME?</v>
      </c>
      <c r="AC315" s="16">
        <v>2091.5017884394001</v>
      </c>
    </row>
    <row r="316" spans="1:29" x14ac:dyDescent="0.35">
      <c r="A316" s="2" t="s">
        <v>326</v>
      </c>
      <c r="B316" s="4" t="s">
        <v>1310</v>
      </c>
      <c r="C316" s="4" t="s">
        <v>573</v>
      </c>
      <c r="D316" s="4" t="s">
        <v>574</v>
      </c>
      <c r="E316" s="4" t="s">
        <v>575</v>
      </c>
      <c r="F316" s="4" t="s">
        <v>807</v>
      </c>
      <c r="G316" s="14">
        <v>80.63</v>
      </c>
      <c r="H316" s="10">
        <v>12.503247999999999</v>
      </c>
      <c r="I316" s="10">
        <v>17.912168999999999</v>
      </c>
      <c r="J316" s="10" t="s">
        <v>534</v>
      </c>
      <c r="K316" s="15">
        <v>2.1828E-2</v>
      </c>
      <c r="L316" s="17">
        <v>13264.320919</v>
      </c>
      <c r="M316" s="4" t="s">
        <v>1311</v>
      </c>
      <c r="N316" s="19">
        <v>4.5014089999999998</v>
      </c>
      <c r="O316" s="19">
        <v>4.9147999999999996</v>
      </c>
      <c r="P316" s="19">
        <v>4.3299989999999999</v>
      </c>
      <c r="Q316" s="19">
        <v>4.2944000000000004</v>
      </c>
      <c r="R316" s="19">
        <v>0.63999899999999998</v>
      </c>
      <c r="S316" s="19">
        <v>4.0232999999999999</v>
      </c>
      <c r="T316" s="19">
        <v>0.63999899999999998</v>
      </c>
      <c r="U316" s="19">
        <v>3.657</v>
      </c>
      <c r="V316" s="19">
        <v>2.389999</v>
      </c>
      <c r="W316" s="19">
        <v>3.1396000000000002</v>
      </c>
      <c r="X316" s="19">
        <v>2.389999</v>
      </c>
      <c r="Y316" s="19">
        <v>3.1396000000000002</v>
      </c>
      <c r="Z316" s="4"/>
      <c r="AA316" s="4"/>
      <c r="AB316" s="4" t="e">
        <f ca="1">_xll.ciqfunctions.udf.CIQ("^SPX", "IQ_PRICEDATE", "3/25/2015")</f>
        <v>#NAME?</v>
      </c>
      <c r="AC316" s="16">
        <v>2061.0474809228999</v>
      </c>
    </row>
    <row r="317" spans="1:29" x14ac:dyDescent="0.35">
      <c r="A317" s="2" t="s">
        <v>327</v>
      </c>
      <c r="B317" s="4" t="s">
        <v>1312</v>
      </c>
      <c r="C317" s="4" t="s">
        <v>669</v>
      </c>
      <c r="D317" s="4" t="s">
        <v>669</v>
      </c>
      <c r="E317" s="4" t="s">
        <v>730</v>
      </c>
      <c r="F317" s="4" t="s">
        <v>731</v>
      </c>
      <c r="G317" s="14">
        <v>41.87</v>
      </c>
      <c r="H317" s="10">
        <v>28.175878999999998</v>
      </c>
      <c r="I317" s="10" t="s">
        <v>534</v>
      </c>
      <c r="J317" s="10">
        <v>3.5943700000000001</v>
      </c>
      <c r="K317" s="15">
        <v>4.7759999999999999E-3</v>
      </c>
      <c r="L317" s="17">
        <v>16020.276706000001</v>
      </c>
      <c r="M317" s="4" t="s">
        <v>1313</v>
      </c>
      <c r="N317" s="19">
        <v>-0.23</v>
      </c>
      <c r="O317" s="19">
        <v>0.66539999999999999</v>
      </c>
      <c r="P317" s="19">
        <v>-0.63</v>
      </c>
      <c r="Q317" s="19">
        <v>9.01E-2</v>
      </c>
      <c r="R317" s="19">
        <v>-6.4148930000000002</v>
      </c>
      <c r="S317" s="19">
        <v>-0.7802</v>
      </c>
      <c r="T317" s="19">
        <v>-6.4148930000000002</v>
      </c>
      <c r="U317" s="19">
        <v>1.5317000000000001</v>
      </c>
      <c r="V317" s="19">
        <v>5.7</v>
      </c>
      <c r="W317" s="19">
        <v>5.9945000000000004</v>
      </c>
      <c r="X317" s="19">
        <v>5.7</v>
      </c>
      <c r="Y317" s="19">
        <v>5.9945000000000004</v>
      </c>
      <c r="Z317" s="4"/>
      <c r="AA317" s="4"/>
      <c r="AB317" s="4" t="e">
        <f ca="1">_xll.ciqfunctions.udf.CIQ("^SPX", "IQ_PRICEDATE", "3/26/2015")</f>
        <v>#NAME?</v>
      </c>
      <c r="AC317" s="16">
        <v>2056.1488082319001</v>
      </c>
    </row>
    <row r="318" spans="1:29" x14ac:dyDescent="0.35">
      <c r="A318" s="2" t="s">
        <v>328</v>
      </c>
      <c r="B318" s="4" t="s">
        <v>1314</v>
      </c>
      <c r="C318" s="4" t="s">
        <v>530</v>
      </c>
      <c r="D318" s="4" t="s">
        <v>537</v>
      </c>
      <c r="E318" s="4" t="s">
        <v>613</v>
      </c>
      <c r="F318" s="4" t="s">
        <v>613</v>
      </c>
      <c r="G318" s="14">
        <v>50.59</v>
      </c>
      <c r="H318" s="10">
        <v>7.4100630000000001</v>
      </c>
      <c r="I318" s="10">
        <v>9.4104489999999998</v>
      </c>
      <c r="J318" s="10">
        <v>4.8895179999999998</v>
      </c>
      <c r="K318" s="15">
        <v>0</v>
      </c>
      <c r="L318" s="17">
        <v>8725.1952259999998</v>
      </c>
      <c r="M318" s="4" t="s">
        <v>1315</v>
      </c>
      <c r="N318" s="19">
        <v>5.3759389999999998</v>
      </c>
      <c r="O318" s="19">
        <v>-2.4963000000000002</v>
      </c>
      <c r="P318" s="19">
        <v>-0.62000699999999997</v>
      </c>
      <c r="Q318" s="19">
        <v>-1.3118000000000001</v>
      </c>
      <c r="R318" s="19">
        <v>-1.0997729999999999</v>
      </c>
      <c r="S318" s="19">
        <v>-0.9375</v>
      </c>
      <c r="T318" s="19">
        <v>-1.0997729999999999</v>
      </c>
      <c r="U318" s="19">
        <v>-1.4531000000000001</v>
      </c>
      <c r="V318" s="19">
        <v>-0.42496</v>
      </c>
      <c r="W318" s="19">
        <v>-0.39600000000000002</v>
      </c>
      <c r="X318" s="19">
        <v>-0.42496</v>
      </c>
      <c r="Y318" s="19">
        <v>-0.39600000000000002</v>
      </c>
      <c r="Z318" s="4"/>
      <c r="AA318" s="4"/>
      <c r="AB318" s="4" t="e">
        <f ca="1">_xll.ciqfunctions.udf.CIQ("^SPX", "IQ_PRICEDATE", "3/27/2015")</f>
        <v>#NAME?</v>
      </c>
      <c r="AC318" s="16">
        <v>2061.0219968101001</v>
      </c>
    </row>
    <row r="319" spans="1:29" x14ac:dyDescent="0.35">
      <c r="A319" s="2" t="s">
        <v>329</v>
      </c>
      <c r="B319" s="4" t="s">
        <v>1316</v>
      </c>
      <c r="C319" s="4" t="s">
        <v>543</v>
      </c>
      <c r="D319" s="4" t="s">
        <v>664</v>
      </c>
      <c r="E319" s="4" t="s">
        <v>688</v>
      </c>
      <c r="F319" s="4" t="s">
        <v>688</v>
      </c>
      <c r="G319" s="14">
        <v>79.069999999999993</v>
      </c>
      <c r="H319" s="10">
        <v>14.533227999999999</v>
      </c>
      <c r="I319" s="10">
        <v>94.492610999999997</v>
      </c>
      <c r="J319" s="10">
        <v>201.55133599999999</v>
      </c>
      <c r="K319" s="15">
        <v>2.0235E-2</v>
      </c>
      <c r="L319" s="17">
        <v>20500.340686</v>
      </c>
      <c r="M319" s="4" t="s">
        <v>1317</v>
      </c>
      <c r="N319" s="19">
        <v>0.836785</v>
      </c>
      <c r="O319" s="19">
        <v>4.4036999999999997</v>
      </c>
      <c r="P319" s="19">
        <v>2.3137349999999999</v>
      </c>
      <c r="Q319" s="19">
        <v>3.5114000000000001</v>
      </c>
      <c r="R319" s="19">
        <v>1.1017729999999999</v>
      </c>
      <c r="S319" s="19">
        <v>2.8216000000000001</v>
      </c>
      <c r="T319" s="19">
        <v>1.1017729999999999</v>
      </c>
      <c r="U319" s="19">
        <v>2.5897000000000001</v>
      </c>
      <c r="V319" s="19">
        <v>1.906989</v>
      </c>
      <c r="W319" s="19">
        <v>3.0823</v>
      </c>
      <c r="X319" s="19">
        <v>1.906989</v>
      </c>
      <c r="Y319" s="19">
        <v>3.0823</v>
      </c>
      <c r="Z319" s="4"/>
      <c r="AA319" s="4"/>
      <c r="AB319" s="4" t="e">
        <f ca="1">_xll.ciqfunctions.udf.CIQ("^SPX", "IQ_PRICEDATE", "3/30/2015")</f>
        <v>#NAME?</v>
      </c>
      <c r="AC319" s="16">
        <v>2086.2373115864998</v>
      </c>
    </row>
    <row r="320" spans="1:29" x14ac:dyDescent="0.35">
      <c r="A320" s="2" t="s">
        <v>330</v>
      </c>
      <c r="B320" s="4" t="s">
        <v>1318</v>
      </c>
      <c r="C320" s="4" t="s">
        <v>549</v>
      </c>
      <c r="D320" s="4" t="s">
        <v>550</v>
      </c>
      <c r="E320" s="4" t="s">
        <v>551</v>
      </c>
      <c r="F320" s="4" t="s">
        <v>1319</v>
      </c>
      <c r="G320" s="14">
        <v>364.7</v>
      </c>
      <c r="H320" s="10">
        <v>95.742203000000003</v>
      </c>
      <c r="I320" s="10">
        <v>130.17440500000001</v>
      </c>
      <c r="J320" s="10" t="s">
        <v>534</v>
      </c>
      <c r="K320" s="15">
        <v>0</v>
      </c>
      <c r="L320" s="17">
        <v>158811.35207399999</v>
      </c>
      <c r="M320" s="4" t="s">
        <v>1320</v>
      </c>
      <c r="N320" s="19">
        <v>2.8016260000000002</v>
      </c>
      <c r="O320" s="19">
        <v>3.3824000000000001</v>
      </c>
      <c r="P320" s="19">
        <v>1.25</v>
      </c>
      <c r="Q320" s="19">
        <v>2.15</v>
      </c>
      <c r="R320" s="19">
        <v>0.43</v>
      </c>
      <c r="S320" s="19">
        <v>0.76919999999999999</v>
      </c>
      <c r="T320" s="19">
        <v>0.43</v>
      </c>
      <c r="U320" s="19">
        <v>0.15329999999999999</v>
      </c>
      <c r="V320" s="19">
        <v>0.62</v>
      </c>
      <c r="W320" s="19">
        <v>0.50800000000000001</v>
      </c>
      <c r="X320" s="19">
        <v>0.62</v>
      </c>
      <c r="Y320" s="19">
        <v>0.50800000000000001</v>
      </c>
      <c r="Z320" s="4"/>
      <c r="AA320" s="4"/>
      <c r="AB320" s="4" t="e">
        <f ca="1">_xll.ciqfunctions.udf.CIQ("^SPX", "IQ_PRICEDATE", "3/31/2015")</f>
        <v>#NAME?</v>
      </c>
      <c r="AC320" s="16">
        <v>2067.8872407585</v>
      </c>
    </row>
    <row r="321" spans="1:29" x14ac:dyDescent="0.35">
      <c r="A321" s="2" t="s">
        <v>331</v>
      </c>
      <c r="B321" s="4" t="s">
        <v>1321</v>
      </c>
      <c r="C321" s="4" t="s">
        <v>559</v>
      </c>
      <c r="D321" s="4" t="s">
        <v>912</v>
      </c>
      <c r="E321" s="4" t="s">
        <v>913</v>
      </c>
      <c r="F321" s="4" t="s">
        <v>1322</v>
      </c>
      <c r="G321" s="14">
        <v>17.75</v>
      </c>
      <c r="H321" s="10">
        <v>8.4282540000000008</v>
      </c>
      <c r="I321" s="10">
        <v>4.2112100000000003</v>
      </c>
      <c r="J321" s="10" t="s">
        <v>534</v>
      </c>
      <c r="K321" s="15">
        <v>5.1830000000000001E-2</v>
      </c>
      <c r="L321" s="17">
        <v>8386.875</v>
      </c>
      <c r="M321" s="4" t="s">
        <v>1323</v>
      </c>
      <c r="N321" s="19">
        <v>4.2149400000000004</v>
      </c>
      <c r="O321" s="19">
        <v>2.1389</v>
      </c>
      <c r="P321" s="19">
        <v>5.63</v>
      </c>
      <c r="Q321" s="19">
        <v>2.8382000000000001</v>
      </c>
      <c r="R321" s="19">
        <v>1.25</v>
      </c>
      <c r="S321" s="19">
        <v>2.7991999999999999</v>
      </c>
      <c r="T321" s="19">
        <v>1.25</v>
      </c>
      <c r="U321" s="19">
        <v>2.3395999999999999</v>
      </c>
      <c r="V321" s="19">
        <v>1.34</v>
      </c>
      <c r="W321" s="19">
        <v>2.1078000000000001</v>
      </c>
      <c r="X321" s="19">
        <v>1.34</v>
      </c>
      <c r="Y321" s="19">
        <v>2.1078000000000001</v>
      </c>
      <c r="Z321" s="4"/>
      <c r="AA321" s="4"/>
      <c r="AB321" s="4" t="e">
        <f ca="1">_xll.ciqfunctions.udf.CIQ("^SPX", "IQ_PRICEDATE", "4/1/2015")</f>
        <v>#NAME?</v>
      </c>
      <c r="AC321" s="16">
        <v>2059.6908719502999</v>
      </c>
    </row>
    <row r="322" spans="1:29" x14ac:dyDescent="0.35">
      <c r="A322" s="2" t="s">
        <v>332</v>
      </c>
      <c r="B322" s="4" t="s">
        <v>1324</v>
      </c>
      <c r="C322" s="4" t="s">
        <v>669</v>
      </c>
      <c r="D322" s="4" t="s">
        <v>669</v>
      </c>
      <c r="E322" s="4" t="s">
        <v>670</v>
      </c>
      <c r="F322" s="4" t="s">
        <v>671</v>
      </c>
      <c r="G322" s="14">
        <v>24.54</v>
      </c>
      <c r="H322" s="10">
        <v>7.1722869999999999</v>
      </c>
      <c r="I322" s="10">
        <v>12.715025000000001</v>
      </c>
      <c r="J322" s="10">
        <v>2.9578380000000002</v>
      </c>
      <c r="K322" s="15">
        <v>0</v>
      </c>
      <c r="L322" s="17">
        <v>4850.9799359999997</v>
      </c>
      <c r="M322" s="4" t="s">
        <v>1325</v>
      </c>
      <c r="N322" s="19">
        <v>1.93</v>
      </c>
      <c r="O322" s="19">
        <v>3.7919</v>
      </c>
      <c r="P322" s="19">
        <v>2.13</v>
      </c>
      <c r="Q322" s="19">
        <v>2.2008000000000001</v>
      </c>
      <c r="R322" s="19">
        <v>-6.3730560000000001</v>
      </c>
      <c r="S322" s="19">
        <v>1.5844</v>
      </c>
      <c r="T322" s="19">
        <v>-6.3730560000000001</v>
      </c>
      <c r="U322" s="19">
        <v>0.38550000000000001</v>
      </c>
      <c r="V322" s="19">
        <v>4.71</v>
      </c>
      <c r="W322" s="19">
        <v>1.8422000000000001</v>
      </c>
      <c r="X322" s="19">
        <v>4.71</v>
      </c>
      <c r="Y322" s="19">
        <v>1.8422000000000001</v>
      </c>
      <c r="Z322" s="4"/>
      <c r="AA322" s="4"/>
      <c r="AB322" s="4" t="e">
        <f ca="1">_xll.ciqfunctions.udf.CIQ("^SPX", "IQ_PRICEDATE", "4/2/2015")</f>
        <v>#NAME?</v>
      </c>
      <c r="AC322" s="16">
        <v>2066.9648541660999</v>
      </c>
    </row>
    <row r="323" spans="1:29" x14ac:dyDescent="0.35">
      <c r="A323" s="2" t="s">
        <v>333</v>
      </c>
      <c r="B323" s="4" t="s">
        <v>1326</v>
      </c>
      <c r="C323" s="4" t="s">
        <v>586</v>
      </c>
      <c r="D323" s="4" t="s">
        <v>586</v>
      </c>
      <c r="E323" s="4" t="s">
        <v>1066</v>
      </c>
      <c r="F323" s="4" t="s">
        <v>1327</v>
      </c>
      <c r="G323" s="14">
        <v>32.11</v>
      </c>
      <c r="H323" s="10">
        <v>6.8900480000000002</v>
      </c>
      <c r="I323" s="10">
        <v>139.18508800000001</v>
      </c>
      <c r="J323" s="10">
        <v>1.5827819999999999</v>
      </c>
      <c r="K323" s="15">
        <v>1.7440000000000001E-2</v>
      </c>
      <c r="L323" s="17">
        <v>17127.433316999999</v>
      </c>
      <c r="M323" s="4" t="s">
        <v>1328</v>
      </c>
      <c r="N323" s="19">
        <v>0.23069999999999999</v>
      </c>
      <c r="O323" s="19">
        <v>1.2717000000000001</v>
      </c>
      <c r="P323" s="19">
        <v>-0.11257</v>
      </c>
      <c r="Q323" s="19">
        <v>1.3714</v>
      </c>
      <c r="R323" s="19">
        <v>-0.41509400000000002</v>
      </c>
      <c r="S323" s="19">
        <v>1.5692999999999999</v>
      </c>
      <c r="T323" s="19">
        <v>-0.41509400000000002</v>
      </c>
      <c r="U323" s="19">
        <v>0.78839999999999999</v>
      </c>
      <c r="V323" s="19">
        <v>1.3</v>
      </c>
      <c r="W323" s="19">
        <v>0.83399999999999996</v>
      </c>
      <c r="X323" s="19">
        <v>1.3</v>
      </c>
      <c r="Y323" s="19">
        <v>0.83399999999999996</v>
      </c>
      <c r="Z323" s="4"/>
      <c r="AA323" s="4"/>
      <c r="AB323" s="4" t="e">
        <f ca="1">_xll.ciqfunctions.udf.CIQ("^SPX", "IQ_PRICEDATE", "4/6/2015")</f>
        <v>#NAME?</v>
      </c>
      <c r="AC323" s="16">
        <v>2080.6177622591999</v>
      </c>
    </row>
    <row r="324" spans="1:29" x14ac:dyDescent="0.35">
      <c r="A324" s="2" t="s">
        <v>334</v>
      </c>
      <c r="B324" s="4" t="s">
        <v>1329</v>
      </c>
      <c r="C324" s="4" t="s">
        <v>549</v>
      </c>
      <c r="D324" s="4" t="s">
        <v>550</v>
      </c>
      <c r="E324" s="4" t="s">
        <v>814</v>
      </c>
      <c r="F324" s="4" t="s">
        <v>1330</v>
      </c>
      <c r="G324" s="14">
        <v>13.51</v>
      </c>
      <c r="H324" s="10" t="s">
        <v>534</v>
      </c>
      <c r="I324" s="10">
        <v>0</v>
      </c>
      <c r="J324" s="10">
        <v>0</v>
      </c>
      <c r="K324" s="15">
        <v>0</v>
      </c>
      <c r="L324" s="17">
        <v>7785.5289599999996</v>
      </c>
      <c r="M324" s="4" t="s">
        <v>1331</v>
      </c>
      <c r="N324" s="19">
        <v>-2.6016810000000001</v>
      </c>
      <c r="O324" s="19">
        <v>0.36312</v>
      </c>
      <c r="P324" s="19">
        <v>-0.77938600000000002</v>
      </c>
      <c r="Q324" s="19">
        <v>0.50560000000000005</v>
      </c>
      <c r="R324" s="19">
        <v>-0.61660300000000001</v>
      </c>
      <c r="S324" s="19">
        <v>0.37619999999999998</v>
      </c>
      <c r="T324" s="19">
        <v>-0.61660300000000001</v>
      </c>
      <c r="U324" s="19">
        <v>0.53839999999999999</v>
      </c>
      <c r="V324" s="19">
        <v>0.52976699999999999</v>
      </c>
      <c r="W324" s="19">
        <v>0.45250000000000001</v>
      </c>
      <c r="X324" s="19">
        <v>0.52976699999999999</v>
      </c>
      <c r="Y324" s="19">
        <v>0.45250000000000001</v>
      </c>
      <c r="Z324" s="4"/>
      <c r="AA324" s="4"/>
      <c r="AB324" s="4" t="e">
        <f ca="1">_xll.ciqfunctions.udf.CIQ("^SPX", "IQ_PRICEDATE", "4/7/2015")</f>
        <v>#NAME?</v>
      </c>
      <c r="AC324" s="16">
        <v>2076.3337338901001</v>
      </c>
    </row>
    <row r="325" spans="1:29" x14ac:dyDescent="0.35">
      <c r="A325" s="2" t="s">
        <v>335</v>
      </c>
      <c r="B325" s="4" t="s">
        <v>1329</v>
      </c>
      <c r="C325" s="4" t="s">
        <v>549</v>
      </c>
      <c r="D325" s="4" t="s">
        <v>550</v>
      </c>
      <c r="E325" s="4" t="s">
        <v>814</v>
      </c>
      <c r="F325" s="4" t="s">
        <v>1330</v>
      </c>
      <c r="G325" s="14">
        <v>13.21</v>
      </c>
      <c r="H325" s="10" t="s">
        <v>534</v>
      </c>
      <c r="I325" s="10" t="s">
        <v>534</v>
      </c>
      <c r="J325" s="10">
        <v>8.1272950000000002</v>
      </c>
      <c r="K325" s="15">
        <v>1.5140000000000001E-2</v>
      </c>
      <c r="L325" s="17">
        <v>7785.5289599999996</v>
      </c>
      <c r="M325" s="4" t="s">
        <v>1331</v>
      </c>
      <c r="N325" s="19">
        <v>-2.6016810000000001</v>
      </c>
      <c r="O325" s="19">
        <v>0.36312</v>
      </c>
      <c r="P325" s="19">
        <v>-0.77938600000000002</v>
      </c>
      <c r="Q325" s="19">
        <v>0.50560000000000005</v>
      </c>
      <c r="R325" s="19">
        <v>-0.61660300000000001</v>
      </c>
      <c r="S325" s="19">
        <v>0.37619999999999998</v>
      </c>
      <c r="T325" s="19">
        <v>-0.61660300000000001</v>
      </c>
      <c r="U325" s="19">
        <v>0.53839999999999999</v>
      </c>
      <c r="V325" s="19">
        <v>0.52976699999999999</v>
      </c>
      <c r="W325" s="19">
        <v>0.51949999999999996</v>
      </c>
      <c r="X325" s="19">
        <v>0.52976699999999999</v>
      </c>
      <c r="Y325" s="19">
        <v>0.51949999999999996</v>
      </c>
      <c r="Z325" s="4"/>
      <c r="AA325" s="4"/>
      <c r="AB325" s="4" t="e">
        <f ca="1">_xll.ciqfunctions.udf.CIQ("^SPX", "IQ_PRICEDATE", "4/8/2015")</f>
        <v>#NAME?</v>
      </c>
      <c r="AC325" s="16">
        <v>2081.9039764783001</v>
      </c>
    </row>
    <row r="326" spans="1:29" x14ac:dyDescent="0.35">
      <c r="A326" s="2" t="s">
        <v>336</v>
      </c>
      <c r="B326" s="4" t="s">
        <v>1332</v>
      </c>
      <c r="C326" s="4" t="s">
        <v>619</v>
      </c>
      <c r="D326" s="4" t="s">
        <v>619</v>
      </c>
      <c r="E326" s="4" t="s">
        <v>620</v>
      </c>
      <c r="F326" s="4" t="s">
        <v>620</v>
      </c>
      <c r="G326" s="14">
        <v>170.82</v>
      </c>
      <c r="H326" s="10">
        <v>13.342378999999999</v>
      </c>
      <c r="I326" s="10">
        <v>9.8845340000000004</v>
      </c>
      <c r="J326" s="10">
        <v>2.4396439999999999</v>
      </c>
      <c r="K326" s="15">
        <v>2.5992000000000001E-2</v>
      </c>
      <c r="L326" s="17">
        <v>80559.512121000007</v>
      </c>
      <c r="M326" s="4" t="s">
        <v>1333</v>
      </c>
      <c r="N326" s="19">
        <v>17.281542999999999</v>
      </c>
      <c r="O326" s="19">
        <v>7.7286000000000001</v>
      </c>
      <c r="P326" s="19">
        <v>11.38</v>
      </c>
      <c r="Q326" s="19">
        <v>6.8398000000000003</v>
      </c>
      <c r="R326" s="19">
        <v>6.25</v>
      </c>
      <c r="S326" s="19">
        <v>6.2187999999999999</v>
      </c>
      <c r="T326" s="19">
        <v>6.25</v>
      </c>
      <c r="U326" s="19">
        <v>5.8682999999999996</v>
      </c>
      <c r="V326" s="19">
        <v>5.6</v>
      </c>
      <c r="W326" s="19">
        <v>5.5164</v>
      </c>
      <c r="X326" s="19">
        <v>5.6</v>
      </c>
      <c r="Y326" s="19">
        <v>5.5164</v>
      </c>
      <c r="Z326" s="4"/>
      <c r="AA326" s="4"/>
      <c r="AB326" s="4" t="e">
        <f ca="1">_xll.ciqfunctions.udf.CIQ("^SPX", "IQ_PRICEDATE", "4/9/2015")</f>
        <v>#NAME?</v>
      </c>
      <c r="AC326" s="16">
        <v>2091.1811724098002</v>
      </c>
    </row>
    <row r="327" spans="1:29" x14ac:dyDescent="0.35">
      <c r="A327" s="2" t="s">
        <v>337</v>
      </c>
      <c r="B327" s="4" t="s">
        <v>1334</v>
      </c>
      <c r="C327" s="4" t="s">
        <v>525</v>
      </c>
      <c r="D327" s="4" t="s">
        <v>855</v>
      </c>
      <c r="E327" s="4" t="s">
        <v>990</v>
      </c>
      <c r="F327" s="4" t="s">
        <v>991</v>
      </c>
      <c r="G327" s="14">
        <v>27.05</v>
      </c>
      <c r="H327" s="10">
        <v>10.911452000000001</v>
      </c>
      <c r="I327" s="10">
        <v>26.00074</v>
      </c>
      <c r="J327" s="10" t="s">
        <v>534</v>
      </c>
      <c r="K327" s="15">
        <v>5.1756000000000003E-2</v>
      </c>
      <c r="L327" s="17">
        <v>9608.3658230000001</v>
      </c>
      <c r="M327" s="4" t="s">
        <v>1335</v>
      </c>
      <c r="N327" s="19">
        <v>1.0403549999999999</v>
      </c>
      <c r="O327" s="19">
        <v>2.1158999999999999</v>
      </c>
      <c r="P327" s="19">
        <v>1.2</v>
      </c>
      <c r="Q327" s="19">
        <v>2.5840999999999998</v>
      </c>
      <c r="R327" s="19">
        <v>1.389999</v>
      </c>
      <c r="S327" s="19">
        <v>2.6619999999999999</v>
      </c>
      <c r="T327" s="19">
        <v>1.389999</v>
      </c>
      <c r="U327" s="19">
        <v>2.774</v>
      </c>
      <c r="V327" s="19">
        <v>0.99903299999999995</v>
      </c>
      <c r="W327" s="19">
        <v>2.7361</v>
      </c>
      <c r="X327" s="19">
        <v>0.99903299999999995</v>
      </c>
      <c r="Y327" s="19">
        <v>2.7361</v>
      </c>
      <c r="Z327" s="4"/>
      <c r="AA327" s="4"/>
      <c r="AB327" s="4" t="e">
        <f ca="1">_xll.ciqfunctions.udf.CIQ("^SPX", "IQ_PRICEDATE", "4/10/2015")</f>
        <v>#NAME?</v>
      </c>
      <c r="AC327" s="16">
        <v>2102.0553488088999</v>
      </c>
    </row>
    <row r="328" spans="1:29" x14ac:dyDescent="0.35">
      <c r="A328" s="2" t="s">
        <v>338</v>
      </c>
      <c r="B328" s="4" t="s">
        <v>1336</v>
      </c>
      <c r="C328" s="4" t="s">
        <v>559</v>
      </c>
      <c r="D328" s="4" t="s">
        <v>912</v>
      </c>
      <c r="E328" s="4" t="s">
        <v>1097</v>
      </c>
      <c r="F328" s="4" t="s">
        <v>1337</v>
      </c>
      <c r="G328" s="14">
        <v>76.48</v>
      </c>
      <c r="H328" s="10">
        <v>22.170774000000002</v>
      </c>
      <c r="I328" s="10">
        <v>60.602649999999997</v>
      </c>
      <c r="J328" s="10">
        <v>14.207007000000001</v>
      </c>
      <c r="K328" s="15">
        <v>1.0460000000000001E-2</v>
      </c>
      <c r="L328" s="17">
        <v>121458.526761</v>
      </c>
      <c r="M328" s="4" t="s">
        <v>1338</v>
      </c>
      <c r="N328" s="19">
        <v>1.2619910000000001</v>
      </c>
      <c r="O328" s="19">
        <v>2.7951999999999999</v>
      </c>
      <c r="P328" s="19">
        <v>2.3112910000000002</v>
      </c>
      <c r="Q328" s="19">
        <v>2.4445000000000001</v>
      </c>
      <c r="R328" s="19">
        <v>2.267814</v>
      </c>
      <c r="S328" s="19">
        <v>2.4293</v>
      </c>
      <c r="T328" s="19">
        <v>2.267814</v>
      </c>
      <c r="U328" s="19">
        <v>2.2677</v>
      </c>
      <c r="V328" s="19">
        <v>1.674021</v>
      </c>
      <c r="W328" s="19">
        <v>1.9109</v>
      </c>
      <c r="X328" s="19">
        <v>1.674021</v>
      </c>
      <c r="Y328" s="19">
        <v>1.9109</v>
      </c>
      <c r="Z328" s="4"/>
      <c r="AA328" s="4"/>
      <c r="AB328" s="4" t="e">
        <f ca="1">_xll.ciqfunctions.udf.CIQ("^SPX", "IQ_PRICEDATE", "4/13/2015")</f>
        <v>#NAME?</v>
      </c>
      <c r="AC328" s="16">
        <v>2092.4295913532001</v>
      </c>
    </row>
    <row r="329" spans="1:29" x14ac:dyDescent="0.35">
      <c r="A329" s="2" t="s">
        <v>339</v>
      </c>
      <c r="B329" s="4" t="s">
        <v>1339</v>
      </c>
      <c r="C329" s="4" t="s">
        <v>619</v>
      </c>
      <c r="D329" s="4" t="s">
        <v>619</v>
      </c>
      <c r="E329" s="4" t="s">
        <v>634</v>
      </c>
      <c r="F329" s="4" t="s">
        <v>634</v>
      </c>
      <c r="G329" s="14">
        <v>25.03</v>
      </c>
      <c r="H329" s="10">
        <v>12.416881999999999</v>
      </c>
      <c r="I329" s="10">
        <v>32.696984999999998</v>
      </c>
      <c r="J329" s="10">
        <v>2.8821789999999998</v>
      </c>
      <c r="K329" s="15">
        <v>3.1162000000000002E-2</v>
      </c>
      <c r="L329" s="17">
        <v>9086.8082259999992</v>
      </c>
      <c r="M329" s="4" t="s">
        <v>1340</v>
      </c>
      <c r="N329" s="19">
        <v>0.76551400000000003</v>
      </c>
      <c r="O329" s="19">
        <v>1.3664000000000001</v>
      </c>
      <c r="P329" s="19">
        <v>0.39</v>
      </c>
      <c r="Q329" s="19">
        <v>1.2854000000000001</v>
      </c>
      <c r="R329" s="19">
        <v>1.01</v>
      </c>
      <c r="S329" s="19">
        <v>1.1627000000000001</v>
      </c>
      <c r="T329" s="19">
        <v>1.01</v>
      </c>
      <c r="U329" s="19">
        <v>1.0684</v>
      </c>
      <c r="V329" s="19">
        <v>0.81</v>
      </c>
      <c r="W329" s="19">
        <v>1.7846</v>
      </c>
      <c r="X329" s="19">
        <v>0.81</v>
      </c>
      <c r="Y329" s="19">
        <v>1.7846</v>
      </c>
      <c r="Z329" s="4"/>
      <c r="AA329" s="4"/>
      <c r="AB329" s="4" t="e">
        <f ca="1">_xll.ciqfunctions.udf.CIQ("^SPX", "IQ_PRICEDATE", "4/14/2015")</f>
        <v>#NAME?</v>
      </c>
      <c r="AC329" s="16">
        <v>2095.8353553612001</v>
      </c>
    </row>
    <row r="330" spans="1:29" x14ac:dyDescent="0.35">
      <c r="A330" s="2" t="s">
        <v>340</v>
      </c>
      <c r="B330" s="4" t="s">
        <v>1341</v>
      </c>
      <c r="C330" s="4" t="s">
        <v>669</v>
      </c>
      <c r="D330" s="4" t="s">
        <v>669</v>
      </c>
      <c r="E330" s="4" t="s">
        <v>670</v>
      </c>
      <c r="F330" s="4" t="s">
        <v>671</v>
      </c>
      <c r="G330" s="14">
        <v>31.4</v>
      </c>
      <c r="H330" s="10">
        <v>8.5730280000000008</v>
      </c>
      <c r="I330" s="10">
        <v>17.148152</v>
      </c>
      <c r="J330" s="10">
        <v>1.782918</v>
      </c>
      <c r="K330" s="15">
        <v>1.4012E-2</v>
      </c>
      <c r="L330" s="17">
        <v>15074.121321000001</v>
      </c>
      <c r="M330" s="4" t="s">
        <v>1342</v>
      </c>
      <c r="N330" s="19">
        <v>1.8311010000000001</v>
      </c>
      <c r="O330" s="19">
        <v>0.98440000000000005</v>
      </c>
      <c r="P330" s="19">
        <v>-2.3837950000000001</v>
      </c>
      <c r="Q330" s="19">
        <v>0.1216</v>
      </c>
      <c r="R330" s="19">
        <v>-2.3209300000000002</v>
      </c>
      <c r="S330" s="19">
        <v>-0.49909999999999999</v>
      </c>
      <c r="T330" s="19">
        <v>-2.3209300000000002</v>
      </c>
      <c r="U330" s="19">
        <v>-0.2122</v>
      </c>
      <c r="V330" s="19">
        <v>3.2615799999999999</v>
      </c>
      <c r="W330" s="19">
        <v>1.6998</v>
      </c>
      <c r="X330" s="19">
        <v>3.2615799999999999</v>
      </c>
      <c r="Y330" s="19">
        <v>1.6998</v>
      </c>
      <c r="Z330" s="4"/>
      <c r="AA330" s="4"/>
      <c r="AB330" s="4" t="e">
        <f ca="1">_xll.ciqfunctions.udf.CIQ("^SPX", "IQ_PRICEDATE", "4/15/2015")</f>
        <v>#NAME?</v>
      </c>
      <c r="AC330" s="16">
        <v>2106.6262636495999</v>
      </c>
    </row>
    <row r="331" spans="1:29" x14ac:dyDescent="0.35">
      <c r="A331" s="2" t="s">
        <v>341</v>
      </c>
      <c r="B331" s="4" t="s">
        <v>1343</v>
      </c>
      <c r="C331" s="4" t="s">
        <v>559</v>
      </c>
      <c r="D331" s="4" t="s">
        <v>560</v>
      </c>
      <c r="E331" s="4" t="s">
        <v>940</v>
      </c>
      <c r="F331" s="4" t="s">
        <v>1211</v>
      </c>
      <c r="G331" s="14">
        <v>60.41</v>
      </c>
      <c r="H331" s="10">
        <v>7.0530400000000002</v>
      </c>
      <c r="I331" s="10">
        <v>19.942202999999999</v>
      </c>
      <c r="J331" s="10">
        <v>11.356539</v>
      </c>
      <c r="K331" s="15">
        <v>2.4499E-2</v>
      </c>
      <c r="L331" s="17">
        <v>10183.039377999999</v>
      </c>
      <c r="M331" s="4" t="s">
        <v>1344</v>
      </c>
      <c r="N331" s="19">
        <v>3.0292539999999999</v>
      </c>
      <c r="O331" s="19">
        <v>3.6128999999999998</v>
      </c>
      <c r="P331" s="19">
        <v>2.8575499999999998</v>
      </c>
      <c r="Q331" s="19">
        <v>2.968</v>
      </c>
      <c r="R331" s="19">
        <v>1.8787050000000001</v>
      </c>
      <c r="S331" s="19">
        <v>3.0581999999999998</v>
      </c>
      <c r="T331" s="19">
        <v>1.8787050000000001</v>
      </c>
      <c r="U331" s="19">
        <v>3.3942999999999999</v>
      </c>
      <c r="V331" s="19">
        <v>3.7707609999999998</v>
      </c>
      <c r="W331" s="19">
        <v>3.9209000000000001</v>
      </c>
      <c r="X331" s="19">
        <v>3.7707609999999998</v>
      </c>
      <c r="Y331" s="19">
        <v>3.9209000000000001</v>
      </c>
      <c r="Z331" s="4"/>
      <c r="AA331" s="4"/>
      <c r="AB331" s="4" t="e">
        <f ca="1">_xll.ciqfunctions.udf.CIQ("^SPX", "IQ_PRICEDATE", "4/16/2015")</f>
        <v>#NAME?</v>
      </c>
      <c r="AC331" s="16">
        <v>2104.9857874947002</v>
      </c>
    </row>
    <row r="332" spans="1:29" x14ac:dyDescent="0.35">
      <c r="A332" s="2" t="s">
        <v>342</v>
      </c>
      <c r="B332" s="4" t="s">
        <v>1345</v>
      </c>
      <c r="C332" s="4" t="s">
        <v>525</v>
      </c>
      <c r="D332" s="4" t="s">
        <v>594</v>
      </c>
      <c r="E332" s="4" t="s">
        <v>903</v>
      </c>
      <c r="F332" s="4" t="s">
        <v>904</v>
      </c>
      <c r="G332" s="14">
        <v>169</v>
      </c>
      <c r="H332" s="10">
        <v>11.600863</v>
      </c>
      <c r="I332" s="10">
        <v>8.4499999999999993</v>
      </c>
      <c r="J332" s="10">
        <v>2.8579639999999999</v>
      </c>
      <c r="K332" s="15">
        <v>1.8933999999999999E-2</v>
      </c>
      <c r="L332" s="17">
        <v>47325.030116000002</v>
      </c>
      <c r="M332" s="4" t="s">
        <v>1346</v>
      </c>
      <c r="N332" s="19">
        <v>20</v>
      </c>
      <c r="O332" s="19">
        <v>9.5861999999999998</v>
      </c>
      <c r="P332" s="19">
        <v>18.608336000000001</v>
      </c>
      <c r="Q332" s="19">
        <v>6.8451000000000004</v>
      </c>
      <c r="R332" s="19">
        <v>5.6216210000000002</v>
      </c>
      <c r="S332" s="19">
        <v>5.8533999999999997</v>
      </c>
      <c r="T332" s="19">
        <v>5.6216210000000002</v>
      </c>
      <c r="U332" s="19">
        <v>5.5622999999999996</v>
      </c>
      <c r="V332" s="19">
        <v>6.3872</v>
      </c>
      <c r="W332" s="19">
        <v>7.0490000000000004</v>
      </c>
      <c r="X332" s="19">
        <v>6.3872</v>
      </c>
      <c r="Y332" s="19">
        <v>7.0490000000000004</v>
      </c>
      <c r="Z332" s="4"/>
      <c r="AA332" s="4"/>
      <c r="AB332" s="4" t="e">
        <f ca="1">_xll.ciqfunctions.udf.CIQ("^SPX", "IQ_PRICEDATE", "4/17/2015")</f>
        <v>#NAME?</v>
      </c>
      <c r="AC332" s="16">
        <v>2081.1777536902</v>
      </c>
    </row>
    <row r="333" spans="1:29" x14ac:dyDescent="0.35">
      <c r="A333" s="2" t="s">
        <v>343</v>
      </c>
      <c r="B333" s="4" t="s">
        <v>1347</v>
      </c>
      <c r="C333" s="4" t="s">
        <v>573</v>
      </c>
      <c r="D333" s="4" t="s">
        <v>574</v>
      </c>
      <c r="E333" s="4" t="s">
        <v>575</v>
      </c>
      <c r="F333" s="4" t="s">
        <v>576</v>
      </c>
      <c r="G333" s="14">
        <v>94.21</v>
      </c>
      <c r="H333" s="10">
        <v>0</v>
      </c>
      <c r="I333" s="10">
        <v>15.782382999999999</v>
      </c>
      <c r="J333" s="10">
        <v>2.4309919999999998</v>
      </c>
      <c r="K333" s="15">
        <v>2.3351999999999998E-2</v>
      </c>
      <c r="L333" s="17">
        <v>20857.622950000001</v>
      </c>
      <c r="M333" s="4" t="s">
        <v>1348</v>
      </c>
      <c r="N333" s="19">
        <v>6.3517710000000003</v>
      </c>
      <c r="O333" s="19">
        <v>6.8392999999999997</v>
      </c>
      <c r="P333" s="19">
        <v>4.92</v>
      </c>
      <c r="Q333" s="19">
        <v>5.4245000000000001</v>
      </c>
      <c r="R333" s="19">
        <v>4.32</v>
      </c>
      <c r="S333" s="19">
        <v>4.5838999999999999</v>
      </c>
      <c r="T333" s="19">
        <v>4.32</v>
      </c>
      <c r="U333" s="19">
        <v>4.0640000000000001</v>
      </c>
      <c r="V333" s="19">
        <v>3.32</v>
      </c>
      <c r="W333" s="19">
        <v>3.5537999999999998</v>
      </c>
      <c r="X333" s="19">
        <v>3.32</v>
      </c>
      <c r="Y333" s="19">
        <v>3.5537999999999998</v>
      </c>
      <c r="Z333" s="4"/>
      <c r="AA333" s="4"/>
      <c r="AB333" s="4" t="e">
        <f ca="1">_xll.ciqfunctions.udf.CIQ("^SPX", "IQ_PRICEDATE", "4/20/2015")</f>
        <v>#NAME?</v>
      </c>
      <c r="AC333" s="16">
        <v>2100.4009440958998</v>
      </c>
    </row>
    <row r="334" spans="1:29" x14ac:dyDescent="0.35">
      <c r="A334" s="2" t="s">
        <v>344</v>
      </c>
      <c r="B334" s="4" t="s">
        <v>1349</v>
      </c>
      <c r="C334" s="4" t="s">
        <v>525</v>
      </c>
      <c r="D334" s="4" t="s">
        <v>526</v>
      </c>
      <c r="E334" s="4" t="s">
        <v>703</v>
      </c>
      <c r="F334" s="4" t="s">
        <v>703</v>
      </c>
      <c r="G334" s="14">
        <v>309.5</v>
      </c>
      <c r="H334" s="10">
        <v>16.487465</v>
      </c>
      <c r="I334" s="10">
        <v>24.26032</v>
      </c>
      <c r="J334" s="10" t="s">
        <v>534</v>
      </c>
      <c r="K334" s="15">
        <v>1.5507999999999999E-2</v>
      </c>
      <c r="L334" s="17">
        <v>53891.198181</v>
      </c>
      <c r="M334" s="4" t="s">
        <v>1350</v>
      </c>
      <c r="N334" s="19">
        <v>12.757457</v>
      </c>
      <c r="O334" s="19">
        <v>17.9908</v>
      </c>
      <c r="P334" s="19">
        <v>11.47</v>
      </c>
      <c r="Q334" s="19">
        <v>12.540699999999999</v>
      </c>
      <c r="R334" s="19">
        <v>12.19</v>
      </c>
      <c r="S334" s="19">
        <v>11.597300000000001</v>
      </c>
      <c r="T334" s="19">
        <v>12.19</v>
      </c>
      <c r="U334" s="19">
        <v>9.7711000000000006</v>
      </c>
      <c r="V334" s="19">
        <v>9.75</v>
      </c>
      <c r="W334" s="19">
        <v>8.8088999999999995</v>
      </c>
      <c r="X334" s="19">
        <v>9.75</v>
      </c>
      <c r="Y334" s="19">
        <v>8.8088999999999995</v>
      </c>
      <c r="Z334" s="4"/>
      <c r="AA334" s="4"/>
      <c r="AB334" s="4" t="e">
        <f ca="1">_xll.ciqfunctions.udf.CIQ("^SPX", "IQ_PRICEDATE", "4/21/2015")</f>
        <v>#NAME?</v>
      </c>
      <c r="AC334" s="16">
        <v>2097.2888943436001</v>
      </c>
    </row>
    <row r="335" spans="1:29" x14ac:dyDescent="0.35">
      <c r="A335" s="2" t="s">
        <v>345</v>
      </c>
      <c r="B335" s="4" t="s">
        <v>1351</v>
      </c>
      <c r="C335" s="4" t="s">
        <v>559</v>
      </c>
      <c r="D335" s="4" t="s">
        <v>798</v>
      </c>
      <c r="E335" s="4" t="s">
        <v>799</v>
      </c>
      <c r="F335" s="4" t="s">
        <v>800</v>
      </c>
      <c r="G335" s="14">
        <v>51.42</v>
      </c>
      <c r="H335" s="10">
        <v>10.840752999999999</v>
      </c>
      <c r="I335" s="10">
        <v>14.194938</v>
      </c>
      <c r="J335" s="10">
        <v>3.3105370000000001</v>
      </c>
      <c r="K335" s="15">
        <v>0</v>
      </c>
      <c r="L335" s="17">
        <v>11387.901426</v>
      </c>
      <c r="M335" s="4" t="s">
        <v>1352</v>
      </c>
      <c r="N335" s="19">
        <v>3.6224180000000001</v>
      </c>
      <c r="O335" s="19">
        <v>4.9335000000000004</v>
      </c>
      <c r="P335" s="19">
        <v>3.3099989999999999</v>
      </c>
      <c r="Q335" s="19">
        <v>4.4551999999999996</v>
      </c>
      <c r="R335" s="19">
        <v>2.7799990000000001</v>
      </c>
      <c r="S335" s="19">
        <v>3.6316000000000002</v>
      </c>
      <c r="T335" s="19">
        <v>2.7799990000000001</v>
      </c>
      <c r="U335" s="19">
        <v>3.5331000000000001</v>
      </c>
      <c r="V335" s="19">
        <v>1.619999</v>
      </c>
      <c r="W335" s="19">
        <v>2.6339999999999999</v>
      </c>
      <c r="X335" s="19">
        <v>1.619999</v>
      </c>
      <c r="Y335" s="19">
        <v>2.6339999999999999</v>
      </c>
      <c r="Z335" s="4"/>
      <c r="AA335" s="4"/>
      <c r="AB335" s="4" t="e">
        <f ca="1">_xll.ciqfunctions.udf.CIQ("^SPX", "IQ_PRICEDATE", "4/22/2015")</f>
        <v>#NAME?</v>
      </c>
      <c r="AC335" s="16">
        <v>2107.9640776233</v>
      </c>
    </row>
    <row r="336" spans="1:29" x14ac:dyDescent="0.35">
      <c r="A336" s="2" t="s">
        <v>346</v>
      </c>
      <c r="B336" s="4" t="s">
        <v>1353</v>
      </c>
      <c r="C336" s="4" t="s">
        <v>619</v>
      </c>
      <c r="D336" s="4" t="s">
        <v>619</v>
      </c>
      <c r="E336" s="4" t="s">
        <v>1354</v>
      </c>
      <c r="F336" s="4" t="s">
        <v>1355</v>
      </c>
      <c r="G336" s="14">
        <v>37.520000000000003</v>
      </c>
      <c r="H336" s="10">
        <v>10.296574</v>
      </c>
      <c r="I336" s="10" t="s">
        <v>534</v>
      </c>
      <c r="J336" s="10" t="s">
        <v>534</v>
      </c>
      <c r="K336" s="15">
        <v>3.1979999999999999E-3</v>
      </c>
      <c r="L336" s="17">
        <v>11352.367306</v>
      </c>
      <c r="M336" s="4" t="s">
        <v>1356</v>
      </c>
      <c r="N336" s="19">
        <v>-3.079113</v>
      </c>
      <c r="O336" s="19">
        <v>2.8513999999999999</v>
      </c>
      <c r="P336" s="19">
        <v>-4.3028389999999996</v>
      </c>
      <c r="Q336" s="19">
        <v>1.2450000000000001</v>
      </c>
      <c r="R336" s="19">
        <v>-2.5099999999999998</v>
      </c>
      <c r="S336" s="19">
        <v>-0.86</v>
      </c>
      <c r="T336" s="19">
        <v>-2.5099999999999998</v>
      </c>
      <c r="U336" s="19">
        <v>0.37169999999999997</v>
      </c>
      <c r="V336" s="19">
        <v>0.23</v>
      </c>
      <c r="W336" s="19">
        <v>1.9650000000000001</v>
      </c>
      <c r="X336" s="19">
        <v>0.23</v>
      </c>
      <c r="Y336" s="19">
        <v>1.9650000000000001</v>
      </c>
      <c r="Z336" s="4"/>
      <c r="AA336" s="4"/>
      <c r="AB336" s="4" t="e">
        <f ca="1">_xll.ciqfunctions.udf.CIQ("^SPX", "IQ_PRICEDATE", "4/23/2015")</f>
        <v>#NAME?</v>
      </c>
      <c r="AC336" s="16">
        <v>2112.9289997132</v>
      </c>
    </row>
    <row r="337" spans="1:29" x14ac:dyDescent="0.35">
      <c r="A337" s="2" t="s">
        <v>347</v>
      </c>
      <c r="B337" s="4" t="s">
        <v>1357</v>
      </c>
      <c r="C337" s="4" t="s">
        <v>586</v>
      </c>
      <c r="D337" s="4" t="s">
        <v>586</v>
      </c>
      <c r="E337" s="4" t="s">
        <v>1066</v>
      </c>
      <c r="F337" s="4" t="s">
        <v>1358</v>
      </c>
      <c r="G337" s="14">
        <v>59.09</v>
      </c>
      <c r="H337" s="10">
        <v>7.2447100000000004</v>
      </c>
      <c r="I337" s="10">
        <v>11.328200000000001</v>
      </c>
      <c r="J337" s="10">
        <v>2.9578549999999999</v>
      </c>
      <c r="K337" s="15">
        <v>2.5722999999999999E-2</v>
      </c>
      <c r="L337" s="17">
        <v>18692.736706</v>
      </c>
      <c r="M337" s="4" t="s">
        <v>1359</v>
      </c>
      <c r="N337" s="19">
        <v>5.2161860000000004</v>
      </c>
      <c r="O337" s="19">
        <v>7.81</v>
      </c>
      <c r="P337" s="19">
        <v>4.096819</v>
      </c>
      <c r="Q337" s="19">
        <v>4.0796000000000001</v>
      </c>
      <c r="R337" s="19">
        <v>2.4815049999999998</v>
      </c>
      <c r="S337" s="19">
        <v>3.0131000000000001</v>
      </c>
      <c r="T337" s="19">
        <v>2.4815049999999998</v>
      </c>
      <c r="U337" s="19">
        <v>2.1333000000000002</v>
      </c>
      <c r="V337" s="19">
        <v>2.11</v>
      </c>
      <c r="W337" s="19">
        <v>3.1785999999999999</v>
      </c>
      <c r="X337" s="19">
        <v>2.11</v>
      </c>
      <c r="Y337" s="19">
        <v>3.1785999999999999</v>
      </c>
      <c r="Z337" s="4"/>
      <c r="AA337" s="4"/>
      <c r="AB337" s="4" t="e">
        <f ca="1">_xll.ciqfunctions.udf.CIQ("^SPX", "IQ_PRICEDATE", "4/24/2015")</f>
        <v>#NAME?</v>
      </c>
      <c r="AC337" s="16">
        <v>2117.6899287491001</v>
      </c>
    </row>
    <row r="338" spans="1:29" x14ac:dyDescent="0.35">
      <c r="A338" s="2" t="s">
        <v>348</v>
      </c>
      <c r="B338" s="4" t="s">
        <v>1360</v>
      </c>
      <c r="C338" s="4" t="s">
        <v>543</v>
      </c>
      <c r="D338" s="4" t="s">
        <v>565</v>
      </c>
      <c r="E338" s="4" t="s">
        <v>565</v>
      </c>
      <c r="F338" s="4" t="s">
        <v>566</v>
      </c>
      <c r="G338" s="14">
        <v>243.06</v>
      </c>
      <c r="H338" s="10">
        <v>30.575227000000002</v>
      </c>
      <c r="I338" s="10">
        <v>35.425474999999999</v>
      </c>
      <c r="J338" s="10">
        <v>18.186129000000001</v>
      </c>
      <c r="K338" s="15">
        <v>2.4679999999999997E-3</v>
      </c>
      <c r="L338" s="17">
        <v>147780.48000000001</v>
      </c>
      <c r="M338" s="4" t="s">
        <v>1361</v>
      </c>
      <c r="N338" s="19">
        <v>6.8611639999999996</v>
      </c>
      <c r="O338" s="19">
        <v>7.9511000000000003</v>
      </c>
      <c r="P338" s="19">
        <v>4.0005249999999997</v>
      </c>
      <c r="Q338" s="19">
        <v>5.0218999999999996</v>
      </c>
      <c r="R338" s="19">
        <v>1.956553</v>
      </c>
      <c r="S338" s="19">
        <v>3.3001</v>
      </c>
      <c r="T338" s="19">
        <v>1.956553</v>
      </c>
      <c r="U338" s="19">
        <v>1.6435</v>
      </c>
      <c r="V338" s="19">
        <v>1.022451</v>
      </c>
      <c r="W338" s="19">
        <v>1.4068000000000001</v>
      </c>
      <c r="X338" s="19">
        <v>1.022451</v>
      </c>
      <c r="Y338" s="19">
        <v>1.4068000000000001</v>
      </c>
      <c r="Z338" s="4"/>
      <c r="AA338" s="4"/>
      <c r="AB338" s="4" t="e">
        <f ca="1">_xll.ciqfunctions.udf.CIQ("^SPX", "IQ_PRICEDATE", "4/27/2015")</f>
        <v>#NAME?</v>
      </c>
      <c r="AC338" s="16">
        <v>2108.9211408291999</v>
      </c>
    </row>
    <row r="339" spans="1:29" x14ac:dyDescent="0.35">
      <c r="A339" s="2" t="s">
        <v>349</v>
      </c>
      <c r="B339" s="4" t="s">
        <v>1362</v>
      </c>
      <c r="C339" s="4" t="s">
        <v>559</v>
      </c>
      <c r="D339" s="4" t="s">
        <v>560</v>
      </c>
      <c r="E339" s="4" t="s">
        <v>561</v>
      </c>
      <c r="F339" s="4" t="s">
        <v>562</v>
      </c>
      <c r="G339" s="14">
        <v>334.78</v>
      </c>
      <c r="H339" s="10">
        <v>14.97048</v>
      </c>
      <c r="I339" s="10">
        <v>22.874863999999999</v>
      </c>
      <c r="J339" s="10" t="s">
        <v>534</v>
      </c>
      <c r="K339" s="15">
        <v>0</v>
      </c>
      <c r="L339" s="17">
        <v>26970.884152999999</v>
      </c>
      <c r="M339" s="4" t="s">
        <v>1363</v>
      </c>
      <c r="N339" s="19">
        <v>14.635278</v>
      </c>
      <c r="O339" s="19">
        <v>16.7653</v>
      </c>
      <c r="P339" s="19">
        <v>12.67</v>
      </c>
      <c r="Q339" s="19">
        <v>12.696400000000001</v>
      </c>
      <c r="R339" s="19">
        <v>10.73</v>
      </c>
      <c r="S339" s="19">
        <v>11.896000000000001</v>
      </c>
      <c r="T339" s="19">
        <v>10.73</v>
      </c>
      <c r="U339" s="19">
        <v>10.028600000000001</v>
      </c>
      <c r="V339" s="19">
        <v>7.34</v>
      </c>
      <c r="W339" s="19">
        <v>8.0328999999999997</v>
      </c>
      <c r="X339" s="19">
        <v>7.34</v>
      </c>
      <c r="Y339" s="19">
        <v>8.0328999999999997</v>
      </c>
      <c r="Z339" s="4"/>
      <c r="AA339" s="4"/>
      <c r="AB339" s="4" t="e">
        <f ca="1">_xll.ciqfunctions.udf.CIQ("^SPX", "IQ_PRICEDATE", "4/28/2015")</f>
        <v>#NAME?</v>
      </c>
      <c r="AC339" s="16">
        <v>2114.7615406107998</v>
      </c>
    </row>
    <row r="340" spans="1:29" x14ac:dyDescent="0.35">
      <c r="A340" s="2" t="s">
        <v>350</v>
      </c>
      <c r="B340" s="4" t="s">
        <v>1364</v>
      </c>
      <c r="C340" s="4" t="s">
        <v>669</v>
      </c>
      <c r="D340" s="4" t="s">
        <v>669</v>
      </c>
      <c r="E340" s="4" t="s">
        <v>670</v>
      </c>
      <c r="F340" s="4" t="s">
        <v>836</v>
      </c>
      <c r="G340" s="14">
        <v>72.92</v>
      </c>
      <c r="H340" s="10">
        <v>9.1004760000000005</v>
      </c>
      <c r="I340" s="10">
        <v>25.053072</v>
      </c>
      <c r="J340" s="10">
        <v>2.664018</v>
      </c>
      <c r="K340" s="15">
        <v>4.2785999999999998E-2</v>
      </c>
      <c r="L340" s="17">
        <v>55763.488353000001</v>
      </c>
      <c r="M340" s="4" t="s">
        <v>1365</v>
      </c>
      <c r="N340" s="19">
        <v>2.9106209999999999</v>
      </c>
      <c r="O340" s="19">
        <v>6.2939999999999996</v>
      </c>
      <c r="P340" s="19">
        <v>1.7</v>
      </c>
      <c r="Q340" s="19">
        <v>1.6597</v>
      </c>
      <c r="R340" s="19">
        <v>-1.3118609999999999</v>
      </c>
      <c r="S340" s="19">
        <v>0.76859999999999995</v>
      </c>
      <c r="T340" s="19">
        <v>-1.3118609999999999</v>
      </c>
      <c r="U340" s="19">
        <v>0.48039999999999999</v>
      </c>
      <c r="V340" s="19">
        <v>-0.18435499999999999</v>
      </c>
      <c r="W340" s="19">
        <v>3.3957000000000002</v>
      </c>
      <c r="X340" s="19">
        <v>-0.18435499999999999</v>
      </c>
      <c r="Y340" s="19">
        <v>3.3957000000000002</v>
      </c>
      <c r="Z340" s="4"/>
      <c r="AA340" s="4"/>
      <c r="AB340" s="4" t="e">
        <f ca="1">_xll.ciqfunctions.udf.CIQ("^SPX", "IQ_PRICEDATE", "4/29/2015")</f>
        <v>#NAME?</v>
      </c>
      <c r="AC340" s="16">
        <v>2106.8509961673999</v>
      </c>
    </row>
    <row r="341" spans="1:29" x14ac:dyDescent="0.35">
      <c r="A341" s="2" t="s">
        <v>351</v>
      </c>
      <c r="B341" s="4" t="s">
        <v>1366</v>
      </c>
      <c r="C341" s="4" t="s">
        <v>549</v>
      </c>
      <c r="D341" s="4" t="s">
        <v>550</v>
      </c>
      <c r="E341" s="4" t="s">
        <v>814</v>
      </c>
      <c r="F341" s="4" t="s">
        <v>1367</v>
      </c>
      <c r="G341" s="14">
        <v>75.69</v>
      </c>
      <c r="H341" s="10">
        <v>8.7426829999999995</v>
      </c>
      <c r="I341" s="10">
        <v>14.679341000000001</v>
      </c>
      <c r="J341" s="10" t="s">
        <v>534</v>
      </c>
      <c r="K341" s="15">
        <v>3.1708E-2</v>
      </c>
      <c r="L341" s="17">
        <v>16962.558540999999</v>
      </c>
      <c r="M341" s="4" t="s">
        <v>1368</v>
      </c>
      <c r="N341" s="19">
        <v>5.1562260000000002</v>
      </c>
      <c r="O341" s="19">
        <v>5.5791000000000004</v>
      </c>
      <c r="P341" s="19">
        <v>4.6500000000000004</v>
      </c>
      <c r="Q341" s="19">
        <v>5.2290000000000001</v>
      </c>
      <c r="R341" s="19">
        <v>4.78</v>
      </c>
      <c r="S341" s="19">
        <v>4.9657</v>
      </c>
      <c r="T341" s="19">
        <v>4.78</v>
      </c>
      <c r="U341" s="19">
        <v>4.5791000000000004</v>
      </c>
      <c r="V341" s="19">
        <v>4.24</v>
      </c>
      <c r="W341" s="19">
        <v>4.4665999999999997</v>
      </c>
      <c r="X341" s="19">
        <v>4.24</v>
      </c>
      <c r="Y341" s="19">
        <v>4.4665999999999997</v>
      </c>
      <c r="Z341" s="4"/>
      <c r="AA341" s="4"/>
      <c r="AB341" s="4" t="e">
        <f ca="1">_xll.ciqfunctions.udf.CIQ("^SPX", "IQ_PRICEDATE", "4/30/2015")</f>
        <v>#NAME?</v>
      </c>
      <c r="AC341" s="16">
        <v>2085.5136532975998</v>
      </c>
    </row>
    <row r="342" spans="1:29" x14ac:dyDescent="0.35">
      <c r="A342" s="2" t="s">
        <v>352</v>
      </c>
      <c r="B342" s="4" t="s">
        <v>1369</v>
      </c>
      <c r="C342" s="4" t="s">
        <v>669</v>
      </c>
      <c r="D342" s="4" t="s">
        <v>669</v>
      </c>
      <c r="E342" s="4" t="s">
        <v>670</v>
      </c>
      <c r="F342" s="4" t="s">
        <v>1206</v>
      </c>
      <c r="G342" s="14">
        <v>67.02</v>
      </c>
      <c r="H342" s="10">
        <v>16.309066000000001</v>
      </c>
      <c r="I342" s="10">
        <v>34.590521000000003</v>
      </c>
      <c r="J342" s="10">
        <v>4.8538249999999996</v>
      </c>
      <c r="K342" s="15">
        <v>4.9238999999999998E-2</v>
      </c>
      <c r="L342" s="17">
        <v>27561.939747</v>
      </c>
      <c r="M342" s="4" t="s">
        <v>1370</v>
      </c>
      <c r="N342" s="19">
        <v>1.9375249999999999</v>
      </c>
      <c r="O342" s="19">
        <v>2.8071999999999999</v>
      </c>
      <c r="P342" s="19">
        <v>1.29</v>
      </c>
      <c r="Q342" s="19">
        <v>2.08</v>
      </c>
      <c r="R342" s="19">
        <v>1.67</v>
      </c>
      <c r="S342" s="19">
        <v>1.6295999999999999</v>
      </c>
      <c r="T342" s="19">
        <v>1.67</v>
      </c>
      <c r="U342" s="19">
        <v>1.6425000000000001</v>
      </c>
      <c r="V342" s="19">
        <v>1.52</v>
      </c>
      <c r="W342" s="19">
        <v>1.7535000000000001</v>
      </c>
      <c r="X342" s="19">
        <v>1.52</v>
      </c>
      <c r="Y342" s="19">
        <v>1.7535000000000001</v>
      </c>
      <c r="Z342" s="4"/>
      <c r="AA342" s="4"/>
      <c r="AB342" s="4" t="e">
        <f ca="1">_xll.ciqfunctions.udf.CIQ("^SPX", "IQ_PRICEDATE", "5/1/2015")</f>
        <v>#NAME?</v>
      </c>
      <c r="AC342" s="16">
        <v>2108.2902805086001</v>
      </c>
    </row>
    <row r="343" spans="1:29" x14ac:dyDescent="0.35">
      <c r="A343" s="2" t="s">
        <v>353</v>
      </c>
      <c r="B343" s="4" t="s">
        <v>1371</v>
      </c>
      <c r="C343" s="4" t="s">
        <v>543</v>
      </c>
      <c r="D343" s="4" t="s">
        <v>544</v>
      </c>
      <c r="E343" s="4" t="s">
        <v>555</v>
      </c>
      <c r="F343" s="4" t="s">
        <v>782</v>
      </c>
      <c r="G343" s="14">
        <v>47.86</v>
      </c>
      <c r="H343" s="10">
        <v>11.143684</v>
      </c>
      <c r="I343" s="10">
        <v>50.465429</v>
      </c>
      <c r="J343" s="10" t="s">
        <v>534</v>
      </c>
      <c r="K343" s="15">
        <v>1.5879000000000001E-2</v>
      </c>
      <c r="L343" s="17">
        <v>181324.22214599999</v>
      </c>
      <c r="M343" s="4" t="s">
        <v>1372</v>
      </c>
      <c r="N343" s="19">
        <v>0.94837199999999999</v>
      </c>
      <c r="O343" s="19">
        <v>3.4506000000000001</v>
      </c>
      <c r="P343" s="19">
        <v>2.3073899999999998</v>
      </c>
      <c r="Q343" s="19">
        <v>3.0503999999999998</v>
      </c>
      <c r="R343" s="19">
        <v>2.0948920000000002</v>
      </c>
      <c r="S343" s="19">
        <v>2.6434000000000002</v>
      </c>
      <c r="T343" s="19">
        <v>2.0948920000000002</v>
      </c>
      <c r="U343" s="19">
        <v>2.6959</v>
      </c>
      <c r="V343" s="19">
        <v>2.4040140000000001</v>
      </c>
      <c r="W343" s="19">
        <v>3.0528</v>
      </c>
      <c r="X343" s="19">
        <v>2.4040140000000001</v>
      </c>
      <c r="Y343" s="19">
        <v>3.0528</v>
      </c>
      <c r="Z343" s="4"/>
      <c r="AA343" s="4"/>
      <c r="AB343" s="4" t="e">
        <f ca="1">_xll.ciqfunctions.udf.CIQ("^SPX", "IQ_PRICEDATE", "5/4/2015")</f>
        <v>#NAME?</v>
      </c>
      <c r="AC343" s="16">
        <v>2114.4864683408</v>
      </c>
    </row>
    <row r="344" spans="1:29" x14ac:dyDescent="0.35">
      <c r="A344" s="2" t="s">
        <v>354</v>
      </c>
      <c r="B344" s="4" t="s">
        <v>1373</v>
      </c>
      <c r="C344" s="4" t="s">
        <v>525</v>
      </c>
      <c r="D344" s="4" t="s">
        <v>526</v>
      </c>
      <c r="E344" s="4" t="s">
        <v>803</v>
      </c>
      <c r="F344" s="4" t="s">
        <v>804</v>
      </c>
      <c r="G344" s="14">
        <v>61.74</v>
      </c>
      <c r="H344" s="10">
        <v>9.0038529999999994</v>
      </c>
      <c r="I344" s="10">
        <v>10.554795</v>
      </c>
      <c r="J344" s="10">
        <v>2.4662519999999999</v>
      </c>
      <c r="K344" s="15">
        <v>3.7575999999999998E-2</v>
      </c>
      <c r="L344" s="17">
        <v>21642.540563999999</v>
      </c>
      <c r="M344" s="4" t="s">
        <v>1374</v>
      </c>
      <c r="N344" s="19">
        <v>5.8494739999999998</v>
      </c>
      <c r="O344" s="19">
        <v>6.1204999999999998</v>
      </c>
      <c r="P344" s="19">
        <v>4.75</v>
      </c>
      <c r="Q344" s="19">
        <v>4.6715</v>
      </c>
      <c r="R344" s="19">
        <v>1.48</v>
      </c>
      <c r="S344" s="19">
        <v>3.5116000000000001</v>
      </c>
      <c r="T344" s="19">
        <v>1.48</v>
      </c>
      <c r="U344" s="19">
        <v>4.2267999999999999</v>
      </c>
      <c r="V344" s="19">
        <v>3.82</v>
      </c>
      <c r="W344" s="19">
        <v>4.2896000000000001</v>
      </c>
      <c r="X344" s="19">
        <v>3.82</v>
      </c>
      <c r="Y344" s="19">
        <v>4.2896000000000001</v>
      </c>
      <c r="Z344" s="4"/>
      <c r="AA344" s="4"/>
      <c r="AB344" s="4" t="e">
        <f ca="1">_xll.ciqfunctions.udf.CIQ("^SPX", "IQ_PRICEDATE", "5/5/2015")</f>
        <v>#NAME?</v>
      </c>
      <c r="AC344" s="16">
        <v>2089.4601421030002</v>
      </c>
    </row>
    <row r="345" spans="1:29" x14ac:dyDescent="0.35">
      <c r="A345" s="2" t="s">
        <v>355</v>
      </c>
      <c r="B345" s="4" t="s">
        <v>1375</v>
      </c>
      <c r="C345" s="4" t="s">
        <v>586</v>
      </c>
      <c r="D345" s="4" t="s">
        <v>586</v>
      </c>
      <c r="E345" s="4" t="s">
        <v>726</v>
      </c>
      <c r="F345" s="4" t="s">
        <v>727</v>
      </c>
      <c r="G345" s="14">
        <v>90.91</v>
      </c>
      <c r="H345" s="10">
        <v>7.6609619999999996</v>
      </c>
      <c r="I345" s="10">
        <v>11.702617999999999</v>
      </c>
      <c r="J345" s="10">
        <v>7.6423420000000002</v>
      </c>
      <c r="K345" s="15">
        <v>3.4759000000000005E-2</v>
      </c>
      <c r="L345" s="17">
        <v>8522.7398630000007</v>
      </c>
      <c r="M345" s="4" t="s">
        <v>1376</v>
      </c>
      <c r="N345" s="19">
        <v>7.7683470000000003</v>
      </c>
      <c r="O345" s="19">
        <v>8.5388000000000002</v>
      </c>
      <c r="P345" s="19">
        <v>7.07</v>
      </c>
      <c r="Q345" s="19">
        <v>6.4749999999999996</v>
      </c>
      <c r="R345" s="19">
        <v>4.75</v>
      </c>
      <c r="S345" s="19">
        <v>5.5372000000000003</v>
      </c>
      <c r="T345" s="19">
        <v>4.75</v>
      </c>
      <c r="U345" s="19">
        <v>4.7121000000000004</v>
      </c>
      <c r="V345" s="19">
        <v>3.9886590000000002</v>
      </c>
      <c r="W345" s="19">
        <v>5.1288</v>
      </c>
      <c r="X345" s="19">
        <v>3.9886590000000002</v>
      </c>
      <c r="Y345" s="19">
        <v>5.1288</v>
      </c>
      <c r="Z345" s="4"/>
      <c r="AA345" s="4"/>
      <c r="AB345" s="4" t="e">
        <f ca="1">_xll.ciqfunctions.udf.CIQ("^SPX", "IQ_PRICEDATE", "5/6/2015")</f>
        <v>#NAME?</v>
      </c>
      <c r="AC345" s="16">
        <v>2080.1450500901001</v>
      </c>
    </row>
    <row r="346" spans="1:29" x14ac:dyDescent="0.35">
      <c r="A346" s="2" t="s">
        <v>356</v>
      </c>
      <c r="B346" s="4" t="s">
        <v>1377</v>
      </c>
      <c r="C346" s="4" t="s">
        <v>525</v>
      </c>
      <c r="D346" s="4" t="s">
        <v>526</v>
      </c>
      <c r="E346" s="4" t="s">
        <v>803</v>
      </c>
      <c r="F346" s="4" t="s">
        <v>948</v>
      </c>
      <c r="G346" s="14">
        <v>162.54</v>
      </c>
      <c r="H346" s="10">
        <v>10.33174</v>
      </c>
      <c r="I346" s="10">
        <v>20.758623</v>
      </c>
      <c r="J346" s="10" t="s">
        <v>534</v>
      </c>
      <c r="K346" s="15">
        <v>1.8703000000000001E-2</v>
      </c>
      <c r="L346" s="17">
        <v>21522.903629</v>
      </c>
      <c r="M346" s="4" t="s">
        <v>1378</v>
      </c>
      <c r="N346" s="19">
        <v>7.8299989999999999</v>
      </c>
      <c r="O346" s="19">
        <v>11.417590000000001</v>
      </c>
      <c r="P346" s="19">
        <v>6.4283330000000003</v>
      </c>
      <c r="Q346" s="19">
        <v>9.8341999999999992</v>
      </c>
      <c r="R346" s="19">
        <v>6.4823550000000001</v>
      </c>
      <c r="S346" s="19">
        <v>6.9569000000000001</v>
      </c>
      <c r="T346" s="19">
        <v>6.4823550000000001</v>
      </c>
      <c r="U346" s="19">
        <v>6.1521999999999997</v>
      </c>
      <c r="V346" s="19">
        <v>7.2502250000000004</v>
      </c>
      <c r="W346" s="19">
        <v>8.1905999999999999</v>
      </c>
      <c r="X346" s="19">
        <v>7.2502250000000004</v>
      </c>
      <c r="Y346" s="19">
        <v>8.1905999999999999</v>
      </c>
      <c r="Z346" s="4"/>
      <c r="AA346" s="4"/>
      <c r="AB346" s="4" t="e">
        <f ca="1">_xll.ciqfunctions.udf.CIQ("^SPX", "IQ_PRICEDATE", "5/7/2015")</f>
        <v>#NAME?</v>
      </c>
      <c r="AC346" s="16">
        <v>2087.9973305568001</v>
      </c>
    </row>
    <row r="347" spans="1:29" x14ac:dyDescent="0.35">
      <c r="A347" s="2" t="s">
        <v>357</v>
      </c>
      <c r="B347" s="4" t="s">
        <v>1379</v>
      </c>
      <c r="C347" s="4" t="s">
        <v>543</v>
      </c>
      <c r="D347" s="4" t="s">
        <v>544</v>
      </c>
      <c r="E347" s="4" t="s">
        <v>545</v>
      </c>
      <c r="F347" s="4" t="s">
        <v>616</v>
      </c>
      <c r="G347" s="14">
        <v>68.89</v>
      </c>
      <c r="H347" s="10">
        <v>16.944186999999999</v>
      </c>
      <c r="I347" s="10">
        <v>25.801971000000002</v>
      </c>
      <c r="J347" s="10">
        <v>17.196155000000001</v>
      </c>
      <c r="K347" s="15">
        <v>3.2515000000000002E-2</v>
      </c>
      <c r="L347" s="17">
        <v>24737.154847000002</v>
      </c>
      <c r="M347" s="4" t="s">
        <v>1380</v>
      </c>
      <c r="N347" s="19">
        <v>2.6699510000000002</v>
      </c>
      <c r="O347" s="19">
        <v>2.9075000000000002</v>
      </c>
      <c r="P347" s="19">
        <v>2.2698049999999999</v>
      </c>
      <c r="Q347" s="19">
        <v>2.6501000000000001</v>
      </c>
      <c r="R347" s="19">
        <v>2.1501570000000001</v>
      </c>
      <c r="S347" s="19">
        <v>2.3043</v>
      </c>
      <c r="T347" s="19">
        <v>2.1501570000000001</v>
      </c>
      <c r="U347" s="19">
        <v>2.125</v>
      </c>
      <c r="V347" s="19">
        <v>1.769779</v>
      </c>
      <c r="W347" s="19">
        <v>1.9277</v>
      </c>
      <c r="X347" s="19">
        <v>1.769779</v>
      </c>
      <c r="Y347" s="19">
        <v>1.9277</v>
      </c>
      <c r="Z347" s="4"/>
      <c r="AA347" s="4"/>
      <c r="AB347" s="4" t="e">
        <f ca="1">_xll.ciqfunctions.udf.CIQ("^SPX", "IQ_PRICEDATE", "5/8/2015")</f>
        <v>#NAME?</v>
      </c>
      <c r="AC347" s="16">
        <v>2116.0951116755</v>
      </c>
    </row>
    <row r="348" spans="1:29" x14ac:dyDescent="0.35">
      <c r="A348" s="2" t="s">
        <v>358</v>
      </c>
      <c r="B348" s="4" t="s">
        <v>1381</v>
      </c>
      <c r="C348" s="4" t="s">
        <v>543</v>
      </c>
      <c r="D348" s="4" t="s">
        <v>544</v>
      </c>
      <c r="E348" s="4" t="s">
        <v>545</v>
      </c>
      <c r="F348" s="4" t="s">
        <v>616</v>
      </c>
      <c r="G348" s="14">
        <v>80.09</v>
      </c>
      <c r="H348" s="10">
        <v>32.757137999999998</v>
      </c>
      <c r="I348" s="10">
        <v>47.700386999999999</v>
      </c>
      <c r="J348" s="10">
        <v>8.9772379999999998</v>
      </c>
      <c r="K348" s="15">
        <v>0</v>
      </c>
      <c r="L348" s="17">
        <v>94800.331166000004</v>
      </c>
      <c r="M348" s="4" t="s">
        <v>1382</v>
      </c>
      <c r="N348" s="19">
        <v>1.679022</v>
      </c>
      <c r="O348" s="19">
        <v>2.5468000000000002</v>
      </c>
      <c r="P348" s="19">
        <v>1.47</v>
      </c>
      <c r="Q348" s="19">
        <v>2.1452</v>
      </c>
      <c r="R348" s="19">
        <v>1.1499999999999999</v>
      </c>
      <c r="S348" s="19">
        <v>1.6547000000000001</v>
      </c>
      <c r="T348" s="19">
        <v>1.1499999999999999</v>
      </c>
      <c r="U348" s="19">
        <v>1.4307000000000001</v>
      </c>
      <c r="V348" s="19">
        <v>0.34</v>
      </c>
      <c r="W348" s="19">
        <v>0</v>
      </c>
      <c r="X348" s="19">
        <v>0.34</v>
      </c>
      <c r="Y348" s="19">
        <v>0</v>
      </c>
      <c r="Z348" s="4"/>
      <c r="AA348" s="4"/>
      <c r="AB348" s="4" t="e">
        <f ca="1">_xll.ciqfunctions.udf.CIQ("^SPX", "IQ_PRICEDATE", "5/11/2015")</f>
        <v>#NAME?</v>
      </c>
      <c r="AC348" s="16">
        <v>2105.3275425463999</v>
      </c>
    </row>
    <row r="349" spans="1:29" x14ac:dyDescent="0.35">
      <c r="A349" s="2" t="s">
        <v>359</v>
      </c>
      <c r="B349" s="4" t="s">
        <v>1383</v>
      </c>
      <c r="C349" s="4" t="s">
        <v>525</v>
      </c>
      <c r="D349" s="4" t="s">
        <v>526</v>
      </c>
      <c r="E349" s="4" t="s">
        <v>803</v>
      </c>
      <c r="F349" s="4" t="s">
        <v>948</v>
      </c>
      <c r="G349" s="14">
        <v>38.994999999999997</v>
      </c>
      <c r="H349" s="10">
        <v>7.4371559999999999</v>
      </c>
      <c r="I349" s="10">
        <v>11.725459000000001</v>
      </c>
      <c r="J349" s="10" t="s">
        <v>534</v>
      </c>
      <c r="K349" s="15">
        <v>1.787E-2</v>
      </c>
      <c r="L349" s="17">
        <v>6870.5694309999999</v>
      </c>
      <c r="M349" s="4" t="s">
        <v>1384</v>
      </c>
      <c r="N349" s="19">
        <v>3.3405939999999998</v>
      </c>
      <c r="O349" s="19">
        <v>2.4123000000000001</v>
      </c>
      <c r="P349" s="19">
        <v>2.61</v>
      </c>
      <c r="Q349" s="19">
        <v>3.8936000000000002</v>
      </c>
      <c r="R349" s="19">
        <v>2.4700000000000002</v>
      </c>
      <c r="S349" s="19">
        <v>3.3353000000000002</v>
      </c>
      <c r="T349" s="19">
        <v>2.4700000000000002</v>
      </c>
      <c r="U349" s="19">
        <v>4.0029000000000003</v>
      </c>
      <c r="V349" s="19">
        <v>1.84</v>
      </c>
      <c r="W349" s="19">
        <v>4.1447000000000003</v>
      </c>
      <c r="X349" s="19">
        <v>1.84</v>
      </c>
      <c r="Y349" s="19">
        <v>4.1447000000000003</v>
      </c>
      <c r="Z349" s="4"/>
      <c r="AA349" s="4"/>
      <c r="AB349" s="4" t="e">
        <f ca="1">_xll.ciqfunctions.udf.CIQ("^SPX", "IQ_PRICEDATE", "5/12/2015")</f>
        <v>#NAME?</v>
      </c>
      <c r="AC349" s="16">
        <v>2099.1159344456</v>
      </c>
    </row>
    <row r="350" spans="1:29" x14ac:dyDescent="0.35">
      <c r="A350" s="2" t="s">
        <v>360</v>
      </c>
      <c r="B350" s="4" t="s">
        <v>1385</v>
      </c>
      <c r="C350" s="4" t="s">
        <v>573</v>
      </c>
      <c r="D350" s="4" t="s">
        <v>737</v>
      </c>
      <c r="E350" s="4" t="s">
        <v>737</v>
      </c>
      <c r="F350" s="4" t="s">
        <v>743</v>
      </c>
      <c r="G350" s="14">
        <v>16.350000000000001</v>
      </c>
      <c r="H350" s="10">
        <v>0</v>
      </c>
      <c r="I350" s="10">
        <v>14.013439999999999</v>
      </c>
      <c r="J350" s="10">
        <v>1.811957</v>
      </c>
      <c r="K350" s="15">
        <v>4.2812999999999997E-2</v>
      </c>
      <c r="L350" s="17">
        <v>6056.4263010000004</v>
      </c>
      <c r="M350" s="4" t="s">
        <v>1386</v>
      </c>
      <c r="N350" s="19">
        <v>1.1667369999999999</v>
      </c>
      <c r="O350" s="19">
        <v>1.3675999999999999</v>
      </c>
      <c r="P350" s="19">
        <v>0.97</v>
      </c>
      <c r="Q350" s="19">
        <v>1.1198999999999999</v>
      </c>
      <c r="R350" s="19">
        <v>0.91817800000000005</v>
      </c>
      <c r="S350" s="19">
        <v>0.93940000000000001</v>
      </c>
      <c r="T350" s="19">
        <v>0.91817800000000005</v>
      </c>
      <c r="U350" s="19">
        <v>0.92410000000000003</v>
      </c>
      <c r="V350" s="19">
        <v>0.84</v>
      </c>
      <c r="W350" s="19">
        <v>0.85940000000000005</v>
      </c>
      <c r="X350" s="19">
        <v>0.84</v>
      </c>
      <c r="Y350" s="19">
        <v>0.85940000000000005</v>
      </c>
      <c r="Z350" s="4"/>
      <c r="AA350" s="4"/>
      <c r="AB350" s="4" t="e">
        <f ca="1">_xll.ciqfunctions.udf.CIQ("^SPX", "IQ_PRICEDATE", "5/13/2015")</f>
        <v>#NAME?</v>
      </c>
      <c r="AC350" s="16">
        <v>2098.4776424717002</v>
      </c>
    </row>
    <row r="351" spans="1:29" x14ac:dyDescent="0.35">
      <c r="A351" s="2" t="s">
        <v>361</v>
      </c>
      <c r="B351" s="4" t="s">
        <v>1387</v>
      </c>
      <c r="C351" s="4" t="s">
        <v>626</v>
      </c>
      <c r="D351" s="4" t="s">
        <v>627</v>
      </c>
      <c r="E351" s="4" t="s">
        <v>775</v>
      </c>
      <c r="F351" s="4" t="s">
        <v>1298</v>
      </c>
      <c r="G351" s="14">
        <v>108.31</v>
      </c>
      <c r="H351" s="10">
        <v>13.702133</v>
      </c>
      <c r="I351" s="10">
        <v>31.244959999999999</v>
      </c>
      <c r="J351" s="10" t="s">
        <v>534</v>
      </c>
      <c r="K351" s="15">
        <v>3.4252999999999999E-2</v>
      </c>
      <c r="L351" s="17">
        <v>152886.93007999999</v>
      </c>
      <c r="M351" s="4" t="s">
        <v>1388</v>
      </c>
      <c r="N351" s="19">
        <v>3.4664790000000001</v>
      </c>
      <c r="O351" s="19">
        <v>5.8837999999999999</v>
      </c>
      <c r="P351" s="19">
        <v>3.3776069999999998</v>
      </c>
      <c r="Q351" s="19">
        <v>5.4755000000000003</v>
      </c>
      <c r="R351" s="19">
        <v>4.3588149999999999</v>
      </c>
      <c r="S351" s="19">
        <v>5.0688000000000004</v>
      </c>
      <c r="T351" s="19">
        <v>4.3588149999999999</v>
      </c>
      <c r="U351" s="19">
        <v>4.6847000000000003</v>
      </c>
      <c r="V351" s="19">
        <v>4.265225</v>
      </c>
      <c r="W351" s="19">
        <v>4.7572999999999999</v>
      </c>
      <c r="X351" s="19">
        <v>4.265225</v>
      </c>
      <c r="Y351" s="19">
        <v>4.7572999999999999</v>
      </c>
      <c r="Z351" s="4"/>
      <c r="AA351" s="4"/>
      <c r="AB351" s="4" t="e">
        <f ca="1">_xll.ciqfunctions.udf.CIQ("^SPX", "IQ_PRICEDATE", "5/14/2015")</f>
        <v>#NAME?</v>
      </c>
      <c r="AC351" s="16">
        <v>2121.0952244886998</v>
      </c>
    </row>
    <row r="352" spans="1:29" x14ac:dyDescent="0.35">
      <c r="A352" s="2" t="s">
        <v>362</v>
      </c>
      <c r="B352" s="4" t="s">
        <v>1389</v>
      </c>
      <c r="C352" s="4" t="s">
        <v>530</v>
      </c>
      <c r="D352" s="4" t="s">
        <v>537</v>
      </c>
      <c r="E352" s="4" t="s">
        <v>583</v>
      </c>
      <c r="F352" s="4" t="s">
        <v>583</v>
      </c>
      <c r="G352" s="14">
        <v>90.09</v>
      </c>
      <c r="H352" s="10">
        <v>23.292202</v>
      </c>
      <c r="I352" s="10">
        <v>67.212857999999997</v>
      </c>
      <c r="J352" s="10" t="s">
        <v>534</v>
      </c>
      <c r="K352" s="15">
        <v>3.1050000000000001E-3</v>
      </c>
      <c r="L352" s="17">
        <v>9983.7784319999992</v>
      </c>
      <c r="M352" s="4" t="s">
        <v>1390</v>
      </c>
      <c r="N352" s="19">
        <v>1.34141</v>
      </c>
      <c r="O352" s="19">
        <v>3.8965999999999998</v>
      </c>
      <c r="P352" s="19">
        <v>1.42</v>
      </c>
      <c r="Q352" s="19">
        <v>3.2837999999999998</v>
      </c>
      <c r="R352" s="19">
        <v>1.7889029999999999</v>
      </c>
      <c r="S352" s="19">
        <v>2.9066999999999998</v>
      </c>
      <c r="T352" s="19">
        <v>1.7889029999999999</v>
      </c>
      <c r="U352" s="19">
        <v>2.7705000000000002</v>
      </c>
      <c r="V352" s="19">
        <v>1.1399999999999999</v>
      </c>
      <c r="W352" s="19">
        <v>2.6059000000000001</v>
      </c>
      <c r="X352" s="19">
        <v>1.1399999999999999</v>
      </c>
      <c r="Y352" s="19">
        <v>2.6059000000000001</v>
      </c>
      <c r="Z352" s="4"/>
      <c r="AA352" s="4"/>
      <c r="AB352" s="4" t="e">
        <f ca="1">_xll.ciqfunctions.udf.CIQ("^SPX", "IQ_PRICEDATE", "5/15/2015")</f>
        <v>#NAME?</v>
      </c>
      <c r="AC352" s="16">
        <v>2122.7341297664002</v>
      </c>
    </row>
    <row r="353" spans="1:29" x14ac:dyDescent="0.35">
      <c r="A353" s="2" t="s">
        <v>363</v>
      </c>
      <c r="B353" s="4" t="s">
        <v>1391</v>
      </c>
      <c r="C353" s="4" t="s">
        <v>530</v>
      </c>
      <c r="D353" s="4" t="s">
        <v>537</v>
      </c>
      <c r="E353" s="4" t="s">
        <v>613</v>
      </c>
      <c r="F353" s="4" t="s">
        <v>613</v>
      </c>
      <c r="G353" s="14">
        <v>73.87</v>
      </c>
      <c r="H353" s="10">
        <v>12.218610999999999</v>
      </c>
      <c r="I353" s="10">
        <v>44.208649000000001</v>
      </c>
      <c r="J353" s="10" t="s">
        <v>534</v>
      </c>
      <c r="K353" s="15">
        <v>1.0287999999999999E-2</v>
      </c>
      <c r="L353" s="17">
        <v>10107.823054</v>
      </c>
      <c r="M353" s="4" t="s">
        <v>1392</v>
      </c>
      <c r="N353" s="19">
        <v>1.6709400000000001</v>
      </c>
      <c r="O353" s="19">
        <v>4.9934000000000003</v>
      </c>
      <c r="P353" s="19">
        <v>0.84</v>
      </c>
      <c r="Q353" s="19">
        <v>5.1871</v>
      </c>
      <c r="R353" s="19">
        <v>-28.01</v>
      </c>
      <c r="S353" s="19">
        <v>7.1489000000000003</v>
      </c>
      <c r="T353" s="19">
        <v>-28.01</v>
      </c>
      <c r="U353" s="19">
        <v>9.0718999999999994</v>
      </c>
      <c r="V353" s="19">
        <v>2.565439</v>
      </c>
      <c r="W353" s="19">
        <v>0</v>
      </c>
      <c r="X353" s="19">
        <v>2.565439</v>
      </c>
      <c r="Y353" s="19">
        <v>0</v>
      </c>
      <c r="Z353" s="4"/>
      <c r="AA353" s="4"/>
      <c r="AB353" s="4" t="e">
        <f ca="1">_xll.ciqfunctions.udf.CIQ("^SPX", "IQ_PRICEDATE", "5/18/2015")</f>
        <v>#NAME?</v>
      </c>
      <c r="AC353" s="16">
        <v>2129.2039046988998</v>
      </c>
    </row>
    <row r="354" spans="1:29" x14ac:dyDescent="0.35">
      <c r="A354" s="2" t="s">
        <v>364</v>
      </c>
      <c r="B354" s="4" t="s">
        <v>1393</v>
      </c>
      <c r="C354" s="4" t="s">
        <v>530</v>
      </c>
      <c r="D354" s="4" t="s">
        <v>537</v>
      </c>
      <c r="E354" s="4" t="s">
        <v>613</v>
      </c>
      <c r="F354" s="4" t="s">
        <v>613</v>
      </c>
      <c r="G354" s="14">
        <v>44.57</v>
      </c>
      <c r="H354" s="10">
        <v>13.467200999999999</v>
      </c>
      <c r="I354" s="10">
        <v>11.905595</v>
      </c>
      <c r="J354" s="10" t="s">
        <v>534</v>
      </c>
      <c r="K354" s="15">
        <v>3.0512999999999998E-2</v>
      </c>
      <c r="L354" s="17">
        <v>261274.22054899999</v>
      </c>
      <c r="M354" s="4" t="s">
        <v>1394</v>
      </c>
      <c r="N354" s="19">
        <v>3.7436180000000001</v>
      </c>
      <c r="O354" s="19">
        <v>3.0602999999999998</v>
      </c>
      <c r="P354" s="19">
        <v>3.5170020000000002</v>
      </c>
      <c r="Q354" s="19">
        <v>2.6686000000000001</v>
      </c>
      <c r="R354" s="19">
        <v>1.17</v>
      </c>
      <c r="S354" s="19">
        <v>2.4758</v>
      </c>
      <c r="T354" s="19">
        <v>1.17</v>
      </c>
      <c r="U354" s="19">
        <v>2.3218000000000001</v>
      </c>
      <c r="V354" s="19">
        <v>1.4143829999999999</v>
      </c>
      <c r="W354" s="19">
        <v>2.1695000000000002</v>
      </c>
      <c r="X354" s="19">
        <v>1.4143829999999999</v>
      </c>
      <c r="Y354" s="19">
        <v>2.1695000000000002</v>
      </c>
      <c r="Z354" s="4"/>
      <c r="AA354" s="4"/>
      <c r="AB354" s="4" t="e">
        <f ca="1">_xll.ciqfunctions.udf.CIQ("^SPX", "IQ_PRICEDATE", "5/19/2015")</f>
        <v>#NAME?</v>
      </c>
      <c r="AC354" s="16">
        <v>2127.8250587712</v>
      </c>
    </row>
    <row r="355" spans="1:29" x14ac:dyDescent="0.35">
      <c r="A355" s="2" t="s">
        <v>365</v>
      </c>
      <c r="B355" s="4" t="s">
        <v>1395</v>
      </c>
      <c r="C355" s="4" t="s">
        <v>619</v>
      </c>
      <c r="D355" s="4" t="s">
        <v>619</v>
      </c>
      <c r="E355" s="4" t="s">
        <v>620</v>
      </c>
      <c r="F355" s="4" t="s">
        <v>620</v>
      </c>
      <c r="G355" s="14">
        <v>48.96</v>
      </c>
      <c r="H355" s="10">
        <v>7.8465959999999999</v>
      </c>
      <c r="I355" s="10">
        <v>208.86213599999999</v>
      </c>
      <c r="J355" s="10">
        <v>1.346023</v>
      </c>
      <c r="K355" s="15">
        <v>0</v>
      </c>
      <c r="L355" s="17">
        <v>25319.729459999999</v>
      </c>
      <c r="M355" s="4" t="s">
        <v>1396</v>
      </c>
      <c r="N355" s="19">
        <v>0.23441300000000001</v>
      </c>
      <c r="O355" s="19">
        <v>3.6970000000000001</v>
      </c>
      <c r="P355" s="19">
        <v>3.21</v>
      </c>
      <c r="Q355" s="19">
        <v>3.4001000000000001</v>
      </c>
      <c r="R355" s="19">
        <v>2.78</v>
      </c>
      <c r="S355" s="19">
        <v>3.7797000000000001</v>
      </c>
      <c r="T355" s="19">
        <v>2.78</v>
      </c>
      <c r="U355" s="19">
        <v>3.4639000000000002</v>
      </c>
      <c r="V355" s="19">
        <v>3.06</v>
      </c>
      <c r="W355" s="19">
        <v>3.2985000000000002</v>
      </c>
      <c r="X355" s="19">
        <v>3.06</v>
      </c>
      <c r="Y355" s="19">
        <v>3.2985000000000002</v>
      </c>
      <c r="Z355" s="4"/>
      <c r="AA355" s="4"/>
      <c r="AB355" s="4" t="e">
        <f ca="1">_xll.ciqfunctions.udf.CIQ("^SPX", "IQ_PRICEDATE", "5/20/2015")</f>
        <v>#NAME?</v>
      </c>
      <c r="AC355" s="16">
        <v>2125.8487640356998</v>
      </c>
    </row>
    <row r="356" spans="1:29" x14ac:dyDescent="0.35">
      <c r="A356" s="2" t="s">
        <v>366</v>
      </c>
      <c r="B356" s="4" t="s">
        <v>1397</v>
      </c>
      <c r="C356" s="4" t="s">
        <v>626</v>
      </c>
      <c r="D356" s="4" t="s">
        <v>627</v>
      </c>
      <c r="E356" s="4" t="s">
        <v>628</v>
      </c>
      <c r="F356" s="4" t="s">
        <v>628</v>
      </c>
      <c r="G356" s="14">
        <v>84.56</v>
      </c>
      <c r="H356" s="10">
        <v>12.273115000000001</v>
      </c>
      <c r="I356" s="10">
        <v>20.523150999999999</v>
      </c>
      <c r="J356" s="10" t="s">
        <v>534</v>
      </c>
      <c r="K356" s="15">
        <v>5.3926000000000002E-2</v>
      </c>
      <c r="L356" s="17">
        <v>131449.09881299999</v>
      </c>
      <c r="M356" s="4" t="s">
        <v>1398</v>
      </c>
      <c r="N356" s="19">
        <v>4.1202249999999996</v>
      </c>
      <c r="O356" s="19">
        <v>5.0110999999999999</v>
      </c>
      <c r="P356" s="19">
        <v>3.8795099999999998</v>
      </c>
      <c r="Q356" s="19">
        <v>5.1825999999999999</v>
      </c>
      <c r="R356" s="19">
        <v>4.4796899999999997</v>
      </c>
      <c r="S356" s="19">
        <v>4.7333999999999996</v>
      </c>
      <c r="T356" s="19">
        <v>4.4796899999999997</v>
      </c>
      <c r="U356" s="19">
        <v>4.4893999999999998</v>
      </c>
      <c r="V356" s="19">
        <v>4.76</v>
      </c>
      <c r="W356" s="19">
        <v>4.8090999999999999</v>
      </c>
      <c r="X356" s="19">
        <v>4.76</v>
      </c>
      <c r="Y356" s="19">
        <v>4.8090999999999999</v>
      </c>
      <c r="Z356" s="4"/>
      <c r="AA356" s="4"/>
      <c r="AB356" s="4" t="e">
        <f ca="1">_xll.ciqfunctions.udf.CIQ("^SPX", "IQ_PRICEDATE", "5/21/2015")</f>
        <v>#NAME?</v>
      </c>
      <c r="AC356" s="16">
        <v>2130.8168954618</v>
      </c>
    </row>
    <row r="357" spans="1:29" x14ac:dyDescent="0.35">
      <c r="A357" s="2" t="s">
        <v>367</v>
      </c>
      <c r="B357" s="4" t="s">
        <v>1399</v>
      </c>
      <c r="C357" s="4" t="s">
        <v>669</v>
      </c>
      <c r="D357" s="4" t="s">
        <v>669</v>
      </c>
      <c r="E357" s="4" t="s">
        <v>670</v>
      </c>
      <c r="F357" s="4" t="s">
        <v>1126</v>
      </c>
      <c r="G357" s="14">
        <v>108.78</v>
      </c>
      <c r="H357" s="10">
        <v>10.004242</v>
      </c>
      <c r="I357" s="10">
        <v>9.2006700000000006</v>
      </c>
      <c r="J357" s="10">
        <v>2.7446990000000002</v>
      </c>
      <c r="K357" s="15">
        <v>2.9416999999999999E-2</v>
      </c>
      <c r="L357" s="17">
        <v>50502.464959999998</v>
      </c>
      <c r="M357" s="4" t="s">
        <v>1400</v>
      </c>
      <c r="N357" s="19">
        <v>11.823051</v>
      </c>
      <c r="O357" s="19">
        <v>8.7157</v>
      </c>
      <c r="P357" s="19">
        <v>9.8474850000000007</v>
      </c>
      <c r="Q357" s="19">
        <v>6.2218999999999998</v>
      </c>
      <c r="R357" s="19">
        <v>2.9241640000000002</v>
      </c>
      <c r="S357" s="19">
        <v>5.0987999999999998</v>
      </c>
      <c r="T357" s="19">
        <v>2.9241640000000002</v>
      </c>
      <c r="U357" s="19">
        <v>7.4589999999999996</v>
      </c>
      <c r="V357" s="19">
        <v>7.0970630000000003</v>
      </c>
      <c r="W357" s="19">
        <v>6.7664999999999997</v>
      </c>
      <c r="X357" s="19">
        <v>7.0970630000000003</v>
      </c>
      <c r="Y357" s="19">
        <v>6.7664999999999997</v>
      </c>
      <c r="Z357" s="4"/>
      <c r="AA357" s="4"/>
      <c r="AB357" s="4" t="e">
        <f ca="1">_xll.ciqfunctions.udf.CIQ("^SPX", "IQ_PRICEDATE", "5/22/2015")</f>
        <v>#NAME?</v>
      </c>
      <c r="AC357" s="16">
        <v>2126.0614088692</v>
      </c>
    </row>
    <row r="358" spans="1:29" x14ac:dyDescent="0.35">
      <c r="A358" s="2" t="s">
        <v>368</v>
      </c>
      <c r="B358" s="4" t="s">
        <v>1401</v>
      </c>
      <c r="C358" s="4" t="s">
        <v>619</v>
      </c>
      <c r="D358" s="4" t="s">
        <v>619</v>
      </c>
      <c r="E358" s="4" t="s">
        <v>620</v>
      </c>
      <c r="F358" s="4" t="s">
        <v>620</v>
      </c>
      <c r="G358" s="14">
        <v>83.69</v>
      </c>
      <c r="H358" s="10">
        <v>9.9353280000000002</v>
      </c>
      <c r="I358" s="10">
        <v>20.122198999999998</v>
      </c>
      <c r="J358" s="10">
        <v>1.962518</v>
      </c>
      <c r="K358" s="15">
        <v>3.3216999999999997E-2</v>
      </c>
      <c r="L358" s="17">
        <v>9371.1156929999997</v>
      </c>
      <c r="M358" s="4" t="s">
        <v>1402</v>
      </c>
      <c r="N358" s="19">
        <v>4.1590879999999997</v>
      </c>
      <c r="O358" s="19">
        <v>4.6233000000000004</v>
      </c>
      <c r="P358" s="19">
        <v>4.3499990000000004</v>
      </c>
      <c r="Q358" s="19">
        <v>4.4267000000000003</v>
      </c>
      <c r="R358" s="19">
        <v>3.95</v>
      </c>
      <c r="S358" s="19">
        <v>4.3037000000000001</v>
      </c>
      <c r="T358" s="19">
        <v>3.95</v>
      </c>
      <c r="U358" s="19">
        <v>3.9756</v>
      </c>
      <c r="V358" s="19">
        <v>3.58</v>
      </c>
      <c r="W358" s="19">
        <v>3.8540000000000001</v>
      </c>
      <c r="X358" s="19">
        <v>3.58</v>
      </c>
      <c r="Y358" s="19">
        <v>3.8540000000000001</v>
      </c>
      <c r="Z358" s="4"/>
      <c r="AA358" s="4"/>
      <c r="AB358" s="4" t="e">
        <f ca="1">_xll.ciqfunctions.udf.CIQ("^SPX", "IQ_PRICEDATE", "5/26/2015")</f>
        <v>#NAME?</v>
      </c>
      <c r="AC358" s="16">
        <v>2104.1993725443999</v>
      </c>
    </row>
    <row r="359" spans="1:29" x14ac:dyDescent="0.35">
      <c r="A359" s="2" t="s">
        <v>369</v>
      </c>
      <c r="B359" s="4" t="s">
        <v>1403</v>
      </c>
      <c r="C359" s="4" t="s">
        <v>669</v>
      </c>
      <c r="D359" s="4" t="s">
        <v>669</v>
      </c>
      <c r="E359" s="4" t="s">
        <v>670</v>
      </c>
      <c r="F359" s="4" t="s">
        <v>671</v>
      </c>
      <c r="G359" s="14">
        <v>170.18</v>
      </c>
      <c r="H359" s="10">
        <v>15.654123</v>
      </c>
      <c r="I359" s="10">
        <v>33.024165000000004</v>
      </c>
      <c r="J359" s="10">
        <v>2.586176</v>
      </c>
      <c r="K359" s="15">
        <v>1.8799999999999999E-3</v>
      </c>
      <c r="L359" s="17">
        <v>28998.880300000001</v>
      </c>
      <c r="M359" s="4" t="s">
        <v>1404</v>
      </c>
      <c r="N359" s="19">
        <v>5.1531960000000003</v>
      </c>
      <c r="O359" s="19">
        <v>9.2149000000000001</v>
      </c>
      <c r="P359" s="19">
        <v>4.8499999999999996</v>
      </c>
      <c r="Q359" s="19">
        <v>3.3130999999999999</v>
      </c>
      <c r="R359" s="19">
        <v>-3.3493970000000002</v>
      </c>
      <c r="S359" s="19">
        <v>0.74819999999999998</v>
      </c>
      <c r="T359" s="19">
        <v>-3.3493970000000002</v>
      </c>
      <c r="U359" s="19">
        <v>-0.19969999999999999</v>
      </c>
      <c r="V359" s="19">
        <v>7.15</v>
      </c>
      <c r="W359" s="19">
        <v>4.4124999999999996</v>
      </c>
      <c r="X359" s="19">
        <v>7.15</v>
      </c>
      <c r="Y359" s="19">
        <v>4.4124999999999996</v>
      </c>
      <c r="Z359" s="4"/>
      <c r="AA359" s="4"/>
      <c r="AB359" s="4" t="e">
        <f ca="1">_xll.ciqfunctions.udf.CIQ("^SPX", "IQ_PRICEDATE", "5/27/2015")</f>
        <v>#NAME?</v>
      </c>
      <c r="AC359" s="16">
        <v>2123.4758687950002</v>
      </c>
    </row>
    <row r="360" spans="1:29" x14ac:dyDescent="0.35">
      <c r="A360" s="2" t="s">
        <v>370</v>
      </c>
      <c r="B360" s="4" t="s">
        <v>1405</v>
      </c>
      <c r="C360" s="4" t="s">
        <v>586</v>
      </c>
      <c r="D360" s="4" t="s">
        <v>586</v>
      </c>
      <c r="E360" s="4" t="s">
        <v>587</v>
      </c>
      <c r="F360" s="4" t="s">
        <v>598</v>
      </c>
      <c r="G360" s="14">
        <v>98.12</v>
      </c>
      <c r="H360" s="10">
        <v>11.401399</v>
      </c>
      <c r="I360" s="10">
        <v>19.969313</v>
      </c>
      <c r="J360" s="10" t="s">
        <v>534</v>
      </c>
      <c r="K360" s="15">
        <v>1.9567000000000001E-2</v>
      </c>
      <c r="L360" s="17">
        <v>23746.816363999998</v>
      </c>
      <c r="M360" s="4" t="s">
        <v>1406</v>
      </c>
      <c r="N360" s="19">
        <v>4.9135390000000001</v>
      </c>
      <c r="O360" s="19">
        <v>6.1002000000000001</v>
      </c>
      <c r="P360" s="19">
        <v>5.31</v>
      </c>
      <c r="Q360" s="19">
        <v>6.4161999999999999</v>
      </c>
      <c r="R360" s="19">
        <v>2.04</v>
      </c>
      <c r="S360" s="19">
        <v>6.1288999999999998</v>
      </c>
      <c r="T360" s="19">
        <v>2.04</v>
      </c>
      <c r="U360" s="19">
        <v>6.2786999999999997</v>
      </c>
      <c r="V360" s="19">
        <v>3.7646350000000002</v>
      </c>
      <c r="W360" s="19">
        <v>5.5399000000000003</v>
      </c>
      <c r="X360" s="19">
        <v>3.7646350000000002</v>
      </c>
      <c r="Y360" s="19">
        <v>5.5399000000000003</v>
      </c>
      <c r="Z360" s="4"/>
      <c r="AA360" s="4"/>
      <c r="AB360" s="4" t="e">
        <f ca="1">_xll.ciqfunctions.udf.CIQ("^SPX", "IQ_PRICEDATE", "5/28/2015")</f>
        <v>#NAME?</v>
      </c>
      <c r="AC360" s="16">
        <v>2120.7897623846002</v>
      </c>
    </row>
    <row r="361" spans="1:29" x14ac:dyDescent="0.35">
      <c r="A361" s="2" t="s">
        <v>371</v>
      </c>
      <c r="B361" s="4" t="s">
        <v>1407</v>
      </c>
      <c r="C361" s="4" t="s">
        <v>619</v>
      </c>
      <c r="D361" s="4" t="s">
        <v>619</v>
      </c>
      <c r="E361" s="4" t="s">
        <v>620</v>
      </c>
      <c r="F361" s="4" t="s">
        <v>620</v>
      </c>
      <c r="G361" s="14">
        <v>30.9</v>
      </c>
      <c r="H361" s="10">
        <v>10.155426</v>
      </c>
      <c r="I361" s="10">
        <v>15.328384</v>
      </c>
      <c r="J361" s="10">
        <v>2.9846720000000002</v>
      </c>
      <c r="K361" s="15">
        <v>5.3074000000000003E-2</v>
      </c>
      <c r="L361" s="17">
        <v>22234.733393999999</v>
      </c>
      <c r="M361" s="4" t="s">
        <v>1408</v>
      </c>
      <c r="N361" s="19">
        <v>2.0158680000000002</v>
      </c>
      <c r="O361" s="19">
        <v>2.3231999999999999</v>
      </c>
      <c r="P361" s="19">
        <v>1.64</v>
      </c>
      <c r="Q361" s="19">
        <v>2.2665000000000002</v>
      </c>
      <c r="R361" s="19">
        <v>2.79</v>
      </c>
      <c r="S361" s="19">
        <v>2.1981999999999999</v>
      </c>
      <c r="T361" s="19">
        <v>2.79</v>
      </c>
      <c r="U361" s="19">
        <v>2.2444999999999999</v>
      </c>
      <c r="V361" s="19">
        <v>2.1577449999999998</v>
      </c>
      <c r="W361" s="19">
        <v>2.3094000000000001</v>
      </c>
      <c r="X361" s="19">
        <v>2.1577449999999998</v>
      </c>
      <c r="Y361" s="19">
        <v>2.3094000000000001</v>
      </c>
      <c r="Z361" s="4"/>
      <c r="AA361" s="4"/>
      <c r="AB361" s="4" t="e">
        <f ca="1">_xll.ciqfunctions.udf.CIQ("^SPX", "IQ_PRICEDATE", "5/29/2015")</f>
        <v>#NAME?</v>
      </c>
      <c r="AC361" s="16">
        <v>2107.3895783551002</v>
      </c>
    </row>
    <row r="362" spans="1:29" x14ac:dyDescent="0.35">
      <c r="A362" s="2" t="s">
        <v>372</v>
      </c>
      <c r="B362" s="4" t="s">
        <v>1409</v>
      </c>
      <c r="C362" s="4" t="s">
        <v>586</v>
      </c>
      <c r="D362" s="4" t="s">
        <v>586</v>
      </c>
      <c r="E362" s="4" t="s">
        <v>587</v>
      </c>
      <c r="F362" s="4" t="s">
        <v>588</v>
      </c>
      <c r="G362" s="14">
        <v>159.79</v>
      </c>
      <c r="H362" s="10">
        <v>13.742234</v>
      </c>
      <c r="I362" s="10">
        <v>33.244315</v>
      </c>
      <c r="J362" s="10">
        <v>19.961658</v>
      </c>
      <c r="K362" s="15">
        <v>2.0652E-2</v>
      </c>
      <c r="L362" s="17">
        <v>45951.734525</v>
      </c>
      <c r="M362" s="4" t="s">
        <v>1410</v>
      </c>
      <c r="N362" s="19">
        <v>4.8065360000000004</v>
      </c>
      <c r="O362" s="19">
        <v>7.0350000000000001</v>
      </c>
      <c r="P362" s="19">
        <v>4.32</v>
      </c>
      <c r="Q362" s="19">
        <v>6.2965999999999998</v>
      </c>
      <c r="R362" s="19">
        <v>5.21</v>
      </c>
      <c r="S362" s="19">
        <v>5.8258999999999999</v>
      </c>
      <c r="T362" s="19">
        <v>5.21</v>
      </c>
      <c r="U362" s="19">
        <v>5.9588000000000001</v>
      </c>
      <c r="V362" s="19">
        <v>5.73</v>
      </c>
      <c r="W362" s="19">
        <v>6.6227</v>
      </c>
      <c r="X362" s="19">
        <v>5.73</v>
      </c>
      <c r="Y362" s="19">
        <v>6.6227</v>
      </c>
      <c r="Z362" s="4"/>
      <c r="AA362" s="4"/>
      <c r="AB362" s="4" t="e">
        <f ca="1">_xll.ciqfunctions.udf.CIQ("^SPX", "IQ_PRICEDATE", "6/1/2015")</f>
        <v>#NAME?</v>
      </c>
      <c r="AC362" s="16">
        <v>2111.7315555443001</v>
      </c>
    </row>
    <row r="363" spans="1:29" x14ac:dyDescent="0.35">
      <c r="A363" s="2" t="s">
        <v>373</v>
      </c>
      <c r="B363" s="4" t="s">
        <v>1411</v>
      </c>
      <c r="C363" s="4" t="s">
        <v>573</v>
      </c>
      <c r="D363" s="4" t="s">
        <v>579</v>
      </c>
      <c r="E363" s="4" t="s">
        <v>579</v>
      </c>
      <c r="F363" s="4" t="s">
        <v>580</v>
      </c>
      <c r="G363" s="14">
        <v>55.08</v>
      </c>
      <c r="H363" s="10">
        <v>6.0108459999999999</v>
      </c>
      <c r="I363" s="10">
        <v>6.4307720000000002</v>
      </c>
      <c r="J363" s="10">
        <v>1.7074689999999999</v>
      </c>
      <c r="K363" s="15">
        <v>3.8489000000000002E-2</v>
      </c>
      <c r="L363" s="17">
        <v>15683.961756000001</v>
      </c>
      <c r="M363" s="4" t="s">
        <v>1412</v>
      </c>
      <c r="N363" s="19">
        <v>8.5650680000000001</v>
      </c>
      <c r="O363" s="19">
        <v>6.0256999999999996</v>
      </c>
      <c r="P363" s="19">
        <v>7.88</v>
      </c>
      <c r="Q363" s="19">
        <v>5.4653999999999998</v>
      </c>
      <c r="R363" s="19">
        <v>4.5</v>
      </c>
      <c r="S363" s="19">
        <v>4.7317</v>
      </c>
      <c r="T363" s="19">
        <v>4.5</v>
      </c>
      <c r="U363" s="19">
        <v>4.29</v>
      </c>
      <c r="V363" s="19">
        <v>3.65</v>
      </c>
      <c r="W363" s="19">
        <v>4.2855999999999996</v>
      </c>
      <c r="X363" s="19">
        <v>3.65</v>
      </c>
      <c r="Y363" s="19">
        <v>4.2855999999999996</v>
      </c>
      <c r="Z363" s="4"/>
      <c r="AA363" s="4"/>
      <c r="AB363" s="4" t="e">
        <f ca="1">_xll.ciqfunctions.udf.CIQ("^SPX", "IQ_PRICEDATE", "6/2/2015")</f>
        <v>#NAME?</v>
      </c>
      <c r="AC363" s="16">
        <v>2109.5971932025</v>
      </c>
    </row>
    <row r="364" spans="1:29" x14ac:dyDescent="0.35">
      <c r="A364" s="2" t="s">
        <v>374</v>
      </c>
      <c r="B364" s="4" t="s">
        <v>1413</v>
      </c>
      <c r="C364" s="4" t="s">
        <v>601</v>
      </c>
      <c r="D364" s="4" t="s">
        <v>601</v>
      </c>
      <c r="E364" s="4" t="s">
        <v>602</v>
      </c>
      <c r="F364" s="4" t="s">
        <v>958</v>
      </c>
      <c r="G364" s="14">
        <v>62.86</v>
      </c>
      <c r="H364" s="10">
        <v>29.059937999999999</v>
      </c>
      <c r="I364" s="10">
        <v>25.663626000000001</v>
      </c>
      <c r="J364" s="10">
        <v>1.705268</v>
      </c>
      <c r="K364" s="15">
        <v>3.0543999999999998E-2</v>
      </c>
      <c r="L364" s="17">
        <v>39571.564339999997</v>
      </c>
      <c r="M364" s="4" t="s">
        <v>1414</v>
      </c>
      <c r="N364" s="19">
        <v>2.4493809999999998</v>
      </c>
      <c r="O364" s="19">
        <v>1.7458</v>
      </c>
      <c r="P364" s="19">
        <v>3.056692</v>
      </c>
      <c r="Q364" s="19">
        <v>1.5014000000000001</v>
      </c>
      <c r="R364" s="19">
        <v>2.2688380000000001</v>
      </c>
      <c r="S364" s="19">
        <v>1.1967000000000001</v>
      </c>
      <c r="T364" s="19">
        <v>2.2688380000000001</v>
      </c>
      <c r="U364" s="19">
        <v>0.42280000000000001</v>
      </c>
      <c r="V364" s="19">
        <v>1.2359439999999999</v>
      </c>
      <c r="W364" s="19">
        <v>0.45</v>
      </c>
      <c r="X364" s="19">
        <v>1.2359439999999999</v>
      </c>
      <c r="Y364" s="19">
        <v>0.45</v>
      </c>
      <c r="Z364" s="4"/>
      <c r="AA364" s="4"/>
      <c r="AB364" s="4" t="e">
        <f ca="1">_xll.ciqfunctions.udf.CIQ("^SPX", "IQ_PRICEDATE", "6/3/2015")</f>
        <v>#NAME?</v>
      </c>
      <c r="AC364" s="16">
        <v>2114.0673737123998</v>
      </c>
    </row>
    <row r="365" spans="1:29" x14ac:dyDescent="0.35">
      <c r="A365" s="2" t="s">
        <v>375</v>
      </c>
      <c r="B365" s="4" t="s">
        <v>1415</v>
      </c>
      <c r="C365" s="4" t="s">
        <v>573</v>
      </c>
      <c r="D365" s="4" t="s">
        <v>579</v>
      </c>
      <c r="E365" s="4" t="s">
        <v>579</v>
      </c>
      <c r="F365" s="4" t="s">
        <v>580</v>
      </c>
      <c r="G365" s="14">
        <v>99.7</v>
      </c>
      <c r="H365" s="10">
        <v>7.1693439999999997</v>
      </c>
      <c r="I365" s="10">
        <v>5.7440930000000003</v>
      </c>
      <c r="J365" s="10">
        <v>0.86344699999999996</v>
      </c>
      <c r="K365" s="15">
        <v>3.6108000000000001E-2</v>
      </c>
      <c r="L365" s="17">
        <v>41645.819701</v>
      </c>
      <c r="M365" s="4" t="s">
        <v>1416</v>
      </c>
      <c r="N365" s="19">
        <v>17.356960000000001</v>
      </c>
      <c r="O365" s="19">
        <v>12.6372</v>
      </c>
      <c r="P365" s="19">
        <v>17.857797999999999</v>
      </c>
      <c r="Q365" s="19">
        <v>11.2858</v>
      </c>
      <c r="R365" s="19">
        <v>9.7089110000000005</v>
      </c>
      <c r="S365" s="19">
        <v>10.2933</v>
      </c>
      <c r="T365" s="19">
        <v>9.7089110000000005</v>
      </c>
      <c r="U365" s="19">
        <v>9.9460999999999995</v>
      </c>
      <c r="V365" s="19">
        <v>2.8860480000000002</v>
      </c>
      <c r="W365" s="19">
        <v>9.8229000000000006</v>
      </c>
      <c r="X365" s="19">
        <v>2.8860480000000002</v>
      </c>
      <c r="Y365" s="19">
        <v>9.8229000000000006</v>
      </c>
      <c r="Z365" s="4"/>
      <c r="AA365" s="4"/>
      <c r="AB365" s="4" t="e">
        <f ca="1">_xll.ciqfunctions.udf.CIQ("^SPX", "IQ_PRICEDATE", "6/4/2015")</f>
        <v>#NAME?</v>
      </c>
      <c r="AC365" s="16">
        <v>2095.8440838400002</v>
      </c>
    </row>
    <row r="366" spans="1:29" x14ac:dyDescent="0.35">
      <c r="A366" s="2" t="s">
        <v>376</v>
      </c>
      <c r="B366" s="4" t="s">
        <v>1417</v>
      </c>
      <c r="C366" s="4" t="s">
        <v>619</v>
      </c>
      <c r="D366" s="4" t="s">
        <v>619</v>
      </c>
      <c r="E366" s="4" t="s">
        <v>634</v>
      </c>
      <c r="F366" s="4" t="s">
        <v>634</v>
      </c>
      <c r="G366" s="14">
        <v>53.65</v>
      </c>
      <c r="H366" s="10">
        <v>15.427460999999999</v>
      </c>
      <c r="I366" s="10">
        <v>12.505827</v>
      </c>
      <c r="J366" s="10">
        <v>1.929332</v>
      </c>
      <c r="K366" s="15">
        <v>3.3549999999999996E-2</v>
      </c>
      <c r="L366" s="17">
        <v>27110.596440000001</v>
      </c>
      <c r="M366" s="4" t="s">
        <v>1418</v>
      </c>
      <c r="N366" s="19">
        <v>4.29</v>
      </c>
      <c r="O366" s="19">
        <v>3.3405999999999998</v>
      </c>
      <c r="P366" s="19">
        <v>3.1</v>
      </c>
      <c r="Q366" s="19">
        <v>3.0203000000000002</v>
      </c>
      <c r="R366" s="19">
        <v>1.75</v>
      </c>
      <c r="S366" s="19">
        <v>2.9262999999999999</v>
      </c>
      <c r="T366" s="19">
        <v>1.75</v>
      </c>
      <c r="U366" s="19">
        <v>2.9211</v>
      </c>
      <c r="V366" s="19">
        <v>2.99</v>
      </c>
      <c r="W366" s="19">
        <v>2.7528000000000001</v>
      </c>
      <c r="X366" s="19">
        <v>2.99</v>
      </c>
      <c r="Y366" s="19">
        <v>2.7528000000000001</v>
      </c>
      <c r="Z366" s="4"/>
      <c r="AA366" s="4"/>
      <c r="AB366" s="4" t="e">
        <f ca="1">_xll.ciqfunctions.udf.CIQ("^SPX", "IQ_PRICEDATE", "6/5/2015")</f>
        <v>#NAME?</v>
      </c>
      <c r="AC366" s="16">
        <v>2092.8309484256001</v>
      </c>
    </row>
    <row r="367" spans="1:29" x14ac:dyDescent="0.35">
      <c r="A367" s="2" t="s">
        <v>377</v>
      </c>
      <c r="B367" s="4" t="s">
        <v>1419</v>
      </c>
      <c r="C367" s="4" t="s">
        <v>601</v>
      </c>
      <c r="D367" s="4" t="s">
        <v>601</v>
      </c>
      <c r="E367" s="4" t="s">
        <v>602</v>
      </c>
      <c r="F367" s="4" t="s">
        <v>647</v>
      </c>
      <c r="G367" s="14">
        <v>198.13</v>
      </c>
      <c r="H367" s="10">
        <v>19.940149000000002</v>
      </c>
      <c r="I367" s="10">
        <v>27.595341000000001</v>
      </c>
      <c r="J367" s="10">
        <v>7.3898929999999998</v>
      </c>
      <c r="K367" s="15">
        <v>4.0377000000000003E-2</v>
      </c>
      <c r="L367" s="17">
        <v>34522.255207000002</v>
      </c>
      <c r="M367" s="4" t="s">
        <v>1420</v>
      </c>
      <c r="N367" s="19">
        <v>7.1798349999999997</v>
      </c>
      <c r="O367" s="19">
        <v>7.4696999999999996</v>
      </c>
      <c r="P367" s="19">
        <v>6.73</v>
      </c>
      <c r="Q367" s="19">
        <v>7.4301000000000004</v>
      </c>
      <c r="R367" s="19">
        <v>6.81</v>
      </c>
      <c r="S367" s="19">
        <v>7.3371000000000004</v>
      </c>
      <c r="T367" s="19">
        <v>6.81</v>
      </c>
      <c r="U367" s="19">
        <v>6.7283999999999997</v>
      </c>
      <c r="V367" s="19">
        <v>5.25</v>
      </c>
      <c r="W367" s="19">
        <v>5.5126999999999997</v>
      </c>
      <c r="X367" s="19">
        <v>5.25</v>
      </c>
      <c r="Y367" s="19">
        <v>5.5126999999999997</v>
      </c>
      <c r="Z367" s="4"/>
      <c r="AA367" s="4"/>
      <c r="AB367" s="4" t="e">
        <f ca="1">_xll.ciqfunctions.udf.CIQ("^SPX", "IQ_PRICEDATE", "6/8/2015")</f>
        <v>#NAME?</v>
      </c>
      <c r="AC367" s="16">
        <v>2079.2803854418999</v>
      </c>
    </row>
    <row r="368" spans="1:29" x14ac:dyDescent="0.35">
      <c r="A368" s="2" t="s">
        <v>378</v>
      </c>
      <c r="B368" s="4" t="s">
        <v>1421</v>
      </c>
      <c r="C368" s="4" t="s">
        <v>559</v>
      </c>
      <c r="D368" s="4" t="s">
        <v>912</v>
      </c>
      <c r="E368" s="4" t="s">
        <v>913</v>
      </c>
      <c r="F368" s="4" t="s">
        <v>914</v>
      </c>
      <c r="G368" s="14">
        <v>22.82</v>
      </c>
      <c r="H368" s="10">
        <v>6.5710879999999996</v>
      </c>
      <c r="I368" s="10">
        <v>8.952045</v>
      </c>
      <c r="J368" s="10">
        <v>1.477282</v>
      </c>
      <c r="K368" s="15">
        <v>1.5774999999999997E-2</v>
      </c>
      <c r="L368" s="17">
        <v>6481.3036990000001</v>
      </c>
      <c r="M368" s="4" t="s">
        <v>1422</v>
      </c>
      <c r="N368" s="19">
        <v>2.5491380000000001</v>
      </c>
      <c r="O368" s="19">
        <v>3.6315</v>
      </c>
      <c r="P368" s="19">
        <v>1.4427890000000001</v>
      </c>
      <c r="Q368" s="19">
        <v>2.6408</v>
      </c>
      <c r="R368" s="19">
        <v>1.7479119999999999</v>
      </c>
      <c r="S368" s="19">
        <v>1.9226000000000001</v>
      </c>
      <c r="T368" s="19">
        <v>1.7479119999999999</v>
      </c>
      <c r="U368" s="19">
        <v>1.4933000000000001</v>
      </c>
      <c r="V368" s="19">
        <v>1.259314</v>
      </c>
      <c r="W368" s="19">
        <v>1.3675999999999999</v>
      </c>
      <c r="X368" s="19">
        <v>1.259314</v>
      </c>
      <c r="Y368" s="19">
        <v>1.3675999999999999</v>
      </c>
      <c r="Z368" s="4"/>
      <c r="AA368" s="4"/>
      <c r="AB368" s="4" t="e">
        <f ca="1">_xll.ciqfunctions.udf.CIQ("^SPX", "IQ_PRICEDATE", "6/9/2015")</f>
        <v>#NAME?</v>
      </c>
      <c r="AC368" s="16">
        <v>2080.1520763919998</v>
      </c>
    </row>
    <row r="369" spans="1:29" x14ac:dyDescent="0.35">
      <c r="A369" s="2" t="s">
        <v>379</v>
      </c>
      <c r="B369" s="4" t="s">
        <v>1423</v>
      </c>
      <c r="C369" s="4" t="s">
        <v>559</v>
      </c>
      <c r="D369" s="4" t="s">
        <v>912</v>
      </c>
      <c r="E369" s="4" t="s">
        <v>1097</v>
      </c>
      <c r="F369" s="4" t="s">
        <v>1098</v>
      </c>
      <c r="G369" s="14">
        <v>127.96</v>
      </c>
      <c r="H369" s="10">
        <v>10.616185</v>
      </c>
      <c r="I369" s="10">
        <v>14.450281</v>
      </c>
      <c r="J369" s="10" t="s">
        <v>534</v>
      </c>
      <c r="K369" s="15">
        <v>1.1720000000000001E-3</v>
      </c>
      <c r="L369" s="17">
        <v>9816.5094939999999</v>
      </c>
      <c r="M369" s="4" t="s">
        <v>1424</v>
      </c>
      <c r="N369" s="19">
        <v>8.8551909999999996</v>
      </c>
      <c r="O369" s="19">
        <v>9.8125</v>
      </c>
      <c r="P369" s="19">
        <v>6.7120579999999999</v>
      </c>
      <c r="Q369" s="19">
        <v>8.6102000000000007</v>
      </c>
      <c r="R369" s="19">
        <v>7.1465800000000002</v>
      </c>
      <c r="S369" s="19">
        <v>7.1961000000000004</v>
      </c>
      <c r="T369" s="19">
        <v>7.1465800000000002</v>
      </c>
      <c r="U369" s="19">
        <v>6.5484999999999998</v>
      </c>
      <c r="V369" s="19">
        <v>4.2196809999999996</v>
      </c>
      <c r="W369" s="19">
        <v>8.0885999999999996</v>
      </c>
      <c r="X369" s="19">
        <v>4.2196809999999996</v>
      </c>
      <c r="Y369" s="19">
        <v>8.0885999999999996</v>
      </c>
      <c r="Z369" s="4"/>
      <c r="AA369" s="4"/>
      <c r="AB369" s="4" t="e">
        <f ca="1">_xll.ciqfunctions.udf.CIQ("^SPX", "IQ_PRICEDATE", "6/10/2015")</f>
        <v>#NAME?</v>
      </c>
      <c r="AC369" s="16">
        <v>2105.2022673125998</v>
      </c>
    </row>
    <row r="370" spans="1:29" x14ac:dyDescent="0.35">
      <c r="A370" s="2" t="s">
        <v>380</v>
      </c>
      <c r="B370" s="4" t="s">
        <v>1425</v>
      </c>
      <c r="C370" s="4" t="s">
        <v>543</v>
      </c>
      <c r="D370" s="4" t="s">
        <v>565</v>
      </c>
      <c r="E370" s="4" t="s">
        <v>565</v>
      </c>
      <c r="F370" s="4" t="s">
        <v>566</v>
      </c>
      <c r="G370" s="14">
        <v>75.42</v>
      </c>
      <c r="H370" s="10">
        <v>11.11843</v>
      </c>
      <c r="I370" s="10" t="s">
        <v>534</v>
      </c>
      <c r="J370" s="10">
        <v>5.3367430000000002</v>
      </c>
      <c r="K370" s="15">
        <v>0</v>
      </c>
      <c r="L370" s="17">
        <v>9476.0162529999998</v>
      </c>
      <c r="M370" s="4" t="s">
        <v>1426</v>
      </c>
      <c r="N370" s="19">
        <v>-0.31903599999999999</v>
      </c>
      <c r="O370" s="19">
        <v>6.7069000000000001</v>
      </c>
      <c r="P370" s="19">
        <v>0.217893</v>
      </c>
      <c r="Q370" s="19">
        <v>6.2256</v>
      </c>
      <c r="R370" s="19">
        <v>-0.75099499999999997</v>
      </c>
      <c r="S370" s="19">
        <v>5.0407000000000002</v>
      </c>
      <c r="T370" s="19">
        <v>-0.75099499999999997</v>
      </c>
      <c r="U370" s="19">
        <v>4.8334000000000001</v>
      </c>
      <c r="V370" s="19">
        <v>2.5673659999999998</v>
      </c>
      <c r="W370" s="19">
        <v>0</v>
      </c>
      <c r="X370" s="19">
        <v>2.5673659999999998</v>
      </c>
      <c r="Y370" s="19">
        <v>0</v>
      </c>
      <c r="Z370" s="4"/>
      <c r="AA370" s="4"/>
      <c r="AB370" s="4" t="e">
        <f ca="1">_xll.ciqfunctions.udf.CIQ("^SPX", "IQ_PRICEDATE", "6/11/2015")</f>
        <v>#NAME?</v>
      </c>
      <c r="AC370" s="16">
        <v>2108.8561965326999</v>
      </c>
    </row>
    <row r="371" spans="1:29" x14ac:dyDescent="0.35">
      <c r="A371" s="2" t="s">
        <v>381</v>
      </c>
      <c r="B371" s="4" t="s">
        <v>1427</v>
      </c>
      <c r="C371" s="4" t="s">
        <v>543</v>
      </c>
      <c r="D371" s="4" t="s">
        <v>565</v>
      </c>
      <c r="E371" s="4" t="s">
        <v>565</v>
      </c>
      <c r="F371" s="4" t="s">
        <v>566</v>
      </c>
      <c r="G371" s="14">
        <v>66.099999999999994</v>
      </c>
      <c r="H371" s="10">
        <v>12.284266000000001</v>
      </c>
      <c r="I371" s="10" t="s">
        <v>534</v>
      </c>
      <c r="J371" s="10">
        <v>7.3206350000000002</v>
      </c>
      <c r="K371" s="15">
        <v>3.7517999999999996E-2</v>
      </c>
      <c r="L371" s="17">
        <v>97109.421281999996</v>
      </c>
      <c r="M371" s="4" t="s">
        <v>1428</v>
      </c>
      <c r="N371" s="19">
        <v>-2.8526340000000001</v>
      </c>
      <c r="O371" s="19">
        <v>3.7048999999999999</v>
      </c>
      <c r="P371" s="19">
        <v>-2.8315619999999999</v>
      </c>
      <c r="Q371" s="19">
        <v>3.6014900000000001</v>
      </c>
      <c r="R371" s="19">
        <v>3.278559</v>
      </c>
      <c r="S371" s="19">
        <v>4.7089600000000003</v>
      </c>
      <c r="T371" s="19">
        <v>3.278559</v>
      </c>
      <c r="U371" s="19">
        <v>4.1777199999999999</v>
      </c>
      <c r="V371" s="19">
        <v>4.7318119999999997</v>
      </c>
      <c r="W371" s="19">
        <v>5.2083199999999996</v>
      </c>
      <c r="X371" s="19">
        <v>4.7318119999999997</v>
      </c>
      <c r="Y371" s="19">
        <v>5.2083199999999996</v>
      </c>
      <c r="Z371" s="4"/>
      <c r="AA371" s="4"/>
      <c r="AB371" s="4" t="e">
        <f ca="1">_xll.ciqfunctions.udf.CIQ("^SPX", "IQ_PRICEDATE", "6/12/2015")</f>
        <v>#NAME?</v>
      </c>
      <c r="AC371" s="16">
        <v>2094.1056542483002</v>
      </c>
    </row>
    <row r="372" spans="1:29" x14ac:dyDescent="0.35">
      <c r="A372" s="2" t="s">
        <v>382</v>
      </c>
      <c r="B372" s="4" t="s">
        <v>1429</v>
      </c>
      <c r="C372" s="4" t="s">
        <v>525</v>
      </c>
      <c r="D372" s="4" t="s">
        <v>526</v>
      </c>
      <c r="E372" s="4" t="s">
        <v>1046</v>
      </c>
      <c r="F372" s="4" t="s">
        <v>1046</v>
      </c>
      <c r="G372" s="14">
        <v>32.58</v>
      </c>
      <c r="H372" s="10">
        <v>8.5303269999999998</v>
      </c>
      <c r="I372" s="10">
        <v>16.295328000000001</v>
      </c>
      <c r="J372" s="10">
        <v>3.1826050000000001</v>
      </c>
      <c r="K372" s="15">
        <v>0</v>
      </c>
      <c r="L372" s="17">
        <v>4863.9875730000003</v>
      </c>
      <c r="M372" s="4" t="s">
        <v>1430</v>
      </c>
      <c r="N372" s="19">
        <v>1.9993460000000001</v>
      </c>
      <c r="O372" s="19">
        <v>3.0196000000000001</v>
      </c>
      <c r="P372" s="19">
        <v>2</v>
      </c>
      <c r="Q372" s="19">
        <v>2.2818999999999998</v>
      </c>
      <c r="R372" s="19">
        <v>1.26</v>
      </c>
      <c r="S372" s="19">
        <v>2.0802</v>
      </c>
      <c r="T372" s="19">
        <v>1.26</v>
      </c>
      <c r="U372" s="19">
        <v>1.5874999999999999</v>
      </c>
      <c r="V372" s="19">
        <v>1.22</v>
      </c>
      <c r="W372" s="19">
        <v>2.1514000000000002</v>
      </c>
      <c r="X372" s="19">
        <v>1.22</v>
      </c>
      <c r="Y372" s="19">
        <v>2.1514000000000002</v>
      </c>
      <c r="Z372" s="4"/>
      <c r="AA372" s="4"/>
      <c r="AB372" s="4" t="e">
        <f ca="1">_xll.ciqfunctions.udf.CIQ("^SPX", "IQ_PRICEDATE", "6/15/2015")</f>
        <v>#NAME?</v>
      </c>
      <c r="AC372" s="16">
        <v>2084.4252841215998</v>
      </c>
    </row>
    <row r="373" spans="1:29" x14ac:dyDescent="0.35">
      <c r="A373" s="2" t="s">
        <v>383</v>
      </c>
      <c r="B373" s="4" t="s">
        <v>1431</v>
      </c>
      <c r="C373" s="4" t="s">
        <v>530</v>
      </c>
      <c r="D373" s="4" t="s">
        <v>531</v>
      </c>
      <c r="E373" s="4" t="s">
        <v>569</v>
      </c>
      <c r="F373" s="4" t="s">
        <v>909</v>
      </c>
      <c r="G373" s="14">
        <v>102.38</v>
      </c>
      <c r="H373" s="10">
        <v>11.041496</v>
      </c>
      <c r="I373" s="10">
        <v>17.619931999999999</v>
      </c>
      <c r="J373" s="10" t="s">
        <v>534</v>
      </c>
      <c r="K373" s="15">
        <v>1.9535E-2</v>
      </c>
      <c r="L373" s="17">
        <v>13991.934493999999</v>
      </c>
      <c r="M373" s="4" t="s">
        <v>1432</v>
      </c>
      <c r="N373" s="19">
        <v>5.8104649999999998</v>
      </c>
      <c r="O373" s="19">
        <v>6.7607999999999997</v>
      </c>
      <c r="P373" s="19">
        <v>5.5</v>
      </c>
      <c r="Q373" s="19">
        <v>5.7065000000000001</v>
      </c>
      <c r="R373" s="19">
        <v>4.51</v>
      </c>
      <c r="S373" s="19">
        <v>5.3535000000000004</v>
      </c>
      <c r="T373" s="19">
        <v>4.51</v>
      </c>
      <c r="U373" s="19">
        <v>4.9916999999999998</v>
      </c>
      <c r="V373" s="19">
        <v>3.78</v>
      </c>
      <c r="W373" s="19">
        <v>4.3490000000000002</v>
      </c>
      <c r="X373" s="19">
        <v>3.78</v>
      </c>
      <c r="Y373" s="19">
        <v>4.3490000000000002</v>
      </c>
      <c r="Z373" s="4"/>
      <c r="AA373" s="4"/>
      <c r="AB373" s="4" t="e">
        <f ca="1">_xll.ciqfunctions.udf.CIQ("^SPX", "IQ_PRICEDATE", "6/16/2015")</f>
        <v>#NAME?</v>
      </c>
      <c r="AC373" s="16">
        <v>2096.2923688098999</v>
      </c>
    </row>
    <row r="374" spans="1:29" x14ac:dyDescent="0.35">
      <c r="A374" s="2" t="s">
        <v>384</v>
      </c>
      <c r="B374" s="4" t="s">
        <v>1433</v>
      </c>
      <c r="C374" s="4" t="s">
        <v>559</v>
      </c>
      <c r="D374" s="4" t="s">
        <v>912</v>
      </c>
      <c r="E374" s="4" t="s">
        <v>1097</v>
      </c>
      <c r="F374" s="4" t="s">
        <v>1098</v>
      </c>
      <c r="G374" s="14">
        <v>128.16999999999999</v>
      </c>
      <c r="H374" s="10">
        <v>9.7130709999999993</v>
      </c>
      <c r="I374" s="10">
        <v>49.939976000000001</v>
      </c>
      <c r="J374" s="10">
        <v>4.498068</v>
      </c>
      <c r="K374" s="15">
        <v>1.9504999999999998E-2</v>
      </c>
      <c r="L374" s="17">
        <v>10398.446968</v>
      </c>
      <c r="M374" s="4" t="s">
        <v>1434</v>
      </c>
      <c r="N374" s="19">
        <v>2.566481</v>
      </c>
      <c r="O374" s="19">
        <v>6.7205000000000004</v>
      </c>
      <c r="P374" s="19">
        <v>-1.0085569999999999</v>
      </c>
      <c r="Q374" s="19">
        <v>5.6300999999999997</v>
      </c>
      <c r="R374" s="19">
        <v>1.7486139999999999</v>
      </c>
      <c r="S374" s="19">
        <v>5.4927000000000001</v>
      </c>
      <c r="T374" s="19">
        <v>1.7486139999999999</v>
      </c>
      <c r="U374" s="19">
        <v>7.1894</v>
      </c>
      <c r="V374" s="19">
        <v>8.1375340000000005</v>
      </c>
      <c r="W374" s="19">
        <v>9.1341000000000001</v>
      </c>
      <c r="X374" s="19">
        <v>8.1375340000000005</v>
      </c>
      <c r="Y374" s="19">
        <v>9.1341000000000001</v>
      </c>
      <c r="Z374" s="4"/>
      <c r="AA374" s="4"/>
      <c r="AB374" s="4" t="e">
        <f ca="1">_xll.ciqfunctions.udf.CIQ("^SPX", "IQ_PRICEDATE", "6/17/2015")</f>
        <v>#NAME?</v>
      </c>
      <c r="AC374" s="16">
        <v>2100.4437209033999</v>
      </c>
    </row>
    <row r="375" spans="1:29" x14ac:dyDescent="0.35">
      <c r="A375" s="2" t="s">
        <v>385</v>
      </c>
      <c r="B375" s="4" t="s">
        <v>1435</v>
      </c>
      <c r="C375" s="4" t="s">
        <v>573</v>
      </c>
      <c r="D375" s="4" t="s">
        <v>574</v>
      </c>
      <c r="E375" s="4" t="s">
        <v>575</v>
      </c>
      <c r="F375" s="4" t="s">
        <v>963</v>
      </c>
      <c r="G375" s="14">
        <v>89.18</v>
      </c>
      <c r="H375" s="10">
        <v>0</v>
      </c>
      <c r="I375" s="10">
        <v>16.845255999999999</v>
      </c>
      <c r="J375" s="10">
        <v>2.3547199999999999</v>
      </c>
      <c r="K375" s="15">
        <v>1.3455E-2</v>
      </c>
      <c r="L375" s="17">
        <v>12587.40028</v>
      </c>
      <c r="M375" s="4" t="s">
        <v>1436</v>
      </c>
      <c r="N375" s="19">
        <v>5.2940719999999999</v>
      </c>
      <c r="O375" s="19">
        <v>7.5509000000000004</v>
      </c>
      <c r="P375" s="19">
        <v>4.1229310000000003</v>
      </c>
      <c r="Q375" s="19">
        <v>6.0290699999999999</v>
      </c>
      <c r="R375" s="19">
        <v>3.9355730000000002</v>
      </c>
      <c r="S375" s="19">
        <v>4.3505000000000003</v>
      </c>
      <c r="T375" s="19">
        <v>3.9355730000000002</v>
      </c>
      <c r="U375" s="19">
        <v>3.85243</v>
      </c>
      <c r="V375" s="19">
        <v>3.3785249999999998</v>
      </c>
      <c r="W375" s="19">
        <v>3.6553100000000001</v>
      </c>
      <c r="X375" s="19">
        <v>3.3785249999999998</v>
      </c>
      <c r="Y375" s="19">
        <v>3.6553100000000001</v>
      </c>
      <c r="Z375" s="4"/>
      <c r="AA375" s="4"/>
      <c r="AB375" s="4" t="e">
        <f ca="1">_xll.ciqfunctions.udf.CIQ("^SPX", "IQ_PRICEDATE", "6/18/2015")</f>
        <v>#NAME?</v>
      </c>
      <c r="AC375" s="16">
        <v>2121.2354112715998</v>
      </c>
    </row>
    <row r="376" spans="1:29" x14ac:dyDescent="0.35">
      <c r="A376" s="2" t="s">
        <v>386</v>
      </c>
      <c r="B376" s="4" t="s">
        <v>1437</v>
      </c>
      <c r="C376" s="4" t="s">
        <v>525</v>
      </c>
      <c r="D376" s="4" t="s">
        <v>526</v>
      </c>
      <c r="E376" s="4" t="s">
        <v>703</v>
      </c>
      <c r="F376" s="4" t="s">
        <v>703</v>
      </c>
      <c r="G376" s="14">
        <v>193.12</v>
      </c>
      <c r="H376" s="10">
        <v>14.827256</v>
      </c>
      <c r="I376" s="10">
        <v>23.288088999999999</v>
      </c>
      <c r="J376" s="10" t="s">
        <v>534</v>
      </c>
      <c r="K376" s="15">
        <v>1.7967999999999998E-2</v>
      </c>
      <c r="L376" s="17">
        <v>55089.411200000002</v>
      </c>
      <c r="M376" s="4" t="s">
        <v>1438</v>
      </c>
      <c r="N376" s="19">
        <v>8.2926509999999993</v>
      </c>
      <c r="O376" s="19">
        <v>10.5326</v>
      </c>
      <c r="P376" s="19">
        <v>6.94</v>
      </c>
      <c r="Q376" s="19">
        <v>7.9721000000000002</v>
      </c>
      <c r="R376" s="19">
        <v>7.55</v>
      </c>
      <c r="S376" s="19">
        <v>6.9596</v>
      </c>
      <c r="T376" s="19">
        <v>7.55</v>
      </c>
      <c r="U376" s="19">
        <v>6.8864999999999998</v>
      </c>
      <c r="V376" s="19">
        <v>6.97</v>
      </c>
      <c r="W376" s="19">
        <v>6.8384999999999998</v>
      </c>
      <c r="X376" s="19">
        <v>6.97</v>
      </c>
      <c r="Y376" s="19">
        <v>6.8384999999999998</v>
      </c>
      <c r="Z376" s="4"/>
      <c r="AA376" s="4"/>
      <c r="AB376" s="4" t="e">
        <f ca="1">_xll.ciqfunctions.udf.CIQ("^SPX", "IQ_PRICEDATE", "6/19/2015")</f>
        <v>#NAME?</v>
      </c>
      <c r="AC376" s="16">
        <v>2109.9882780010998</v>
      </c>
    </row>
    <row r="377" spans="1:29" x14ac:dyDescent="0.35">
      <c r="A377" s="2" t="s">
        <v>387</v>
      </c>
      <c r="B377" s="4" t="s">
        <v>1439</v>
      </c>
      <c r="C377" s="4" t="s">
        <v>601</v>
      </c>
      <c r="D377" s="4" t="s">
        <v>601</v>
      </c>
      <c r="E377" s="4" t="s">
        <v>602</v>
      </c>
      <c r="F377" s="4" t="s">
        <v>1026</v>
      </c>
      <c r="G377" s="14">
        <v>58.04</v>
      </c>
      <c r="H377" s="10">
        <v>20.322717000000001</v>
      </c>
      <c r="I377" s="10">
        <v>49.958812000000002</v>
      </c>
      <c r="J377" s="10">
        <v>2.7009439999999998</v>
      </c>
      <c r="K377" s="15">
        <v>4.5589000000000005E-2</v>
      </c>
      <c r="L377" s="17">
        <v>16834.113131999999</v>
      </c>
      <c r="M377" s="4" t="s">
        <v>1440</v>
      </c>
      <c r="N377" s="19">
        <v>1.1617569999999999</v>
      </c>
      <c r="O377" s="19">
        <v>1.3156000000000001</v>
      </c>
      <c r="P377" s="19">
        <v>1.0999989999999999</v>
      </c>
      <c r="Q377" s="19">
        <v>1.2678</v>
      </c>
      <c r="R377" s="19">
        <v>1.1299999999999999</v>
      </c>
      <c r="S377" s="19">
        <v>1.2182999999999999</v>
      </c>
      <c r="T377" s="19">
        <v>1.1299999999999999</v>
      </c>
      <c r="U377" s="19">
        <v>1.0723</v>
      </c>
      <c r="V377" s="19">
        <v>1.0291539999999999</v>
      </c>
      <c r="W377" s="19">
        <v>0.96919999999999995</v>
      </c>
      <c r="X377" s="19">
        <v>1.0291539999999999</v>
      </c>
      <c r="Y377" s="19">
        <v>0.96919999999999995</v>
      </c>
      <c r="Z377" s="4"/>
      <c r="AA377" s="4"/>
      <c r="AB377" s="4" t="e">
        <f ca="1">_xll.ciqfunctions.udf.CIQ("^SPX", "IQ_PRICEDATE", "6/22/2015")</f>
        <v>#NAME?</v>
      </c>
      <c r="AC377" s="16">
        <v>2122.8467894445998</v>
      </c>
    </row>
    <row r="378" spans="1:29" x14ac:dyDescent="0.35">
      <c r="A378" s="2" t="s">
        <v>388</v>
      </c>
      <c r="B378" s="4" t="s">
        <v>1441</v>
      </c>
      <c r="C378" s="4" t="s">
        <v>543</v>
      </c>
      <c r="D378" s="4" t="s">
        <v>544</v>
      </c>
      <c r="E378" s="4" t="s">
        <v>555</v>
      </c>
      <c r="F378" s="4" t="s">
        <v>782</v>
      </c>
      <c r="G378" s="14">
        <v>124.84</v>
      </c>
      <c r="H378" s="10">
        <v>34.442061000000002</v>
      </c>
      <c r="I378" s="10">
        <v>81.723285000000004</v>
      </c>
      <c r="J378" s="10" t="s">
        <v>534</v>
      </c>
      <c r="K378" s="15">
        <v>0</v>
      </c>
      <c r="L378" s="17">
        <v>21968.553962000002</v>
      </c>
      <c r="M378" s="4" t="s">
        <v>1442</v>
      </c>
      <c r="N378" s="19">
        <v>1.5275939999999999</v>
      </c>
      <c r="O378" s="19">
        <v>3.7183999999999999</v>
      </c>
      <c r="P378" s="19">
        <v>1.852301</v>
      </c>
      <c r="Q378" s="19">
        <v>3.2326999999999999</v>
      </c>
      <c r="R378" s="19">
        <v>1.3097810000000001</v>
      </c>
      <c r="S378" s="19">
        <v>2.5049999999999999</v>
      </c>
      <c r="T378" s="19">
        <v>1.3097810000000001</v>
      </c>
      <c r="U378" s="19">
        <v>2.0676999999999999</v>
      </c>
      <c r="V378" s="19">
        <v>0.940052</v>
      </c>
      <c r="W378" s="19">
        <v>1.7611000000000001</v>
      </c>
      <c r="X378" s="19">
        <v>0.940052</v>
      </c>
      <c r="Y378" s="19">
        <v>1.7611000000000001</v>
      </c>
      <c r="Z378" s="4"/>
      <c r="AA378" s="4"/>
      <c r="AB378" s="4" t="e">
        <f ca="1">_xll.ciqfunctions.udf.CIQ("^SPX", "IQ_PRICEDATE", "6/23/2015")</f>
        <v>#NAME?</v>
      </c>
      <c r="AC378" s="16">
        <v>2124.1984754584</v>
      </c>
    </row>
    <row r="379" spans="1:29" x14ac:dyDescent="0.35">
      <c r="A379" s="2" t="s">
        <v>389</v>
      </c>
      <c r="B379" s="4" t="s">
        <v>1443</v>
      </c>
      <c r="C379" s="4" t="s">
        <v>601</v>
      </c>
      <c r="D379" s="4" t="s">
        <v>601</v>
      </c>
      <c r="E379" s="4" t="s">
        <v>602</v>
      </c>
      <c r="F379" s="4" t="s">
        <v>1026</v>
      </c>
      <c r="G379" s="14">
        <v>63.02</v>
      </c>
      <c r="H379" s="10">
        <v>19.780158</v>
      </c>
      <c r="I379" s="10">
        <v>43.796644999999998</v>
      </c>
      <c r="J379" s="10">
        <v>1.844967</v>
      </c>
      <c r="K379" s="15">
        <v>3.5226E-2</v>
      </c>
      <c r="L379" s="17">
        <v>10677.838191999999</v>
      </c>
      <c r="M379" s="4" t="s">
        <v>1444</v>
      </c>
      <c r="N379" s="19">
        <v>1.438923</v>
      </c>
      <c r="O379" s="19">
        <v>1.4756</v>
      </c>
      <c r="P379" s="19">
        <v>1</v>
      </c>
      <c r="Q379" s="19">
        <v>1.3922000000000001</v>
      </c>
      <c r="R379" s="19">
        <v>1.42</v>
      </c>
      <c r="S379" s="19">
        <v>1.5489999999999999</v>
      </c>
      <c r="T379" s="19">
        <v>1.42</v>
      </c>
      <c r="U379" s="19">
        <v>1.1554</v>
      </c>
      <c r="V379" s="19">
        <v>1.7957669999999999</v>
      </c>
      <c r="W379" s="19">
        <v>0.99760000000000004</v>
      </c>
      <c r="X379" s="19">
        <v>1.7957669999999999</v>
      </c>
      <c r="Y379" s="19">
        <v>0.99760000000000004</v>
      </c>
      <c r="Z379" s="4"/>
      <c r="AA379" s="4"/>
      <c r="AB379" s="4" t="e">
        <f ca="1">_xll.ciqfunctions.udf.CIQ("^SPX", "IQ_PRICEDATE", "6/24/2015")</f>
        <v>#NAME?</v>
      </c>
      <c r="AC379" s="16">
        <v>2108.5780593228001</v>
      </c>
    </row>
    <row r="380" spans="1:29" x14ac:dyDescent="0.35">
      <c r="A380" s="2" t="s">
        <v>390</v>
      </c>
      <c r="B380" s="4" t="s">
        <v>1445</v>
      </c>
      <c r="C380" s="4" t="s">
        <v>530</v>
      </c>
      <c r="D380" s="4" t="s">
        <v>537</v>
      </c>
      <c r="E380" s="4" t="s">
        <v>538</v>
      </c>
      <c r="F380" s="4" t="s">
        <v>538</v>
      </c>
      <c r="G380" s="14">
        <v>399.06</v>
      </c>
      <c r="H380" s="10">
        <v>17.321949</v>
      </c>
      <c r="I380" s="10">
        <v>28.973458999999998</v>
      </c>
      <c r="J380" s="10">
        <v>5.9860939999999996</v>
      </c>
      <c r="K380" s="15">
        <v>0</v>
      </c>
      <c r="L380" s="17">
        <v>43076.569212000002</v>
      </c>
      <c r="M380" s="4" t="s">
        <v>1446</v>
      </c>
      <c r="N380" s="19">
        <v>13.773294999999999</v>
      </c>
      <c r="O380" s="19">
        <v>20.823799999999999</v>
      </c>
      <c r="P380" s="19">
        <v>10.34</v>
      </c>
      <c r="Q380" s="19">
        <v>16.898900000000001</v>
      </c>
      <c r="R380" s="19">
        <v>7.6990809999999996</v>
      </c>
      <c r="S380" s="19">
        <v>13.571300000000001</v>
      </c>
      <c r="T380" s="19">
        <v>7.6990809999999996</v>
      </c>
      <c r="U380" s="19">
        <v>14.7066</v>
      </c>
      <c r="V380" s="19">
        <v>2.98</v>
      </c>
      <c r="W380" s="19">
        <v>10.794</v>
      </c>
      <c r="X380" s="19">
        <v>2.98</v>
      </c>
      <c r="Y380" s="19">
        <v>10.794</v>
      </c>
      <c r="Z380" s="4"/>
      <c r="AA380" s="4"/>
      <c r="AB380" s="4" t="e">
        <f ca="1">_xll.ciqfunctions.udf.CIQ("^SPX", "IQ_PRICEDATE", "6/25/2015")</f>
        <v>#NAME?</v>
      </c>
      <c r="AC380" s="16">
        <v>2102.3120563614002</v>
      </c>
    </row>
    <row r="381" spans="1:29" x14ac:dyDescent="0.35">
      <c r="A381" s="2" t="s">
        <v>391</v>
      </c>
      <c r="B381" s="4" t="s">
        <v>1447</v>
      </c>
      <c r="C381" s="4" t="s">
        <v>573</v>
      </c>
      <c r="D381" s="4" t="s">
        <v>737</v>
      </c>
      <c r="E381" s="4" t="s">
        <v>737</v>
      </c>
      <c r="F381" s="4" t="s">
        <v>743</v>
      </c>
      <c r="G381" s="14">
        <v>17.329999999999998</v>
      </c>
      <c r="H381" s="10">
        <v>0</v>
      </c>
      <c r="I381" s="10">
        <v>14.460537</v>
      </c>
      <c r="J381" s="10">
        <v>1.9513240000000001</v>
      </c>
      <c r="K381" s="15">
        <v>3.2313000000000001E-2</v>
      </c>
      <c r="L381" s="17">
        <v>19105.808375000001</v>
      </c>
      <c r="M381" s="4" t="s">
        <v>1448</v>
      </c>
      <c r="N381" s="19">
        <v>1.198434</v>
      </c>
      <c r="O381" s="19">
        <v>1.4888999999999999</v>
      </c>
      <c r="P381" s="19">
        <v>1</v>
      </c>
      <c r="Q381" s="19">
        <v>1.1037999999999999</v>
      </c>
      <c r="R381" s="19">
        <v>0.87</v>
      </c>
      <c r="S381" s="19">
        <v>0.94189999999999996</v>
      </c>
      <c r="T381" s="19">
        <v>0.87</v>
      </c>
      <c r="U381" s="19">
        <v>0.82430000000000003</v>
      </c>
      <c r="V381" s="19">
        <v>0.78</v>
      </c>
      <c r="W381" s="19">
        <v>0.85</v>
      </c>
      <c r="X381" s="19">
        <v>0.78</v>
      </c>
      <c r="Y381" s="19">
        <v>0.85</v>
      </c>
      <c r="Z381" s="4"/>
      <c r="AA381" s="4"/>
      <c r="AB381" s="4" t="e">
        <f ca="1">_xll.ciqfunctions.udf.CIQ("^SPX", "IQ_PRICEDATE", "6/26/2015")</f>
        <v>#NAME?</v>
      </c>
      <c r="AC381" s="16">
        <v>2101.4873869614999</v>
      </c>
    </row>
    <row r="382" spans="1:29" x14ac:dyDescent="0.35">
      <c r="A382" s="2" t="s">
        <v>392</v>
      </c>
      <c r="B382" s="4" t="s">
        <v>1449</v>
      </c>
      <c r="C382" s="4" t="s">
        <v>525</v>
      </c>
      <c r="D382" s="4" t="s">
        <v>855</v>
      </c>
      <c r="E382" s="4" t="s">
        <v>856</v>
      </c>
      <c r="F382" s="4" t="s">
        <v>1450</v>
      </c>
      <c r="G382" s="14">
        <v>71.959999999999994</v>
      </c>
      <c r="H382" s="10">
        <v>11.416579</v>
      </c>
      <c r="I382" s="10">
        <v>17.679811999999998</v>
      </c>
      <c r="J382" s="10" t="s">
        <v>534</v>
      </c>
      <c r="K382" s="15">
        <v>2.0844000000000001E-2</v>
      </c>
      <c r="L382" s="17">
        <v>23430.175999999999</v>
      </c>
      <c r="M382" s="4" t="s">
        <v>1451</v>
      </c>
      <c r="N382" s="19">
        <v>4.0701790000000004</v>
      </c>
      <c r="O382" s="19">
        <v>3.1497000000000002</v>
      </c>
      <c r="P382" s="19">
        <v>3.77</v>
      </c>
      <c r="Q382" s="19">
        <v>2.5028999999999999</v>
      </c>
      <c r="R382" s="19">
        <v>1.78</v>
      </c>
      <c r="S382" s="19">
        <v>2.3121999999999998</v>
      </c>
      <c r="T382" s="19">
        <v>1.78</v>
      </c>
      <c r="U382" s="19">
        <v>2.1122999999999998</v>
      </c>
      <c r="V382" s="19">
        <v>1.53</v>
      </c>
      <c r="W382" s="19">
        <v>2.0036</v>
      </c>
      <c r="X382" s="19">
        <v>1.53</v>
      </c>
      <c r="Y382" s="19">
        <v>2.0036</v>
      </c>
      <c r="Z382" s="4"/>
      <c r="AA382" s="4"/>
      <c r="AB382" s="4" t="e">
        <f ca="1">_xll.ciqfunctions.udf.CIQ("^SPX", "IQ_PRICEDATE", "6/29/2015")</f>
        <v>#NAME?</v>
      </c>
      <c r="AC382" s="16">
        <v>2057.6410918902002</v>
      </c>
    </row>
    <row r="383" spans="1:29" x14ac:dyDescent="0.35">
      <c r="A383" s="2" t="s">
        <v>393</v>
      </c>
      <c r="B383" s="4" t="s">
        <v>1452</v>
      </c>
      <c r="C383" s="4" t="s">
        <v>530</v>
      </c>
      <c r="D383" s="4" t="s">
        <v>531</v>
      </c>
      <c r="E383" s="4" t="s">
        <v>532</v>
      </c>
      <c r="F383" s="4" t="s">
        <v>533</v>
      </c>
      <c r="G383" s="14">
        <v>106.66</v>
      </c>
      <c r="H383" s="10">
        <v>22.510649999999998</v>
      </c>
      <c r="I383" s="10">
        <v>48.703195999999998</v>
      </c>
      <c r="J383" s="10">
        <v>19.640149999999998</v>
      </c>
      <c r="K383" s="15">
        <v>1.3875E-2</v>
      </c>
      <c r="L383" s="17">
        <v>15219.508988</v>
      </c>
      <c r="M383" s="4" t="s">
        <v>1453</v>
      </c>
      <c r="N383" s="19">
        <v>2.19</v>
      </c>
      <c r="O383" s="19">
        <v>3.7151100000000001</v>
      </c>
      <c r="P383" s="19">
        <v>1.987322</v>
      </c>
      <c r="Q383" s="19">
        <v>3.1392000000000002</v>
      </c>
      <c r="R383" s="19">
        <v>2.3097089999999998</v>
      </c>
      <c r="S383" s="19">
        <v>2.82</v>
      </c>
      <c r="T383" s="19">
        <v>2.3097089999999998</v>
      </c>
      <c r="U383" s="19">
        <v>2.7869999999999999</v>
      </c>
      <c r="V383" s="19">
        <v>2.4607209999999999</v>
      </c>
      <c r="W383" s="19">
        <v>2.6614</v>
      </c>
      <c r="X383" s="19">
        <v>2.4607209999999999</v>
      </c>
      <c r="Y383" s="19">
        <v>2.6614</v>
      </c>
      <c r="Z383" s="4"/>
      <c r="AA383" s="4"/>
      <c r="AB383" s="4" t="e">
        <f ca="1">_xll.ciqfunctions.udf.CIQ("^SPX", "IQ_PRICEDATE", "6/30/2015")</f>
        <v>#NAME?</v>
      </c>
      <c r="AC383" s="16">
        <v>2063.1118322236998</v>
      </c>
    </row>
    <row r="384" spans="1:29" x14ac:dyDescent="0.35">
      <c r="A384" s="2" t="s">
        <v>394</v>
      </c>
      <c r="B384" s="4" t="s">
        <v>1454</v>
      </c>
      <c r="C384" s="4" t="s">
        <v>525</v>
      </c>
      <c r="D384" s="4" t="s">
        <v>855</v>
      </c>
      <c r="E384" s="4" t="s">
        <v>990</v>
      </c>
      <c r="F384" s="4" t="s">
        <v>1455</v>
      </c>
      <c r="G384" s="14">
        <v>64.55</v>
      </c>
      <c r="H384" s="10">
        <v>12.243043999999999</v>
      </c>
      <c r="I384" s="10">
        <v>23.514814000000001</v>
      </c>
      <c r="J384" s="10">
        <v>8.7478300000000004</v>
      </c>
      <c r="K384" s="15">
        <v>1.7350000000000001E-2</v>
      </c>
      <c r="L384" s="17">
        <v>7768.2052000000003</v>
      </c>
      <c r="M384" s="4" t="s">
        <v>1456</v>
      </c>
      <c r="N384" s="19">
        <v>2.7450779999999999</v>
      </c>
      <c r="O384" s="19">
        <v>3.6137000000000001</v>
      </c>
      <c r="P384" s="19">
        <v>2.33</v>
      </c>
      <c r="Q384" s="19">
        <v>3.0674000000000001</v>
      </c>
      <c r="R384" s="19">
        <v>2.67</v>
      </c>
      <c r="S384" s="19">
        <v>2.7521</v>
      </c>
      <c r="T384" s="19">
        <v>2.67</v>
      </c>
      <c r="U384" s="19">
        <v>2.9569999999999999</v>
      </c>
      <c r="V384" s="19">
        <v>2.2599999999999998</v>
      </c>
      <c r="W384" s="19">
        <v>2.5206</v>
      </c>
      <c r="X384" s="19">
        <v>2.2599999999999998</v>
      </c>
      <c r="Y384" s="19">
        <v>2.5206</v>
      </c>
      <c r="Z384" s="4"/>
      <c r="AA384" s="4"/>
      <c r="AB384" s="4" t="e">
        <f ca="1">_xll.ciqfunctions.udf.CIQ("^SPX", "IQ_PRICEDATE", "7/1/2015")</f>
        <v>#NAME?</v>
      </c>
      <c r="AC384" s="16">
        <v>2077.4243417120001</v>
      </c>
    </row>
    <row r="385" spans="1:29" x14ac:dyDescent="0.35">
      <c r="A385" s="2" t="s">
        <v>395</v>
      </c>
      <c r="B385" s="4" t="s">
        <v>1457</v>
      </c>
      <c r="C385" s="4" t="s">
        <v>525</v>
      </c>
      <c r="D385" s="4" t="s">
        <v>526</v>
      </c>
      <c r="E385" s="4" t="s">
        <v>658</v>
      </c>
      <c r="F385" s="4" t="s">
        <v>659</v>
      </c>
      <c r="G385" s="14">
        <v>171.52</v>
      </c>
      <c r="H385" s="10">
        <v>15.32572</v>
      </c>
      <c r="I385" s="10">
        <v>55.878953000000003</v>
      </c>
      <c r="J385" s="10">
        <v>147.522639</v>
      </c>
      <c r="K385" s="15">
        <v>2.1455000000000002E-2</v>
      </c>
      <c r="L385" s="17">
        <v>21125.235586999999</v>
      </c>
      <c r="M385" s="4" t="s">
        <v>1458</v>
      </c>
      <c r="N385" s="19">
        <v>3.0694919999999999</v>
      </c>
      <c r="O385" s="19">
        <v>8.7108000000000008</v>
      </c>
      <c r="P385" s="19">
        <v>2.8949769999999999</v>
      </c>
      <c r="Q385" s="19">
        <v>7.4127400000000003</v>
      </c>
      <c r="R385" s="19">
        <v>5.8084829999999998</v>
      </c>
      <c r="S385" s="19">
        <v>6.0611100000000002</v>
      </c>
      <c r="T385" s="19">
        <v>5.8084829999999998</v>
      </c>
      <c r="U385" s="19">
        <v>6.0425500000000003</v>
      </c>
      <c r="V385" s="19">
        <v>6.0596209999999999</v>
      </c>
      <c r="W385" s="19">
        <v>6.7373399999999997</v>
      </c>
      <c r="X385" s="19">
        <v>6.0596209999999999</v>
      </c>
      <c r="Y385" s="19">
        <v>6.7373399999999997</v>
      </c>
      <c r="Z385" s="4"/>
      <c r="AA385" s="4"/>
      <c r="AB385" s="4" t="e">
        <f ca="1">_xll.ciqfunctions.udf.CIQ("^SPX", "IQ_PRICEDATE", "7/2/2015")</f>
        <v>#NAME?</v>
      </c>
      <c r="AC385" s="16">
        <v>2076.7757002570002</v>
      </c>
    </row>
    <row r="386" spans="1:29" x14ac:dyDescent="0.35">
      <c r="A386" s="2" t="s">
        <v>396</v>
      </c>
      <c r="B386" s="4" t="s">
        <v>1459</v>
      </c>
      <c r="C386" s="4" t="s">
        <v>525</v>
      </c>
      <c r="D386" s="4" t="s">
        <v>526</v>
      </c>
      <c r="E386" s="4" t="s">
        <v>703</v>
      </c>
      <c r="F386" s="4" t="s">
        <v>703</v>
      </c>
      <c r="G386" s="14">
        <v>133.59</v>
      </c>
      <c r="H386" s="10">
        <v>15.769275</v>
      </c>
      <c r="I386" s="10">
        <v>21.987825000000001</v>
      </c>
      <c r="J386" s="10" t="s">
        <v>534</v>
      </c>
      <c r="K386" s="15">
        <v>9.8799999999999999E-3</v>
      </c>
      <c r="L386" s="17">
        <v>21957.619340000001</v>
      </c>
      <c r="M386" s="4" t="s">
        <v>1460</v>
      </c>
      <c r="N386" s="19">
        <v>6.0756350000000001</v>
      </c>
      <c r="O386" s="19">
        <v>8.1076999999999995</v>
      </c>
      <c r="P386" s="19">
        <v>5.3962649999999996</v>
      </c>
      <c r="Q386" s="19">
        <v>6.9805999999999999</v>
      </c>
      <c r="R386" s="19">
        <v>5.6025780000000003</v>
      </c>
      <c r="S386" s="19">
        <v>5.43682</v>
      </c>
      <c r="T386" s="19">
        <v>5.6025780000000003</v>
      </c>
      <c r="U386" s="19">
        <v>5.37425</v>
      </c>
      <c r="V386" s="19">
        <v>4.7990300000000001</v>
      </c>
      <c r="W386" s="19">
        <v>5.03308</v>
      </c>
      <c r="X386" s="19">
        <v>4.7990300000000001</v>
      </c>
      <c r="Y386" s="19">
        <v>5.03308</v>
      </c>
      <c r="Z386" s="4"/>
      <c r="AA386" s="4"/>
      <c r="AB386" s="4" t="e">
        <f ca="1">_xll.ciqfunctions.udf.CIQ("^SPX", "IQ_PRICEDATE", "7/6/2015")</f>
        <v>#NAME?</v>
      </c>
      <c r="AC386" s="16">
        <v>2068.7566460202002</v>
      </c>
    </row>
    <row r="387" spans="1:29" x14ac:dyDescent="0.35">
      <c r="A387" s="2" t="s">
        <v>397</v>
      </c>
      <c r="B387" s="4" t="s">
        <v>1461</v>
      </c>
      <c r="C387" s="4" t="s">
        <v>525</v>
      </c>
      <c r="D387" s="4" t="s">
        <v>855</v>
      </c>
      <c r="E387" s="4" t="s">
        <v>856</v>
      </c>
      <c r="F387" s="4" t="s">
        <v>1450</v>
      </c>
      <c r="G387" s="14">
        <v>57.37</v>
      </c>
      <c r="H387" s="10">
        <v>34.270729000000003</v>
      </c>
      <c r="I387" s="10">
        <v>63.040145000000003</v>
      </c>
      <c r="J387" s="10">
        <v>138.66866400000001</v>
      </c>
      <c r="K387" s="15">
        <v>1.1504E-2</v>
      </c>
      <c r="L387" s="17">
        <v>12516.679269</v>
      </c>
      <c r="M387" s="4" t="s">
        <v>1462</v>
      </c>
      <c r="N387" s="19">
        <v>0.91005499999999995</v>
      </c>
      <c r="O387" s="19">
        <v>1.1359999999999999</v>
      </c>
      <c r="P387" s="19">
        <v>0.82</v>
      </c>
      <c r="Q387" s="19">
        <v>0.92649999999999999</v>
      </c>
      <c r="R387" s="19">
        <v>0.76688900000000004</v>
      </c>
      <c r="S387" s="19">
        <v>0.82320000000000004</v>
      </c>
      <c r="T387" s="19">
        <v>0.76688900000000004</v>
      </c>
      <c r="U387" s="19">
        <v>0.74860000000000004</v>
      </c>
      <c r="V387" s="19">
        <v>0.62947900000000001</v>
      </c>
      <c r="W387" s="19">
        <v>0.69330000000000003</v>
      </c>
      <c r="X387" s="19">
        <v>0.62947900000000001</v>
      </c>
      <c r="Y387" s="19">
        <v>0.69330000000000003</v>
      </c>
      <c r="Z387" s="4"/>
      <c r="AA387" s="4"/>
      <c r="AB387" s="4" t="e">
        <f ca="1">_xll.ciqfunctions.udf.CIQ("^SPX", "IQ_PRICEDATE", "7/7/2015")</f>
        <v>#NAME?</v>
      </c>
      <c r="AC387" s="16">
        <v>2081.340933767</v>
      </c>
    </row>
    <row r="388" spans="1:29" x14ac:dyDescent="0.35">
      <c r="A388" s="2" t="s">
        <v>398</v>
      </c>
      <c r="B388" s="4" t="s">
        <v>1463</v>
      </c>
      <c r="C388" s="4" t="s">
        <v>525</v>
      </c>
      <c r="D388" s="4" t="s">
        <v>526</v>
      </c>
      <c r="E388" s="4" t="s">
        <v>1077</v>
      </c>
      <c r="F388" s="4" t="s">
        <v>1077</v>
      </c>
      <c r="G388" s="14">
        <v>284.32</v>
      </c>
      <c r="H388" s="10">
        <v>20.785246000000001</v>
      </c>
      <c r="I388" s="10">
        <v>27.531662000000001</v>
      </c>
      <c r="J388" s="10" t="s">
        <v>534</v>
      </c>
      <c r="K388" s="15">
        <v>5.803E-3</v>
      </c>
      <c r="L388" s="17">
        <v>29383.158157000002</v>
      </c>
      <c r="M388" s="4" t="s">
        <v>1464</v>
      </c>
      <c r="N388" s="19">
        <v>10.327019</v>
      </c>
      <c r="O388" s="19">
        <v>11.9902</v>
      </c>
      <c r="P388" s="19">
        <v>9.39</v>
      </c>
      <c r="Q388" s="19">
        <v>9.9524000000000008</v>
      </c>
      <c r="R388" s="19">
        <v>6.43</v>
      </c>
      <c r="S388" s="19">
        <v>7.8586999999999998</v>
      </c>
      <c r="T388" s="19">
        <v>6.43</v>
      </c>
      <c r="U388" s="19">
        <v>7.2096</v>
      </c>
      <c r="V388" s="19">
        <v>6.4</v>
      </c>
      <c r="W388" s="19">
        <v>6.7225000000000001</v>
      </c>
      <c r="X388" s="19">
        <v>6.4</v>
      </c>
      <c r="Y388" s="19">
        <v>6.7225000000000001</v>
      </c>
      <c r="Z388" s="4"/>
      <c r="AA388" s="4"/>
      <c r="AB388" s="4" t="e">
        <f ca="1">_xll.ciqfunctions.udf.CIQ("^SPX", "IQ_PRICEDATE", "7/8/2015")</f>
        <v>#NAME?</v>
      </c>
      <c r="AC388" s="16">
        <v>2046.6840334527001</v>
      </c>
    </row>
    <row r="389" spans="1:29" x14ac:dyDescent="0.35">
      <c r="A389" s="2" t="s">
        <v>399</v>
      </c>
      <c r="B389" s="4" t="s">
        <v>1465</v>
      </c>
      <c r="C389" s="4" t="s">
        <v>559</v>
      </c>
      <c r="D389" s="4" t="s">
        <v>560</v>
      </c>
      <c r="E389" s="4" t="s">
        <v>561</v>
      </c>
      <c r="F389" s="4" t="s">
        <v>1051</v>
      </c>
      <c r="G389" s="14">
        <v>96.96</v>
      </c>
      <c r="H389" s="10">
        <v>14.566182</v>
      </c>
      <c r="I389" s="10">
        <v>23.878373</v>
      </c>
      <c r="J389" s="10">
        <v>11.382944999999999</v>
      </c>
      <c r="K389" s="15">
        <v>9.2820000000000003E-3</v>
      </c>
      <c r="L389" s="17">
        <v>36201.537012000001</v>
      </c>
      <c r="M389" s="4" t="s">
        <v>1466</v>
      </c>
      <c r="N389" s="19">
        <v>4.0605779999999996</v>
      </c>
      <c r="O389" s="19">
        <v>4.3414000000000001</v>
      </c>
      <c r="P389" s="19">
        <v>3.1314730000000002</v>
      </c>
      <c r="Q389" s="19">
        <v>3.5348999999999999</v>
      </c>
      <c r="R389" s="19">
        <v>2.7201879999999998</v>
      </c>
      <c r="S389" s="19">
        <v>3.0390999999999999</v>
      </c>
      <c r="T389" s="19">
        <v>2.7201879999999998</v>
      </c>
      <c r="U389" s="19">
        <v>2.6808000000000001</v>
      </c>
      <c r="V389" s="19">
        <v>2.1200749999999999</v>
      </c>
      <c r="W389" s="19">
        <v>2.3216999999999999</v>
      </c>
      <c r="X389" s="19">
        <v>2.1200749999999999</v>
      </c>
      <c r="Y389" s="19">
        <v>2.3216999999999999</v>
      </c>
      <c r="Z389" s="4"/>
      <c r="AA389" s="4"/>
      <c r="AB389" s="4" t="e">
        <f ca="1">_xll.ciqfunctions.udf.CIQ("^SPX", "IQ_PRICEDATE", "7/9/2015")</f>
        <v>#NAME?</v>
      </c>
      <c r="AC389" s="16">
        <v>2051.3113582238002</v>
      </c>
    </row>
    <row r="390" spans="1:29" x14ac:dyDescent="0.35">
      <c r="A390" s="2" t="s">
        <v>400</v>
      </c>
      <c r="B390" s="4" t="s">
        <v>1467</v>
      </c>
      <c r="C390" s="4" t="s">
        <v>559</v>
      </c>
      <c r="D390" s="4" t="s">
        <v>798</v>
      </c>
      <c r="E390" s="4" t="s">
        <v>799</v>
      </c>
      <c r="F390" s="4" t="s">
        <v>800</v>
      </c>
      <c r="G390" s="14">
        <v>120.59</v>
      </c>
      <c r="H390" s="10">
        <v>11.372239</v>
      </c>
      <c r="I390" s="10">
        <v>14.996243</v>
      </c>
      <c r="J390" s="10">
        <v>2.4207719999999999</v>
      </c>
      <c r="K390" s="15">
        <v>2.3219E-2</v>
      </c>
      <c r="L390" s="17">
        <v>25199.695435000001</v>
      </c>
      <c r="M390" s="4" t="s">
        <v>1468</v>
      </c>
      <c r="N390" s="19">
        <v>8.041347</v>
      </c>
      <c r="O390" s="19">
        <v>9.2256</v>
      </c>
      <c r="P390" s="19">
        <v>7.53</v>
      </c>
      <c r="Q390" s="19">
        <v>8.1911000000000005</v>
      </c>
      <c r="R390" s="19">
        <v>5.93</v>
      </c>
      <c r="S390" s="19">
        <v>6.5033000000000003</v>
      </c>
      <c r="T390" s="19">
        <v>5.93</v>
      </c>
      <c r="U390" s="19">
        <v>5.9537000000000004</v>
      </c>
      <c r="V390" s="19">
        <v>3.43</v>
      </c>
      <c r="W390" s="19">
        <v>4.5311000000000003</v>
      </c>
      <c r="X390" s="19">
        <v>3.43</v>
      </c>
      <c r="Y390" s="19">
        <v>4.5311000000000003</v>
      </c>
      <c r="Z390" s="4"/>
      <c r="AA390" s="4"/>
      <c r="AB390" s="4" t="e">
        <f ca="1">_xll.ciqfunctions.udf.CIQ("^SPX", "IQ_PRICEDATE", "7/10/2015")</f>
        <v>#NAME?</v>
      </c>
      <c r="AC390" s="16">
        <v>2076.6183523557002</v>
      </c>
    </row>
    <row r="391" spans="1:29" x14ac:dyDescent="0.35">
      <c r="A391" s="2" t="s">
        <v>401</v>
      </c>
      <c r="B391" s="4" t="s">
        <v>1469</v>
      </c>
      <c r="C391" s="4" t="s">
        <v>573</v>
      </c>
      <c r="D391" s="4" t="s">
        <v>574</v>
      </c>
      <c r="E391" s="4" t="s">
        <v>575</v>
      </c>
      <c r="F391" s="4" t="s">
        <v>807</v>
      </c>
      <c r="G391" s="14">
        <v>190.63</v>
      </c>
      <c r="H391" s="10">
        <v>16.667462</v>
      </c>
      <c r="I391" s="10">
        <v>29.930627999999999</v>
      </c>
      <c r="J391" s="10" t="s">
        <v>534</v>
      </c>
      <c r="K391" s="15">
        <v>1.0490999999999999E-2</v>
      </c>
      <c r="L391" s="17">
        <v>47943.445</v>
      </c>
      <c r="M391" s="4" t="s">
        <v>1470</v>
      </c>
      <c r="N391" s="19">
        <v>6.3690610000000003</v>
      </c>
      <c r="O391" s="19">
        <v>8.9459</v>
      </c>
      <c r="P391" s="19">
        <v>5.78</v>
      </c>
      <c r="Q391" s="19">
        <v>7.0751999999999997</v>
      </c>
      <c r="R391" s="19">
        <v>7.94</v>
      </c>
      <c r="S391" s="19">
        <v>5.6291000000000002</v>
      </c>
      <c r="T391" s="19">
        <v>7.94</v>
      </c>
      <c r="U391" s="19">
        <v>4.7160000000000002</v>
      </c>
      <c r="V391" s="19">
        <v>-1.08</v>
      </c>
      <c r="W391" s="19">
        <v>4.1563999999999997</v>
      </c>
      <c r="X391" s="19">
        <v>-1.08</v>
      </c>
      <c r="Y391" s="19">
        <v>4.1563999999999997</v>
      </c>
      <c r="Z391" s="4"/>
      <c r="AA391" s="4"/>
      <c r="AB391" s="4" t="e">
        <f ca="1">_xll.ciqfunctions.udf.CIQ("^SPX", "IQ_PRICEDATE", "7/13/2015")</f>
        <v>#NAME?</v>
      </c>
      <c r="AC391" s="16">
        <v>2099.5991931722001</v>
      </c>
    </row>
    <row r="392" spans="1:29" x14ac:dyDescent="0.35">
      <c r="A392" s="2" t="s">
        <v>402</v>
      </c>
      <c r="B392" s="4" t="s">
        <v>1471</v>
      </c>
      <c r="C392" s="4" t="s">
        <v>543</v>
      </c>
      <c r="D392" s="4" t="s">
        <v>544</v>
      </c>
      <c r="E392" s="4" t="s">
        <v>555</v>
      </c>
      <c r="F392" s="4" t="s">
        <v>556</v>
      </c>
      <c r="G392" s="14">
        <v>147.01</v>
      </c>
      <c r="H392" s="10">
        <v>101.765415</v>
      </c>
      <c r="I392" s="10">
        <v>153.290783</v>
      </c>
      <c r="J392" s="10" t="s">
        <v>534</v>
      </c>
      <c r="K392" s="15">
        <v>0</v>
      </c>
      <c r="L392" s="17">
        <v>111242.467</v>
      </c>
      <c r="M392" s="4" t="s">
        <v>1472</v>
      </c>
      <c r="N392" s="19">
        <v>0.95902699999999996</v>
      </c>
      <c r="O392" s="19">
        <v>2.3761000000000001</v>
      </c>
      <c r="P392" s="19">
        <v>6.5492999999999996E-2</v>
      </c>
      <c r="Q392" s="19">
        <v>1.5885</v>
      </c>
      <c r="R392" s="19">
        <v>0.29475400000000002</v>
      </c>
      <c r="S392" s="19">
        <v>1.1863999999999999</v>
      </c>
      <c r="T392" s="19">
        <v>0.29475400000000002</v>
      </c>
      <c r="U392" s="19">
        <v>0.90739999999999998</v>
      </c>
      <c r="V392" s="19">
        <v>-0.51642699999999997</v>
      </c>
      <c r="W392" s="19">
        <v>0.63560000000000005</v>
      </c>
      <c r="X392" s="19">
        <v>-0.51642699999999997</v>
      </c>
      <c r="Y392" s="19">
        <v>0.63560000000000005</v>
      </c>
      <c r="Z392" s="4"/>
      <c r="AA392" s="4"/>
      <c r="AB392" s="4" t="e">
        <f ca="1">_xll.ciqfunctions.udf.CIQ("^SPX", "IQ_PRICEDATE", "7/14/2015")</f>
        <v>#NAME?</v>
      </c>
      <c r="AC392" s="16">
        <v>2108.9549682367001</v>
      </c>
    </row>
    <row r="393" spans="1:29" x14ac:dyDescent="0.35">
      <c r="A393" s="2" t="s">
        <v>403</v>
      </c>
      <c r="B393" s="4" t="s">
        <v>1473</v>
      </c>
      <c r="C393" s="4" t="s">
        <v>601</v>
      </c>
      <c r="D393" s="4" t="s">
        <v>601</v>
      </c>
      <c r="E393" s="4" t="s">
        <v>602</v>
      </c>
      <c r="F393" s="4" t="s">
        <v>647</v>
      </c>
      <c r="G393" s="14">
        <v>152.34</v>
      </c>
      <c r="H393" s="10">
        <v>22.840526000000001</v>
      </c>
      <c r="I393" s="10" t="s">
        <v>534</v>
      </c>
      <c r="J393" s="10" t="s">
        <v>534</v>
      </c>
      <c r="K393" s="15">
        <v>0</v>
      </c>
      <c r="L393" s="17">
        <v>17495.386602999999</v>
      </c>
      <c r="M393" s="4" t="s">
        <v>1474</v>
      </c>
      <c r="N393" s="19">
        <v>0.26447799999999999</v>
      </c>
      <c r="O393" s="19">
        <v>1.1674</v>
      </c>
      <c r="P393" s="19">
        <v>0.86</v>
      </c>
      <c r="Q393" s="19">
        <v>1.0752999999999999</v>
      </c>
      <c r="R393" s="19">
        <v>0.61</v>
      </c>
      <c r="S393" s="19">
        <v>1.004</v>
      </c>
      <c r="T393" s="19">
        <v>0.61</v>
      </c>
      <c r="U393" s="19">
        <v>0.47020000000000001</v>
      </c>
      <c r="V393" s="19">
        <v>-0.19</v>
      </c>
      <c r="W393" s="19">
        <v>-3.3500000000000002E-2</v>
      </c>
      <c r="X393" s="19">
        <v>-0.19</v>
      </c>
      <c r="Y393" s="19">
        <v>-3.3500000000000002E-2</v>
      </c>
      <c r="Z393" s="4"/>
      <c r="AA393" s="4"/>
      <c r="AB393" s="4" t="e">
        <f ca="1">_xll.ciqfunctions.udf.CIQ("^SPX", "IQ_PRICEDATE", "7/15/2015")</f>
        <v>#NAME?</v>
      </c>
      <c r="AC393" s="16">
        <v>2107.4030475322002</v>
      </c>
    </row>
    <row r="394" spans="1:29" x14ac:dyDescent="0.35">
      <c r="A394" s="2" t="s">
        <v>404</v>
      </c>
      <c r="B394" s="4" t="s">
        <v>1475</v>
      </c>
      <c r="C394" s="4" t="s">
        <v>619</v>
      </c>
      <c r="D394" s="4" t="s">
        <v>619</v>
      </c>
      <c r="E394" s="4" t="s">
        <v>634</v>
      </c>
      <c r="F394" s="4" t="s">
        <v>634</v>
      </c>
      <c r="G394" s="14">
        <v>40.08</v>
      </c>
      <c r="H394" s="10">
        <v>9.1816010000000006</v>
      </c>
      <c r="I394" s="10" t="s">
        <v>534</v>
      </c>
      <c r="J394" s="10">
        <v>1.114965</v>
      </c>
      <c r="K394" s="15">
        <v>1.2345E-2</v>
      </c>
      <c r="L394" s="17">
        <v>5716.4266729999999</v>
      </c>
      <c r="M394" s="4" t="s">
        <v>1476</v>
      </c>
      <c r="N394" s="19">
        <v>-1.636363</v>
      </c>
      <c r="O394" s="19">
        <v>2.9784999999999999</v>
      </c>
      <c r="P394" s="19">
        <v>-0.83216699999999999</v>
      </c>
      <c r="Q394" s="19">
        <v>3.4148000000000001</v>
      </c>
      <c r="R394" s="19">
        <v>4.16</v>
      </c>
      <c r="S394" s="19">
        <v>4.1891999999999996</v>
      </c>
      <c r="T394" s="19">
        <v>4.16</v>
      </c>
      <c r="U394" s="19">
        <v>3.9243999999999999</v>
      </c>
      <c r="V394" s="19">
        <v>3.79</v>
      </c>
      <c r="W394" s="19">
        <v>3.722</v>
      </c>
      <c r="X394" s="19">
        <v>3.79</v>
      </c>
      <c r="Y394" s="19">
        <v>3.722</v>
      </c>
      <c r="Z394" s="4"/>
      <c r="AA394" s="4"/>
      <c r="AB394" s="4" t="e">
        <f ca="1">_xll.ciqfunctions.udf.CIQ("^SPX", "IQ_PRICEDATE", "7/16/2015")</f>
        <v>#NAME?</v>
      </c>
      <c r="AC394" s="16">
        <v>2124.2864594386001</v>
      </c>
    </row>
    <row r="395" spans="1:29" x14ac:dyDescent="0.35">
      <c r="A395" s="2" t="s">
        <v>405</v>
      </c>
      <c r="B395" s="4" t="s">
        <v>1477</v>
      </c>
      <c r="C395" s="4" t="s">
        <v>669</v>
      </c>
      <c r="D395" s="4" t="s">
        <v>669</v>
      </c>
      <c r="E395" s="4" t="s">
        <v>730</v>
      </c>
      <c r="F395" s="4" t="s">
        <v>731</v>
      </c>
      <c r="G395" s="14">
        <v>59.24</v>
      </c>
      <c r="H395" s="10">
        <v>13.833671000000001</v>
      </c>
      <c r="I395" s="10" t="s">
        <v>534</v>
      </c>
      <c r="J395" s="10">
        <v>51.732027000000002</v>
      </c>
      <c r="K395" s="15">
        <v>3.3759999999999998E-2</v>
      </c>
      <c r="L395" s="17">
        <v>81995.204287999994</v>
      </c>
      <c r="M395" s="4" t="s">
        <v>1478</v>
      </c>
      <c r="N395" s="19">
        <v>-0.544929</v>
      </c>
      <c r="O395" s="19">
        <v>1.9111</v>
      </c>
      <c r="P395" s="19">
        <v>-1.084293</v>
      </c>
      <c r="Q395" s="19">
        <v>1.9665999999999999</v>
      </c>
      <c r="R395" s="19">
        <v>-1.2431829999999999</v>
      </c>
      <c r="S395" s="19">
        <v>1.5141</v>
      </c>
      <c r="T395" s="19">
        <v>-1.2431829999999999</v>
      </c>
      <c r="U395" s="19">
        <v>2.4939</v>
      </c>
      <c r="V395" s="19">
        <v>4.3099999999999996</v>
      </c>
      <c r="W395" s="19">
        <v>5.3281000000000001</v>
      </c>
      <c r="X395" s="19">
        <v>4.3099999999999996</v>
      </c>
      <c r="Y395" s="19">
        <v>5.3281000000000001</v>
      </c>
      <c r="Z395" s="4"/>
      <c r="AA395" s="4"/>
      <c r="AB395" s="4" t="e">
        <f ca="1">_xll.ciqfunctions.udf.CIQ("^SPX", "IQ_PRICEDATE", "7/17/2015")</f>
        <v>#NAME?</v>
      </c>
      <c r="AC395" s="16">
        <v>2126.6439439241999</v>
      </c>
    </row>
    <row r="396" spans="1:29" x14ac:dyDescent="0.35">
      <c r="A396" s="2" t="s">
        <v>406</v>
      </c>
      <c r="B396" s="4" t="s">
        <v>1479</v>
      </c>
      <c r="C396" s="4" t="s">
        <v>543</v>
      </c>
      <c r="D396" s="4" t="s">
        <v>664</v>
      </c>
      <c r="E396" s="4" t="s">
        <v>688</v>
      </c>
      <c r="F396" s="4" t="s">
        <v>688</v>
      </c>
      <c r="G396" s="14">
        <v>44.12</v>
      </c>
      <c r="H396" s="10">
        <v>6.7305109999999999</v>
      </c>
      <c r="I396" s="10">
        <v>10.893827</v>
      </c>
      <c r="J396" s="10">
        <v>52.791538000000003</v>
      </c>
      <c r="K396" s="15">
        <v>5.7116E-2</v>
      </c>
      <c r="L396" s="17">
        <v>12702.629790000001</v>
      </c>
      <c r="M396" s="4" t="s">
        <v>1480</v>
      </c>
      <c r="N396" s="19">
        <v>4.05</v>
      </c>
      <c r="O396" s="19">
        <v>6.1776299999999997</v>
      </c>
      <c r="P396" s="19">
        <v>2.1981009999999999</v>
      </c>
      <c r="Q396" s="19">
        <v>4.0801999999999996</v>
      </c>
      <c r="R396" s="19">
        <v>1.7144900000000001</v>
      </c>
      <c r="S396" s="19">
        <v>3.7997000000000001</v>
      </c>
      <c r="T396" s="19">
        <v>1.7144900000000001</v>
      </c>
      <c r="U396" s="19">
        <v>3.496</v>
      </c>
      <c r="V396" s="19">
        <v>4.487457</v>
      </c>
      <c r="W396" s="19">
        <v>5.2712000000000003</v>
      </c>
      <c r="X396" s="19">
        <v>4.487457</v>
      </c>
      <c r="Y396" s="19">
        <v>5.2712000000000003</v>
      </c>
      <c r="Z396" s="4"/>
      <c r="AA396" s="4"/>
      <c r="AB396" s="4" t="e">
        <f ca="1">_xll.ciqfunctions.udf.CIQ("^SPX", "IQ_PRICEDATE", "7/20/2015")</f>
        <v>#NAME?</v>
      </c>
      <c r="AC396" s="16">
        <v>2128.2835669705</v>
      </c>
    </row>
    <row r="397" spans="1:29" x14ac:dyDescent="0.35">
      <c r="A397" s="2" t="s">
        <v>407</v>
      </c>
      <c r="B397" s="4" t="s">
        <v>1481</v>
      </c>
      <c r="C397" s="4" t="s">
        <v>586</v>
      </c>
      <c r="D397" s="4" t="s">
        <v>586</v>
      </c>
      <c r="E397" s="4" t="s">
        <v>726</v>
      </c>
      <c r="F397" s="4" t="s">
        <v>727</v>
      </c>
      <c r="G397" s="14">
        <v>35.28</v>
      </c>
      <c r="H397" s="10">
        <v>11.106391</v>
      </c>
      <c r="I397" s="10" t="s">
        <v>534</v>
      </c>
      <c r="J397" s="10" t="s">
        <v>534</v>
      </c>
      <c r="K397" s="15">
        <v>1.814E-2</v>
      </c>
      <c r="L397" s="17">
        <v>5602.9004139999997</v>
      </c>
      <c r="M397" s="4" t="s">
        <v>1482</v>
      </c>
      <c r="N397" s="19">
        <v>-0.245777</v>
      </c>
      <c r="O397" s="19">
        <v>2.6915</v>
      </c>
      <c r="P397" s="19">
        <v>0.30852800000000002</v>
      </c>
      <c r="Q397" s="19">
        <v>2.3214000000000001</v>
      </c>
      <c r="R397" s="19">
        <v>1.4757199999999999</v>
      </c>
      <c r="S397" s="19">
        <v>2.8933</v>
      </c>
      <c r="T397" s="19">
        <v>1.4757199999999999</v>
      </c>
      <c r="U397" s="19">
        <v>2.4399000000000002</v>
      </c>
      <c r="V397" s="19">
        <v>1.1996249999999999</v>
      </c>
      <c r="W397" s="19">
        <v>1.9958</v>
      </c>
      <c r="X397" s="19">
        <v>1.1996249999999999</v>
      </c>
      <c r="Y397" s="19">
        <v>1.9958</v>
      </c>
      <c r="Z397" s="4"/>
      <c r="AA397" s="4"/>
      <c r="AB397" s="4" t="e">
        <f ca="1">_xll.ciqfunctions.udf.CIQ("^SPX", "IQ_PRICEDATE", "7/21/2015")</f>
        <v>#NAME?</v>
      </c>
      <c r="AC397" s="16">
        <v>2119.2099513663002</v>
      </c>
    </row>
    <row r="398" spans="1:29" x14ac:dyDescent="0.35">
      <c r="A398" s="2" t="s">
        <v>408</v>
      </c>
      <c r="B398" s="4" t="s">
        <v>1483</v>
      </c>
      <c r="C398" s="4" t="s">
        <v>619</v>
      </c>
      <c r="D398" s="4" t="s">
        <v>619</v>
      </c>
      <c r="E398" s="4" t="s">
        <v>634</v>
      </c>
      <c r="F398" s="4" t="s">
        <v>634</v>
      </c>
      <c r="G398" s="14">
        <v>115.3</v>
      </c>
      <c r="H398" s="10">
        <v>16.099806000000001</v>
      </c>
      <c r="I398" s="10" t="s">
        <v>534</v>
      </c>
      <c r="J398" s="10">
        <v>2.7174070000000001</v>
      </c>
      <c r="K398" s="15">
        <v>3.1049000000000004E-2</v>
      </c>
      <c r="L398" s="17">
        <v>31529.758938999999</v>
      </c>
      <c r="M398" s="4" t="s">
        <v>1484</v>
      </c>
      <c r="N398" s="19">
        <v>-2.5682659999999999</v>
      </c>
      <c r="O398" s="19">
        <v>5.6677</v>
      </c>
      <c r="P398" s="19">
        <v>1.01</v>
      </c>
      <c r="Q398" s="19">
        <v>5.4333</v>
      </c>
      <c r="R398" s="19">
        <v>5.46</v>
      </c>
      <c r="S398" s="19">
        <v>5.0349000000000004</v>
      </c>
      <c r="T398" s="19">
        <v>5.46</v>
      </c>
      <c r="U398" s="19">
        <v>5.2542999999999997</v>
      </c>
      <c r="V398" s="19">
        <v>4.63</v>
      </c>
      <c r="W398" s="19">
        <v>4.7480000000000002</v>
      </c>
      <c r="X398" s="19">
        <v>4.63</v>
      </c>
      <c r="Y398" s="19">
        <v>4.7480000000000002</v>
      </c>
      <c r="Z398" s="4"/>
      <c r="AA398" s="4"/>
      <c r="AB398" s="4" t="e">
        <f ca="1">_xll.ciqfunctions.udf.CIQ("^SPX", "IQ_PRICEDATE", "7/22/2015")</f>
        <v>#NAME?</v>
      </c>
      <c r="AC398" s="16">
        <v>2114.1512378338002</v>
      </c>
    </row>
    <row r="399" spans="1:29" x14ac:dyDescent="0.35">
      <c r="A399" s="2" t="s">
        <v>409</v>
      </c>
      <c r="B399" s="4" t="s">
        <v>1485</v>
      </c>
      <c r="C399" s="4" t="s">
        <v>601</v>
      </c>
      <c r="D399" s="4" t="s">
        <v>601</v>
      </c>
      <c r="E399" s="4" t="s">
        <v>602</v>
      </c>
      <c r="F399" s="4" t="s">
        <v>1026</v>
      </c>
      <c r="G399" s="14">
        <v>172.75</v>
      </c>
      <c r="H399" s="10">
        <v>16.715260000000001</v>
      </c>
      <c r="I399" s="10">
        <v>23.805133000000001</v>
      </c>
      <c r="J399" s="10">
        <v>16.050348</v>
      </c>
      <c r="K399" s="15">
        <v>4.6308999999999996E-2</v>
      </c>
      <c r="L399" s="17">
        <v>53417.354738000002</v>
      </c>
      <c r="M399" s="4" t="s">
        <v>1486</v>
      </c>
      <c r="N399" s="19">
        <v>7.2568380000000001</v>
      </c>
      <c r="O399" s="19">
        <v>7.2000999999999999</v>
      </c>
      <c r="P399" s="19">
        <v>6.24</v>
      </c>
      <c r="Q399" s="19">
        <v>6.5951000000000004</v>
      </c>
      <c r="R399" s="19">
        <v>5.87</v>
      </c>
      <c r="S399" s="19">
        <v>6.6962999999999999</v>
      </c>
      <c r="T399" s="19">
        <v>5.87</v>
      </c>
      <c r="U399" s="19">
        <v>5.9370000000000003</v>
      </c>
      <c r="V399" s="19">
        <v>4.4279130000000002</v>
      </c>
      <c r="W399" s="19">
        <v>5.2740999999999998</v>
      </c>
      <c r="X399" s="19">
        <v>4.4279130000000002</v>
      </c>
      <c r="Y399" s="19">
        <v>5.2740999999999998</v>
      </c>
      <c r="Z399" s="4"/>
      <c r="AA399" s="4"/>
      <c r="AB399" s="4" t="e">
        <f ca="1">_xll.ciqfunctions.udf.CIQ("^SPX", "IQ_PRICEDATE", "7/23/2015")</f>
        <v>#NAME?</v>
      </c>
      <c r="AC399" s="16">
        <v>2102.1479844647001</v>
      </c>
    </row>
    <row r="400" spans="1:29" x14ac:dyDescent="0.35">
      <c r="A400" s="2" t="s">
        <v>410</v>
      </c>
      <c r="B400" s="4" t="s">
        <v>1487</v>
      </c>
      <c r="C400" s="4" t="s">
        <v>543</v>
      </c>
      <c r="D400" s="4" t="s">
        <v>565</v>
      </c>
      <c r="E400" s="4" t="s">
        <v>565</v>
      </c>
      <c r="F400" s="4" t="s">
        <v>566</v>
      </c>
      <c r="G400" s="14">
        <v>88.38</v>
      </c>
      <c r="H400" s="10">
        <v>8.9610749999999992</v>
      </c>
      <c r="I400" s="10">
        <v>17.842344000000001</v>
      </c>
      <c r="J400" s="10">
        <v>5.057925</v>
      </c>
      <c r="K400" s="15">
        <v>1.4482E-2</v>
      </c>
      <c r="L400" s="17">
        <v>15818.388946999999</v>
      </c>
      <c r="M400" s="4" t="s">
        <v>1488</v>
      </c>
      <c r="N400" s="19">
        <v>4.9533849999999999</v>
      </c>
      <c r="O400" s="19">
        <v>7.6551</v>
      </c>
      <c r="P400" s="19">
        <v>4.413761</v>
      </c>
      <c r="Q400" s="19">
        <v>7.2417400000000001</v>
      </c>
      <c r="R400" s="19">
        <v>4.7264020000000002</v>
      </c>
      <c r="S400" s="19">
        <v>6.15604</v>
      </c>
      <c r="T400" s="19">
        <v>4.7264020000000002</v>
      </c>
      <c r="U400" s="19">
        <v>6.26959</v>
      </c>
      <c r="V400" s="19">
        <v>2.38</v>
      </c>
      <c r="W400" s="19">
        <v>4.4965000000000002</v>
      </c>
      <c r="X400" s="19">
        <v>2.38</v>
      </c>
      <c r="Y400" s="19">
        <v>4.4965000000000002</v>
      </c>
      <c r="Z400" s="4"/>
      <c r="AA400" s="4"/>
      <c r="AB400" s="4" t="e">
        <f ca="1">_xll.ciqfunctions.udf.CIQ("^SPX", "IQ_PRICEDATE", "7/24/2015")</f>
        <v>#NAME?</v>
      </c>
      <c r="AC400" s="16">
        <v>2079.6492126245998</v>
      </c>
    </row>
    <row r="401" spans="1:29" x14ac:dyDescent="0.35">
      <c r="A401" s="2" t="s">
        <v>411</v>
      </c>
      <c r="B401" s="4" t="s">
        <v>1489</v>
      </c>
      <c r="C401" s="4" t="s">
        <v>601</v>
      </c>
      <c r="D401" s="4" t="s">
        <v>601</v>
      </c>
      <c r="E401" s="4" t="s">
        <v>602</v>
      </c>
      <c r="F401" s="4" t="s">
        <v>603</v>
      </c>
      <c r="G401" s="14">
        <v>92.17</v>
      </c>
      <c r="H401" s="10">
        <v>20.455514999999998</v>
      </c>
      <c r="I401" s="10">
        <v>26.907028</v>
      </c>
      <c r="J401" s="10">
        <v>1.3171660000000001</v>
      </c>
      <c r="K401" s="15">
        <v>3.526E-2</v>
      </c>
      <c r="L401" s="17">
        <v>7889.1989800000001</v>
      </c>
      <c r="M401" s="4" t="s">
        <v>1490</v>
      </c>
      <c r="N401" s="19">
        <v>3.4254989999999998</v>
      </c>
      <c r="O401" s="19">
        <v>1.4849000000000001</v>
      </c>
      <c r="P401" s="19">
        <v>0.87443300000000002</v>
      </c>
      <c r="Q401" s="19">
        <v>2.1</v>
      </c>
      <c r="R401" s="19">
        <v>2.3367619999999998</v>
      </c>
      <c r="S401" s="19">
        <v>1.2424999999999999</v>
      </c>
      <c r="T401" s="19">
        <v>2.3367619999999998</v>
      </c>
      <c r="U401" s="19">
        <v>0.65110000000000001</v>
      </c>
      <c r="V401" s="19">
        <v>3.3513269999999999</v>
      </c>
      <c r="W401" s="19">
        <v>1.8984000000000001</v>
      </c>
      <c r="X401" s="19">
        <v>3.3513269999999999</v>
      </c>
      <c r="Y401" s="19">
        <v>1.8984000000000001</v>
      </c>
      <c r="Z401" s="4"/>
      <c r="AA401" s="4"/>
      <c r="AB401" s="4" t="e">
        <f ca="1">_xll.ciqfunctions.udf.CIQ("^SPX", "IQ_PRICEDATE", "7/27/2015")</f>
        <v>#NAME?</v>
      </c>
      <c r="AC401" s="16">
        <v>2067.6418261434001</v>
      </c>
    </row>
    <row r="402" spans="1:29" x14ac:dyDescent="0.35">
      <c r="A402" s="2" t="s">
        <v>412</v>
      </c>
      <c r="B402" s="4" t="s">
        <v>1491</v>
      </c>
      <c r="C402" s="4" t="s">
        <v>525</v>
      </c>
      <c r="D402" s="4" t="s">
        <v>526</v>
      </c>
      <c r="E402" s="4" t="s">
        <v>803</v>
      </c>
      <c r="F402" s="4" t="s">
        <v>948</v>
      </c>
      <c r="G402" s="14">
        <v>167.57</v>
      </c>
      <c r="H402" s="10">
        <v>10.087440000000001</v>
      </c>
      <c r="I402" s="10">
        <v>16.020188000000001</v>
      </c>
      <c r="J402" s="10">
        <v>4.8684079999999996</v>
      </c>
      <c r="K402" s="15">
        <v>1.9573E-2</v>
      </c>
      <c r="L402" s="17">
        <v>9451.3134699999991</v>
      </c>
      <c r="M402" s="4" t="s">
        <v>1492</v>
      </c>
      <c r="N402" s="19">
        <v>10.459927</v>
      </c>
      <c r="O402" s="19">
        <v>12.326700000000001</v>
      </c>
      <c r="P402" s="19">
        <v>9.52</v>
      </c>
      <c r="Q402" s="19">
        <v>10.6473</v>
      </c>
      <c r="R402" s="19">
        <v>9.1999999999999993</v>
      </c>
      <c r="S402" s="19">
        <v>9.8010999999999999</v>
      </c>
      <c r="T402" s="19">
        <v>9.1999999999999993</v>
      </c>
      <c r="U402" s="19">
        <v>8.8339999999999996</v>
      </c>
      <c r="V402" s="19">
        <v>6.7795030000000001</v>
      </c>
      <c r="W402" s="19">
        <v>7.5033000000000003</v>
      </c>
      <c r="X402" s="19">
        <v>6.7795030000000001</v>
      </c>
      <c r="Y402" s="19">
        <v>7.5033000000000003</v>
      </c>
      <c r="Z402" s="4"/>
      <c r="AA402" s="4"/>
      <c r="AB402" s="4" t="e">
        <f ca="1">_xll.ciqfunctions.udf.CIQ("^SPX", "IQ_PRICEDATE", "7/28/2015")</f>
        <v>#NAME?</v>
      </c>
      <c r="AC402" s="16">
        <v>2093.253342511</v>
      </c>
    </row>
    <row r="403" spans="1:29" x14ac:dyDescent="0.35">
      <c r="A403" s="2" t="s">
        <v>413</v>
      </c>
      <c r="B403" s="4" t="s">
        <v>1493</v>
      </c>
      <c r="C403" s="4" t="s">
        <v>525</v>
      </c>
      <c r="D403" s="4" t="s">
        <v>594</v>
      </c>
      <c r="E403" s="4" t="s">
        <v>595</v>
      </c>
      <c r="F403" s="4" t="s">
        <v>595</v>
      </c>
      <c r="G403" s="14">
        <v>59.2</v>
      </c>
      <c r="H403" s="10">
        <v>8.0103709999999992</v>
      </c>
      <c r="I403" s="10">
        <v>9.6756700000000002</v>
      </c>
      <c r="J403" s="10">
        <v>3.934895</v>
      </c>
      <c r="K403" s="15">
        <v>1.081E-2</v>
      </c>
      <c r="L403" s="17">
        <v>33922.736047999999</v>
      </c>
      <c r="M403" s="4" t="s">
        <v>1494</v>
      </c>
      <c r="N403" s="19">
        <v>6.1184390000000004</v>
      </c>
      <c r="O403" s="19">
        <v>4.5202999999999998</v>
      </c>
      <c r="P403" s="19">
        <v>5.79</v>
      </c>
      <c r="Q403" s="19">
        <v>4.2991999999999999</v>
      </c>
      <c r="R403" s="19">
        <v>3.5481829999999999</v>
      </c>
      <c r="S403" s="19">
        <v>3.4277000000000002</v>
      </c>
      <c r="T403" s="19">
        <v>3.5481829999999999</v>
      </c>
      <c r="U403" s="19">
        <v>4.0465</v>
      </c>
      <c r="V403" s="19">
        <v>1.637931</v>
      </c>
      <c r="W403" s="19">
        <v>2.7282999999999999</v>
      </c>
      <c r="X403" s="19">
        <v>1.637931</v>
      </c>
      <c r="Y403" s="19">
        <v>2.7282999999999999</v>
      </c>
      <c r="Z403" s="4"/>
      <c r="AA403" s="4"/>
      <c r="AB403" s="4" t="e">
        <f ca="1">_xll.ciqfunctions.udf.CIQ("^SPX", "IQ_PRICEDATE", "7/29/2015")</f>
        <v>#NAME?</v>
      </c>
      <c r="AC403" s="16">
        <v>2108.5685642213002</v>
      </c>
    </row>
    <row r="404" spans="1:29" x14ac:dyDescent="0.35">
      <c r="A404" s="2" t="s">
        <v>414</v>
      </c>
      <c r="B404" s="4" t="s">
        <v>1495</v>
      </c>
      <c r="C404" s="4" t="s">
        <v>525</v>
      </c>
      <c r="D404" s="4" t="s">
        <v>526</v>
      </c>
      <c r="E404" s="4" t="s">
        <v>803</v>
      </c>
      <c r="F404" s="4" t="s">
        <v>948</v>
      </c>
      <c r="G404" s="14">
        <v>123.57</v>
      </c>
      <c r="H404" s="10">
        <v>11.257039000000001</v>
      </c>
      <c r="I404" s="10">
        <v>18.57386</v>
      </c>
      <c r="J404" s="10" t="s">
        <v>534</v>
      </c>
      <c r="K404" s="15">
        <v>2.1364000000000001E-2</v>
      </c>
      <c r="L404" s="17">
        <v>18907.421356999999</v>
      </c>
      <c r="M404" s="4" t="s">
        <v>1496</v>
      </c>
      <c r="N404" s="19">
        <v>6.6528980000000004</v>
      </c>
      <c r="O404" s="19">
        <v>8.4849999999999994</v>
      </c>
      <c r="P404" s="19">
        <v>8.0399999999999991</v>
      </c>
      <c r="Q404" s="19">
        <v>8.1202000000000005</v>
      </c>
      <c r="R404" s="19">
        <v>6.51</v>
      </c>
      <c r="S404" s="19">
        <v>6.7171000000000003</v>
      </c>
      <c r="T404" s="19">
        <v>6.51</v>
      </c>
      <c r="U404" s="19">
        <v>6.4880000000000004</v>
      </c>
      <c r="V404" s="19">
        <v>4.4186930000000002</v>
      </c>
      <c r="W404" s="19">
        <v>5.9595000000000002</v>
      </c>
      <c r="X404" s="19">
        <v>4.4186930000000002</v>
      </c>
      <c r="Y404" s="19">
        <v>5.9595000000000002</v>
      </c>
      <c r="Z404" s="4"/>
      <c r="AA404" s="4"/>
      <c r="AB404" s="4" t="e">
        <f ca="1">_xll.ciqfunctions.udf.CIQ("^SPX", "IQ_PRICEDATE", "7/30/2015")</f>
        <v>#NAME?</v>
      </c>
      <c r="AC404" s="16">
        <v>2108.6299535420999</v>
      </c>
    </row>
    <row r="405" spans="1:29" x14ac:dyDescent="0.35">
      <c r="A405" s="2" t="s">
        <v>415</v>
      </c>
      <c r="B405" s="4" t="s">
        <v>1497</v>
      </c>
      <c r="C405" s="4" t="s">
        <v>559</v>
      </c>
      <c r="D405" s="4" t="s">
        <v>798</v>
      </c>
      <c r="E405" s="4" t="s">
        <v>799</v>
      </c>
      <c r="F405" s="4" t="s">
        <v>839</v>
      </c>
      <c r="G405" s="14">
        <v>59.1</v>
      </c>
      <c r="H405" s="10">
        <v>15.665952000000001</v>
      </c>
      <c r="I405" s="10">
        <v>18.452586</v>
      </c>
      <c r="J405" s="10" t="s">
        <v>534</v>
      </c>
      <c r="K405" s="15">
        <v>2.4365000000000001E-2</v>
      </c>
      <c r="L405" s="17">
        <v>79731.81</v>
      </c>
      <c r="M405" s="4" t="s">
        <v>1498</v>
      </c>
      <c r="N405" s="19">
        <v>3.2028029999999998</v>
      </c>
      <c r="O405" s="19">
        <v>2.5272000000000001</v>
      </c>
      <c r="P405" s="19">
        <v>3.016486</v>
      </c>
      <c r="Q405" s="19">
        <v>2.3214899999999998</v>
      </c>
      <c r="R405" s="19">
        <v>1.9</v>
      </c>
      <c r="S405" s="19">
        <v>2.1384500000000002</v>
      </c>
      <c r="T405" s="19">
        <v>1.9</v>
      </c>
      <c r="U405" s="19">
        <v>1.8896599999999999</v>
      </c>
      <c r="V405" s="19">
        <v>1.6437349999999999</v>
      </c>
      <c r="W405" s="19">
        <v>1.5526800000000001</v>
      </c>
      <c r="X405" s="19">
        <v>1.6437349999999999</v>
      </c>
      <c r="Y405" s="19">
        <v>1.5526800000000001</v>
      </c>
      <c r="Z405" s="4"/>
      <c r="AA405" s="4"/>
      <c r="AB405" s="4" t="e">
        <f ca="1">_xll.ciqfunctions.udf.CIQ("^SPX", "IQ_PRICEDATE", "7/31/2015")</f>
        <v>#NAME?</v>
      </c>
      <c r="AC405" s="16">
        <v>2103.8353651370999</v>
      </c>
    </row>
    <row r="406" spans="1:29" x14ac:dyDescent="0.35">
      <c r="A406" s="2" t="s">
        <v>416</v>
      </c>
      <c r="B406" s="4" t="s">
        <v>1499</v>
      </c>
      <c r="C406" s="4" t="s">
        <v>573</v>
      </c>
      <c r="D406" s="4" t="s">
        <v>574</v>
      </c>
      <c r="E406" s="4" t="s">
        <v>575</v>
      </c>
      <c r="F406" s="4" t="s">
        <v>576</v>
      </c>
      <c r="G406" s="14">
        <v>82.15</v>
      </c>
      <c r="H406" s="10">
        <v>0</v>
      </c>
      <c r="I406" s="10">
        <v>13.574719999999999</v>
      </c>
      <c r="J406" s="10">
        <v>2.5250149999999998</v>
      </c>
      <c r="K406" s="15">
        <v>2.2884000000000002E-2</v>
      </c>
      <c r="L406" s="17">
        <v>31168.977164</v>
      </c>
      <c r="M406" s="4" t="s">
        <v>1500</v>
      </c>
      <c r="N406" s="19">
        <v>6.0516899999999998</v>
      </c>
      <c r="O406" s="19">
        <v>7.7119999999999997</v>
      </c>
      <c r="P406" s="19">
        <v>5.24</v>
      </c>
      <c r="Q406" s="19">
        <v>6.907</v>
      </c>
      <c r="R406" s="19">
        <v>4.97</v>
      </c>
      <c r="S406" s="19">
        <v>5.5077999999999996</v>
      </c>
      <c r="T406" s="19">
        <v>4.97</v>
      </c>
      <c r="U406" s="19">
        <v>5.0037000000000003</v>
      </c>
      <c r="V406" s="19">
        <v>4.53</v>
      </c>
      <c r="W406" s="19">
        <v>5.1422999999999996</v>
      </c>
      <c r="X406" s="19">
        <v>4.53</v>
      </c>
      <c r="Y406" s="19">
        <v>5.1422999999999996</v>
      </c>
      <c r="Z406" s="4"/>
      <c r="AA406" s="4"/>
      <c r="AB406" s="4" t="e">
        <f ca="1">_xll.ciqfunctions.udf.CIQ("^SPX", "IQ_PRICEDATE", "8/3/2015")</f>
        <v>#NAME?</v>
      </c>
      <c r="AC406" s="16">
        <v>2098.0396633670998</v>
      </c>
    </row>
    <row r="407" spans="1:29" x14ac:dyDescent="0.35">
      <c r="A407" s="2" t="s">
        <v>417</v>
      </c>
      <c r="B407" s="4" t="s">
        <v>1501</v>
      </c>
      <c r="C407" s="4" t="s">
        <v>525</v>
      </c>
      <c r="D407" s="4" t="s">
        <v>855</v>
      </c>
      <c r="E407" s="4" t="s">
        <v>856</v>
      </c>
      <c r="F407" s="4" t="s">
        <v>1450</v>
      </c>
      <c r="G407" s="14">
        <v>53.75</v>
      </c>
      <c r="H407" s="10">
        <v>10.560729</v>
      </c>
      <c r="I407" s="10">
        <v>27.860004</v>
      </c>
      <c r="J407" s="10" t="s">
        <v>534</v>
      </c>
      <c r="K407" s="15">
        <v>0</v>
      </c>
      <c r="L407" s="17">
        <v>4616.468175</v>
      </c>
      <c r="M407" s="4" t="s">
        <v>1502</v>
      </c>
      <c r="N407" s="19">
        <v>1.929289</v>
      </c>
      <c r="O407" s="19">
        <v>4.3295000000000003</v>
      </c>
      <c r="P407" s="19">
        <v>0.27</v>
      </c>
      <c r="Q407" s="19">
        <v>4.4885000000000002</v>
      </c>
      <c r="R407" s="19">
        <v>2.08</v>
      </c>
      <c r="S407" s="19">
        <v>4.6181000000000001</v>
      </c>
      <c r="T407" s="19">
        <v>2.08</v>
      </c>
      <c r="U407" s="19">
        <v>4.7899000000000003</v>
      </c>
      <c r="V407" s="19">
        <v>3.7899989999999999</v>
      </c>
      <c r="W407" s="19">
        <v>4.6071</v>
      </c>
      <c r="X407" s="19">
        <v>3.7899989999999999</v>
      </c>
      <c r="Y407" s="19">
        <v>4.6071</v>
      </c>
      <c r="Z407" s="4"/>
      <c r="AA407" s="4"/>
      <c r="AB407" s="4" t="e">
        <f ca="1">_xll.ciqfunctions.udf.CIQ("^SPX", "IQ_PRICEDATE", "8/4/2015")</f>
        <v>#NAME?</v>
      </c>
      <c r="AC407" s="16">
        <v>2093.3239169262001</v>
      </c>
    </row>
    <row r="408" spans="1:29" x14ac:dyDescent="0.35">
      <c r="A408" s="2" t="s">
        <v>418</v>
      </c>
      <c r="B408" s="4" t="s">
        <v>1503</v>
      </c>
      <c r="C408" s="4" t="s">
        <v>530</v>
      </c>
      <c r="D408" s="4" t="s">
        <v>531</v>
      </c>
      <c r="E408" s="4" t="s">
        <v>532</v>
      </c>
      <c r="F408" s="4" t="s">
        <v>533</v>
      </c>
      <c r="G408" s="14">
        <v>176.23</v>
      </c>
      <c r="H408" s="10">
        <v>19.974844000000001</v>
      </c>
      <c r="I408" s="10">
        <v>62.233204999999998</v>
      </c>
      <c r="J408" s="10" t="s">
        <v>534</v>
      </c>
      <c r="K408" s="15">
        <v>1.0666999999999999E-2</v>
      </c>
      <c r="L408" s="17">
        <v>65908.344758000007</v>
      </c>
      <c r="M408" s="4" t="s">
        <v>1504</v>
      </c>
      <c r="N408" s="19">
        <v>2.8317679999999998</v>
      </c>
      <c r="O408" s="19">
        <v>7.5571000000000002</v>
      </c>
      <c r="P408" s="19">
        <v>2.68</v>
      </c>
      <c r="Q408" s="19">
        <v>6.9295999999999998</v>
      </c>
      <c r="R408" s="19">
        <v>4.3499999999999996</v>
      </c>
      <c r="S408" s="19">
        <v>6.2773000000000003</v>
      </c>
      <c r="T408" s="19">
        <v>4.3499999999999996</v>
      </c>
      <c r="U408" s="19">
        <v>5.4596999999999998</v>
      </c>
      <c r="V408" s="19">
        <v>1.34</v>
      </c>
      <c r="W408" s="19">
        <v>5.0968</v>
      </c>
      <c r="X408" s="19">
        <v>1.34</v>
      </c>
      <c r="Y408" s="19">
        <v>5.0968</v>
      </c>
      <c r="Z408" s="4"/>
      <c r="AA408" s="4"/>
      <c r="AB408" s="4" t="e">
        <f ca="1">_xll.ciqfunctions.udf.CIQ("^SPX", "IQ_PRICEDATE", "8/5/2015")</f>
        <v>#NAME?</v>
      </c>
      <c r="AC408" s="16">
        <v>2099.8422217912998</v>
      </c>
    </row>
    <row r="409" spans="1:29" x14ac:dyDescent="0.35">
      <c r="A409" s="2" t="s">
        <v>419</v>
      </c>
      <c r="B409" s="4" t="s">
        <v>1505</v>
      </c>
      <c r="C409" s="4" t="s">
        <v>573</v>
      </c>
      <c r="D409" s="4" t="s">
        <v>737</v>
      </c>
      <c r="E409" s="4" t="s">
        <v>737</v>
      </c>
      <c r="F409" s="4" t="s">
        <v>743</v>
      </c>
      <c r="G409" s="14">
        <v>62.42</v>
      </c>
      <c r="H409" s="10">
        <v>0</v>
      </c>
      <c r="I409" s="10">
        <v>11.747455</v>
      </c>
      <c r="J409" s="10">
        <v>1.8328139999999999</v>
      </c>
      <c r="K409" s="15">
        <v>3.2041E-2</v>
      </c>
      <c r="L409" s="17">
        <v>28758.766599999999</v>
      </c>
      <c r="M409" s="4" t="s">
        <v>1506</v>
      </c>
      <c r="N409" s="19">
        <v>5.313491</v>
      </c>
      <c r="O409" s="19">
        <v>5.5731999999999999</v>
      </c>
      <c r="P409" s="19">
        <v>4.47</v>
      </c>
      <c r="Q409" s="19">
        <v>4.3282999999999996</v>
      </c>
      <c r="R409" s="19">
        <v>3.6</v>
      </c>
      <c r="S409" s="19">
        <v>3.6676000000000002</v>
      </c>
      <c r="T409" s="19">
        <v>3.6</v>
      </c>
      <c r="U409" s="19">
        <v>3.5158</v>
      </c>
      <c r="V409" s="19">
        <v>3.23</v>
      </c>
      <c r="W409" s="19">
        <v>3.1966000000000001</v>
      </c>
      <c r="X409" s="19">
        <v>3.23</v>
      </c>
      <c r="Y409" s="19">
        <v>3.1966000000000001</v>
      </c>
      <c r="Z409" s="4"/>
      <c r="AA409" s="4"/>
      <c r="AB409" s="4" t="e">
        <f ca="1">_xll.ciqfunctions.udf.CIQ("^SPX", "IQ_PRICEDATE", "8/6/2015")</f>
        <v>#NAME?</v>
      </c>
      <c r="AC409" s="16">
        <v>2083.5585172903002</v>
      </c>
    </row>
    <row r="410" spans="1:29" x14ac:dyDescent="0.35">
      <c r="A410" s="2" t="s">
        <v>420</v>
      </c>
      <c r="B410" s="4" t="s">
        <v>1507</v>
      </c>
      <c r="C410" s="4" t="s">
        <v>573</v>
      </c>
      <c r="D410" s="4" t="s">
        <v>737</v>
      </c>
      <c r="E410" s="4" t="s">
        <v>737</v>
      </c>
      <c r="F410" s="4" t="s">
        <v>743</v>
      </c>
      <c r="G410" s="14">
        <v>296.98</v>
      </c>
      <c r="H410" s="10">
        <v>0</v>
      </c>
      <c r="I410" s="10">
        <v>22.780117000000001</v>
      </c>
      <c r="J410" s="10">
        <v>3.392801</v>
      </c>
      <c r="K410" s="15">
        <v>0</v>
      </c>
      <c r="L410" s="17">
        <v>15803.415614</v>
      </c>
      <c r="M410" s="4" t="s">
        <v>1508</v>
      </c>
      <c r="N410" s="19">
        <v>13.036807</v>
      </c>
      <c r="O410" s="19">
        <v>19.271699999999999</v>
      </c>
      <c r="P410" s="19">
        <v>9.1999999999999993</v>
      </c>
      <c r="Q410" s="19">
        <v>11.307</v>
      </c>
      <c r="R410" s="19">
        <v>7.31</v>
      </c>
      <c r="S410" s="19">
        <v>7.7786</v>
      </c>
      <c r="T410" s="19">
        <v>7.31</v>
      </c>
      <c r="U410" s="19">
        <v>6.8251999999999997</v>
      </c>
      <c r="V410" s="19">
        <v>5.31</v>
      </c>
      <c r="W410" s="19">
        <v>5.3982999999999999</v>
      </c>
      <c r="X410" s="19">
        <v>5.31</v>
      </c>
      <c r="Y410" s="19">
        <v>5.3982999999999999</v>
      </c>
      <c r="Z410" s="4"/>
      <c r="AA410" s="4"/>
      <c r="AB410" s="4" t="e">
        <f ca="1">_xll.ciqfunctions.udf.CIQ("^SPX", "IQ_PRICEDATE", "8/7/2015")</f>
        <v>#NAME?</v>
      </c>
      <c r="AC410" s="16">
        <v>2077.5684171683001</v>
      </c>
    </row>
    <row r="411" spans="1:29" x14ac:dyDescent="0.35">
      <c r="A411" s="2" t="s">
        <v>421</v>
      </c>
      <c r="B411" s="4" t="s">
        <v>1509</v>
      </c>
      <c r="C411" s="4" t="s">
        <v>543</v>
      </c>
      <c r="D411" s="4" t="s">
        <v>544</v>
      </c>
      <c r="E411" s="4" t="s">
        <v>555</v>
      </c>
      <c r="F411" s="4" t="s">
        <v>782</v>
      </c>
      <c r="G411" s="14">
        <v>20.57</v>
      </c>
      <c r="H411" s="10">
        <v>12.554335</v>
      </c>
      <c r="I411" s="10">
        <v>11.577239000000001</v>
      </c>
      <c r="J411" s="10" t="s">
        <v>534</v>
      </c>
      <c r="K411" s="15">
        <v>1.4584E-2</v>
      </c>
      <c r="L411" s="17">
        <v>12785.049988999999</v>
      </c>
      <c r="M411" s="4" t="s">
        <v>1510</v>
      </c>
      <c r="N411" s="19">
        <v>1.776762</v>
      </c>
      <c r="O411" s="19">
        <v>1.5720000000000001</v>
      </c>
      <c r="P411" s="19">
        <v>1.5471250000000001</v>
      </c>
      <c r="Q411" s="19">
        <v>1.83</v>
      </c>
      <c r="R411" s="19">
        <v>-1.7213579999999999</v>
      </c>
      <c r="S411" s="19">
        <v>1.3633999999999999</v>
      </c>
      <c r="T411" s="19">
        <v>-1.7213579999999999</v>
      </c>
      <c r="U411" s="19">
        <v>1.0382</v>
      </c>
      <c r="V411" s="19">
        <v>0.83640300000000001</v>
      </c>
      <c r="W411" s="19">
        <v>1.952</v>
      </c>
      <c r="X411" s="19">
        <v>0.83640300000000001</v>
      </c>
      <c r="Y411" s="19">
        <v>1.952</v>
      </c>
      <c r="Z411" s="4"/>
      <c r="AA411" s="4"/>
      <c r="AB411" s="4" t="e">
        <f ca="1">_xll.ciqfunctions.udf.CIQ("^SPX", "IQ_PRICEDATE", "8/10/2015")</f>
        <v>#NAME?</v>
      </c>
      <c r="AC411" s="16">
        <v>2104.1825034717999</v>
      </c>
    </row>
    <row r="412" spans="1:29" x14ac:dyDescent="0.35">
      <c r="A412" s="2" t="s">
        <v>422</v>
      </c>
      <c r="B412" s="4" t="s">
        <v>1511</v>
      </c>
      <c r="C412" s="4" t="s">
        <v>573</v>
      </c>
      <c r="D412" s="4" t="s">
        <v>574</v>
      </c>
      <c r="E412" s="4" t="s">
        <v>641</v>
      </c>
      <c r="F412" s="4" t="s">
        <v>641</v>
      </c>
      <c r="G412" s="14">
        <v>30.07</v>
      </c>
      <c r="H412" s="10">
        <v>0</v>
      </c>
      <c r="I412" s="10">
        <v>10.258984999999999</v>
      </c>
      <c r="J412" s="10">
        <v>1.785873</v>
      </c>
      <c r="K412" s="15">
        <v>2.7934E-2</v>
      </c>
      <c r="L412" s="17">
        <v>22272.431388000001</v>
      </c>
      <c r="M412" s="4" t="s">
        <v>1512</v>
      </c>
      <c r="N412" s="19">
        <v>2.9310890000000001</v>
      </c>
      <c r="O412" s="19">
        <v>3.6911999999999998</v>
      </c>
      <c r="P412" s="19">
        <v>2.42</v>
      </c>
      <c r="Q412" s="19">
        <v>2.9068000000000001</v>
      </c>
      <c r="R412" s="19">
        <v>2.71</v>
      </c>
      <c r="S412" s="19">
        <v>2.9849000000000001</v>
      </c>
      <c r="T412" s="19">
        <v>2.71</v>
      </c>
      <c r="U412" s="19">
        <v>2.75</v>
      </c>
      <c r="V412" s="19">
        <v>2.78</v>
      </c>
      <c r="W412" s="19">
        <v>2.5200999999999998</v>
      </c>
      <c r="X412" s="19">
        <v>2.78</v>
      </c>
      <c r="Y412" s="19">
        <v>2.5200999999999998</v>
      </c>
      <c r="Z412" s="4"/>
      <c r="AA412" s="4"/>
      <c r="AB412" s="4" t="e">
        <f ca="1">_xll.ciqfunctions.udf.CIQ("^SPX", "IQ_PRICEDATE", "8/11/2015")</f>
        <v>#NAME?</v>
      </c>
      <c r="AC412" s="16">
        <v>2084.0735079156998</v>
      </c>
    </row>
    <row r="413" spans="1:29" x14ac:dyDescent="0.35">
      <c r="A413" s="2" t="s">
        <v>423</v>
      </c>
      <c r="B413" s="4" t="s">
        <v>1513</v>
      </c>
      <c r="C413" s="4" t="s">
        <v>543</v>
      </c>
      <c r="D413" s="4" t="s">
        <v>544</v>
      </c>
      <c r="E413" s="4" t="s">
        <v>555</v>
      </c>
      <c r="F413" s="4" t="s">
        <v>556</v>
      </c>
      <c r="G413" s="14">
        <v>89.57</v>
      </c>
      <c r="H413" s="10">
        <v>25.671937</v>
      </c>
      <c r="I413" s="10">
        <v>241.57442699999999</v>
      </c>
      <c r="J413" s="10" t="s">
        <v>534</v>
      </c>
      <c r="K413" s="15">
        <v>0</v>
      </c>
      <c r="L413" s="17">
        <v>13309.036744000001</v>
      </c>
      <c r="M413" s="4" t="s">
        <v>1514</v>
      </c>
      <c r="N413" s="19">
        <v>0.37077599999999999</v>
      </c>
      <c r="O413" s="19">
        <v>3.9087000000000001</v>
      </c>
      <c r="P413" s="19">
        <v>0.88</v>
      </c>
      <c r="Q413" s="19">
        <v>3.5009999999999999</v>
      </c>
      <c r="R413" s="19">
        <v>1.73</v>
      </c>
      <c r="S413" s="19">
        <v>3.2007500000000002</v>
      </c>
      <c r="T413" s="19">
        <v>1.73</v>
      </c>
      <c r="U413" s="19">
        <v>2.9549099999999999</v>
      </c>
      <c r="V413" s="19">
        <v>1.64</v>
      </c>
      <c r="W413" s="19">
        <v>2.69</v>
      </c>
      <c r="X413" s="19">
        <v>1.64</v>
      </c>
      <c r="Y413" s="19">
        <v>2.69</v>
      </c>
      <c r="Z413" s="4"/>
      <c r="AA413" s="4"/>
      <c r="AB413" s="4" t="e">
        <f ca="1">_xll.ciqfunctions.udf.CIQ("^SPX", "IQ_PRICEDATE", "8/12/2015")</f>
        <v>#NAME?</v>
      </c>
      <c r="AC413" s="16">
        <v>2086.0464367455002</v>
      </c>
    </row>
    <row r="414" spans="1:29" x14ac:dyDescent="0.35">
      <c r="A414" s="2" t="s">
        <v>424</v>
      </c>
      <c r="B414" s="4" t="s">
        <v>1515</v>
      </c>
      <c r="C414" s="4" t="s">
        <v>626</v>
      </c>
      <c r="D414" s="4" t="s">
        <v>894</v>
      </c>
      <c r="E414" s="4" t="s">
        <v>894</v>
      </c>
      <c r="F414" s="4" t="s">
        <v>1516</v>
      </c>
      <c r="G414" s="14">
        <v>70.38</v>
      </c>
      <c r="H414" s="10">
        <v>13.652329999999999</v>
      </c>
      <c r="I414" s="10">
        <v>26.066666000000001</v>
      </c>
      <c r="J414" s="10" t="s">
        <v>534</v>
      </c>
      <c r="K414" s="15">
        <v>2.0459999999999999E-2</v>
      </c>
      <c r="L414" s="17">
        <v>36646.111455999999</v>
      </c>
      <c r="M414" s="4" t="s">
        <v>1517</v>
      </c>
      <c r="N414" s="19">
        <v>2.7</v>
      </c>
      <c r="O414" s="19">
        <v>3.5036</v>
      </c>
      <c r="P414" s="19">
        <v>2.226518</v>
      </c>
      <c r="Q414" s="19">
        <v>2.8266</v>
      </c>
      <c r="R414" s="19">
        <v>1.834436</v>
      </c>
      <c r="S414" s="19">
        <v>2.5177999999999998</v>
      </c>
      <c r="T414" s="19">
        <v>1.834436</v>
      </c>
      <c r="U414" s="19">
        <v>1.9779</v>
      </c>
      <c r="V414" s="19">
        <v>1.470086</v>
      </c>
      <c r="W414" s="19">
        <v>1.9001999999999999</v>
      </c>
      <c r="X414" s="19">
        <v>1.470086</v>
      </c>
      <c r="Y414" s="19">
        <v>1.9001999999999999</v>
      </c>
      <c r="Z414" s="4"/>
      <c r="AA414" s="4"/>
      <c r="AB414" s="4" t="e">
        <f ca="1">_xll.ciqfunctions.udf.CIQ("^SPX", "IQ_PRICEDATE", "8/13/2015")</f>
        <v>#NAME?</v>
      </c>
      <c r="AC414" s="16">
        <v>2083.3873035974002</v>
      </c>
    </row>
    <row r="415" spans="1:29" x14ac:dyDescent="0.35">
      <c r="A415" s="2" t="s">
        <v>425</v>
      </c>
      <c r="B415" s="4" t="s">
        <v>1518</v>
      </c>
      <c r="C415" s="4" t="s">
        <v>573</v>
      </c>
      <c r="D415" s="4" t="s">
        <v>574</v>
      </c>
      <c r="E415" s="4" t="s">
        <v>575</v>
      </c>
      <c r="F415" s="4" t="s">
        <v>576</v>
      </c>
      <c r="G415" s="14">
        <v>102.66</v>
      </c>
      <c r="H415" s="10">
        <v>10.073513999999999</v>
      </c>
      <c r="I415" s="10">
        <v>15.833651</v>
      </c>
      <c r="J415" s="10">
        <v>4.5816319999999999</v>
      </c>
      <c r="K415" s="15">
        <v>2.7274E-2</v>
      </c>
      <c r="L415" s="17">
        <v>24965.957569999999</v>
      </c>
      <c r="M415" s="4" t="s">
        <v>1519</v>
      </c>
      <c r="N415" s="19">
        <v>6.4836590000000003</v>
      </c>
      <c r="O415" s="19">
        <v>7.5735000000000001</v>
      </c>
      <c r="P415" s="19">
        <v>5.97</v>
      </c>
      <c r="Q415" s="19">
        <v>5.6021000000000001</v>
      </c>
      <c r="R415" s="19">
        <v>4.75</v>
      </c>
      <c r="S415" s="19">
        <v>4.8513999999999999</v>
      </c>
      <c r="T415" s="19">
        <v>4.75</v>
      </c>
      <c r="U415" s="19">
        <v>4.5837000000000003</v>
      </c>
      <c r="V415" s="19">
        <v>4.55</v>
      </c>
      <c r="W415" s="19">
        <v>4.7064000000000004</v>
      </c>
      <c r="X415" s="19">
        <v>4.55</v>
      </c>
      <c r="Y415" s="19">
        <v>4.7064000000000004</v>
      </c>
      <c r="Z415" s="4"/>
      <c r="AA415" s="4"/>
      <c r="AB415" s="4" t="e">
        <f ca="1">_xll.ciqfunctions.udf.CIQ("^SPX", "IQ_PRICEDATE", "8/14/2015")</f>
        <v>#NAME?</v>
      </c>
      <c r="AC415" s="16">
        <v>2091.5436408942001</v>
      </c>
    </row>
    <row r="416" spans="1:29" x14ac:dyDescent="0.35">
      <c r="A416" s="2" t="s">
        <v>426</v>
      </c>
      <c r="B416" s="4" t="s">
        <v>1520</v>
      </c>
      <c r="C416" s="4" t="s">
        <v>549</v>
      </c>
      <c r="D416" s="4" t="s">
        <v>550</v>
      </c>
      <c r="E416" s="4" t="s">
        <v>551</v>
      </c>
      <c r="F416" s="4" t="s">
        <v>552</v>
      </c>
      <c r="G416" s="14">
        <v>132.06</v>
      </c>
      <c r="H416" s="10">
        <v>59.969042000000002</v>
      </c>
      <c r="I416" s="10">
        <v>82.561235999999994</v>
      </c>
      <c r="J416" s="10">
        <v>22.838864000000001</v>
      </c>
      <c r="K416" s="15">
        <v>0</v>
      </c>
      <c r="L416" s="17">
        <v>15032.154337</v>
      </c>
      <c r="M416" s="4" t="s">
        <v>1521</v>
      </c>
      <c r="N416" s="19">
        <v>1.59954</v>
      </c>
      <c r="O416" s="19">
        <v>5.4131999999999998</v>
      </c>
      <c r="P416" s="19">
        <v>1.633982</v>
      </c>
      <c r="Q416" s="19">
        <v>3.8226</v>
      </c>
      <c r="R416" s="19">
        <v>0.16561600000000001</v>
      </c>
      <c r="S416" s="19">
        <v>1.6736</v>
      </c>
      <c r="T416" s="19">
        <v>0.16561600000000001</v>
      </c>
      <c r="U416" s="19">
        <v>1.1617999999999999</v>
      </c>
      <c r="V416" s="19">
        <v>-0.83181799999999995</v>
      </c>
      <c r="W416" s="19">
        <v>1.8036000000000001</v>
      </c>
      <c r="X416" s="19">
        <v>-0.83181799999999995</v>
      </c>
      <c r="Y416" s="19">
        <v>1.8036000000000001</v>
      </c>
      <c r="Z416" s="4"/>
      <c r="AA416" s="4"/>
      <c r="AB416" s="4" t="e">
        <f ca="1">_xll.ciqfunctions.udf.CIQ("^SPX", "IQ_PRICEDATE", "8/17/2015")</f>
        <v>#NAME?</v>
      </c>
      <c r="AC416" s="16">
        <v>2102.4363504756002</v>
      </c>
    </row>
    <row r="417" spans="1:29" x14ac:dyDescent="0.35">
      <c r="A417" s="2" t="s">
        <v>427</v>
      </c>
      <c r="B417" s="4" t="s">
        <v>1522</v>
      </c>
      <c r="C417" s="4" t="s">
        <v>559</v>
      </c>
      <c r="D417" s="4" t="s">
        <v>912</v>
      </c>
      <c r="E417" s="4" t="s">
        <v>1097</v>
      </c>
      <c r="F417" s="4" t="s">
        <v>1098</v>
      </c>
      <c r="G417" s="14">
        <v>43.99</v>
      </c>
      <c r="H417" s="10">
        <v>11.194981</v>
      </c>
      <c r="I417" s="10">
        <v>31.876811</v>
      </c>
      <c r="J417" s="10" t="s">
        <v>534</v>
      </c>
      <c r="K417" s="15">
        <v>3.0688E-2</v>
      </c>
      <c r="L417" s="17">
        <v>12740.810855</v>
      </c>
      <c r="M417" s="4" t="s">
        <v>1523</v>
      </c>
      <c r="N417" s="19">
        <v>1.38</v>
      </c>
      <c r="O417" s="19">
        <v>2.7761100000000001</v>
      </c>
      <c r="P417" s="19">
        <v>1.116808</v>
      </c>
      <c r="Q417" s="19">
        <v>2.4628000000000001</v>
      </c>
      <c r="R417" s="19">
        <v>1.8221339999999999</v>
      </c>
      <c r="S417" s="19">
        <v>2.1831</v>
      </c>
      <c r="T417" s="19">
        <v>1.8221339999999999</v>
      </c>
      <c r="U417" s="19">
        <v>1.9338</v>
      </c>
      <c r="V417" s="19">
        <v>2.0517210000000001</v>
      </c>
      <c r="W417" s="19">
        <v>1.8629</v>
      </c>
      <c r="X417" s="19">
        <v>2.0517210000000001</v>
      </c>
      <c r="Y417" s="19">
        <v>1.8629</v>
      </c>
      <c r="Z417" s="4"/>
      <c r="AA417" s="4"/>
      <c r="AB417" s="4" t="e">
        <f ca="1">_xll.ciqfunctions.udf.CIQ("^SPX", "IQ_PRICEDATE", "8/18/2015")</f>
        <v>#NAME?</v>
      </c>
      <c r="AC417" s="16">
        <v>2096.9193711046</v>
      </c>
    </row>
    <row r="418" spans="1:29" x14ac:dyDescent="0.35">
      <c r="A418" s="2" t="s">
        <v>428</v>
      </c>
      <c r="B418" s="4" t="s">
        <v>1524</v>
      </c>
      <c r="C418" s="4" t="s">
        <v>559</v>
      </c>
      <c r="D418" s="4" t="s">
        <v>560</v>
      </c>
      <c r="E418" s="4" t="s">
        <v>940</v>
      </c>
      <c r="F418" s="4" t="s">
        <v>941</v>
      </c>
      <c r="G418" s="14">
        <v>84.42</v>
      </c>
      <c r="H418" s="10">
        <v>8.2758509999999994</v>
      </c>
      <c r="I418" s="10">
        <v>14.801658</v>
      </c>
      <c r="J418" s="10">
        <v>3.9772940000000001</v>
      </c>
      <c r="K418" s="15">
        <v>3.0324E-2</v>
      </c>
      <c r="L418" s="17">
        <v>44434.550323000003</v>
      </c>
      <c r="M418" s="4" t="s">
        <v>1525</v>
      </c>
      <c r="N418" s="19">
        <v>5.7034149999999997</v>
      </c>
      <c r="O418" s="19">
        <v>5.5453000000000001</v>
      </c>
      <c r="P418" s="19">
        <v>4.7610070000000002</v>
      </c>
      <c r="Q418" s="19">
        <v>4.2606000000000002</v>
      </c>
      <c r="R418" s="19">
        <v>5.4889349999999997</v>
      </c>
      <c r="S418" s="19">
        <v>5.4146000000000001</v>
      </c>
      <c r="T418" s="19">
        <v>5.4889349999999997</v>
      </c>
      <c r="U418" s="19">
        <v>5.0492999999999997</v>
      </c>
      <c r="V418" s="19">
        <v>4.2760059999999998</v>
      </c>
      <c r="W418" s="19">
        <v>3.7113999999999998</v>
      </c>
      <c r="X418" s="19">
        <v>4.2760059999999998</v>
      </c>
      <c r="Y418" s="19">
        <v>3.7113999999999998</v>
      </c>
      <c r="Z418" s="4"/>
      <c r="AA418" s="4"/>
      <c r="AB418" s="4" t="e">
        <f ca="1">_xll.ciqfunctions.udf.CIQ("^SPX", "IQ_PRICEDATE", "8/19/2015")</f>
        <v>#NAME?</v>
      </c>
      <c r="AC418" s="16">
        <v>2079.6106568018999</v>
      </c>
    </row>
    <row r="419" spans="1:29" x14ac:dyDescent="0.35">
      <c r="A419" s="2" t="s">
        <v>429</v>
      </c>
      <c r="B419" s="4" t="s">
        <v>1526</v>
      </c>
      <c r="C419" s="4" t="s">
        <v>543</v>
      </c>
      <c r="D419" s="4" t="s">
        <v>664</v>
      </c>
      <c r="E419" s="4" t="s">
        <v>665</v>
      </c>
      <c r="F419" s="4" t="s">
        <v>1174</v>
      </c>
      <c r="G419" s="14">
        <v>79.55</v>
      </c>
      <c r="H419" s="10">
        <v>9.9439469999999996</v>
      </c>
      <c r="I419" s="10">
        <v>21.150727</v>
      </c>
      <c r="J419" s="10">
        <v>12.725485000000001</v>
      </c>
      <c r="K419" s="15">
        <v>2.2124000000000001E-2</v>
      </c>
      <c r="L419" s="17">
        <v>27719.892767000001</v>
      </c>
      <c r="M419" s="4" t="s">
        <v>1527</v>
      </c>
      <c r="N419" s="19">
        <v>3.7610999999999999</v>
      </c>
      <c r="O419" s="19">
        <v>5.7514000000000003</v>
      </c>
      <c r="P419" s="19">
        <v>3.4455290000000001</v>
      </c>
      <c r="Q419" s="19">
        <v>5.2727899999999996</v>
      </c>
      <c r="R419" s="19">
        <v>5.5997500000000002</v>
      </c>
      <c r="S419" s="19">
        <v>4.35914</v>
      </c>
      <c r="T419" s="19">
        <v>5.5997500000000002</v>
      </c>
      <c r="U419" s="19">
        <v>3.9870299999999999</v>
      </c>
      <c r="V419" s="19">
        <v>4.1699270000000004</v>
      </c>
      <c r="W419" s="19">
        <v>4.2041700000000004</v>
      </c>
      <c r="X419" s="19">
        <v>4.1699270000000004</v>
      </c>
      <c r="Y419" s="19">
        <v>4.2041700000000004</v>
      </c>
      <c r="Z419" s="4"/>
      <c r="AA419" s="4"/>
      <c r="AB419" s="4" t="e">
        <f ca="1">_xll.ciqfunctions.udf.CIQ("^SPX", "IQ_PRICEDATE", "8/20/2015")</f>
        <v>#NAME?</v>
      </c>
      <c r="AC419" s="16">
        <v>2035.7341442458001</v>
      </c>
    </row>
    <row r="420" spans="1:29" x14ac:dyDescent="0.35">
      <c r="A420" s="2" t="s">
        <v>430</v>
      </c>
      <c r="B420" s="4" t="s">
        <v>1528</v>
      </c>
      <c r="C420" s="4" t="s">
        <v>669</v>
      </c>
      <c r="D420" s="4" t="s">
        <v>669</v>
      </c>
      <c r="E420" s="4" t="s">
        <v>730</v>
      </c>
      <c r="F420" s="4" t="s">
        <v>731</v>
      </c>
      <c r="G420" s="14">
        <v>29.75</v>
      </c>
      <c r="H420" s="10">
        <v>6.1323049999999997</v>
      </c>
      <c r="I420" s="10">
        <v>83.140270000000001</v>
      </c>
      <c r="J420" s="10">
        <v>4.9993210000000001</v>
      </c>
      <c r="K420" s="15">
        <v>1.7478E-2</v>
      </c>
      <c r="L420" s="17">
        <v>13367.502199</v>
      </c>
      <c r="M420" s="4" t="s">
        <v>1529</v>
      </c>
      <c r="N420" s="19">
        <v>0.35782900000000001</v>
      </c>
      <c r="O420" s="19">
        <v>1.4746999999999999</v>
      </c>
      <c r="P420" s="19">
        <v>0.24</v>
      </c>
      <c r="Q420" s="19">
        <v>1.4136</v>
      </c>
      <c r="R420" s="19">
        <v>3.155875</v>
      </c>
      <c r="S420" s="19">
        <v>0</v>
      </c>
      <c r="T420" s="19">
        <v>3.155875</v>
      </c>
      <c r="U420" s="19">
        <v>0</v>
      </c>
      <c r="V420" s="19">
        <v>4.4177049999999998</v>
      </c>
      <c r="W420" s="19">
        <v>0</v>
      </c>
      <c r="X420" s="19">
        <v>4.4177049999999998</v>
      </c>
      <c r="Y420" s="19">
        <v>0</v>
      </c>
      <c r="Z420" s="4"/>
      <c r="AA420" s="4"/>
      <c r="AB420" s="4" t="e">
        <f ca="1">_xll.ciqfunctions.udf.CIQ("^SPX", "IQ_PRICEDATE", "8/21/2015")</f>
        <v>#NAME?</v>
      </c>
      <c r="AC420" s="16">
        <v>1970.8890645414001</v>
      </c>
    </row>
    <row r="421" spans="1:29" x14ac:dyDescent="0.35">
      <c r="A421" s="2" t="s">
        <v>431</v>
      </c>
      <c r="B421" s="4" t="s">
        <v>1530</v>
      </c>
      <c r="C421" s="4" t="s">
        <v>543</v>
      </c>
      <c r="D421" s="4" t="s">
        <v>565</v>
      </c>
      <c r="E421" s="4" t="s">
        <v>565</v>
      </c>
      <c r="F421" s="4" t="s">
        <v>566</v>
      </c>
      <c r="G421" s="14">
        <v>101.54</v>
      </c>
      <c r="H421" s="10">
        <v>13.291926999999999</v>
      </c>
      <c r="I421" s="10">
        <v>23.360717000000001</v>
      </c>
      <c r="J421" s="10">
        <v>18.376128000000001</v>
      </c>
      <c r="K421" s="15">
        <v>3.0331999999999998E-2</v>
      </c>
      <c r="L421" s="17">
        <v>98716.687611000001</v>
      </c>
      <c r="M421" s="4" t="s">
        <v>1531</v>
      </c>
      <c r="N421" s="19">
        <v>4.3466129999999996</v>
      </c>
      <c r="O421" s="19">
        <v>5.9795999999999996</v>
      </c>
      <c r="P421" s="19">
        <v>3.605731</v>
      </c>
      <c r="Q421" s="19">
        <v>4.6287000000000003</v>
      </c>
      <c r="R421" s="19">
        <v>3.4779620000000002</v>
      </c>
      <c r="S421" s="19">
        <v>3.5226999999999999</v>
      </c>
      <c r="T421" s="19">
        <v>3.4779620000000002</v>
      </c>
      <c r="U421" s="19">
        <v>3.0630999999999999</v>
      </c>
      <c r="V421" s="19">
        <v>2.572222</v>
      </c>
      <c r="W421" s="19">
        <v>3.0369000000000002</v>
      </c>
      <c r="X421" s="19">
        <v>2.572222</v>
      </c>
      <c r="Y421" s="19">
        <v>3.0369000000000002</v>
      </c>
      <c r="Z421" s="4"/>
      <c r="AA421" s="4"/>
      <c r="AB421" s="4" t="e">
        <f ca="1">_xll.ciqfunctions.udf.CIQ("^SPX", "IQ_PRICEDATE", "8/24/2015")</f>
        <v>#NAME?</v>
      </c>
      <c r="AC421" s="16">
        <v>1893.2139388332</v>
      </c>
    </row>
    <row r="422" spans="1:29" x14ac:dyDescent="0.35">
      <c r="A422" s="2" t="s">
        <v>432</v>
      </c>
      <c r="B422" s="4" t="s">
        <v>1532</v>
      </c>
      <c r="C422" s="4" t="s">
        <v>525</v>
      </c>
      <c r="D422" s="4" t="s">
        <v>526</v>
      </c>
      <c r="E422" s="4" t="s">
        <v>703</v>
      </c>
      <c r="F422" s="4" t="s">
        <v>703</v>
      </c>
      <c r="G422" s="14">
        <v>64.78</v>
      </c>
      <c r="H422" s="10">
        <v>12.349684</v>
      </c>
      <c r="I422" s="10">
        <v>36.645721999999999</v>
      </c>
      <c r="J422" s="10">
        <v>5.110741</v>
      </c>
      <c r="K422" s="15">
        <v>1.2339999999999999E-3</v>
      </c>
      <c r="L422" s="17">
        <v>16092.053631999999</v>
      </c>
      <c r="M422" s="4" t="s">
        <v>1533</v>
      </c>
      <c r="N422" s="19">
        <v>1.7677369999999999</v>
      </c>
      <c r="O422" s="19">
        <v>3.4117999999999999</v>
      </c>
      <c r="P422" s="19">
        <v>1.1399999999999999</v>
      </c>
      <c r="Q422" s="19">
        <v>2.6858</v>
      </c>
      <c r="R422" s="19">
        <v>3.09</v>
      </c>
      <c r="S422" s="19">
        <v>2.8826999999999998</v>
      </c>
      <c r="T422" s="19">
        <v>3.09</v>
      </c>
      <c r="U422" s="19">
        <v>2.7608000000000001</v>
      </c>
      <c r="V422" s="19">
        <v>1.9911080000000001</v>
      </c>
      <c r="W422" s="19">
        <v>2.4639000000000002</v>
      </c>
      <c r="X422" s="19">
        <v>1.9911080000000001</v>
      </c>
      <c r="Y422" s="19">
        <v>2.4639000000000002</v>
      </c>
      <c r="Z422" s="4"/>
      <c r="AA422" s="4"/>
      <c r="AB422" s="4" t="e">
        <f ca="1">_xll.ciqfunctions.udf.CIQ("^SPX", "IQ_PRICEDATE", "8/25/2015")</f>
        <v>#NAME?</v>
      </c>
      <c r="AC422" s="16">
        <v>1867.6109248626999</v>
      </c>
    </row>
    <row r="423" spans="1:29" x14ac:dyDescent="0.35">
      <c r="A423" s="2" t="s">
        <v>433</v>
      </c>
      <c r="B423" s="4" t="s">
        <v>1534</v>
      </c>
      <c r="C423" s="4" t="s">
        <v>619</v>
      </c>
      <c r="D423" s="4" t="s">
        <v>619</v>
      </c>
      <c r="E423" s="4" t="s">
        <v>1354</v>
      </c>
      <c r="F423" s="4" t="s">
        <v>1355</v>
      </c>
      <c r="G423" s="14">
        <v>15.08</v>
      </c>
      <c r="H423" s="10">
        <v>8.4477840000000004</v>
      </c>
      <c r="I423" s="10">
        <v>40.654460999999998</v>
      </c>
      <c r="J423" s="10">
        <v>5.2256970000000003</v>
      </c>
      <c r="K423" s="15">
        <v>3.4481999999999999E-2</v>
      </c>
      <c r="L423" s="17">
        <v>9978.1866669999999</v>
      </c>
      <c r="M423" s="4" t="s">
        <v>1535</v>
      </c>
      <c r="N423" s="19">
        <v>0.37093100000000001</v>
      </c>
      <c r="O423" s="19">
        <v>1.3411</v>
      </c>
      <c r="P423" s="19">
        <v>-0.77</v>
      </c>
      <c r="Q423" s="19">
        <v>1.2398</v>
      </c>
      <c r="R423" s="19">
        <v>-0.04</v>
      </c>
      <c r="S423" s="19">
        <v>1.252</v>
      </c>
      <c r="T423" s="19">
        <v>-0.04</v>
      </c>
      <c r="U423" s="19">
        <v>1.2125999999999999</v>
      </c>
      <c r="V423" s="19">
        <v>0.97</v>
      </c>
      <c r="W423" s="19">
        <v>1.2941</v>
      </c>
      <c r="X423" s="19">
        <v>0.97</v>
      </c>
      <c r="Y423" s="19">
        <v>1.2941</v>
      </c>
      <c r="Z423" s="4"/>
      <c r="AA423" s="4"/>
      <c r="AB423" s="4" t="e">
        <f ca="1">_xll.ciqfunctions.udf.CIQ("^SPX", "IQ_PRICEDATE", "8/26/2015")</f>
        <v>#NAME?</v>
      </c>
      <c r="AC423" s="16">
        <v>1940.5107172512</v>
      </c>
    </row>
    <row r="424" spans="1:29" x14ac:dyDescent="0.35">
      <c r="A424" s="2" t="s">
        <v>434</v>
      </c>
      <c r="B424" s="4" t="s">
        <v>1536</v>
      </c>
      <c r="C424" s="4" t="s">
        <v>573</v>
      </c>
      <c r="D424" s="4" t="s">
        <v>579</v>
      </c>
      <c r="E424" s="4" t="s">
        <v>579</v>
      </c>
      <c r="F424" s="4" t="s">
        <v>842</v>
      </c>
      <c r="G424" s="14">
        <v>95.75</v>
      </c>
      <c r="H424" s="10">
        <v>7.9077229999999998</v>
      </c>
      <c r="I424" s="10">
        <v>10.059168</v>
      </c>
      <c r="J424" s="10">
        <v>1.8381879999999999</v>
      </c>
      <c r="K424" s="15">
        <v>1.9216E-2</v>
      </c>
      <c r="L424" s="17">
        <v>33151.747990999997</v>
      </c>
      <c r="M424" s="4" t="s">
        <v>1537</v>
      </c>
      <c r="N424" s="19">
        <v>9.5186790000000006</v>
      </c>
      <c r="O424" s="19">
        <v>8.8592999999999993</v>
      </c>
      <c r="P424" s="19">
        <v>8.36</v>
      </c>
      <c r="Q424" s="19">
        <v>6.9157000000000002</v>
      </c>
      <c r="R424" s="19">
        <v>4.67</v>
      </c>
      <c r="S424" s="19">
        <v>5.8446999999999996</v>
      </c>
      <c r="T424" s="19">
        <v>4.67</v>
      </c>
      <c r="U424" s="19">
        <v>5.1920000000000002</v>
      </c>
      <c r="V424" s="19">
        <v>6.27</v>
      </c>
      <c r="W424" s="19">
        <v>5.6212</v>
      </c>
      <c r="X424" s="19">
        <v>6.27</v>
      </c>
      <c r="Y424" s="19">
        <v>5.6212</v>
      </c>
      <c r="Z424" s="4"/>
      <c r="AA424" s="4"/>
      <c r="AB424" s="4" t="e">
        <f ca="1">_xll.ciqfunctions.udf.CIQ("^SPX", "IQ_PRICEDATE", "8/27/2015")</f>
        <v>#NAME?</v>
      </c>
      <c r="AC424" s="16">
        <v>1987.6624923115</v>
      </c>
    </row>
    <row r="425" spans="1:29" x14ac:dyDescent="0.35">
      <c r="A425" s="2" t="s">
        <v>435</v>
      </c>
      <c r="B425" s="4" t="s">
        <v>1538</v>
      </c>
      <c r="C425" s="4" t="s">
        <v>573</v>
      </c>
      <c r="D425" s="4" t="s">
        <v>574</v>
      </c>
      <c r="E425" s="4" t="s">
        <v>575</v>
      </c>
      <c r="F425" s="4" t="s">
        <v>576</v>
      </c>
      <c r="G425" s="14">
        <v>49.15</v>
      </c>
      <c r="H425" s="10">
        <v>0</v>
      </c>
      <c r="I425" s="10">
        <v>11.81385</v>
      </c>
      <c r="J425" s="10">
        <v>3.1329940000000001</v>
      </c>
      <c r="K425" s="15">
        <v>2.2787000000000002E-2</v>
      </c>
      <c r="L425" s="17">
        <v>49147.276450999998</v>
      </c>
      <c r="M425" s="4" t="s">
        <v>1539</v>
      </c>
      <c r="N425" s="19">
        <v>4.1603709999999996</v>
      </c>
      <c r="O425" s="19">
        <v>4.2137000000000002</v>
      </c>
      <c r="P425" s="19">
        <v>3.72</v>
      </c>
      <c r="Q425" s="19">
        <v>3.8774999999999999</v>
      </c>
      <c r="R425" s="19">
        <v>3.15</v>
      </c>
      <c r="S425" s="19">
        <v>3.4152</v>
      </c>
      <c r="T425" s="19">
        <v>3.15</v>
      </c>
      <c r="U425" s="19">
        <v>2.9577</v>
      </c>
      <c r="V425" s="19">
        <v>2.15</v>
      </c>
      <c r="W425" s="19">
        <v>2.5171000000000001</v>
      </c>
      <c r="X425" s="19">
        <v>2.15</v>
      </c>
      <c r="Y425" s="19">
        <v>2.5171000000000001</v>
      </c>
      <c r="Z425" s="4"/>
      <c r="AA425" s="4"/>
      <c r="AB425" s="4" t="e">
        <f ca="1">_xll.ciqfunctions.udf.CIQ("^SPX", "IQ_PRICEDATE", "8/28/2015")</f>
        <v>#NAME?</v>
      </c>
      <c r="AC425" s="16">
        <v>1988.8714072271</v>
      </c>
    </row>
    <row r="426" spans="1:29" x14ac:dyDescent="0.35">
      <c r="A426" s="2" t="s">
        <v>436</v>
      </c>
      <c r="B426" s="4" t="s">
        <v>1540</v>
      </c>
      <c r="C426" s="4" t="s">
        <v>525</v>
      </c>
      <c r="D426" s="4" t="s">
        <v>526</v>
      </c>
      <c r="E426" s="4" t="s">
        <v>703</v>
      </c>
      <c r="F426" s="4" t="s">
        <v>703</v>
      </c>
      <c r="G426" s="14">
        <v>365.5</v>
      </c>
      <c r="H426" s="10">
        <v>16.268211999999998</v>
      </c>
      <c r="I426" s="10">
        <v>22.956282999999999</v>
      </c>
      <c r="J426" s="10" t="s">
        <v>534</v>
      </c>
      <c r="K426" s="15">
        <v>1.8713999999999998E-2</v>
      </c>
      <c r="L426" s="17">
        <v>209982.78876699999</v>
      </c>
      <c r="M426" s="4" t="s">
        <v>1541</v>
      </c>
      <c r="N426" s="19">
        <v>15.921567</v>
      </c>
      <c r="O426" s="19">
        <v>15.833299999999999</v>
      </c>
      <c r="P426" s="19">
        <v>13.43</v>
      </c>
      <c r="Q426" s="19">
        <v>10.849</v>
      </c>
      <c r="R426" s="19">
        <v>7.61</v>
      </c>
      <c r="S426" s="19">
        <v>9.0985999999999994</v>
      </c>
      <c r="T426" s="19">
        <v>7.61</v>
      </c>
      <c r="U426" s="19">
        <v>9.1153999999999993</v>
      </c>
      <c r="V426" s="19">
        <v>7.38</v>
      </c>
      <c r="W426" s="19">
        <v>8.4928000000000008</v>
      </c>
      <c r="X426" s="19">
        <v>7.38</v>
      </c>
      <c r="Y426" s="19">
        <v>8.4928000000000008</v>
      </c>
      <c r="Z426" s="4"/>
      <c r="AA426" s="4"/>
      <c r="AB426" s="4" t="e">
        <f ca="1">_xll.ciqfunctions.udf.CIQ("^SPX", "IQ_PRICEDATE", "8/31/2015")</f>
        <v>#NAME?</v>
      </c>
      <c r="AC426" s="16">
        <v>1972.1846887109</v>
      </c>
    </row>
    <row r="427" spans="1:29" x14ac:dyDescent="0.35">
      <c r="A427" s="2" t="s">
        <v>437</v>
      </c>
      <c r="B427" s="4" t="s">
        <v>1542</v>
      </c>
      <c r="C427" s="4" t="s">
        <v>573</v>
      </c>
      <c r="D427" s="4" t="s">
        <v>574</v>
      </c>
      <c r="E427" s="4" t="s">
        <v>575</v>
      </c>
      <c r="F427" s="4" t="s">
        <v>963</v>
      </c>
      <c r="G427" s="14">
        <v>48.04</v>
      </c>
      <c r="H427" s="10">
        <v>0</v>
      </c>
      <c r="I427" s="10">
        <v>21.928412999999999</v>
      </c>
      <c r="J427" s="10">
        <v>3.1202899999999998</v>
      </c>
      <c r="K427" s="15">
        <v>1.0824E-2</v>
      </c>
      <c r="L427" s="17">
        <v>64905.056095</v>
      </c>
      <c r="M427" s="4" t="s">
        <v>1543</v>
      </c>
      <c r="N427" s="19">
        <v>2.1907649999999999</v>
      </c>
      <c r="O427" s="19">
        <v>2.7970000000000002</v>
      </c>
      <c r="P427" s="19">
        <v>1.61</v>
      </c>
      <c r="Q427" s="19">
        <v>1.8414999999999999</v>
      </c>
      <c r="R427" s="19">
        <v>1.31</v>
      </c>
      <c r="S427" s="19">
        <v>1.5119</v>
      </c>
      <c r="T427" s="19">
        <v>1.31</v>
      </c>
      <c r="U427" s="19">
        <v>1.2218</v>
      </c>
      <c r="V427" s="19">
        <v>0.95</v>
      </c>
      <c r="W427" s="19">
        <v>1.0673999999999999</v>
      </c>
      <c r="X427" s="19">
        <v>0.95</v>
      </c>
      <c r="Y427" s="19">
        <v>1.0673999999999999</v>
      </c>
      <c r="Z427" s="4"/>
      <c r="AA427" s="4"/>
      <c r="AB427" s="4" t="e">
        <f ca="1">_xll.ciqfunctions.udf.CIQ("^SPX", "IQ_PRICEDATE", "9/1/2015")</f>
        <v>#NAME?</v>
      </c>
      <c r="AC427" s="16">
        <v>1913.8526947388</v>
      </c>
    </row>
    <row r="428" spans="1:29" x14ac:dyDescent="0.35">
      <c r="A428" s="2" t="s">
        <v>438</v>
      </c>
      <c r="B428" s="4" t="s">
        <v>1544</v>
      </c>
      <c r="C428" s="4" t="s">
        <v>626</v>
      </c>
      <c r="D428" s="4" t="s">
        <v>845</v>
      </c>
      <c r="E428" s="4" t="s">
        <v>846</v>
      </c>
      <c r="F428" s="4" t="s">
        <v>846</v>
      </c>
      <c r="G428" s="14">
        <v>149.43</v>
      </c>
      <c r="H428" s="10">
        <v>16.537621000000001</v>
      </c>
      <c r="I428" s="10">
        <v>23.870607</v>
      </c>
      <c r="J428" s="10" t="s">
        <v>534</v>
      </c>
      <c r="K428" s="15">
        <v>2.5697000000000001E-2</v>
      </c>
      <c r="L428" s="17">
        <v>19080.757345000002</v>
      </c>
      <c r="M428" s="4" t="s">
        <v>1545</v>
      </c>
      <c r="N428" s="19">
        <v>6.26</v>
      </c>
      <c r="O428" s="19">
        <v>6.4449699999999996</v>
      </c>
      <c r="P428" s="19">
        <v>6.0693510000000002</v>
      </c>
      <c r="Q428" s="19">
        <v>5.6807999999999996</v>
      </c>
      <c r="R428" s="19">
        <v>4.9698950000000002</v>
      </c>
      <c r="S428" s="19">
        <v>5.4089999999999998</v>
      </c>
      <c r="T428" s="19">
        <v>4.9698950000000002</v>
      </c>
      <c r="U428" s="19">
        <v>4.9394</v>
      </c>
      <c r="V428" s="19">
        <v>4.5105890000000004</v>
      </c>
      <c r="W428" s="19">
        <v>4.5160999999999998</v>
      </c>
      <c r="X428" s="19">
        <v>4.5105890000000004</v>
      </c>
      <c r="Y428" s="19">
        <v>4.5160999999999998</v>
      </c>
      <c r="Z428" s="4"/>
      <c r="AA428" s="4"/>
      <c r="AB428" s="4" t="e">
        <f ca="1">_xll.ciqfunctions.udf.CIQ("^SPX", "IQ_PRICEDATE", "9/2/2015")</f>
        <v>#NAME?</v>
      </c>
      <c r="AC428" s="16">
        <v>1948.8626025962999</v>
      </c>
    </row>
    <row r="429" spans="1:29" x14ac:dyDescent="0.35">
      <c r="A429" s="2" t="s">
        <v>439</v>
      </c>
      <c r="B429" s="4" t="s">
        <v>1546</v>
      </c>
      <c r="C429" s="4" t="s">
        <v>626</v>
      </c>
      <c r="D429" s="4" t="s">
        <v>627</v>
      </c>
      <c r="E429" s="4" t="s">
        <v>775</v>
      </c>
      <c r="F429" s="4" t="s">
        <v>1298</v>
      </c>
      <c r="G429" s="14">
        <v>45.86</v>
      </c>
      <c r="H429" s="10">
        <v>18.702285</v>
      </c>
      <c r="I429" s="10">
        <v>90.363106999999999</v>
      </c>
      <c r="J429" s="10">
        <v>133.49945500000001</v>
      </c>
      <c r="K429" s="15">
        <v>3.4016000000000005E-2</v>
      </c>
      <c r="L429" s="17">
        <v>195039.023419</v>
      </c>
      <c r="M429" s="4" t="s">
        <v>1547</v>
      </c>
      <c r="N429" s="19">
        <v>0.50750799999999996</v>
      </c>
      <c r="O429" s="19">
        <v>2.1431</v>
      </c>
      <c r="P429" s="19">
        <v>0.26849200000000001</v>
      </c>
      <c r="Q429" s="19">
        <v>1.9507000000000001</v>
      </c>
      <c r="R429" s="19">
        <v>1.49</v>
      </c>
      <c r="S429" s="19">
        <v>1.9345000000000001</v>
      </c>
      <c r="T429" s="19">
        <v>1.49</v>
      </c>
      <c r="U429" s="19">
        <v>2.0082</v>
      </c>
      <c r="V429" s="19">
        <v>1.6</v>
      </c>
      <c r="W429" s="19">
        <v>2.0051000000000001</v>
      </c>
      <c r="X429" s="19">
        <v>1.6</v>
      </c>
      <c r="Y429" s="19">
        <v>2.0051000000000001</v>
      </c>
      <c r="Z429" s="4"/>
      <c r="AA429" s="4"/>
      <c r="AB429" s="4" t="e">
        <f ca="1">_xll.ciqfunctions.udf.CIQ("^SPX", "IQ_PRICEDATE", "9/3/2015")</f>
        <v>#NAME?</v>
      </c>
      <c r="AC429" s="16">
        <v>1951.1277803734999</v>
      </c>
    </row>
    <row r="430" spans="1:29" x14ac:dyDescent="0.35">
      <c r="A430" s="2" t="s">
        <v>440</v>
      </c>
      <c r="B430" s="4" t="s">
        <v>1548</v>
      </c>
      <c r="C430" s="4" t="s">
        <v>530</v>
      </c>
      <c r="D430" s="4" t="s">
        <v>531</v>
      </c>
      <c r="E430" s="4" t="s">
        <v>532</v>
      </c>
      <c r="F430" s="4" t="s">
        <v>608</v>
      </c>
      <c r="G430" s="14">
        <v>264.27999999999997</v>
      </c>
      <c r="H430" s="10">
        <v>19.112124000000001</v>
      </c>
      <c r="I430" s="10">
        <v>102.52654099999999</v>
      </c>
      <c r="J430" s="10" t="s">
        <v>534</v>
      </c>
      <c r="K430" s="15">
        <v>2.2700000000000002E-4</v>
      </c>
      <c r="L430" s="17">
        <v>12986.635158999999</v>
      </c>
      <c r="M430" s="4" t="s">
        <v>1549</v>
      </c>
      <c r="N430" s="19">
        <v>2.577674</v>
      </c>
      <c r="O430" s="19">
        <v>11.926</v>
      </c>
      <c r="P430" s="19">
        <v>7.52</v>
      </c>
      <c r="Q430" s="19">
        <v>11.5067</v>
      </c>
      <c r="R430" s="19">
        <v>5.59</v>
      </c>
      <c r="S430" s="19">
        <v>9.1911199999999997</v>
      </c>
      <c r="T430" s="19">
        <v>5.59</v>
      </c>
      <c r="U430" s="19">
        <v>7.7448600000000001</v>
      </c>
      <c r="V430" s="19">
        <v>5.51</v>
      </c>
      <c r="W430" s="19">
        <v>7.5372700000000004</v>
      </c>
      <c r="X430" s="19">
        <v>5.51</v>
      </c>
      <c r="Y430" s="19">
        <v>7.5372700000000004</v>
      </c>
      <c r="Z430" s="4"/>
      <c r="AA430" s="4"/>
      <c r="AB430" s="4" t="e">
        <f ca="1">_xll.ciqfunctions.udf.CIQ("^SPX", "IQ_PRICEDATE", "9/4/2015")</f>
        <v>#NAME?</v>
      </c>
      <c r="AC430" s="16">
        <v>1921.2244033136001</v>
      </c>
    </row>
    <row r="431" spans="1:29" x14ac:dyDescent="0.35">
      <c r="A431" s="2" t="s">
        <v>441</v>
      </c>
      <c r="B431" s="4" t="s">
        <v>1550</v>
      </c>
      <c r="C431" s="4" t="s">
        <v>626</v>
      </c>
      <c r="D431" s="4" t="s">
        <v>845</v>
      </c>
      <c r="E431" s="4" t="s">
        <v>898</v>
      </c>
      <c r="F431" s="4" t="s">
        <v>898</v>
      </c>
      <c r="G431" s="14">
        <v>128.82</v>
      </c>
      <c r="H431" s="10">
        <v>17.230432</v>
      </c>
      <c r="I431" s="10">
        <v>43.667796000000003</v>
      </c>
      <c r="J431" s="10">
        <v>31.827508999999999</v>
      </c>
      <c r="K431" s="15">
        <v>1.1798999999999999E-2</v>
      </c>
      <c r="L431" s="17">
        <v>47204.676488999998</v>
      </c>
      <c r="M431" s="4" t="s">
        <v>1551</v>
      </c>
      <c r="N431" s="19">
        <v>2.95</v>
      </c>
      <c r="O431" s="19">
        <v>4.7648099999999998</v>
      </c>
      <c r="P431" s="19">
        <v>2.8703150000000002</v>
      </c>
      <c r="Q431" s="19">
        <v>4.2493999999999996</v>
      </c>
      <c r="R431" s="19">
        <v>2.8938329999999999</v>
      </c>
      <c r="S431" s="19">
        <v>3.4948000000000001</v>
      </c>
      <c r="T431" s="19">
        <v>2.8938329999999999</v>
      </c>
      <c r="U431" s="19">
        <v>3.2808000000000002</v>
      </c>
      <c r="V431" s="19">
        <v>2.9039860000000002</v>
      </c>
      <c r="W431" s="19">
        <v>3.0964</v>
      </c>
      <c r="X431" s="19">
        <v>2.9039860000000002</v>
      </c>
      <c r="Y431" s="19">
        <v>3.0964</v>
      </c>
      <c r="Z431" s="4"/>
      <c r="AA431" s="4"/>
      <c r="AB431" s="4" t="e">
        <f ca="1">_xll.ciqfunctions.udf.CIQ("^SPX", "IQ_PRICEDATE", "9/8/2015")</f>
        <v>#NAME?</v>
      </c>
      <c r="AC431" s="16">
        <v>1969.4145121332001</v>
      </c>
    </row>
    <row r="432" spans="1:29" x14ac:dyDescent="0.35">
      <c r="A432" s="2" t="s">
        <v>442</v>
      </c>
      <c r="B432" s="4" t="s">
        <v>1552</v>
      </c>
      <c r="C432" s="4" t="s">
        <v>559</v>
      </c>
      <c r="D432" s="4" t="s">
        <v>560</v>
      </c>
      <c r="E432" s="4" t="s">
        <v>561</v>
      </c>
      <c r="F432" s="4" t="s">
        <v>1051</v>
      </c>
      <c r="G432" s="14">
        <v>27.13</v>
      </c>
      <c r="H432" s="10">
        <v>5.1922379999999997</v>
      </c>
      <c r="I432" s="10">
        <v>11.899122</v>
      </c>
      <c r="J432" s="10">
        <v>3.1272600000000002</v>
      </c>
      <c r="K432" s="15">
        <v>3.5753E-2</v>
      </c>
      <c r="L432" s="17">
        <v>10437.135745</v>
      </c>
      <c r="M432" s="4" t="s">
        <v>1553</v>
      </c>
      <c r="N432" s="19">
        <v>2.2799999999999998</v>
      </c>
      <c r="O432" s="19">
        <v>2.6046999999999998</v>
      </c>
      <c r="P432" s="19">
        <v>2.1695669999999998</v>
      </c>
      <c r="Q432" s="19">
        <v>2.1579000000000002</v>
      </c>
      <c r="R432" s="19">
        <v>1.6796</v>
      </c>
      <c r="S432" s="19">
        <v>2.0004</v>
      </c>
      <c r="T432" s="19">
        <v>1.6796</v>
      </c>
      <c r="U432" s="19">
        <v>2.3855</v>
      </c>
      <c r="V432" s="19">
        <v>2.7887849999999998</v>
      </c>
      <c r="W432" s="19">
        <v>2.9359999999999999</v>
      </c>
      <c r="X432" s="19">
        <v>2.7887849999999998</v>
      </c>
      <c r="Y432" s="19">
        <v>2.9359999999999999</v>
      </c>
      <c r="Z432" s="4"/>
      <c r="AA432" s="4"/>
      <c r="AB432" s="4" t="e">
        <f ca="1">_xll.ciqfunctions.udf.CIQ("^SPX", "IQ_PRICEDATE", "9/9/2015")</f>
        <v>#NAME?</v>
      </c>
      <c r="AC432" s="16">
        <v>1942.0378135220001</v>
      </c>
    </row>
    <row r="433" spans="1:29" x14ac:dyDescent="0.35">
      <c r="A433" s="2" t="s">
        <v>443</v>
      </c>
      <c r="B433" s="4" t="s">
        <v>1554</v>
      </c>
      <c r="C433" s="4" t="s">
        <v>573</v>
      </c>
      <c r="D433" s="4" t="s">
        <v>574</v>
      </c>
      <c r="E433" s="4" t="s">
        <v>575</v>
      </c>
      <c r="F433" s="4" t="s">
        <v>963</v>
      </c>
      <c r="G433" s="14">
        <v>228.28</v>
      </c>
      <c r="H433" s="10">
        <v>0</v>
      </c>
      <c r="I433" s="10">
        <v>16.653438999999999</v>
      </c>
      <c r="J433" s="10">
        <v>1.16072</v>
      </c>
      <c r="K433" s="15">
        <v>1.4017E-2</v>
      </c>
      <c r="L433" s="17">
        <v>86188.535271000001</v>
      </c>
      <c r="M433" s="4" t="s">
        <v>1555</v>
      </c>
      <c r="N433" s="19">
        <v>13.707679000000001</v>
      </c>
      <c r="O433" s="19">
        <v>24.1952</v>
      </c>
      <c r="P433" s="19">
        <v>9.0075769999999995</v>
      </c>
      <c r="Q433" s="19">
        <v>19.676500000000001</v>
      </c>
      <c r="R433" s="19">
        <v>16.288208999999998</v>
      </c>
      <c r="S433" s="19">
        <v>17.8263</v>
      </c>
      <c r="T433" s="19">
        <v>16.288208999999998</v>
      </c>
      <c r="U433" s="19">
        <v>18.084700000000002</v>
      </c>
      <c r="V433" s="19">
        <v>17.068892000000002</v>
      </c>
      <c r="W433" s="19">
        <v>16.5594</v>
      </c>
      <c r="X433" s="19">
        <v>17.068892000000002</v>
      </c>
      <c r="Y433" s="19">
        <v>16.5594</v>
      </c>
      <c r="Z433" s="4"/>
      <c r="AA433" s="4"/>
      <c r="AB433" s="4" t="e">
        <f ca="1">_xll.ciqfunctions.udf.CIQ("^SPX", "IQ_PRICEDATE", "9/10/2015")</f>
        <v>#NAME?</v>
      </c>
      <c r="AC433" s="16">
        <v>1952.2868084032</v>
      </c>
    </row>
    <row r="434" spans="1:29" x14ac:dyDescent="0.35">
      <c r="A434" s="2" t="s">
        <v>444</v>
      </c>
      <c r="B434" s="4" t="s">
        <v>1556</v>
      </c>
      <c r="C434" s="4" t="s">
        <v>559</v>
      </c>
      <c r="D434" s="4" t="s">
        <v>694</v>
      </c>
      <c r="E434" s="4" t="s">
        <v>695</v>
      </c>
      <c r="F434" s="4" t="s">
        <v>1557</v>
      </c>
      <c r="G434" s="14">
        <v>21.45</v>
      </c>
      <c r="H434" s="10">
        <v>5.3609790000000004</v>
      </c>
      <c r="I434" s="10">
        <v>19.983733000000001</v>
      </c>
      <c r="J434" s="10">
        <v>1.2959430000000001</v>
      </c>
      <c r="K434" s="15">
        <v>2.9836000000000001E-2</v>
      </c>
      <c r="L434" s="17">
        <v>5083.9877299999998</v>
      </c>
      <c r="M434" s="4" t="s">
        <v>1558</v>
      </c>
      <c r="N434" s="19">
        <v>1.0733729999999999</v>
      </c>
      <c r="O434" s="19">
        <v>3.2141000000000002</v>
      </c>
      <c r="P434" s="19">
        <v>1.37</v>
      </c>
      <c r="Q434" s="19">
        <v>3.4752999999999998</v>
      </c>
      <c r="R434" s="19">
        <v>4.74</v>
      </c>
      <c r="S434" s="19">
        <v>4.1307</v>
      </c>
      <c r="T434" s="19">
        <v>4.74</v>
      </c>
      <c r="U434" s="19">
        <v>3.7967</v>
      </c>
      <c r="V434" s="19">
        <v>8.7885299999999997</v>
      </c>
      <c r="W434" s="19">
        <v>3.0832999999999999</v>
      </c>
      <c r="X434" s="19">
        <v>8.7885299999999997</v>
      </c>
      <c r="Y434" s="19">
        <v>3.0832999999999999</v>
      </c>
      <c r="Z434" s="4"/>
      <c r="AA434" s="4"/>
      <c r="AB434" s="4" t="e">
        <f ca="1">_xll.ciqfunctions.udf.CIQ("^SPX", "IQ_PRICEDATE", "9/11/2015")</f>
        <v>#NAME?</v>
      </c>
      <c r="AC434" s="16">
        <v>1961.0456719107001</v>
      </c>
    </row>
    <row r="435" spans="1:29" x14ac:dyDescent="0.35">
      <c r="A435" s="2" t="s">
        <v>445</v>
      </c>
      <c r="B435" s="4" t="s">
        <v>1559</v>
      </c>
      <c r="C435" s="4" t="s">
        <v>573</v>
      </c>
      <c r="D435" s="4" t="s">
        <v>579</v>
      </c>
      <c r="E435" s="4" t="s">
        <v>579</v>
      </c>
      <c r="F435" s="4" t="s">
        <v>644</v>
      </c>
      <c r="G435" s="14">
        <v>46.76</v>
      </c>
      <c r="H435" s="10">
        <v>8.8489000000000004</v>
      </c>
      <c r="I435" s="10">
        <v>37.314295999999999</v>
      </c>
      <c r="J435" s="10">
        <v>1.582778</v>
      </c>
      <c r="K435" s="15">
        <v>2.5661999999999997E-2</v>
      </c>
      <c r="L435" s="17">
        <v>16759.677958</v>
      </c>
      <c r="M435" s="4" t="s">
        <v>1560</v>
      </c>
      <c r="N435" s="19">
        <v>1.253139</v>
      </c>
      <c r="O435" s="19">
        <v>4.7042999999999999</v>
      </c>
      <c r="P435" s="19">
        <v>-0.72037300000000004</v>
      </c>
      <c r="Q435" s="19">
        <v>3.7298</v>
      </c>
      <c r="R435" s="19">
        <v>1.55</v>
      </c>
      <c r="S435" s="19">
        <v>3.8207</v>
      </c>
      <c r="T435" s="19">
        <v>1.55</v>
      </c>
      <c r="U435" s="19">
        <v>3.8062</v>
      </c>
      <c r="V435" s="19">
        <v>2.93</v>
      </c>
      <c r="W435" s="19">
        <v>3.6341999999999999</v>
      </c>
      <c r="X435" s="19">
        <v>2.93</v>
      </c>
      <c r="Y435" s="19">
        <v>3.6341999999999999</v>
      </c>
      <c r="Z435" s="4"/>
      <c r="AA435" s="4"/>
      <c r="AB435" s="4" t="e">
        <f ca="1">_xll.ciqfunctions.udf.CIQ("^SPX", "IQ_PRICEDATE", "9/14/2015")</f>
        <v>#NAME?</v>
      </c>
      <c r="AC435" s="16">
        <v>1953.0260841301999</v>
      </c>
    </row>
    <row r="436" spans="1:29" x14ac:dyDescent="0.35">
      <c r="A436" s="2" t="s">
        <v>446</v>
      </c>
      <c r="B436" s="4" t="s">
        <v>1561</v>
      </c>
      <c r="C436" s="4" t="s">
        <v>626</v>
      </c>
      <c r="D436" s="4" t="s">
        <v>627</v>
      </c>
      <c r="E436" s="4" t="s">
        <v>699</v>
      </c>
      <c r="F436" s="4" t="s">
        <v>789</v>
      </c>
      <c r="G436" s="14">
        <v>105.19</v>
      </c>
      <c r="H436" s="10">
        <v>13.619052</v>
      </c>
      <c r="I436" s="10">
        <v>21.644304000000002</v>
      </c>
      <c r="J436" s="10" t="s">
        <v>534</v>
      </c>
      <c r="K436" s="15">
        <v>2.7454999999999997E-2</v>
      </c>
      <c r="L436" s="17">
        <v>22017.604175</v>
      </c>
      <c r="M436" s="4" t="s">
        <v>1562</v>
      </c>
      <c r="N436" s="19">
        <v>4.8599389999999998</v>
      </c>
      <c r="O436" s="19">
        <v>5.5034000000000001</v>
      </c>
      <c r="P436" s="19">
        <v>3.66</v>
      </c>
      <c r="Q436" s="19">
        <v>5.0721999999999996</v>
      </c>
      <c r="R436" s="19">
        <v>3.34</v>
      </c>
      <c r="S436" s="19">
        <v>4.5460000000000003</v>
      </c>
      <c r="T436" s="19">
        <v>3.34</v>
      </c>
      <c r="U436" s="19">
        <v>4.2995999999999999</v>
      </c>
      <c r="V436" s="19">
        <v>3.77</v>
      </c>
      <c r="W436" s="19">
        <v>4.3806000000000003</v>
      </c>
      <c r="X436" s="19">
        <v>3.77</v>
      </c>
      <c r="Y436" s="19">
        <v>4.3806000000000003</v>
      </c>
      <c r="Z436" s="4"/>
      <c r="AA436" s="4"/>
      <c r="AB436" s="4" t="e">
        <f ca="1">_xll.ciqfunctions.udf.CIQ("^SPX", "IQ_PRICEDATE", "9/15/2015")</f>
        <v>#NAME?</v>
      </c>
      <c r="AC436" s="16">
        <v>1978.0866505581</v>
      </c>
    </row>
    <row r="437" spans="1:29" x14ac:dyDescent="0.35">
      <c r="A437" s="2" t="s">
        <v>447</v>
      </c>
      <c r="B437" s="4" t="s">
        <v>1563</v>
      </c>
      <c r="C437" s="4" t="s">
        <v>559</v>
      </c>
      <c r="D437" s="4" t="s">
        <v>560</v>
      </c>
      <c r="E437" s="4" t="s">
        <v>561</v>
      </c>
      <c r="F437" s="4" t="s">
        <v>1235</v>
      </c>
      <c r="G437" s="14">
        <v>185.17</v>
      </c>
      <c r="H437" s="10">
        <v>13.549714</v>
      </c>
      <c r="I437" s="10">
        <v>21.832609000000001</v>
      </c>
      <c r="J437" s="10" t="s">
        <v>534</v>
      </c>
      <c r="K437" s="15">
        <v>2.2248999999999998E-2</v>
      </c>
      <c r="L437" s="17">
        <v>211860.06771599999</v>
      </c>
      <c r="M437" s="4" t="s">
        <v>1564</v>
      </c>
      <c r="N437" s="19">
        <v>8.4813500000000008</v>
      </c>
      <c r="O437" s="19">
        <v>9.9509000000000007</v>
      </c>
      <c r="P437" s="19">
        <v>7.1997479999999996</v>
      </c>
      <c r="Q437" s="19">
        <v>8.0988000000000007</v>
      </c>
      <c r="R437" s="19">
        <v>6.1596469999999997</v>
      </c>
      <c r="S437" s="19">
        <v>6.9504999999999999</v>
      </c>
      <c r="T437" s="19">
        <v>6.1596469999999997</v>
      </c>
      <c r="U437" s="19">
        <v>5.9935999999999998</v>
      </c>
      <c r="V437" s="19">
        <v>4.3822999999999999</v>
      </c>
      <c r="W437" s="19">
        <v>5.0602999999999998</v>
      </c>
      <c r="X437" s="19">
        <v>4.3822999999999999</v>
      </c>
      <c r="Y437" s="19">
        <v>5.0602999999999998</v>
      </c>
      <c r="Z437" s="4"/>
      <c r="AA437" s="4"/>
      <c r="AB437" s="4" t="e">
        <f ca="1">_xll.ciqfunctions.udf.CIQ("^SPX", "IQ_PRICEDATE", "9/16/2015")</f>
        <v>#NAME?</v>
      </c>
      <c r="AC437" s="16">
        <v>1995.3107086494999</v>
      </c>
    </row>
    <row r="438" spans="1:29" x14ac:dyDescent="0.35">
      <c r="A438" s="2" t="s">
        <v>448</v>
      </c>
      <c r="B438" s="4" t="s">
        <v>1565</v>
      </c>
      <c r="C438" s="4" t="s">
        <v>549</v>
      </c>
      <c r="D438" s="4" t="s">
        <v>550</v>
      </c>
      <c r="E438" s="4" t="s">
        <v>814</v>
      </c>
      <c r="F438" s="4" t="s">
        <v>1367</v>
      </c>
      <c r="G438" s="14">
        <v>22.2</v>
      </c>
      <c r="H438" s="10">
        <v>8.8184699999999996</v>
      </c>
      <c r="I438" s="10">
        <v>14.991481</v>
      </c>
      <c r="J438" s="10" t="s">
        <v>534</v>
      </c>
      <c r="K438" s="15">
        <v>3.7837000000000003E-2</v>
      </c>
      <c r="L438" s="17">
        <v>8520.0363240000006</v>
      </c>
      <c r="M438" s="4" t="s">
        <v>1566</v>
      </c>
      <c r="N438" s="19">
        <v>1.4808410000000001</v>
      </c>
      <c r="O438" s="19">
        <v>1.7865</v>
      </c>
      <c r="P438" s="19">
        <v>1.46</v>
      </c>
      <c r="Q438" s="19">
        <v>1.5042</v>
      </c>
      <c r="R438" s="19">
        <v>1.49</v>
      </c>
      <c r="S438" s="19">
        <v>1.3581000000000001</v>
      </c>
      <c r="T438" s="19">
        <v>1.49</v>
      </c>
      <c r="U438" s="19">
        <v>1.2754000000000001</v>
      </c>
      <c r="V438" s="19">
        <v>1.1200000000000001</v>
      </c>
      <c r="W438" s="19">
        <v>1.111</v>
      </c>
      <c r="X438" s="19">
        <v>1.1200000000000001</v>
      </c>
      <c r="Y438" s="19">
        <v>1.111</v>
      </c>
      <c r="Z438" s="4"/>
      <c r="AA438" s="4"/>
      <c r="AB438" s="4" t="e">
        <f ca="1">_xll.ciqfunctions.udf.CIQ("^SPX", "IQ_PRICEDATE", "9/17/2015")</f>
        <v>#NAME?</v>
      </c>
      <c r="AC438" s="16">
        <v>1990.2042737638001</v>
      </c>
    </row>
    <row r="439" spans="1:29" x14ac:dyDescent="0.35">
      <c r="A439" s="2" t="s">
        <v>449</v>
      </c>
      <c r="B439" s="4" t="s">
        <v>1567</v>
      </c>
      <c r="C439" s="4" t="s">
        <v>626</v>
      </c>
      <c r="D439" s="4" t="s">
        <v>627</v>
      </c>
      <c r="E439" s="4" t="s">
        <v>699</v>
      </c>
      <c r="F439" s="4" t="s">
        <v>789</v>
      </c>
      <c r="G439" s="14">
        <v>103.8</v>
      </c>
      <c r="H439" s="10">
        <v>11.016263</v>
      </c>
      <c r="I439" s="10">
        <v>8.7798149999999993</v>
      </c>
      <c r="J439" s="10" t="s">
        <v>534</v>
      </c>
      <c r="K439" s="15">
        <v>3.2754999999999999E-2</v>
      </c>
      <c r="L439" s="17">
        <v>11805.958728</v>
      </c>
      <c r="M439" s="4" t="s">
        <v>1568</v>
      </c>
      <c r="N439" s="19">
        <v>11.822571999999999</v>
      </c>
      <c r="O439" s="19">
        <v>8.4360999999999997</v>
      </c>
      <c r="P439" s="19">
        <v>4.9415750000000003</v>
      </c>
      <c r="Q439" s="19">
        <v>8.1940000000000008</v>
      </c>
      <c r="R439" s="19">
        <v>6.1326689999999999</v>
      </c>
      <c r="S439" s="19">
        <v>7.8440000000000003</v>
      </c>
      <c r="T439" s="19">
        <v>6.1326689999999999</v>
      </c>
      <c r="U439" s="19">
        <v>6.1154999999999999</v>
      </c>
      <c r="V439" s="19">
        <v>5.4619790000000004</v>
      </c>
      <c r="W439" s="19">
        <v>5.7008000000000001</v>
      </c>
      <c r="X439" s="19">
        <v>5.4619790000000004</v>
      </c>
      <c r="Y439" s="19">
        <v>5.7008000000000001</v>
      </c>
      <c r="Z439" s="4"/>
      <c r="AA439" s="4"/>
      <c r="AB439" s="4" t="e">
        <f ca="1">_xll.ciqfunctions.udf.CIQ("^SPX", "IQ_PRICEDATE", "9/18/2015")</f>
        <v>#NAME?</v>
      </c>
      <c r="AC439" s="16">
        <v>1958.0328294343999</v>
      </c>
    </row>
    <row r="440" spans="1:29" x14ac:dyDescent="0.35">
      <c r="A440" s="2" t="s">
        <v>450</v>
      </c>
      <c r="B440" s="4" t="s">
        <v>1569</v>
      </c>
      <c r="C440" s="4" t="s">
        <v>626</v>
      </c>
      <c r="D440" s="4" t="s">
        <v>627</v>
      </c>
      <c r="E440" s="4" t="s">
        <v>699</v>
      </c>
      <c r="F440" s="4" t="s">
        <v>789</v>
      </c>
      <c r="G440" s="14">
        <v>56.4</v>
      </c>
      <c r="H440" s="10">
        <v>12.288691</v>
      </c>
      <c r="I440" s="10">
        <v>6.4719179999999996</v>
      </c>
      <c r="J440" s="10" t="s">
        <v>534</v>
      </c>
      <c r="K440" s="15">
        <v>4.4325999999999997E-2</v>
      </c>
      <c r="L440" s="17">
        <v>68765.600227999996</v>
      </c>
      <c r="M440" s="4" t="s">
        <v>1570</v>
      </c>
      <c r="N440" s="19">
        <v>8.7145720000000004</v>
      </c>
      <c r="O440" s="19">
        <v>3.7258</v>
      </c>
      <c r="P440" s="19">
        <v>8.9499999999999993</v>
      </c>
      <c r="Q440" s="19">
        <v>3.8</v>
      </c>
      <c r="R440" s="19">
        <v>2.81</v>
      </c>
      <c r="S440" s="19">
        <v>3.7938999999999998</v>
      </c>
      <c r="T440" s="19">
        <v>2.81</v>
      </c>
      <c r="U440" s="19">
        <v>2.6663000000000001</v>
      </c>
      <c r="V440" s="19">
        <v>-0.17</v>
      </c>
      <c r="W440" s="19">
        <v>0</v>
      </c>
      <c r="X440" s="19">
        <v>-0.17</v>
      </c>
      <c r="Y440" s="19">
        <v>0</v>
      </c>
      <c r="Z440" s="4"/>
      <c r="AA440" s="4"/>
      <c r="AB440" s="4" t="e">
        <f ca="1">_xll.ciqfunctions.udf.CIQ("^SPX", "IQ_PRICEDATE", "9/21/2015")</f>
        <v>#NAME?</v>
      </c>
      <c r="AC440" s="16">
        <v>1966.9702715327001</v>
      </c>
    </row>
    <row r="441" spans="1:29" x14ac:dyDescent="0.35">
      <c r="A441" s="2" t="s">
        <v>451</v>
      </c>
      <c r="B441" s="4" t="s">
        <v>1571</v>
      </c>
      <c r="C441" s="4" t="s">
        <v>626</v>
      </c>
      <c r="D441" s="4" t="s">
        <v>894</v>
      </c>
      <c r="E441" s="4" t="s">
        <v>894</v>
      </c>
      <c r="F441" s="4" t="s">
        <v>1572</v>
      </c>
      <c r="G441" s="14">
        <v>27.29</v>
      </c>
      <c r="H441" s="10">
        <v>7.1209189999999998</v>
      </c>
      <c r="I441" s="10">
        <v>6.2582389999999997</v>
      </c>
      <c r="J441" s="10">
        <v>7.0870410000000001</v>
      </c>
      <c r="K441" s="15">
        <v>2.052E-2</v>
      </c>
      <c r="L441" s="17">
        <v>21761.557087000001</v>
      </c>
      <c r="M441" s="4" t="s">
        <v>1573</v>
      </c>
      <c r="N441" s="19">
        <v>4.3606509999999998</v>
      </c>
      <c r="O441" s="19">
        <v>2.1631</v>
      </c>
      <c r="P441" s="19">
        <v>1.6846129999999999</v>
      </c>
      <c r="Q441" s="19">
        <v>2.0297000000000001</v>
      </c>
      <c r="R441" s="19">
        <v>2.0807440000000001</v>
      </c>
      <c r="S441" s="19">
        <v>2.1358000000000001</v>
      </c>
      <c r="T441" s="19">
        <v>2.0807440000000001</v>
      </c>
      <c r="U441" s="19">
        <v>2.1724999999999999</v>
      </c>
      <c r="V441" s="19">
        <v>1.605483</v>
      </c>
      <c r="W441" s="19">
        <v>1.7989999999999999</v>
      </c>
      <c r="X441" s="19">
        <v>1.605483</v>
      </c>
      <c r="Y441" s="19">
        <v>1.7989999999999999</v>
      </c>
      <c r="Z441" s="4"/>
      <c r="AA441" s="4"/>
      <c r="AB441" s="4" t="e">
        <f ca="1">_xll.ciqfunctions.udf.CIQ("^SPX", "IQ_PRICEDATE", "9/22/2015")</f>
        <v>#NAME?</v>
      </c>
      <c r="AC441" s="16">
        <v>1942.7441268069999</v>
      </c>
    </row>
    <row r="442" spans="1:29" x14ac:dyDescent="0.35">
      <c r="A442" s="2" t="s">
        <v>452</v>
      </c>
      <c r="B442" s="4" t="s">
        <v>1574</v>
      </c>
      <c r="C442" s="4" t="s">
        <v>586</v>
      </c>
      <c r="D442" s="4" t="s">
        <v>586</v>
      </c>
      <c r="E442" s="4" t="s">
        <v>587</v>
      </c>
      <c r="F442" s="4" t="s">
        <v>830</v>
      </c>
      <c r="G442" s="14">
        <v>33.049999999999997</v>
      </c>
      <c r="H442" s="10">
        <v>11.300969</v>
      </c>
      <c r="I442" s="10" t="s">
        <v>534</v>
      </c>
      <c r="J442" s="10">
        <v>1.506122</v>
      </c>
      <c r="K442" s="15">
        <v>3.0249999999999999E-3</v>
      </c>
      <c r="L442" s="17">
        <v>12739.383</v>
      </c>
      <c r="M442" s="4" t="s">
        <v>1575</v>
      </c>
      <c r="N442" s="19">
        <v>-0.25414900000000001</v>
      </c>
      <c r="O442" s="19">
        <v>2.2004999999999999</v>
      </c>
      <c r="P442" s="19">
        <v>-0.31</v>
      </c>
      <c r="Q442" s="19">
        <v>1.0253000000000001</v>
      </c>
      <c r="R442" s="19">
        <v>0.849885</v>
      </c>
      <c r="S442" s="19">
        <v>0.85129999999999995</v>
      </c>
      <c r="T442" s="19">
        <v>0.849885</v>
      </c>
      <c r="U442" s="19">
        <v>2.5206</v>
      </c>
      <c r="V442" s="19">
        <v>2.68</v>
      </c>
      <c r="W442" s="19">
        <v>2.9106000000000001</v>
      </c>
      <c r="X442" s="19">
        <v>2.68</v>
      </c>
      <c r="Y442" s="19">
        <v>2.9106000000000001</v>
      </c>
      <c r="Z442" s="4"/>
      <c r="AA442" s="4"/>
      <c r="AB442" s="4" t="e">
        <f ca="1">_xll.ciqfunctions.udf.CIQ("^SPX", "IQ_PRICEDATE", "9/23/2015")</f>
        <v>#NAME?</v>
      </c>
      <c r="AC442" s="16">
        <v>1938.7592864579999</v>
      </c>
    </row>
    <row r="443" spans="1:29" x14ac:dyDescent="0.35">
      <c r="A443" s="2" t="s">
        <v>453</v>
      </c>
      <c r="B443" s="4" t="s">
        <v>1576</v>
      </c>
      <c r="C443" s="4" t="s">
        <v>573</v>
      </c>
      <c r="D443" s="4" t="s">
        <v>737</v>
      </c>
      <c r="E443" s="4" t="s">
        <v>737</v>
      </c>
      <c r="F443" s="4" t="s">
        <v>743</v>
      </c>
      <c r="G443" s="14">
        <v>127.33</v>
      </c>
      <c r="H443" s="10">
        <v>0</v>
      </c>
      <c r="I443" s="10">
        <v>10.470926</v>
      </c>
      <c r="J443" s="10">
        <v>1.55461</v>
      </c>
      <c r="K443" s="15">
        <v>2.9843000000000001E-2</v>
      </c>
      <c r="L443" s="17">
        <v>58826.46</v>
      </c>
      <c r="M443" s="4" t="s">
        <v>1577</v>
      </c>
      <c r="N443" s="19">
        <v>12.160337</v>
      </c>
      <c r="O443" s="19">
        <v>11.237299999999999</v>
      </c>
      <c r="P443" s="19">
        <v>10.364197000000001</v>
      </c>
      <c r="Q443" s="19">
        <v>9.1697000000000006</v>
      </c>
      <c r="R443" s="19">
        <v>7.3</v>
      </c>
      <c r="S443" s="19">
        <v>7.4806999999999997</v>
      </c>
      <c r="T443" s="19">
        <v>7.3</v>
      </c>
      <c r="U443" s="19">
        <v>7.1966000000000001</v>
      </c>
      <c r="V443" s="19">
        <v>7.2960890000000003</v>
      </c>
      <c r="W443" s="19">
        <v>7.0872000000000002</v>
      </c>
      <c r="X443" s="19">
        <v>7.2960890000000003</v>
      </c>
      <c r="Y443" s="19">
        <v>7.0872000000000002</v>
      </c>
      <c r="Z443" s="4"/>
      <c r="AA443" s="4"/>
      <c r="AB443" s="4" t="e">
        <f ca="1">_xll.ciqfunctions.udf.CIQ("^SPX", "IQ_PRICEDATE", "9/24/2015")</f>
        <v>#NAME?</v>
      </c>
      <c r="AC443" s="16">
        <v>1932.2411739508</v>
      </c>
    </row>
    <row r="444" spans="1:29" x14ac:dyDescent="0.35">
      <c r="A444" s="2" t="s">
        <v>454</v>
      </c>
      <c r="B444" s="4" t="s">
        <v>1578</v>
      </c>
      <c r="C444" s="4" t="s">
        <v>626</v>
      </c>
      <c r="D444" s="4" t="s">
        <v>845</v>
      </c>
      <c r="E444" s="4" t="s">
        <v>846</v>
      </c>
      <c r="F444" s="4" t="s">
        <v>846</v>
      </c>
      <c r="G444" s="14">
        <v>81.142799999999994</v>
      </c>
      <c r="H444" s="10">
        <v>12.759328</v>
      </c>
      <c r="I444" s="10">
        <v>22.305382999999999</v>
      </c>
      <c r="J444" s="10" t="s">
        <v>534</v>
      </c>
      <c r="K444" s="15">
        <v>3.5045E-2</v>
      </c>
      <c r="L444" s="17">
        <v>203762.57595900001</v>
      </c>
      <c r="M444" s="4" t="s">
        <v>1579</v>
      </c>
      <c r="N444" s="19">
        <v>3.6699660000000001</v>
      </c>
      <c r="O444" s="19">
        <v>4.3838400000000002</v>
      </c>
      <c r="P444" s="19">
        <v>3.7485819999999999</v>
      </c>
      <c r="Q444" s="19">
        <v>4.2313000000000001</v>
      </c>
      <c r="R444" s="19">
        <v>3.454097</v>
      </c>
      <c r="S444" s="19">
        <v>3.9472999999999998</v>
      </c>
      <c r="T444" s="19">
        <v>3.454097</v>
      </c>
      <c r="U444" s="19">
        <v>3.8786</v>
      </c>
      <c r="V444" s="19">
        <v>3.5824760000000002</v>
      </c>
      <c r="W444" s="19">
        <v>4.4438000000000004</v>
      </c>
      <c r="X444" s="19">
        <v>3.5824760000000002</v>
      </c>
      <c r="Y444" s="19">
        <v>4.4438000000000004</v>
      </c>
      <c r="Z444" s="4"/>
      <c r="AA444" s="4"/>
      <c r="AB444" s="4" t="e">
        <f ca="1">_xll.ciqfunctions.udf.CIQ("^SPX", "IQ_PRICEDATE", "9/25/2015")</f>
        <v>#NAME?</v>
      </c>
      <c r="AC444" s="16">
        <v>1931.3399031875999</v>
      </c>
    </row>
    <row r="445" spans="1:29" x14ac:dyDescent="0.35">
      <c r="A445" s="2" t="s">
        <v>455</v>
      </c>
      <c r="B445" s="4" t="s">
        <v>1580</v>
      </c>
      <c r="C445" s="4" t="s">
        <v>573</v>
      </c>
      <c r="D445" s="4" t="s">
        <v>579</v>
      </c>
      <c r="E445" s="4" t="s">
        <v>579</v>
      </c>
      <c r="F445" s="4" t="s">
        <v>842</v>
      </c>
      <c r="G445" s="14">
        <v>70.63</v>
      </c>
      <c r="H445" s="10">
        <v>11.252679000000001</v>
      </c>
      <c r="I445" s="10">
        <v>14.210038000000001</v>
      </c>
      <c r="J445" s="10">
        <v>3.7124760000000001</v>
      </c>
      <c r="K445" s="15">
        <v>1.5923E-2</v>
      </c>
      <c r="L445" s="17">
        <v>41184.353000000003</v>
      </c>
      <c r="M445" s="4" t="s">
        <v>1581</v>
      </c>
      <c r="N445" s="19">
        <v>4.9704300000000003</v>
      </c>
      <c r="O445" s="19">
        <v>4.5716999999999999</v>
      </c>
      <c r="P445" s="19">
        <v>2.72</v>
      </c>
      <c r="Q445" s="19">
        <v>2.8906999999999998</v>
      </c>
      <c r="R445" s="19">
        <v>1.76</v>
      </c>
      <c r="S445" s="19">
        <v>1.9379</v>
      </c>
      <c r="T445" s="19">
        <v>1.76</v>
      </c>
      <c r="U445" s="19">
        <v>1.9179999999999999</v>
      </c>
      <c r="V445" s="19">
        <v>2.15</v>
      </c>
      <c r="W445" s="19">
        <v>1.7692000000000001</v>
      </c>
      <c r="X445" s="19">
        <v>2.15</v>
      </c>
      <c r="Y445" s="19">
        <v>1.7692000000000001</v>
      </c>
      <c r="Z445" s="4"/>
      <c r="AA445" s="4"/>
      <c r="AB445" s="4" t="e">
        <f ca="1">_xll.ciqfunctions.udf.CIQ("^SPX", "IQ_PRICEDATE", "9/28/2015")</f>
        <v>#NAME?</v>
      </c>
      <c r="AC445" s="16">
        <v>1881.7689706629001</v>
      </c>
    </row>
    <row r="446" spans="1:29" x14ac:dyDescent="0.35">
      <c r="A446" s="2" t="s">
        <v>456</v>
      </c>
      <c r="B446" s="4" t="s">
        <v>1582</v>
      </c>
      <c r="C446" s="4" t="s">
        <v>586</v>
      </c>
      <c r="D446" s="4" t="s">
        <v>586</v>
      </c>
      <c r="E446" s="4" t="s">
        <v>587</v>
      </c>
      <c r="F446" s="4" t="s">
        <v>598</v>
      </c>
      <c r="G446" s="14">
        <v>410.67</v>
      </c>
      <c r="H446" s="10">
        <v>17.408747999999999</v>
      </c>
      <c r="I446" s="10">
        <v>20.940460999999999</v>
      </c>
      <c r="J446" s="10" t="s">
        <v>534</v>
      </c>
      <c r="K446" s="15">
        <v>8.3759999999999998E-3</v>
      </c>
      <c r="L446" s="17">
        <v>38147.440196000003</v>
      </c>
      <c r="M446" s="4" t="s">
        <v>1583</v>
      </c>
      <c r="N446" s="19">
        <v>19.611315999999999</v>
      </c>
      <c r="O446" s="19">
        <v>20.756699999999999</v>
      </c>
      <c r="P446" s="19">
        <v>19.109998999999998</v>
      </c>
      <c r="Q446" s="19">
        <v>17.8202</v>
      </c>
      <c r="R446" s="19">
        <v>11.989998999999999</v>
      </c>
      <c r="S446" s="19">
        <v>13.2418</v>
      </c>
      <c r="T446" s="19">
        <v>11.989998999999999</v>
      </c>
      <c r="U446" s="19">
        <v>12.311400000000001</v>
      </c>
      <c r="V446" s="19">
        <v>8.7699990000000003</v>
      </c>
      <c r="W446" s="19">
        <v>10.5313</v>
      </c>
      <c r="X446" s="19">
        <v>8.7699990000000003</v>
      </c>
      <c r="Y446" s="19">
        <v>10.5313</v>
      </c>
      <c r="Z446" s="4"/>
      <c r="AA446" s="4"/>
      <c r="AB446" s="4" t="e">
        <f ca="1">_xll.ciqfunctions.udf.CIQ("^SPX", "IQ_PRICEDATE", "9/29/2015")</f>
        <v>#NAME?</v>
      </c>
      <c r="AC446" s="16">
        <v>1884.0851818742001</v>
      </c>
    </row>
    <row r="447" spans="1:29" x14ac:dyDescent="0.35">
      <c r="A447" s="2" t="s">
        <v>457</v>
      </c>
      <c r="B447" s="4" t="s">
        <v>1584</v>
      </c>
      <c r="C447" s="4" t="s">
        <v>619</v>
      </c>
      <c r="D447" s="4" t="s">
        <v>619</v>
      </c>
      <c r="E447" s="4" t="s">
        <v>620</v>
      </c>
      <c r="F447" s="4" t="s">
        <v>620</v>
      </c>
      <c r="G447" s="14">
        <v>44.31</v>
      </c>
      <c r="H447" s="10">
        <v>11.736205</v>
      </c>
      <c r="I447" s="10">
        <v>19.181211999999999</v>
      </c>
      <c r="J447" s="10">
        <v>2.550449</v>
      </c>
      <c r="K447" s="15">
        <v>5.4162999999999996E-2</v>
      </c>
      <c r="L447" s="17">
        <v>44936.369837999999</v>
      </c>
      <c r="M447" s="4" t="s">
        <v>1585</v>
      </c>
      <c r="N447" s="19">
        <v>2.310073</v>
      </c>
      <c r="O447" s="19">
        <v>2.8071999999999999</v>
      </c>
      <c r="P447" s="19">
        <v>0.84</v>
      </c>
      <c r="Q447" s="19">
        <v>3.0775999999999999</v>
      </c>
      <c r="R447" s="19">
        <v>2.5499999999999998</v>
      </c>
      <c r="S447" s="19">
        <v>3.0072000000000001</v>
      </c>
      <c r="T447" s="19">
        <v>2.5499999999999998</v>
      </c>
      <c r="U447" s="19">
        <v>2.9157999999999999</v>
      </c>
      <c r="V447" s="19">
        <v>2.1800000000000002</v>
      </c>
      <c r="W447" s="19">
        <v>2.7951000000000001</v>
      </c>
      <c r="X447" s="19">
        <v>2.1800000000000002</v>
      </c>
      <c r="Y447" s="19">
        <v>2.7951000000000001</v>
      </c>
      <c r="Z447" s="4"/>
      <c r="AA447" s="4"/>
      <c r="AB447" s="4" t="e">
        <f ca="1">_xll.ciqfunctions.udf.CIQ("^SPX", "IQ_PRICEDATE", "9/30/2015")</f>
        <v>#NAME?</v>
      </c>
      <c r="AC447" s="16">
        <v>1920.0265516397001</v>
      </c>
    </row>
    <row r="448" spans="1:29" x14ac:dyDescent="0.35">
      <c r="A448" s="2" t="s">
        <v>458</v>
      </c>
      <c r="B448" s="4" t="s">
        <v>1586</v>
      </c>
      <c r="C448" s="4" t="s">
        <v>559</v>
      </c>
      <c r="D448" s="4" t="s">
        <v>560</v>
      </c>
      <c r="E448" s="4" t="s">
        <v>561</v>
      </c>
      <c r="F448" s="4" t="s">
        <v>1051</v>
      </c>
      <c r="G448" s="14">
        <v>110.8</v>
      </c>
      <c r="H448" s="10">
        <v>13.657080000000001</v>
      </c>
      <c r="I448" s="10">
        <v>23.691801999999999</v>
      </c>
      <c r="J448" s="10">
        <v>13.410314</v>
      </c>
      <c r="K448" s="15">
        <v>1.4079E-2</v>
      </c>
      <c r="L448" s="17">
        <v>68559.096296000003</v>
      </c>
      <c r="M448" s="4" t="s">
        <v>1587</v>
      </c>
      <c r="N448" s="19">
        <v>4.676723</v>
      </c>
      <c r="O448" s="19">
        <v>5.1369999999999996</v>
      </c>
      <c r="P448" s="19">
        <v>3.7037079999999998</v>
      </c>
      <c r="Q448" s="19">
        <v>4.1898999999999997</v>
      </c>
      <c r="R448" s="19">
        <v>3.4140440000000001</v>
      </c>
      <c r="S448" s="19">
        <v>3.7023999999999999</v>
      </c>
      <c r="T448" s="19">
        <v>3.4140440000000001</v>
      </c>
      <c r="U448" s="19">
        <v>3.5104000000000002</v>
      </c>
      <c r="V448" s="19">
        <v>3.02162</v>
      </c>
      <c r="W448" s="19">
        <v>3.4154</v>
      </c>
      <c r="X448" s="19">
        <v>3.02162</v>
      </c>
      <c r="Y448" s="19">
        <v>3.4154</v>
      </c>
      <c r="Z448" s="4"/>
      <c r="AA448" s="4"/>
      <c r="AB448" s="4" t="e">
        <f ca="1">_xll.ciqfunctions.udf.CIQ("^SPX", "IQ_PRICEDATE", "10/1/2015")</f>
        <v>#NAME?</v>
      </c>
      <c r="AC448" s="16">
        <v>1923.8200536917</v>
      </c>
    </row>
    <row r="449" spans="1:29" x14ac:dyDescent="0.35">
      <c r="A449" s="2" t="s">
        <v>459</v>
      </c>
      <c r="B449" s="4" t="s">
        <v>1588</v>
      </c>
      <c r="C449" s="4" t="s">
        <v>573</v>
      </c>
      <c r="D449" s="4" t="s">
        <v>579</v>
      </c>
      <c r="E449" s="4" t="s">
        <v>579</v>
      </c>
      <c r="F449" s="4" t="s">
        <v>842</v>
      </c>
      <c r="G449" s="14">
        <v>126.44</v>
      </c>
      <c r="H449" s="10">
        <v>10.579386</v>
      </c>
      <c r="I449" s="10">
        <v>17.132691000000001</v>
      </c>
      <c r="J449" s="10">
        <v>1.845985</v>
      </c>
      <c r="K449" s="15">
        <v>2.4359000000000002E-2</v>
      </c>
      <c r="L449" s="17">
        <v>33845.867727999997</v>
      </c>
      <c r="M449" s="4" t="s">
        <v>1589</v>
      </c>
      <c r="N449" s="19">
        <v>7.3800429999999997</v>
      </c>
      <c r="O449" s="19">
        <v>10.9533</v>
      </c>
      <c r="P449" s="19">
        <v>7.33</v>
      </c>
      <c r="Q449" s="19">
        <v>8.6235999999999997</v>
      </c>
      <c r="R449" s="19">
        <v>10.28</v>
      </c>
      <c r="S449" s="19">
        <v>9.4224999999999994</v>
      </c>
      <c r="T449" s="19">
        <v>10.28</v>
      </c>
      <c r="U449" s="19">
        <v>9.6561000000000003</v>
      </c>
      <c r="V449" s="19">
        <v>10.7</v>
      </c>
      <c r="W449" s="19">
        <v>9.0736000000000008</v>
      </c>
      <c r="X449" s="19">
        <v>10.7</v>
      </c>
      <c r="Y449" s="19">
        <v>9.0736000000000008</v>
      </c>
      <c r="Z449" s="4"/>
      <c r="AA449" s="4"/>
      <c r="AB449" s="4" t="e">
        <f ca="1">_xll.ciqfunctions.udf.CIQ("^SPX", "IQ_PRICEDATE", "10/2/2015")</f>
        <v>#NAME?</v>
      </c>
      <c r="AC449" s="16">
        <v>1951.3598314296</v>
      </c>
    </row>
    <row r="450" spans="1:29" x14ac:dyDescent="0.35">
      <c r="A450" s="2" t="s">
        <v>460</v>
      </c>
      <c r="B450" s="4" t="s">
        <v>1590</v>
      </c>
      <c r="C450" s="4" t="s">
        <v>549</v>
      </c>
      <c r="D450" s="4" t="s">
        <v>550</v>
      </c>
      <c r="E450" s="4" t="s">
        <v>551</v>
      </c>
      <c r="F450" s="4" t="s">
        <v>1319</v>
      </c>
      <c r="G450" s="14">
        <v>117.13</v>
      </c>
      <c r="H450" s="10">
        <v>11.327843</v>
      </c>
      <c r="I450" s="10">
        <v>14.786587000000001</v>
      </c>
      <c r="J450" s="10">
        <v>22.268059999999998</v>
      </c>
      <c r="K450" s="15">
        <v>1.4343E-2</v>
      </c>
      <c r="L450" s="17">
        <v>174200.72526899999</v>
      </c>
      <c r="M450" s="4" t="s">
        <v>1591</v>
      </c>
      <c r="N450" s="19">
        <v>7.9213680000000002</v>
      </c>
      <c r="O450" s="19">
        <v>7.3235000000000001</v>
      </c>
      <c r="P450" s="19">
        <v>7.0114150000000004</v>
      </c>
      <c r="Q450" s="19">
        <v>6.2363600000000003</v>
      </c>
      <c r="R450" s="19">
        <v>5.5402740000000001</v>
      </c>
      <c r="S450" s="19">
        <v>5.9319699999999997</v>
      </c>
      <c r="T450" s="19">
        <v>5.5402740000000001</v>
      </c>
      <c r="U450" s="19">
        <v>5.6629300000000002</v>
      </c>
      <c r="V450" s="19">
        <v>4.4978670000000003</v>
      </c>
      <c r="W450" s="19">
        <v>4.6808100000000001</v>
      </c>
      <c r="X450" s="19">
        <v>4.4978670000000003</v>
      </c>
      <c r="Y450" s="19">
        <v>4.6808100000000001</v>
      </c>
      <c r="Z450" s="4"/>
      <c r="AA450" s="4"/>
      <c r="AB450" s="4" t="e">
        <f ca="1">_xll.ciqfunctions.udf.CIQ("^SPX", "IQ_PRICEDATE", "10/5/2015")</f>
        <v>#NAME?</v>
      </c>
      <c r="AC450" s="16">
        <v>1987.0541437813999</v>
      </c>
    </row>
    <row r="451" spans="1:29" x14ac:dyDescent="0.35">
      <c r="A451" s="2" t="s">
        <v>461</v>
      </c>
      <c r="B451" s="4" t="s">
        <v>1592</v>
      </c>
      <c r="C451" s="4" t="s">
        <v>543</v>
      </c>
      <c r="D451" s="4" t="s">
        <v>544</v>
      </c>
      <c r="E451" s="4" t="s">
        <v>545</v>
      </c>
      <c r="F451" s="4" t="s">
        <v>616</v>
      </c>
      <c r="G451" s="14">
        <v>18.420000000000002</v>
      </c>
      <c r="H451" s="10">
        <v>7.8900360000000003</v>
      </c>
      <c r="I451" s="10" t="s">
        <v>534</v>
      </c>
      <c r="J451" s="10" t="s">
        <v>534</v>
      </c>
      <c r="K451" s="15">
        <v>4.1258999999999997E-2</v>
      </c>
      <c r="L451" s="17">
        <v>8238.3570099999997</v>
      </c>
      <c r="M451" s="4" t="s">
        <v>1593</v>
      </c>
      <c r="N451" s="19">
        <v>-0.99375199999999997</v>
      </c>
      <c r="O451" s="19">
        <v>1.8697999999999999</v>
      </c>
      <c r="P451" s="19">
        <v>-1.190639</v>
      </c>
      <c r="Q451" s="19">
        <v>1.8042</v>
      </c>
      <c r="R451" s="19">
        <v>0.51</v>
      </c>
      <c r="S451" s="19">
        <v>1.7021999999999999</v>
      </c>
      <c r="T451" s="19">
        <v>0.51</v>
      </c>
      <c r="U451" s="19">
        <v>1.722</v>
      </c>
      <c r="V451" s="19">
        <v>1.59</v>
      </c>
      <c r="W451" s="19">
        <v>1.5556000000000001</v>
      </c>
      <c r="X451" s="19">
        <v>1.59</v>
      </c>
      <c r="Y451" s="19">
        <v>1.5556000000000001</v>
      </c>
      <c r="Z451" s="4"/>
      <c r="AA451" s="4"/>
      <c r="AB451" s="4" t="e">
        <f ca="1">_xll.ciqfunctions.udf.CIQ("^SPX", "IQ_PRICEDATE", "10/6/2015")</f>
        <v>#NAME?</v>
      </c>
      <c r="AC451" s="16">
        <v>1979.9150477426001</v>
      </c>
    </row>
    <row r="452" spans="1:29" x14ac:dyDescent="0.35">
      <c r="A452" s="2" t="s">
        <v>462</v>
      </c>
      <c r="B452" s="4" t="s">
        <v>1594</v>
      </c>
      <c r="C452" s="4" t="s">
        <v>669</v>
      </c>
      <c r="D452" s="4" t="s">
        <v>669</v>
      </c>
      <c r="E452" s="4" t="s">
        <v>670</v>
      </c>
      <c r="F452" s="4" t="s">
        <v>1206</v>
      </c>
      <c r="G452" s="14">
        <v>26.88</v>
      </c>
      <c r="H452" s="10">
        <v>15.143402999999999</v>
      </c>
      <c r="I452" s="10">
        <v>11.118823000000001</v>
      </c>
      <c r="J452" s="10">
        <v>23.673870999999998</v>
      </c>
      <c r="K452" s="15">
        <v>5.0595000000000001E-2</v>
      </c>
      <c r="L452" s="17">
        <v>32507.865600000001</v>
      </c>
      <c r="M452" s="4" t="s">
        <v>1595</v>
      </c>
      <c r="N452" s="19">
        <v>2.4175219999999999</v>
      </c>
      <c r="O452" s="19">
        <v>1.0054000000000001</v>
      </c>
      <c r="P452" s="19">
        <v>2.62</v>
      </c>
      <c r="Q452" s="19">
        <v>0.88419999999999999</v>
      </c>
      <c r="R452" s="19">
        <v>-0.56999999999999995</v>
      </c>
      <c r="S452" s="19">
        <v>0.78600000000000003</v>
      </c>
      <c r="T452" s="19">
        <v>-0.56999999999999995</v>
      </c>
      <c r="U452" s="19">
        <v>1.3778999999999999</v>
      </c>
      <c r="V452" s="19">
        <v>2.91</v>
      </c>
      <c r="W452" s="19">
        <v>1.2786999999999999</v>
      </c>
      <c r="X452" s="19">
        <v>2.91</v>
      </c>
      <c r="Y452" s="19">
        <v>1.2786999999999999</v>
      </c>
      <c r="Z452" s="4"/>
      <c r="AA452" s="4"/>
      <c r="AB452" s="4" t="e">
        <f ca="1">_xll.ciqfunctions.udf.CIQ("^SPX", "IQ_PRICEDATE", "10/7/2015")</f>
        <v>#NAME?</v>
      </c>
      <c r="AC452" s="16">
        <v>1995.8264815445</v>
      </c>
    </row>
    <row r="453" spans="1:29" x14ac:dyDescent="0.35">
      <c r="A453" s="2" t="s">
        <v>463</v>
      </c>
      <c r="B453" s="4" t="s">
        <v>1596</v>
      </c>
      <c r="C453" s="4" t="s">
        <v>530</v>
      </c>
      <c r="D453" s="4" t="s">
        <v>537</v>
      </c>
      <c r="E453" s="4" t="s">
        <v>583</v>
      </c>
      <c r="F453" s="4" t="s">
        <v>583</v>
      </c>
      <c r="G453" s="14">
        <v>234.65</v>
      </c>
      <c r="H453" s="10">
        <v>19.576395000000002</v>
      </c>
      <c r="I453" s="10">
        <v>39.594447000000002</v>
      </c>
      <c r="J453" s="10" t="s">
        <v>534</v>
      </c>
      <c r="K453" s="15">
        <v>2.8970000000000003E-3</v>
      </c>
      <c r="L453" s="17">
        <v>94516.140297000005</v>
      </c>
      <c r="M453" s="4" t="s">
        <v>1597</v>
      </c>
      <c r="N453" s="19">
        <v>5.926336</v>
      </c>
      <c r="O453" s="19">
        <v>11.6022</v>
      </c>
      <c r="P453" s="19">
        <v>5.6</v>
      </c>
      <c r="Q453" s="19">
        <v>10.3156</v>
      </c>
      <c r="R453" s="19">
        <v>5.0999999999999996</v>
      </c>
      <c r="S453" s="19">
        <v>8.9893999999999998</v>
      </c>
      <c r="T453" s="19">
        <v>5.0999999999999996</v>
      </c>
      <c r="U453" s="19">
        <v>7.9717000000000002</v>
      </c>
      <c r="V453" s="19">
        <v>4.71</v>
      </c>
      <c r="W453" s="19">
        <v>7.5541999999999998</v>
      </c>
      <c r="X453" s="19">
        <v>4.71</v>
      </c>
      <c r="Y453" s="19">
        <v>7.5541999999999998</v>
      </c>
      <c r="Z453" s="4"/>
      <c r="AA453" s="4"/>
      <c r="AB453" s="4" t="e">
        <f ca="1">_xll.ciqfunctions.udf.CIQ("^SPX", "IQ_PRICEDATE", "10/8/2015")</f>
        <v>#NAME?</v>
      </c>
      <c r="AC453" s="16">
        <v>2013.4308976294001</v>
      </c>
    </row>
    <row r="454" spans="1:29" x14ac:dyDescent="0.35">
      <c r="A454" s="2" t="s">
        <v>464</v>
      </c>
      <c r="B454" s="4" t="s">
        <v>1598</v>
      </c>
      <c r="C454" s="4" t="s">
        <v>559</v>
      </c>
      <c r="D454" s="4" t="s">
        <v>560</v>
      </c>
      <c r="E454" s="4" t="s">
        <v>561</v>
      </c>
      <c r="F454" s="4" t="s">
        <v>1599</v>
      </c>
      <c r="G454" s="14">
        <v>112</v>
      </c>
      <c r="H454" s="10">
        <v>12.95468</v>
      </c>
      <c r="I454" s="10">
        <v>31.044820999999999</v>
      </c>
      <c r="J454" s="10">
        <v>4.484947</v>
      </c>
      <c r="K454" s="15">
        <v>1.9642E-2</v>
      </c>
      <c r="L454" s="17">
        <v>13710.03592</v>
      </c>
      <c r="M454" s="4" t="s">
        <v>1600</v>
      </c>
      <c r="N454" s="19">
        <v>3.6076869999999999</v>
      </c>
      <c r="O454" s="19">
        <v>5.0213999999999999</v>
      </c>
      <c r="P454" s="19">
        <v>3.7218010000000001</v>
      </c>
      <c r="Q454" s="19">
        <v>4.1689999999999996</v>
      </c>
      <c r="R454" s="19">
        <v>3.571342</v>
      </c>
      <c r="S454" s="19">
        <v>3.8713000000000002</v>
      </c>
      <c r="T454" s="19">
        <v>3.571342</v>
      </c>
      <c r="U454" s="19">
        <v>4.1371000000000002</v>
      </c>
      <c r="V454" s="19">
        <v>1.4300409999999999</v>
      </c>
      <c r="W454" s="19">
        <v>4.6894999999999998</v>
      </c>
      <c r="X454" s="19">
        <v>1.4300409999999999</v>
      </c>
      <c r="Y454" s="19">
        <v>4.6894999999999998</v>
      </c>
      <c r="Z454" s="4"/>
      <c r="AA454" s="4"/>
      <c r="AB454" s="4" t="e">
        <f ca="1">_xll.ciqfunctions.udf.CIQ("^SPX", "IQ_PRICEDATE", "10/9/2015")</f>
        <v>#NAME?</v>
      </c>
      <c r="AC454" s="16">
        <v>2014.8926461318999</v>
      </c>
    </row>
    <row r="455" spans="1:29" x14ac:dyDescent="0.35">
      <c r="A455" s="2" t="s">
        <v>465</v>
      </c>
      <c r="B455" s="4" t="s">
        <v>1601</v>
      </c>
      <c r="C455" s="4" t="s">
        <v>573</v>
      </c>
      <c r="D455" s="4" t="s">
        <v>579</v>
      </c>
      <c r="E455" s="4" t="s">
        <v>579</v>
      </c>
      <c r="F455" s="4" t="s">
        <v>580</v>
      </c>
      <c r="G455" s="14">
        <v>85.83</v>
      </c>
      <c r="H455" s="10">
        <v>11.337294999999999</v>
      </c>
      <c r="I455" s="10">
        <v>6.5372880000000002</v>
      </c>
      <c r="J455" s="10">
        <v>1.8893150000000001</v>
      </c>
      <c r="K455" s="15">
        <v>7.4560000000000008E-3</v>
      </c>
      <c r="L455" s="17">
        <v>9638.416577</v>
      </c>
      <c r="M455" s="4" t="s">
        <v>1602</v>
      </c>
      <c r="N455" s="19">
        <v>13.129296</v>
      </c>
      <c r="O455" s="19">
        <v>6.2961999999999998</v>
      </c>
      <c r="P455" s="19">
        <v>12.259999000000001</v>
      </c>
      <c r="Q455" s="19">
        <v>5.0377000000000001</v>
      </c>
      <c r="R455" s="19">
        <v>4.41</v>
      </c>
      <c r="S455" s="19">
        <v>4.6266999999999996</v>
      </c>
      <c r="T455" s="19">
        <v>4.41</v>
      </c>
      <c r="U455" s="19">
        <v>4.3547000000000002</v>
      </c>
      <c r="V455" s="19">
        <v>3.9799989999999998</v>
      </c>
      <c r="W455" s="19">
        <v>4.2285000000000004</v>
      </c>
      <c r="X455" s="19">
        <v>3.9799989999999998</v>
      </c>
      <c r="Y455" s="19">
        <v>4.2285000000000004</v>
      </c>
      <c r="Z455" s="4"/>
      <c r="AA455" s="4"/>
      <c r="AB455" s="4" t="e">
        <f ca="1">_xll.ciqfunctions.udf.CIQ("^SPX", "IQ_PRICEDATE", "10/12/2015")</f>
        <v>#NAME?</v>
      </c>
      <c r="AC455" s="16">
        <v>2017.4562247174999</v>
      </c>
    </row>
    <row r="456" spans="1:29" x14ac:dyDescent="0.35">
      <c r="A456" s="2" t="s">
        <v>466</v>
      </c>
      <c r="B456" s="4" t="s">
        <v>1603</v>
      </c>
      <c r="C456" s="4" t="s">
        <v>543</v>
      </c>
      <c r="D456" s="4" t="s">
        <v>544</v>
      </c>
      <c r="E456" s="4" t="s">
        <v>545</v>
      </c>
      <c r="F456" s="4" t="s">
        <v>616</v>
      </c>
      <c r="G456" s="14">
        <v>95.35</v>
      </c>
      <c r="H456" s="10">
        <v>19.469083999999999</v>
      </c>
      <c r="I456" s="10">
        <v>27.096589000000002</v>
      </c>
      <c r="J456" s="10" t="s">
        <v>534</v>
      </c>
      <c r="K456" s="15">
        <v>5.4530000000000004E-3</v>
      </c>
      <c r="L456" s="17">
        <v>17393.559923000001</v>
      </c>
      <c r="M456" s="4" t="s">
        <v>1604</v>
      </c>
      <c r="N456" s="19">
        <v>3.5188929999999998</v>
      </c>
      <c r="O456" s="19">
        <v>4.5712000000000002</v>
      </c>
      <c r="P456" s="19">
        <v>3.161219</v>
      </c>
      <c r="Q456" s="19">
        <v>3.6002000000000001</v>
      </c>
      <c r="R456" s="19">
        <v>1.7329429999999999</v>
      </c>
      <c r="S456" s="19">
        <v>3.0804999999999998</v>
      </c>
      <c r="T456" s="19">
        <v>1.7329429999999999</v>
      </c>
      <c r="U456" s="19">
        <v>2.5766</v>
      </c>
      <c r="V456" s="19">
        <v>1.45852</v>
      </c>
      <c r="W456" s="19">
        <v>2.1427999999999998</v>
      </c>
      <c r="X456" s="19">
        <v>1.45852</v>
      </c>
      <c r="Y456" s="19">
        <v>2.1427999999999998</v>
      </c>
      <c r="Z456" s="4"/>
      <c r="AA456" s="4"/>
      <c r="AB456" s="4" t="e">
        <f ca="1">_xll.ciqfunctions.udf.CIQ("^SPX", "IQ_PRICEDATE", "10/13/2015")</f>
        <v>#NAME?</v>
      </c>
      <c r="AC456" s="16">
        <v>2003.6902857436</v>
      </c>
    </row>
    <row r="457" spans="1:29" x14ac:dyDescent="0.35">
      <c r="A457" s="2" t="s">
        <v>467</v>
      </c>
      <c r="B457" s="4" t="s">
        <v>1605</v>
      </c>
      <c r="C457" s="4" t="s">
        <v>559</v>
      </c>
      <c r="D457" s="4" t="s">
        <v>560</v>
      </c>
      <c r="E457" s="4" t="s">
        <v>561</v>
      </c>
      <c r="F457" s="4" t="s">
        <v>1599</v>
      </c>
      <c r="G457" s="14">
        <v>88.06</v>
      </c>
      <c r="H457" s="10">
        <v>12.881307</v>
      </c>
      <c r="I457" s="10">
        <v>22.919858000000001</v>
      </c>
      <c r="J457" s="10">
        <v>8.3700810000000008</v>
      </c>
      <c r="K457" s="15">
        <v>1.4081E-2</v>
      </c>
      <c r="L457" s="17">
        <v>10726.119857</v>
      </c>
      <c r="M457" s="4" t="s">
        <v>1606</v>
      </c>
      <c r="N457" s="19">
        <v>3.8420830000000001</v>
      </c>
      <c r="O457" s="19">
        <v>4.3891999999999998</v>
      </c>
      <c r="P457" s="19">
        <v>3.3</v>
      </c>
      <c r="Q457" s="19">
        <v>3.4685000000000001</v>
      </c>
      <c r="R457" s="19">
        <v>3.27</v>
      </c>
      <c r="S457" s="19">
        <v>3.4594999999999998</v>
      </c>
      <c r="T457" s="19">
        <v>3.27</v>
      </c>
      <c r="U457" s="19">
        <v>3.4003999999999999</v>
      </c>
      <c r="V457" s="19">
        <v>2.66</v>
      </c>
      <c r="W457" s="19">
        <v>2.9098999999999999</v>
      </c>
      <c r="X457" s="19">
        <v>2.66</v>
      </c>
      <c r="Y457" s="19">
        <v>2.9098999999999999</v>
      </c>
      <c r="Z457" s="4"/>
      <c r="AA457" s="4"/>
      <c r="AB457" s="4" t="e">
        <f ca="1">_xll.ciqfunctions.udf.CIQ("^SPX", "IQ_PRICEDATE", "10/14/2015")</f>
        <v>#NAME?</v>
      </c>
      <c r="AC457" s="16">
        <v>1994.2423705799999</v>
      </c>
    </row>
    <row r="458" spans="1:29" x14ac:dyDescent="0.35">
      <c r="A458" s="2" t="s">
        <v>468</v>
      </c>
      <c r="B458" s="4" t="s">
        <v>1607</v>
      </c>
      <c r="C458" s="4" t="s">
        <v>525</v>
      </c>
      <c r="D458" s="4" t="s">
        <v>526</v>
      </c>
      <c r="E458" s="4" t="s">
        <v>703</v>
      </c>
      <c r="F458" s="4" t="s">
        <v>703</v>
      </c>
      <c r="G458" s="14">
        <v>347.78</v>
      </c>
      <c r="H458" s="10">
        <v>16.753229999999999</v>
      </c>
      <c r="I458" s="10">
        <v>24.205611999999999</v>
      </c>
      <c r="J458" s="10" t="s">
        <v>534</v>
      </c>
      <c r="K458" s="15">
        <v>0</v>
      </c>
      <c r="L458" s="17">
        <v>18303.207199</v>
      </c>
      <c r="M458" s="4" t="s">
        <v>1608</v>
      </c>
      <c r="N458" s="19">
        <v>14.367742</v>
      </c>
      <c r="O458" s="19">
        <v>16.288699999999999</v>
      </c>
      <c r="P458" s="19">
        <v>12.69909</v>
      </c>
      <c r="Q458" s="19">
        <v>13.372640000000001</v>
      </c>
      <c r="R458" s="19">
        <v>8.5559060000000002</v>
      </c>
      <c r="S458" s="19">
        <v>12.1408</v>
      </c>
      <c r="T458" s="19">
        <v>8.5559060000000002</v>
      </c>
      <c r="U458" s="19">
        <v>10.626720000000001</v>
      </c>
      <c r="V458" s="19">
        <v>3.3478279999999998</v>
      </c>
      <c r="W458" s="19">
        <v>8.3816699999999997</v>
      </c>
      <c r="X458" s="19">
        <v>3.3478279999999998</v>
      </c>
      <c r="Y458" s="19">
        <v>8.3816699999999997</v>
      </c>
      <c r="Z458" s="4"/>
      <c r="AA458" s="4"/>
      <c r="AB458" s="4" t="e">
        <f ca="1">_xll.ciqfunctions.udf.CIQ("^SPX", "IQ_PRICEDATE", "10/15/2015")</f>
        <v>#NAME?</v>
      </c>
      <c r="AC458" s="16">
        <v>2023.8617836236999</v>
      </c>
    </row>
    <row r="459" spans="1:29" x14ac:dyDescent="0.35">
      <c r="A459" s="2" t="s">
        <v>469</v>
      </c>
      <c r="B459" s="4" t="s">
        <v>1609</v>
      </c>
      <c r="C459" s="4" t="s">
        <v>549</v>
      </c>
      <c r="D459" s="4" t="s">
        <v>550</v>
      </c>
      <c r="E459" s="4" t="s">
        <v>623</v>
      </c>
      <c r="F459" s="4" t="s">
        <v>623</v>
      </c>
      <c r="G459" s="14">
        <v>47.16</v>
      </c>
      <c r="H459" s="10">
        <v>34.371181999999997</v>
      </c>
      <c r="I459" s="10" t="s">
        <v>534</v>
      </c>
      <c r="J459" s="10">
        <v>14.541498000000001</v>
      </c>
      <c r="K459" s="15">
        <v>0</v>
      </c>
      <c r="L459" s="17">
        <v>6486.7297719999997</v>
      </c>
      <c r="M459" s="4" t="s">
        <v>1610</v>
      </c>
      <c r="N459" s="19">
        <v>-0.16770399999999999</v>
      </c>
      <c r="O459" s="19">
        <v>1.4690000000000001</v>
      </c>
      <c r="P459" s="19">
        <v>-0.14000000000000001</v>
      </c>
      <c r="Q459" s="19">
        <v>1.0461</v>
      </c>
      <c r="R459" s="19">
        <v>0.82</v>
      </c>
      <c r="S459" s="19">
        <v>1.5522</v>
      </c>
      <c r="T459" s="19">
        <v>0.82</v>
      </c>
      <c r="U459" s="19">
        <v>2.157</v>
      </c>
      <c r="V459" s="19">
        <v>1.55</v>
      </c>
      <c r="W459" s="19">
        <v>2.4192999999999998</v>
      </c>
      <c r="X459" s="19">
        <v>1.55</v>
      </c>
      <c r="Y459" s="19">
        <v>2.4192999999999998</v>
      </c>
      <c r="Z459" s="4"/>
      <c r="AA459" s="4"/>
      <c r="AB459" s="4" t="e">
        <f ca="1">_xll.ciqfunctions.udf.CIQ("^SPX", "IQ_PRICEDATE", "10/16/2015")</f>
        <v>#NAME?</v>
      </c>
      <c r="AC459" s="16">
        <v>2033.1103965692</v>
      </c>
    </row>
    <row r="460" spans="1:29" x14ac:dyDescent="0.35">
      <c r="A460" s="2" t="s">
        <v>470</v>
      </c>
      <c r="B460" s="4" t="s">
        <v>1611</v>
      </c>
      <c r="C460" s="4" t="s">
        <v>549</v>
      </c>
      <c r="D460" s="4" t="s">
        <v>550</v>
      </c>
      <c r="E460" s="4" t="s">
        <v>551</v>
      </c>
      <c r="F460" s="4" t="s">
        <v>1319</v>
      </c>
      <c r="G460" s="14">
        <v>45.46</v>
      </c>
      <c r="H460" s="10">
        <v>14.55697</v>
      </c>
      <c r="I460" s="10">
        <v>0</v>
      </c>
      <c r="J460" s="10">
        <v>0</v>
      </c>
      <c r="K460" s="15">
        <v>0</v>
      </c>
      <c r="L460" s="17">
        <v>84608.020678999994</v>
      </c>
      <c r="M460" s="4" t="s">
        <v>1331</v>
      </c>
      <c r="N460" s="19">
        <v>2.41</v>
      </c>
      <c r="O460" s="19">
        <v>2.0968399999999998</v>
      </c>
      <c r="P460" s="19">
        <v>2.1397729999999999</v>
      </c>
      <c r="Q460" s="19">
        <v>2.0568</v>
      </c>
      <c r="R460" s="19">
        <v>1.6462760000000001</v>
      </c>
      <c r="S460" s="19">
        <v>1.929</v>
      </c>
      <c r="T460" s="19">
        <v>1.6462760000000001</v>
      </c>
      <c r="U460" s="19">
        <v>1.9152</v>
      </c>
      <c r="V460" s="19">
        <v>4.213857</v>
      </c>
      <c r="W460" s="19">
        <v>1.78</v>
      </c>
      <c r="X460" s="19">
        <v>4.213857</v>
      </c>
      <c r="Y460" s="19">
        <v>1.78</v>
      </c>
      <c r="Z460" s="4"/>
      <c r="AA460" s="4"/>
      <c r="AB460" s="4" t="e">
        <f ca="1">_xll.ciqfunctions.udf.CIQ("^SPX", "IQ_PRICEDATE", "10/19/2015")</f>
        <v>#NAME?</v>
      </c>
      <c r="AC460" s="16">
        <v>2033.6644048101</v>
      </c>
    </row>
    <row r="461" spans="1:29" x14ac:dyDescent="0.35">
      <c r="A461" s="2" t="s">
        <v>471</v>
      </c>
      <c r="B461" s="4" t="s">
        <v>1611</v>
      </c>
      <c r="C461" s="4" t="s">
        <v>549</v>
      </c>
      <c r="D461" s="4" t="s">
        <v>550</v>
      </c>
      <c r="E461" s="4" t="s">
        <v>551</v>
      </c>
      <c r="F461" s="4" t="s">
        <v>1319</v>
      </c>
      <c r="G461" s="14">
        <v>45.83</v>
      </c>
      <c r="H461" s="10">
        <v>14.55697</v>
      </c>
      <c r="I461" s="10">
        <v>19.016597000000001</v>
      </c>
      <c r="J461" s="10" t="s">
        <v>534</v>
      </c>
      <c r="K461" s="15">
        <v>7.8549999999999991E-3</v>
      </c>
      <c r="L461" s="17">
        <v>84608.020678999994</v>
      </c>
      <c r="M461" s="4" t="s">
        <v>1331</v>
      </c>
      <c r="N461" s="19">
        <v>2.41</v>
      </c>
      <c r="O461" s="19">
        <v>2.0968399999999998</v>
      </c>
      <c r="P461" s="19">
        <v>2.1397729999999999</v>
      </c>
      <c r="Q461" s="19">
        <v>2.0568</v>
      </c>
      <c r="R461" s="19">
        <v>1.6462760000000001</v>
      </c>
      <c r="S461" s="19">
        <v>1.929</v>
      </c>
      <c r="T461" s="19">
        <v>1.6462760000000001</v>
      </c>
      <c r="U461" s="19">
        <v>1.9152</v>
      </c>
      <c r="V461" s="19">
        <v>4.213857</v>
      </c>
      <c r="W461" s="19">
        <v>1.7846</v>
      </c>
      <c r="X461" s="19">
        <v>4.213857</v>
      </c>
      <c r="Y461" s="19">
        <v>1.7846</v>
      </c>
      <c r="Z461" s="4"/>
      <c r="AA461" s="4"/>
      <c r="AB461" s="4" t="e">
        <f ca="1">_xll.ciqfunctions.udf.CIQ("^SPX", "IQ_PRICEDATE", "10/20/2015")</f>
        <v>#NAME?</v>
      </c>
      <c r="AC461" s="16">
        <v>2030.7671635219001</v>
      </c>
    </row>
    <row r="462" spans="1:29" x14ac:dyDescent="0.35">
      <c r="A462" s="2" t="s">
        <v>472</v>
      </c>
      <c r="B462" s="4" t="s">
        <v>1612</v>
      </c>
      <c r="C462" s="4" t="s">
        <v>549</v>
      </c>
      <c r="D462" s="4" t="s">
        <v>550</v>
      </c>
      <c r="E462" s="4" t="s">
        <v>623</v>
      </c>
      <c r="F462" s="4" t="s">
        <v>623</v>
      </c>
      <c r="G462" s="14">
        <v>29.55</v>
      </c>
      <c r="H462" s="10">
        <v>33.006252000000003</v>
      </c>
      <c r="I462" s="10">
        <v>95.597655000000003</v>
      </c>
      <c r="J462" s="10">
        <v>5.1907290000000001</v>
      </c>
      <c r="K462" s="15">
        <v>0</v>
      </c>
      <c r="L462" s="17">
        <v>22308.772499999999</v>
      </c>
      <c r="M462" s="4" t="s">
        <v>1613</v>
      </c>
      <c r="N462" s="19">
        <v>0.30910799999999999</v>
      </c>
      <c r="O462" s="19">
        <v>0.6915</v>
      </c>
      <c r="P462" s="19">
        <v>-0.15</v>
      </c>
      <c r="Q462" s="19">
        <v>0.42959999999999998</v>
      </c>
      <c r="R462" s="19">
        <v>-0.65069100000000002</v>
      </c>
      <c r="S462" s="19">
        <v>0.55520000000000003</v>
      </c>
      <c r="T462" s="19">
        <v>-0.65069100000000002</v>
      </c>
      <c r="U462" s="19">
        <v>0.43809999999999999</v>
      </c>
      <c r="V462" s="19">
        <v>-0.96</v>
      </c>
      <c r="W462" s="19">
        <v>0.24909999999999999</v>
      </c>
      <c r="X462" s="19">
        <v>-0.96</v>
      </c>
      <c r="Y462" s="19">
        <v>0.24909999999999999</v>
      </c>
      <c r="Z462" s="4"/>
      <c r="AA462" s="4"/>
      <c r="AB462" s="4" t="e">
        <f ca="1">_xll.ciqfunctions.udf.CIQ("^SPX", "IQ_PRICEDATE", "10/21/2015")</f>
        <v>#NAME?</v>
      </c>
      <c r="AC462" s="16">
        <v>2018.941033007</v>
      </c>
    </row>
    <row r="463" spans="1:29" x14ac:dyDescent="0.35">
      <c r="A463" s="2" t="s">
        <v>473</v>
      </c>
      <c r="B463" s="4" t="s">
        <v>1614</v>
      </c>
      <c r="C463" s="4" t="s">
        <v>626</v>
      </c>
      <c r="D463" s="4" t="s">
        <v>627</v>
      </c>
      <c r="E463" s="4" t="s">
        <v>699</v>
      </c>
      <c r="F463" s="4" t="s">
        <v>789</v>
      </c>
      <c r="G463" s="14">
        <v>61.97</v>
      </c>
      <c r="H463" s="10">
        <v>7.8864830000000001</v>
      </c>
      <c r="I463" s="10">
        <v>7.9492050000000001</v>
      </c>
      <c r="J463" s="10" t="s">
        <v>534</v>
      </c>
      <c r="K463" s="15">
        <v>1.9363999999999999E-2</v>
      </c>
      <c r="L463" s="17">
        <v>22676.699452000001</v>
      </c>
      <c r="M463" s="4" t="s">
        <v>1615</v>
      </c>
      <c r="N463" s="19">
        <v>7.7957479999999997</v>
      </c>
      <c r="O463" s="19">
        <v>5.7884000000000002</v>
      </c>
      <c r="P463" s="19">
        <v>7.6092820000000003</v>
      </c>
      <c r="Q463" s="19">
        <v>5.8586299999999998</v>
      </c>
      <c r="R463" s="19">
        <v>4.9569989999999997</v>
      </c>
      <c r="S463" s="19">
        <v>4.8356599999999998</v>
      </c>
      <c r="T463" s="19">
        <v>4.9569989999999997</v>
      </c>
      <c r="U463" s="19">
        <v>3.6011600000000001</v>
      </c>
      <c r="V463" s="19">
        <v>2.4127529999999999</v>
      </c>
      <c r="W463" s="19">
        <v>3.4053800000000001</v>
      </c>
      <c r="X463" s="19">
        <v>2.4127529999999999</v>
      </c>
      <c r="Y463" s="19">
        <v>3.4053800000000001</v>
      </c>
      <c r="Z463" s="4"/>
      <c r="AA463" s="4"/>
      <c r="AB463" s="4" t="e">
        <f ca="1">_xll.ciqfunctions.udf.CIQ("^SPX", "IQ_PRICEDATE", "10/22/2015")</f>
        <v>#NAME?</v>
      </c>
      <c r="AC463" s="16">
        <v>2052.5088261477999</v>
      </c>
    </row>
    <row r="464" spans="1:29" x14ac:dyDescent="0.35">
      <c r="A464" s="2" t="s">
        <v>474</v>
      </c>
      <c r="B464" s="4" t="s">
        <v>1616</v>
      </c>
      <c r="C464" s="4" t="s">
        <v>573</v>
      </c>
      <c r="D464" s="4" t="s">
        <v>737</v>
      </c>
      <c r="E464" s="4" t="s">
        <v>737</v>
      </c>
      <c r="F464" s="4" t="s">
        <v>738</v>
      </c>
      <c r="G464" s="14">
        <v>52.9</v>
      </c>
      <c r="H464" s="10">
        <v>0</v>
      </c>
      <c r="I464" s="10">
        <v>13.809882999999999</v>
      </c>
      <c r="J464" s="10">
        <v>2.529703</v>
      </c>
      <c r="K464" s="15">
        <v>2.7976999999999998E-2</v>
      </c>
      <c r="L464" s="17">
        <v>85856.7</v>
      </c>
      <c r="M464" s="4" t="s">
        <v>1617</v>
      </c>
      <c r="N464" s="19">
        <v>4.0007149999999996</v>
      </c>
      <c r="O464" s="19">
        <v>4.1962000000000002</v>
      </c>
      <c r="P464" s="19">
        <v>3.51</v>
      </c>
      <c r="Q464" s="19">
        <v>3.6615000000000002</v>
      </c>
      <c r="R464" s="19">
        <v>3.24</v>
      </c>
      <c r="S464" s="19">
        <v>3.3683000000000001</v>
      </c>
      <c r="T464" s="19">
        <v>3.24</v>
      </c>
      <c r="U464" s="19">
        <v>3.3271000000000002</v>
      </c>
      <c r="V464" s="19">
        <v>3.08</v>
      </c>
      <c r="W464" s="19">
        <v>3.2099000000000002</v>
      </c>
      <c r="X464" s="19">
        <v>3.08</v>
      </c>
      <c r="Y464" s="19">
        <v>3.2099000000000002</v>
      </c>
      <c r="Z464" s="4"/>
      <c r="AA464" s="4"/>
      <c r="AB464" s="4" t="e">
        <f ca="1">_xll.ciqfunctions.udf.CIQ("^SPX", "IQ_PRICEDATE", "10/23/2015")</f>
        <v>#NAME?</v>
      </c>
      <c r="AC464" s="16">
        <v>2075.1512780694002</v>
      </c>
    </row>
    <row r="465" spans="1:29" x14ac:dyDescent="0.35">
      <c r="A465" s="2" t="s">
        <v>475</v>
      </c>
      <c r="B465" s="4" t="s">
        <v>1618</v>
      </c>
      <c r="C465" s="4" t="s">
        <v>601</v>
      </c>
      <c r="D465" s="4" t="s">
        <v>601</v>
      </c>
      <c r="E465" s="4" t="s">
        <v>602</v>
      </c>
      <c r="F465" s="4" t="s">
        <v>685</v>
      </c>
      <c r="G465" s="14">
        <v>39.049999999999997</v>
      </c>
      <c r="H465" s="10">
        <v>23.943628</v>
      </c>
      <c r="I465" s="10">
        <v>57.430692999999998</v>
      </c>
      <c r="J465" s="10">
        <v>3.8551389999999999</v>
      </c>
      <c r="K465" s="15">
        <v>3.3034000000000001E-2</v>
      </c>
      <c r="L465" s="17">
        <v>10452.861161999999</v>
      </c>
      <c r="M465" s="4" t="s">
        <v>1619</v>
      </c>
      <c r="N465" s="19">
        <v>0.67995000000000005</v>
      </c>
      <c r="O465" s="19">
        <v>0.30149999999999999</v>
      </c>
      <c r="P465" s="19">
        <v>0.44</v>
      </c>
      <c r="Q465" s="19">
        <v>0.30809999999999998</v>
      </c>
      <c r="R465" s="19">
        <v>1.08</v>
      </c>
      <c r="S465" s="19">
        <v>0.23449999999999999</v>
      </c>
      <c r="T465" s="19">
        <v>1.08</v>
      </c>
      <c r="U465" s="19">
        <v>0.32969999999999999</v>
      </c>
      <c r="V465" s="19">
        <v>0.59</v>
      </c>
      <c r="W465" s="19">
        <v>0.14799999999999999</v>
      </c>
      <c r="X465" s="19">
        <v>0.59</v>
      </c>
      <c r="Y465" s="19">
        <v>0.14799999999999999</v>
      </c>
      <c r="Z465" s="4"/>
      <c r="AA465" s="4"/>
      <c r="AB465" s="4" t="e">
        <f ca="1">_xll.ciqfunctions.udf.CIQ("^SPX", "IQ_PRICEDATE", "10/26/2015")</f>
        <v>#NAME?</v>
      </c>
      <c r="AC465" s="16">
        <v>2071.1815203360002</v>
      </c>
    </row>
    <row r="466" spans="1:29" x14ac:dyDescent="0.35">
      <c r="A466" s="2" t="s">
        <v>476</v>
      </c>
      <c r="B466" s="4" t="s">
        <v>1620</v>
      </c>
      <c r="C466" s="4" t="s">
        <v>559</v>
      </c>
      <c r="D466" s="4" t="s">
        <v>560</v>
      </c>
      <c r="E466" s="4" t="s">
        <v>561</v>
      </c>
      <c r="F466" s="4" t="s">
        <v>1599</v>
      </c>
      <c r="G466" s="14">
        <v>281.92</v>
      </c>
      <c r="H466" s="10">
        <v>15.164898000000001</v>
      </c>
      <c r="I466" s="10">
        <v>27.505901000000001</v>
      </c>
      <c r="J466" s="10">
        <v>9.3127270000000006</v>
      </c>
      <c r="K466" s="15">
        <v>0</v>
      </c>
      <c r="L466" s="17">
        <v>16850.470885999999</v>
      </c>
      <c r="M466" s="4" t="s">
        <v>1621</v>
      </c>
      <c r="N466" s="19">
        <v>10.249437</v>
      </c>
      <c r="O466" s="19">
        <v>11.7638</v>
      </c>
      <c r="P466" s="19">
        <v>7.8250469999999996</v>
      </c>
      <c r="Q466" s="19">
        <v>9.4501000000000008</v>
      </c>
      <c r="R466" s="19">
        <v>5.9660380000000002</v>
      </c>
      <c r="S466" s="19">
        <v>7.4290000000000003</v>
      </c>
      <c r="T466" s="19">
        <v>5.9660380000000002</v>
      </c>
      <c r="U466" s="19">
        <v>5.4147999999999996</v>
      </c>
      <c r="V466" s="19">
        <v>3.729069</v>
      </c>
      <c r="W466" s="19">
        <v>4.3217999999999996</v>
      </c>
      <c r="X466" s="19">
        <v>3.729069</v>
      </c>
      <c r="Y466" s="19">
        <v>4.3217999999999996</v>
      </c>
      <c r="Z466" s="4"/>
      <c r="AA466" s="4"/>
      <c r="AB466" s="4" t="e">
        <f ca="1">_xll.ciqfunctions.udf.CIQ("^SPX", "IQ_PRICEDATE", "10/27/2015")</f>
        <v>#NAME?</v>
      </c>
      <c r="AC466" s="16">
        <v>2065.8922884034</v>
      </c>
    </row>
    <row r="467" spans="1:29" x14ac:dyDescent="0.35">
      <c r="A467" s="2" t="s">
        <v>477</v>
      </c>
      <c r="B467" s="4" t="s">
        <v>1622</v>
      </c>
      <c r="C467" s="4" t="s">
        <v>559</v>
      </c>
      <c r="D467" s="4" t="s">
        <v>912</v>
      </c>
      <c r="E467" s="4" t="s">
        <v>1097</v>
      </c>
      <c r="F467" s="4" t="s">
        <v>1098</v>
      </c>
      <c r="G467" s="14">
        <v>17.559999999999999</v>
      </c>
      <c r="H467" s="10">
        <v>26.577881000000001</v>
      </c>
      <c r="I467" s="10">
        <v>0</v>
      </c>
      <c r="J467" s="10">
        <v>0</v>
      </c>
      <c r="K467" s="15">
        <v>0</v>
      </c>
      <c r="L467" s="17">
        <v>8157.1402959999996</v>
      </c>
      <c r="M467" s="4" t="s">
        <v>1623</v>
      </c>
      <c r="N467" s="19">
        <v>-0.36042000000000002</v>
      </c>
      <c r="O467" s="19">
        <v>0.27500000000000002</v>
      </c>
      <c r="P467" s="19">
        <v>-0.11</v>
      </c>
      <c r="Q467" s="19">
        <v>0.15</v>
      </c>
      <c r="R467" s="19">
        <v>0.45</v>
      </c>
      <c r="S467" s="19">
        <v>0.65780000000000005</v>
      </c>
      <c r="T467" s="19">
        <v>0.45</v>
      </c>
      <c r="U467" s="19">
        <v>0</v>
      </c>
      <c r="V467" s="19">
        <v>0.47</v>
      </c>
      <c r="W467" s="19">
        <v>0</v>
      </c>
      <c r="X467" s="19">
        <v>0.47</v>
      </c>
      <c r="Y467" s="19">
        <v>0</v>
      </c>
      <c r="Z467" s="4"/>
      <c r="AA467" s="4"/>
      <c r="AB467" s="4" t="e">
        <f ca="1">_xll.ciqfunctions.udf.CIQ("^SPX", "IQ_PRICEDATE", "10/28/2015")</f>
        <v>#NAME?</v>
      </c>
      <c r="AC467" s="16">
        <v>2090.3538814400999</v>
      </c>
    </row>
    <row r="468" spans="1:29" x14ac:dyDescent="0.35">
      <c r="A468" s="2" t="s">
        <v>478</v>
      </c>
      <c r="B468" s="4" t="s">
        <v>1622</v>
      </c>
      <c r="C468" s="4" t="s">
        <v>559</v>
      </c>
      <c r="D468" s="4" t="s">
        <v>912</v>
      </c>
      <c r="E468" s="4" t="s">
        <v>1097</v>
      </c>
      <c r="F468" s="4" t="s">
        <v>1098</v>
      </c>
      <c r="G468" s="14">
        <v>19.12</v>
      </c>
      <c r="H468" s="10">
        <v>26.577881000000001</v>
      </c>
      <c r="I468" s="10" t="s">
        <v>534</v>
      </c>
      <c r="J468" s="10">
        <v>6.4106880000000004</v>
      </c>
      <c r="K468" s="15">
        <v>0</v>
      </c>
      <c r="L468" s="17">
        <v>8157.1402959999996</v>
      </c>
      <c r="M468" s="4" t="s">
        <v>1623</v>
      </c>
      <c r="N468" s="19">
        <v>-0.36042000000000002</v>
      </c>
      <c r="O468" s="19">
        <v>0.2432</v>
      </c>
      <c r="P468" s="19">
        <v>-0.11</v>
      </c>
      <c r="Q468" s="19">
        <v>0.14019999999999999</v>
      </c>
      <c r="R468" s="19">
        <v>0.45</v>
      </c>
      <c r="S468" s="19">
        <v>0.63149999999999995</v>
      </c>
      <c r="T468" s="19">
        <v>0.45</v>
      </c>
      <c r="U468" s="19">
        <v>0.60629999999999995</v>
      </c>
      <c r="V468" s="19">
        <v>0.47</v>
      </c>
      <c r="W468" s="19">
        <v>0.55289999999999995</v>
      </c>
      <c r="X468" s="19">
        <v>0.47</v>
      </c>
      <c r="Y468" s="19">
        <v>0.55289999999999995</v>
      </c>
      <c r="Z468" s="4"/>
      <c r="AA468" s="4"/>
      <c r="AB468" s="4" t="e">
        <f ca="1">_xll.ciqfunctions.udf.CIQ("^SPX", "IQ_PRICEDATE", "10/29/2015")</f>
        <v>#NAME?</v>
      </c>
      <c r="AC468" s="16">
        <v>2089.4074019073</v>
      </c>
    </row>
    <row r="469" spans="1:29" x14ac:dyDescent="0.35">
      <c r="A469" s="2" t="s">
        <v>479</v>
      </c>
      <c r="B469" s="4" t="s">
        <v>1624</v>
      </c>
      <c r="C469" s="4" t="s">
        <v>525</v>
      </c>
      <c r="D469" s="4" t="s">
        <v>594</v>
      </c>
      <c r="E469" s="4" t="s">
        <v>903</v>
      </c>
      <c r="F469" s="4" t="s">
        <v>904</v>
      </c>
      <c r="G469" s="14">
        <v>149.88999999999999</v>
      </c>
      <c r="H469" s="10">
        <v>12.510600999999999</v>
      </c>
      <c r="I469" s="10">
        <v>10.383309000000001</v>
      </c>
      <c r="J469" s="10">
        <v>5.7536160000000001</v>
      </c>
      <c r="K469" s="15">
        <v>2.1347999999999999E-2</v>
      </c>
      <c r="L469" s="17">
        <v>110842.822961</v>
      </c>
      <c r="M469" s="4" t="s">
        <v>1625</v>
      </c>
      <c r="N469" s="19">
        <v>14.435667</v>
      </c>
      <c r="O469" s="19">
        <v>8.2949999999999999</v>
      </c>
      <c r="P469" s="19">
        <v>13.36</v>
      </c>
      <c r="Q469" s="19">
        <v>6.2483000000000004</v>
      </c>
      <c r="R469" s="19">
        <v>5.07</v>
      </c>
      <c r="S469" s="19">
        <v>5.4150999999999998</v>
      </c>
      <c r="T469" s="19">
        <v>5.07</v>
      </c>
      <c r="U469" s="19">
        <v>5.8707000000000003</v>
      </c>
      <c r="V469" s="19">
        <v>5.75</v>
      </c>
      <c r="W469" s="19">
        <v>6.2869999999999999</v>
      </c>
      <c r="X469" s="19">
        <v>5.75</v>
      </c>
      <c r="Y469" s="19">
        <v>6.2869999999999999</v>
      </c>
      <c r="Z469" s="4"/>
      <c r="AA469" s="4"/>
      <c r="AB469" s="4" t="e">
        <f ca="1">_xll.ciqfunctions.udf.CIQ("^SPX", "IQ_PRICEDATE", "10/30/2015")</f>
        <v>#NAME?</v>
      </c>
      <c r="AC469" s="16">
        <v>2079.3598374672001</v>
      </c>
    </row>
    <row r="470" spans="1:29" x14ac:dyDescent="0.35">
      <c r="A470" s="2" t="s">
        <v>480</v>
      </c>
      <c r="B470" s="4" t="s">
        <v>1626</v>
      </c>
      <c r="C470" s="4" t="s">
        <v>525</v>
      </c>
      <c r="D470" s="4" t="s">
        <v>594</v>
      </c>
      <c r="E470" s="4" t="s">
        <v>595</v>
      </c>
      <c r="F470" s="4" t="s">
        <v>595</v>
      </c>
      <c r="G470" s="14">
        <v>88.49</v>
      </c>
      <c r="H470" s="10">
        <v>6.0404059999999999</v>
      </c>
      <c r="I470" s="10">
        <v>11.162362</v>
      </c>
      <c r="J470" s="10">
        <v>33.695047000000002</v>
      </c>
      <c r="K470" s="15">
        <v>0</v>
      </c>
      <c r="L470" s="17">
        <v>24110.375818</v>
      </c>
      <c r="M470" s="4" t="s">
        <v>1627</v>
      </c>
      <c r="N470" s="19">
        <v>7.9275330000000004</v>
      </c>
      <c r="O470" s="19">
        <v>8.7324000000000002</v>
      </c>
      <c r="P470" s="19">
        <v>7.02</v>
      </c>
      <c r="Q470" s="19">
        <v>6.2331000000000003</v>
      </c>
      <c r="R470" s="19">
        <v>6.85</v>
      </c>
      <c r="S470" s="19">
        <v>6.5766</v>
      </c>
      <c r="T470" s="19">
        <v>6.85</v>
      </c>
      <c r="U470" s="19">
        <v>9.4006000000000007</v>
      </c>
      <c r="V470" s="19">
        <v>2.9330250000000002</v>
      </c>
      <c r="W470" s="19">
        <v>7.9301000000000004</v>
      </c>
      <c r="X470" s="19">
        <v>2.9330250000000002</v>
      </c>
      <c r="Y470" s="19">
        <v>7.9301000000000004</v>
      </c>
      <c r="Z470" s="4"/>
      <c r="AA470" s="4"/>
      <c r="AB470" s="4" t="e">
        <f ca="1">_xll.ciqfunctions.udf.CIQ("^SPX", "IQ_PRICEDATE", "11/2/2015")</f>
        <v>#NAME?</v>
      </c>
      <c r="AC470" s="16">
        <v>2104.0490473793998</v>
      </c>
    </row>
    <row r="471" spans="1:29" x14ac:dyDescent="0.35">
      <c r="A471" s="2" t="s">
        <v>481</v>
      </c>
      <c r="B471" s="4" t="s">
        <v>1628</v>
      </c>
      <c r="C471" s="4" t="s">
        <v>525</v>
      </c>
      <c r="D471" s="4" t="s">
        <v>594</v>
      </c>
      <c r="E471" s="4" t="s">
        <v>779</v>
      </c>
      <c r="F471" s="4" t="s">
        <v>779</v>
      </c>
      <c r="G471" s="14">
        <v>118.01</v>
      </c>
      <c r="H471" s="10">
        <v>12.263819</v>
      </c>
      <c r="I471" s="10">
        <v>19.838377000000001</v>
      </c>
      <c r="J471" s="10" t="s">
        <v>534</v>
      </c>
      <c r="K471" s="15">
        <v>3.0844E-2</v>
      </c>
      <c r="L471" s="17">
        <v>101529.280289</v>
      </c>
      <c r="M471" s="4" t="s">
        <v>1629</v>
      </c>
      <c r="N471" s="19">
        <v>5.9485710000000003</v>
      </c>
      <c r="O471" s="19">
        <v>7.4805000000000001</v>
      </c>
      <c r="P471" s="19">
        <v>5.61</v>
      </c>
      <c r="Q471" s="19">
        <v>6.3202999999999996</v>
      </c>
      <c r="R471" s="19">
        <v>3.87</v>
      </c>
      <c r="S471" s="19">
        <v>6.0423999999999998</v>
      </c>
      <c r="T471" s="19">
        <v>3.87</v>
      </c>
      <c r="U471" s="19">
        <v>5.5875000000000004</v>
      </c>
      <c r="V471" s="19">
        <v>3.28</v>
      </c>
      <c r="W471" s="19">
        <v>5.4767000000000001</v>
      </c>
      <c r="X471" s="19">
        <v>3.28</v>
      </c>
      <c r="Y471" s="19">
        <v>5.4767000000000001</v>
      </c>
      <c r="Z471" s="4"/>
      <c r="AA471" s="4"/>
      <c r="AB471" s="4" t="e">
        <f ca="1">_xll.ciqfunctions.udf.CIQ("^SPX", "IQ_PRICEDATE", "11/3/2015")</f>
        <v>#NAME?</v>
      </c>
      <c r="AC471" s="16">
        <v>2109.7875229148999</v>
      </c>
    </row>
    <row r="472" spans="1:29" x14ac:dyDescent="0.35">
      <c r="A472" s="2" t="s">
        <v>482</v>
      </c>
      <c r="B472" s="4" t="s">
        <v>1630</v>
      </c>
      <c r="C472" s="4" t="s">
        <v>525</v>
      </c>
      <c r="D472" s="4" t="s">
        <v>526</v>
      </c>
      <c r="E472" s="4" t="s">
        <v>1023</v>
      </c>
      <c r="F472" s="4" t="s">
        <v>1023</v>
      </c>
      <c r="G472" s="14">
        <v>139.04</v>
      </c>
      <c r="H472" s="10">
        <v>8.6262190000000007</v>
      </c>
      <c r="I472" s="10">
        <v>6.98733</v>
      </c>
      <c r="J472" s="10" t="s">
        <v>534</v>
      </c>
      <c r="K472" s="15">
        <v>0</v>
      </c>
      <c r="L472" s="17">
        <v>11276.508562999999</v>
      </c>
      <c r="M472" s="4" t="s">
        <v>1631</v>
      </c>
      <c r="N472" s="19">
        <v>19.898873999999999</v>
      </c>
      <c r="O472" s="19">
        <v>16.346900000000002</v>
      </c>
      <c r="P472" s="19">
        <v>15.73</v>
      </c>
      <c r="Q472" s="19">
        <v>12.0929</v>
      </c>
      <c r="R472" s="19">
        <v>6.45</v>
      </c>
      <c r="S472" s="19">
        <v>8.5184999999999995</v>
      </c>
      <c r="T472" s="19">
        <v>6.45</v>
      </c>
      <c r="U472" s="19">
        <v>8.6806000000000001</v>
      </c>
      <c r="V472" s="19">
        <v>5.15</v>
      </c>
      <c r="W472" s="19">
        <v>7.9267000000000003</v>
      </c>
      <c r="X472" s="19">
        <v>5.15</v>
      </c>
      <c r="Y472" s="19">
        <v>7.9267000000000003</v>
      </c>
      <c r="Z472" s="4"/>
      <c r="AA472" s="4"/>
      <c r="AB472" s="4" t="e">
        <f ca="1">_xll.ciqfunctions.udf.CIQ("^SPX", "IQ_PRICEDATE", "11/4/2015")</f>
        <v>#NAME?</v>
      </c>
      <c r="AC472" s="16">
        <v>2102.3136815055</v>
      </c>
    </row>
    <row r="473" spans="1:29" x14ac:dyDescent="0.35">
      <c r="A473" s="2" t="s">
        <v>483</v>
      </c>
      <c r="B473" s="4" t="s">
        <v>1632</v>
      </c>
      <c r="C473" s="4" t="s">
        <v>525</v>
      </c>
      <c r="D473" s="4" t="s">
        <v>526</v>
      </c>
      <c r="E473" s="4" t="s">
        <v>703</v>
      </c>
      <c r="F473" s="4" t="s">
        <v>703</v>
      </c>
      <c r="G473" s="14">
        <v>130.07</v>
      </c>
      <c r="H473" s="10">
        <v>11.715342</v>
      </c>
      <c r="I473" s="10">
        <v>20.481677000000001</v>
      </c>
      <c r="J473" s="10" t="s">
        <v>534</v>
      </c>
      <c r="K473" s="15">
        <v>2.1526E-2</v>
      </c>
      <c r="L473" s="17">
        <v>104068.13357999999</v>
      </c>
      <c r="M473" s="4" t="s">
        <v>1633</v>
      </c>
      <c r="N473" s="19">
        <v>6.3505539999999998</v>
      </c>
      <c r="O473" s="19">
        <v>7.3339999999999996</v>
      </c>
      <c r="P473" s="19">
        <v>5.7</v>
      </c>
      <c r="Q473" s="19">
        <v>6.6734</v>
      </c>
      <c r="R473" s="19">
        <v>6.13</v>
      </c>
      <c r="S473" s="19">
        <v>6.4573</v>
      </c>
      <c r="T473" s="19">
        <v>6.13</v>
      </c>
      <c r="U473" s="19">
        <v>6.3377999999999997</v>
      </c>
      <c r="V473" s="19">
        <v>6.65</v>
      </c>
      <c r="W473" s="19">
        <v>6.8353000000000002</v>
      </c>
      <c r="X473" s="19">
        <v>6.65</v>
      </c>
      <c r="Y473" s="19">
        <v>6.8353000000000002</v>
      </c>
      <c r="Z473" s="4"/>
      <c r="AA473" s="4"/>
      <c r="AB473" s="4" t="e">
        <f ca="1">_xll.ciqfunctions.udf.CIQ("^SPX", "IQ_PRICEDATE", "11/5/2015")</f>
        <v>#NAME?</v>
      </c>
      <c r="AC473" s="16">
        <v>2099.9291454118002</v>
      </c>
    </row>
    <row r="474" spans="1:29" x14ac:dyDescent="0.35">
      <c r="A474" s="2" t="s">
        <v>484</v>
      </c>
      <c r="B474" s="4" t="s">
        <v>1634</v>
      </c>
      <c r="C474" s="4" t="s">
        <v>530</v>
      </c>
      <c r="D474" s="4" t="s">
        <v>531</v>
      </c>
      <c r="E474" s="4" t="s">
        <v>569</v>
      </c>
      <c r="F474" s="4" t="s">
        <v>570</v>
      </c>
      <c r="G474" s="14">
        <v>267.3</v>
      </c>
      <c r="H474" s="10">
        <v>15.143921000000001</v>
      </c>
      <c r="I474" s="10">
        <v>20.972270000000002</v>
      </c>
      <c r="J474" s="10">
        <v>4.9957390000000004</v>
      </c>
      <c r="K474" s="15">
        <v>1.3468000000000001E-2</v>
      </c>
      <c r="L474" s="17">
        <v>257269.12993</v>
      </c>
      <c r="M474" s="4" t="s">
        <v>1635</v>
      </c>
      <c r="N474" s="19">
        <v>12.745400999999999</v>
      </c>
      <c r="O474" s="19">
        <v>13.480700000000001</v>
      </c>
      <c r="P474" s="19">
        <v>10.72</v>
      </c>
      <c r="Q474" s="19">
        <v>10.5776</v>
      </c>
      <c r="R474" s="19">
        <v>7.25</v>
      </c>
      <c r="S474" s="19">
        <v>9.1264000000000003</v>
      </c>
      <c r="T474" s="19">
        <v>7.25</v>
      </c>
      <c r="U474" s="19">
        <v>7.1228999999999996</v>
      </c>
      <c r="V474" s="19">
        <v>5.7</v>
      </c>
      <c r="W474" s="19">
        <v>6.0094000000000003</v>
      </c>
      <c r="X474" s="19">
        <v>5.7</v>
      </c>
      <c r="Y474" s="19">
        <v>6.0094000000000003</v>
      </c>
      <c r="Z474" s="4"/>
      <c r="AA474" s="4"/>
      <c r="AB474" s="4" t="e">
        <f ca="1">_xll.ciqfunctions.udf.CIQ("^SPX", "IQ_PRICEDATE", "11/6/2015")</f>
        <v>#NAME?</v>
      </c>
      <c r="AC474" s="16">
        <v>2099.2034899273999</v>
      </c>
    </row>
    <row r="475" spans="1:29" x14ac:dyDescent="0.35">
      <c r="A475" s="2" t="s">
        <v>485</v>
      </c>
      <c r="B475" s="4" t="s">
        <v>1636</v>
      </c>
      <c r="C475" s="4" t="s">
        <v>530</v>
      </c>
      <c r="D475" s="4" t="s">
        <v>531</v>
      </c>
      <c r="E475" s="4" t="s">
        <v>569</v>
      </c>
      <c r="F475" s="4" t="s">
        <v>1109</v>
      </c>
      <c r="G475" s="14">
        <v>125.64</v>
      </c>
      <c r="H475" s="10">
        <v>9.2370059999999992</v>
      </c>
      <c r="I475" s="10">
        <v>14.724497</v>
      </c>
      <c r="J475" s="10">
        <v>7.8062399999999998</v>
      </c>
      <c r="K475" s="15">
        <v>3.1830000000000001E-3</v>
      </c>
      <c r="L475" s="17">
        <v>11727.777281999999</v>
      </c>
      <c r="M475" s="4" t="s">
        <v>1637</v>
      </c>
      <c r="N475" s="19">
        <v>8.5327190000000002</v>
      </c>
      <c r="O475" s="19">
        <v>9.8560999999999996</v>
      </c>
      <c r="P475" s="19">
        <v>7.81</v>
      </c>
      <c r="Q475" s="19">
        <v>7.7785000000000002</v>
      </c>
      <c r="R475" s="19">
        <v>7.14</v>
      </c>
      <c r="S475" s="19">
        <v>7.8731999999999998</v>
      </c>
      <c r="T475" s="19">
        <v>7.14</v>
      </c>
      <c r="U475" s="19">
        <v>7.2564000000000002</v>
      </c>
      <c r="V475" s="19">
        <v>5.42</v>
      </c>
      <c r="W475" s="19">
        <v>6.2946999999999997</v>
      </c>
      <c r="X475" s="19">
        <v>5.42</v>
      </c>
      <c r="Y475" s="19">
        <v>6.2946999999999997</v>
      </c>
      <c r="Z475" s="4"/>
      <c r="AA475" s="4"/>
      <c r="AB475" s="4" t="e">
        <f ca="1">_xll.ciqfunctions.udf.CIQ("^SPX", "IQ_PRICEDATE", "11/9/2015")</f>
        <v>#NAME?</v>
      </c>
      <c r="AC475" s="16">
        <v>2078.5799955810999</v>
      </c>
    </row>
    <row r="476" spans="1:29" x14ac:dyDescent="0.35">
      <c r="A476" s="2" t="s">
        <v>486</v>
      </c>
      <c r="B476" s="4" t="s">
        <v>1638</v>
      </c>
      <c r="C476" s="4" t="s">
        <v>573</v>
      </c>
      <c r="D476" s="4" t="s">
        <v>579</v>
      </c>
      <c r="E476" s="4" t="s">
        <v>579</v>
      </c>
      <c r="F476" s="4" t="s">
        <v>580</v>
      </c>
      <c r="G476" s="14">
        <v>37.99</v>
      </c>
      <c r="H476" s="10">
        <v>6.8335710000000001</v>
      </c>
      <c r="I476" s="10">
        <v>7.8813599999999999</v>
      </c>
      <c r="J476" s="10">
        <v>0.91294699999999995</v>
      </c>
      <c r="K476" s="15">
        <v>2.7374999999999997E-2</v>
      </c>
      <c r="L476" s="17">
        <v>8308.6141950000001</v>
      </c>
      <c r="M476" s="4" t="s">
        <v>1639</v>
      </c>
      <c r="N476" s="19">
        <v>4.8202340000000001</v>
      </c>
      <c r="O476" s="19">
        <v>5.2515000000000001</v>
      </c>
      <c r="P476" s="19">
        <v>4.37</v>
      </c>
      <c r="Q476" s="19">
        <v>4.3682999999999996</v>
      </c>
      <c r="R476" s="19">
        <v>3.95</v>
      </c>
      <c r="S476" s="19">
        <v>4.0128000000000004</v>
      </c>
      <c r="T476" s="19">
        <v>3.95</v>
      </c>
      <c r="U476" s="19">
        <v>3.7507999999999999</v>
      </c>
      <c r="V476" s="19">
        <v>1.57</v>
      </c>
      <c r="W476" s="19">
        <v>3.5983999999999998</v>
      </c>
      <c r="X476" s="19">
        <v>1.57</v>
      </c>
      <c r="Y476" s="19">
        <v>3.5983999999999998</v>
      </c>
      <c r="Z476" s="4"/>
      <c r="AA476" s="4"/>
      <c r="AB476" s="4" t="e">
        <f ca="1">_xll.ciqfunctions.udf.CIQ("^SPX", "IQ_PRICEDATE", "11/10/2015")</f>
        <v>#NAME?</v>
      </c>
      <c r="AC476" s="16">
        <v>2081.7171869949998</v>
      </c>
    </row>
    <row r="477" spans="1:29" x14ac:dyDescent="0.35">
      <c r="A477" s="2" t="s">
        <v>487</v>
      </c>
      <c r="B477" s="4" t="s">
        <v>1640</v>
      </c>
      <c r="C477" s="4" t="s">
        <v>559</v>
      </c>
      <c r="D477" s="4" t="s">
        <v>912</v>
      </c>
      <c r="E477" s="4" t="s">
        <v>1097</v>
      </c>
      <c r="F477" s="4" t="s">
        <v>1098</v>
      </c>
      <c r="G477" s="14">
        <v>89.28</v>
      </c>
      <c r="H477" s="10">
        <v>22.716733000000001</v>
      </c>
      <c r="I477" s="10">
        <v>32.698134000000003</v>
      </c>
      <c r="J477" s="10" t="s">
        <v>534</v>
      </c>
      <c r="K477" s="15">
        <v>2.0609000000000002E-2</v>
      </c>
      <c r="L477" s="17">
        <v>35396.040044000001</v>
      </c>
      <c r="M477" s="4" t="s">
        <v>1641</v>
      </c>
      <c r="N477" s="19">
        <v>2.7304309999999998</v>
      </c>
      <c r="O477" s="19">
        <v>3.7210999999999999</v>
      </c>
      <c r="P477" s="19">
        <v>1.79</v>
      </c>
      <c r="Q477" s="19">
        <v>0</v>
      </c>
      <c r="R477" s="19">
        <v>2.56</v>
      </c>
      <c r="S477" s="19">
        <v>3.3176000000000001</v>
      </c>
      <c r="T477" s="19">
        <v>2.56</v>
      </c>
      <c r="U477" s="19">
        <v>3.3953000000000002</v>
      </c>
      <c r="V477" s="19">
        <v>2.9210950000000002</v>
      </c>
      <c r="W477" s="19">
        <v>3.3620999999999999</v>
      </c>
      <c r="X477" s="19">
        <v>2.9210950000000002</v>
      </c>
      <c r="Y477" s="19">
        <v>3.3620999999999999</v>
      </c>
      <c r="Z477" s="4"/>
      <c r="AA477" s="4"/>
      <c r="AB477" s="4" t="e">
        <f ca="1">_xll.ciqfunctions.udf.CIQ("^SPX", "IQ_PRICEDATE", "11/11/2015")</f>
        <v>#NAME?</v>
      </c>
      <c r="AC477" s="16">
        <v>2075.0031674296001</v>
      </c>
    </row>
    <row r="478" spans="1:29" x14ac:dyDescent="0.35">
      <c r="A478" s="2" t="s">
        <v>488</v>
      </c>
      <c r="B478" s="4" t="s">
        <v>1642</v>
      </c>
      <c r="C478" s="4" t="s">
        <v>669</v>
      </c>
      <c r="D478" s="4" t="s">
        <v>669</v>
      </c>
      <c r="E478" s="4" t="s">
        <v>670</v>
      </c>
      <c r="F478" s="4" t="s">
        <v>1126</v>
      </c>
      <c r="G478" s="14">
        <v>103.74</v>
      </c>
      <c r="H478" s="10">
        <v>7.8735460000000002</v>
      </c>
      <c r="I478" s="10">
        <v>9.9935130000000001</v>
      </c>
      <c r="J478" s="10">
        <v>2.0416460000000001</v>
      </c>
      <c r="K478" s="15">
        <v>3.0845999999999998E-2</v>
      </c>
      <c r="L478" s="17">
        <v>44338.271321</v>
      </c>
      <c r="M478" s="4" t="s">
        <v>1643</v>
      </c>
      <c r="N478" s="19">
        <v>10.380732999999999</v>
      </c>
      <c r="O478" s="19">
        <v>7.9870000000000001</v>
      </c>
      <c r="P478" s="19">
        <v>9.155405</v>
      </c>
      <c r="Q478" s="19">
        <v>6.4138000000000002</v>
      </c>
      <c r="R478" s="19">
        <v>4.9331889999999996</v>
      </c>
      <c r="S478" s="19">
        <v>5.3204000000000002</v>
      </c>
      <c r="T478" s="19">
        <v>4.9331889999999996</v>
      </c>
      <c r="U478" s="19">
        <v>7.7972999999999999</v>
      </c>
      <c r="V478" s="19">
        <v>6.969811</v>
      </c>
      <c r="W478" s="19">
        <v>5.5865</v>
      </c>
      <c r="X478" s="19">
        <v>6.969811</v>
      </c>
      <c r="Y478" s="19">
        <v>5.5865</v>
      </c>
      <c r="Z478" s="4"/>
      <c r="AA478" s="4"/>
      <c r="AB478" s="4" t="e">
        <f ca="1">_xll.ciqfunctions.udf.CIQ("^SPX", "IQ_PRICEDATE", "11/12/2015")</f>
        <v>#NAME?</v>
      </c>
      <c r="AC478" s="16">
        <v>2045.9655657082999</v>
      </c>
    </row>
    <row r="479" spans="1:29" x14ac:dyDescent="0.35">
      <c r="A479" s="2" t="s">
        <v>489</v>
      </c>
      <c r="B479" s="4" t="s">
        <v>1644</v>
      </c>
      <c r="C479" s="4" t="s">
        <v>530</v>
      </c>
      <c r="D479" s="4" t="s">
        <v>531</v>
      </c>
      <c r="E479" s="4" t="s">
        <v>532</v>
      </c>
      <c r="F479" s="4" t="s">
        <v>533</v>
      </c>
      <c r="G479" s="14">
        <v>108.65</v>
      </c>
      <c r="H479" s="10">
        <v>15.774485</v>
      </c>
      <c r="I479" s="10">
        <v>70.377876999999998</v>
      </c>
      <c r="J479" s="10">
        <v>8.4399990000000003</v>
      </c>
      <c r="K479" s="15">
        <v>0</v>
      </c>
      <c r="L479" s="17">
        <v>9946.6328329999997</v>
      </c>
      <c r="M479" s="4" t="s">
        <v>1645</v>
      </c>
      <c r="N479" s="19">
        <v>1.543809</v>
      </c>
      <c r="O479" s="19">
        <v>4.6231</v>
      </c>
      <c r="P479" s="19">
        <v>1.4744889999999999</v>
      </c>
      <c r="Q479" s="19">
        <v>4.3349200000000003</v>
      </c>
      <c r="R479" s="19">
        <v>2.7396310000000001</v>
      </c>
      <c r="S479" s="19">
        <v>4.9473099999999999</v>
      </c>
      <c r="T479" s="19">
        <v>2.7396310000000001</v>
      </c>
      <c r="U479" s="19">
        <v>4.4569799999999997</v>
      </c>
      <c r="V479" s="19">
        <v>3.83</v>
      </c>
      <c r="W479" s="19">
        <v>4.28667</v>
      </c>
      <c r="X479" s="19">
        <v>3.83</v>
      </c>
      <c r="Y479" s="19">
        <v>4.28667</v>
      </c>
      <c r="Z479" s="4"/>
      <c r="AA479" s="4"/>
      <c r="AB479" s="4" t="e">
        <f ca="1">_xll.ciqfunctions.udf.CIQ("^SPX", "IQ_PRICEDATE", "11/13/2015")</f>
        <v>#NAME?</v>
      </c>
      <c r="AC479" s="16">
        <v>2023.0394329712001</v>
      </c>
    </row>
    <row r="480" spans="1:29" x14ac:dyDescent="0.35">
      <c r="A480" s="2" t="s">
        <v>490</v>
      </c>
      <c r="B480" s="4" t="s">
        <v>1646</v>
      </c>
      <c r="C480" s="4" t="s">
        <v>601</v>
      </c>
      <c r="D480" s="4" t="s">
        <v>601</v>
      </c>
      <c r="E480" s="4" t="s">
        <v>602</v>
      </c>
      <c r="F480" s="4" t="s">
        <v>1112</v>
      </c>
      <c r="G480" s="14">
        <v>55.34</v>
      </c>
      <c r="H480" s="10">
        <v>16.212135</v>
      </c>
      <c r="I480" s="10">
        <v>15.912929999999999</v>
      </c>
      <c r="J480" s="10">
        <v>2.210531</v>
      </c>
      <c r="K480" s="15">
        <v>5.7100999999999999E-2</v>
      </c>
      <c r="L480" s="17">
        <v>19725.335310999999</v>
      </c>
      <c r="M480" s="4" t="s">
        <v>1647</v>
      </c>
      <c r="N480" s="19">
        <v>3.4776750000000001</v>
      </c>
      <c r="O480" s="19">
        <v>1.458</v>
      </c>
      <c r="P480" s="19">
        <v>3.7803059999999999</v>
      </c>
      <c r="Q480" s="19">
        <v>2.1423999999999999</v>
      </c>
      <c r="R480" s="19">
        <v>1.862646</v>
      </c>
      <c r="S480" s="19">
        <v>1.7329000000000001</v>
      </c>
      <c r="T480" s="19">
        <v>1.862646</v>
      </c>
      <c r="U480" s="19">
        <v>2.2925</v>
      </c>
      <c r="V480" s="19">
        <v>1.26</v>
      </c>
      <c r="W480" s="19">
        <v>1.7635000000000001</v>
      </c>
      <c r="X480" s="19">
        <v>1.26</v>
      </c>
      <c r="Y480" s="19">
        <v>1.7635000000000001</v>
      </c>
      <c r="Z480" s="4"/>
      <c r="AA480" s="4"/>
      <c r="AB480" s="4" t="e">
        <f ca="1">_xll.ciqfunctions.udf.CIQ("^SPX", "IQ_PRICEDATE", "11/16/2015")</f>
        <v>#NAME?</v>
      </c>
      <c r="AC480" s="16">
        <v>2053.1850023665002</v>
      </c>
    </row>
    <row r="481" spans="1:29" x14ac:dyDescent="0.35">
      <c r="A481" s="2" t="s">
        <v>491</v>
      </c>
      <c r="B481" s="4" t="s">
        <v>1648</v>
      </c>
      <c r="C481" s="4" t="s">
        <v>543</v>
      </c>
      <c r="D481" s="4" t="s">
        <v>544</v>
      </c>
      <c r="E481" s="4" t="s">
        <v>545</v>
      </c>
      <c r="F481" s="4" t="s">
        <v>591</v>
      </c>
      <c r="G481" s="14">
        <v>145.88999999999999</v>
      </c>
      <c r="H481" s="10">
        <v>23.443836000000001</v>
      </c>
      <c r="I481" s="10">
        <v>37.612108999999997</v>
      </c>
      <c r="J481" s="10" t="s">
        <v>534</v>
      </c>
      <c r="K481" s="15">
        <v>0</v>
      </c>
      <c r="L481" s="17">
        <v>17786.702219999999</v>
      </c>
      <c r="M481" s="4" t="s">
        <v>1649</v>
      </c>
      <c r="N481" s="19">
        <v>3.8788040000000001</v>
      </c>
      <c r="O481" s="19">
        <v>4.9401999999999999</v>
      </c>
      <c r="P481" s="19">
        <v>3.68</v>
      </c>
      <c r="Q481" s="19">
        <v>4.1257000000000001</v>
      </c>
      <c r="R481" s="19">
        <v>3.42</v>
      </c>
      <c r="S481" s="19">
        <v>3.7134999999999998</v>
      </c>
      <c r="T481" s="19">
        <v>3.42</v>
      </c>
      <c r="U481" s="19">
        <v>3.3492999999999999</v>
      </c>
      <c r="V481" s="19">
        <v>2.52</v>
      </c>
      <c r="W481" s="19">
        <v>2.9845999999999999</v>
      </c>
      <c r="X481" s="19">
        <v>2.52</v>
      </c>
      <c r="Y481" s="19">
        <v>2.9845999999999999</v>
      </c>
      <c r="Z481" s="4"/>
      <c r="AA481" s="4"/>
      <c r="AB481" s="4" t="e">
        <f ca="1">_xll.ciqfunctions.udf.CIQ("^SPX", "IQ_PRICEDATE", "11/17/2015")</f>
        <v>#NAME?</v>
      </c>
      <c r="AC481" s="16">
        <v>2050.4358729730002</v>
      </c>
    </row>
    <row r="482" spans="1:29" x14ac:dyDescent="0.35">
      <c r="A482" s="2" t="s">
        <v>492</v>
      </c>
      <c r="B482" s="4" t="s">
        <v>1650</v>
      </c>
      <c r="C482" s="4" t="s">
        <v>525</v>
      </c>
      <c r="D482" s="4" t="s">
        <v>855</v>
      </c>
      <c r="E482" s="4" t="s">
        <v>990</v>
      </c>
      <c r="F482" s="4" t="s">
        <v>991</v>
      </c>
      <c r="G482" s="14">
        <v>117.08</v>
      </c>
      <c r="H482" s="10">
        <v>20.977004000000001</v>
      </c>
      <c r="I482" s="10">
        <v>32.241213000000002</v>
      </c>
      <c r="J482" s="10" t="s">
        <v>534</v>
      </c>
      <c r="K482" s="15">
        <v>0</v>
      </c>
      <c r="L482" s="17">
        <v>19284.06076</v>
      </c>
      <c r="M482" s="4" t="s">
        <v>1651</v>
      </c>
      <c r="N482" s="19">
        <v>3.6313770000000001</v>
      </c>
      <c r="O482" s="19">
        <v>4.3449</v>
      </c>
      <c r="P482" s="19">
        <v>3.29</v>
      </c>
      <c r="Q482" s="19">
        <v>3.4033000000000002</v>
      </c>
      <c r="R482" s="19">
        <v>2.639999</v>
      </c>
      <c r="S482" s="19">
        <v>3.2696999999999998</v>
      </c>
      <c r="T482" s="19">
        <v>2.639999</v>
      </c>
      <c r="U482" s="19">
        <v>3.1248</v>
      </c>
      <c r="V482" s="19">
        <v>2.0999989999999999</v>
      </c>
      <c r="W482" s="19">
        <v>2.6181999999999999</v>
      </c>
      <c r="X482" s="19">
        <v>2.0999989999999999</v>
      </c>
      <c r="Y482" s="19">
        <v>2.6181999999999999</v>
      </c>
      <c r="Z482" s="4"/>
      <c r="AA482" s="4"/>
      <c r="AB482" s="4" t="e">
        <f ca="1">_xll.ciqfunctions.udf.CIQ("^SPX", "IQ_PRICEDATE", "11/18/2015")</f>
        <v>#NAME?</v>
      </c>
      <c r="AC482" s="16">
        <v>2083.5810116775001</v>
      </c>
    </row>
    <row r="483" spans="1:29" x14ac:dyDescent="0.35">
      <c r="A483" s="2" t="s">
        <v>493</v>
      </c>
      <c r="B483" s="4" t="s">
        <v>1652</v>
      </c>
      <c r="C483" s="4" t="s">
        <v>549</v>
      </c>
      <c r="D483" s="4" t="s">
        <v>713</v>
      </c>
      <c r="E483" s="4" t="s">
        <v>714</v>
      </c>
      <c r="F483" s="4" t="s">
        <v>715</v>
      </c>
      <c r="G483" s="14">
        <v>53.96</v>
      </c>
      <c r="H483" s="10">
        <v>7.2628959999999996</v>
      </c>
      <c r="I483" s="10">
        <v>7.1606040000000002</v>
      </c>
      <c r="J483" s="10" t="s">
        <v>534</v>
      </c>
      <c r="K483" s="15">
        <v>4.4662E-2</v>
      </c>
      <c r="L483" s="17">
        <v>222959.24530000001</v>
      </c>
      <c r="M483" s="4" t="s">
        <v>1653</v>
      </c>
      <c r="N483" s="19">
        <v>7.5356769999999997</v>
      </c>
      <c r="O483" s="19">
        <v>4.6574999999999998</v>
      </c>
      <c r="P483" s="19">
        <v>7.36</v>
      </c>
      <c r="Q483" s="19">
        <v>3.8620000000000001</v>
      </c>
      <c r="R483" s="19">
        <v>3.21</v>
      </c>
      <c r="S483" s="19">
        <v>3.9784000000000002</v>
      </c>
      <c r="T483" s="19">
        <v>3.21</v>
      </c>
      <c r="U483" s="19">
        <v>3.9689999999999999</v>
      </c>
      <c r="V483" s="19">
        <v>2.42</v>
      </c>
      <c r="W483" s="19">
        <v>3.6232000000000002</v>
      </c>
      <c r="X483" s="19">
        <v>2.42</v>
      </c>
      <c r="Y483" s="19">
        <v>3.6232000000000002</v>
      </c>
      <c r="Z483" s="4"/>
      <c r="AA483" s="4"/>
      <c r="AB483" s="4" t="e">
        <f ca="1">_xll.ciqfunctions.udf.CIQ("^SPX", "IQ_PRICEDATE", "11/19/2015")</f>
        <v>#NAME?</v>
      </c>
      <c r="AC483" s="16">
        <v>2081.2376959506</v>
      </c>
    </row>
    <row r="484" spans="1:29" x14ac:dyDescent="0.35">
      <c r="A484" s="2" t="s">
        <v>494</v>
      </c>
      <c r="B484" s="4" t="s">
        <v>1654</v>
      </c>
      <c r="C484" s="4" t="s">
        <v>530</v>
      </c>
      <c r="D484" s="4" t="s">
        <v>537</v>
      </c>
      <c r="E484" s="4" t="s">
        <v>538</v>
      </c>
      <c r="F484" s="4" t="s">
        <v>538</v>
      </c>
      <c r="G484" s="14">
        <v>185.48</v>
      </c>
      <c r="H484" s="10">
        <v>77.546757999999997</v>
      </c>
      <c r="I484" s="10">
        <v>114.964044</v>
      </c>
      <c r="J484" s="10">
        <v>18.135213</v>
      </c>
      <c r="K484" s="15">
        <v>0</v>
      </c>
      <c r="L484" s="17">
        <v>47401.257486000002</v>
      </c>
      <c r="M484" s="4" t="s">
        <v>1655</v>
      </c>
      <c r="N484" s="19">
        <v>1.6133740000000001</v>
      </c>
      <c r="O484" s="19">
        <v>4.2511000000000001</v>
      </c>
      <c r="P484" s="19">
        <v>1.0393760000000001</v>
      </c>
      <c r="Q484" s="19">
        <v>2.4992999999999999</v>
      </c>
      <c r="R484" s="19">
        <v>-0.46</v>
      </c>
      <c r="S484" s="19">
        <v>1.4767999999999999</v>
      </c>
      <c r="T484" s="19">
        <v>-0.46</v>
      </c>
      <c r="U484" s="19">
        <v>2.0221</v>
      </c>
      <c r="V484" s="19">
        <v>-3.14</v>
      </c>
      <c r="W484" s="19">
        <v>-1.1392</v>
      </c>
      <c r="X484" s="19">
        <v>-3.14</v>
      </c>
      <c r="Y484" s="19">
        <v>-1.1392</v>
      </c>
      <c r="Z484" s="4"/>
      <c r="AA484" s="4"/>
      <c r="AB484" s="4" t="e">
        <f ca="1">_xll.ciqfunctions.udf.CIQ("^SPX", "IQ_PRICEDATE", "11/20/2015")</f>
        <v>#NAME?</v>
      </c>
      <c r="AC484" s="16">
        <v>2089.1662231912001</v>
      </c>
    </row>
    <row r="485" spans="1:29" x14ac:dyDescent="0.35">
      <c r="A485" s="2" t="s">
        <v>495</v>
      </c>
      <c r="B485" s="4" t="s">
        <v>1656</v>
      </c>
      <c r="C485" s="4" t="s">
        <v>549</v>
      </c>
      <c r="D485" s="4" t="s">
        <v>550</v>
      </c>
      <c r="E485" s="4" t="s">
        <v>551</v>
      </c>
      <c r="F485" s="4" t="s">
        <v>1319</v>
      </c>
      <c r="G485" s="14">
        <v>33.409999999999997</v>
      </c>
      <c r="H485" s="10">
        <v>7.8846720000000001</v>
      </c>
      <c r="I485" s="10">
        <v>6.8094950000000001</v>
      </c>
      <c r="J485" s="10" t="s">
        <v>534</v>
      </c>
      <c r="K485" s="15">
        <v>2.3944E-2</v>
      </c>
      <c r="L485" s="17">
        <v>13601.552202000001</v>
      </c>
      <c r="M485" s="4" t="s">
        <v>1657</v>
      </c>
      <c r="N485" s="19">
        <v>4.9063840000000001</v>
      </c>
      <c r="O485" s="19">
        <v>4.2169999999999996</v>
      </c>
      <c r="P485" s="19">
        <v>4.9987180000000002</v>
      </c>
      <c r="Q485" s="19">
        <v>3.71123</v>
      </c>
      <c r="R485" s="19">
        <v>3.479705</v>
      </c>
      <c r="S485" s="19">
        <v>3.8408199999999999</v>
      </c>
      <c r="T485" s="19">
        <v>3.479705</v>
      </c>
      <c r="U485" s="19">
        <v>5.8085000000000004</v>
      </c>
      <c r="V485" s="19">
        <v>5.4438579999999996</v>
      </c>
      <c r="W485" s="19">
        <v>5.9686500000000002</v>
      </c>
      <c r="X485" s="19">
        <v>5.4438579999999996</v>
      </c>
      <c r="Y485" s="19">
        <v>5.9686500000000002</v>
      </c>
      <c r="Z485" s="4"/>
      <c r="AA485" s="4"/>
      <c r="AB485" s="4" t="e">
        <f ca="1">_xll.ciqfunctions.udf.CIQ("^SPX", "IQ_PRICEDATE", "11/23/2015")</f>
        <v>#NAME?</v>
      </c>
      <c r="AC485" s="16">
        <v>2086.5899735126</v>
      </c>
    </row>
    <row r="486" spans="1:29" x14ac:dyDescent="0.35">
      <c r="A486" s="2" t="s">
        <v>496</v>
      </c>
      <c r="B486" s="4" t="s">
        <v>1658</v>
      </c>
      <c r="C486" s="4" t="s">
        <v>543</v>
      </c>
      <c r="D486" s="4" t="s">
        <v>544</v>
      </c>
      <c r="E486" s="4" t="s">
        <v>545</v>
      </c>
      <c r="F486" s="4" t="s">
        <v>616</v>
      </c>
      <c r="G486" s="14">
        <v>142.44999999999999</v>
      </c>
      <c r="H486" s="10">
        <v>23.925962999999999</v>
      </c>
      <c r="I486" s="10">
        <v>34.781806000000003</v>
      </c>
      <c r="J486" s="10" t="s">
        <v>534</v>
      </c>
      <c r="K486" s="15">
        <v>5.8960000000000002E-3</v>
      </c>
      <c r="L486" s="17">
        <v>316967.62491200003</v>
      </c>
      <c r="M486" s="4" t="s">
        <v>1659</v>
      </c>
      <c r="N486" s="19">
        <v>4.0955320000000004</v>
      </c>
      <c r="O486" s="19">
        <v>5.0887000000000002</v>
      </c>
      <c r="P486" s="19">
        <v>3.0100920000000002</v>
      </c>
      <c r="Q486" s="19">
        <v>4.0919999999999996</v>
      </c>
      <c r="R486" s="19">
        <v>2.534287</v>
      </c>
      <c r="S486" s="19">
        <v>3.2856100000000001</v>
      </c>
      <c r="T486" s="19">
        <v>2.534287</v>
      </c>
      <c r="U486" s="19">
        <v>2.86551</v>
      </c>
      <c r="V486" s="19">
        <v>2.2663869999999999</v>
      </c>
      <c r="W486" s="19">
        <v>2.6007699999999998</v>
      </c>
      <c r="X486" s="19">
        <v>2.2663869999999999</v>
      </c>
      <c r="Y486" s="19">
        <v>2.6007699999999998</v>
      </c>
      <c r="Z486" s="4"/>
      <c r="AA486" s="4"/>
      <c r="AB486" s="4" t="e">
        <f ca="1">_xll.ciqfunctions.udf.CIQ("^SPX", "IQ_PRICEDATE", "11/24/2015")</f>
        <v>#NAME?</v>
      </c>
      <c r="AC486" s="16">
        <v>2089.1399159965999</v>
      </c>
    </row>
    <row r="487" spans="1:29" x14ac:dyDescent="0.35">
      <c r="A487" s="2" t="s">
        <v>497</v>
      </c>
      <c r="B487" s="4" t="s">
        <v>1660</v>
      </c>
      <c r="C487" s="4" t="s">
        <v>601</v>
      </c>
      <c r="D487" s="4" t="s">
        <v>601</v>
      </c>
      <c r="E487" s="4" t="s">
        <v>602</v>
      </c>
      <c r="F487" s="4" t="s">
        <v>603</v>
      </c>
      <c r="G487" s="14">
        <v>68.349999999999994</v>
      </c>
      <c r="H487" s="10">
        <v>24.936315</v>
      </c>
      <c r="I487" s="10">
        <v>94.639275999999995</v>
      </c>
      <c r="J487" s="10">
        <v>4.0080280000000004</v>
      </c>
      <c r="K487" s="15">
        <v>3.6868999999999999E-2</v>
      </c>
      <c r="L487" s="17">
        <v>13002.764361</v>
      </c>
      <c r="M487" s="4" t="s">
        <v>1661</v>
      </c>
      <c r="N487" s="19">
        <v>0.72221599999999997</v>
      </c>
      <c r="O487" s="19">
        <v>1.8225</v>
      </c>
      <c r="P487" s="19">
        <v>0.91723699999999997</v>
      </c>
      <c r="Q487" s="19">
        <v>0.87250000000000005</v>
      </c>
      <c r="R487" s="19">
        <v>2.2058330000000002</v>
      </c>
      <c r="S487" s="19">
        <v>1.9</v>
      </c>
      <c r="T487" s="19">
        <v>2.2058330000000002</v>
      </c>
      <c r="U487" s="19">
        <v>1.8129</v>
      </c>
      <c r="V487" s="19">
        <v>1.0476650000000001</v>
      </c>
      <c r="W487" s="19">
        <v>2.3056000000000001</v>
      </c>
      <c r="X487" s="19">
        <v>1.0476650000000001</v>
      </c>
      <c r="Y487" s="19">
        <v>2.3056000000000001</v>
      </c>
      <c r="Z487" s="4"/>
      <c r="AA487" s="4"/>
      <c r="AB487" s="4" t="e">
        <f ca="1">_xll.ciqfunctions.udf.CIQ("^SPX", "IQ_PRICEDATE", "11/25/2015")</f>
        <v>#NAME?</v>
      </c>
      <c r="AC487" s="16">
        <v>2088.8725782168999</v>
      </c>
    </row>
    <row r="488" spans="1:29" x14ac:dyDescent="0.35">
      <c r="A488" s="2" t="s">
        <v>498</v>
      </c>
      <c r="B488" s="4" t="s">
        <v>1662</v>
      </c>
      <c r="C488" s="4" t="s">
        <v>586</v>
      </c>
      <c r="D488" s="4" t="s">
        <v>586</v>
      </c>
      <c r="E488" s="4" t="s">
        <v>1255</v>
      </c>
      <c r="F488" s="4" t="s">
        <v>1255</v>
      </c>
      <c r="G488" s="14">
        <v>96.23</v>
      </c>
      <c r="H488" s="10">
        <v>15.757125</v>
      </c>
      <c r="I488" s="10">
        <v>19.865272000000001</v>
      </c>
      <c r="J488" s="10">
        <v>18.188842000000001</v>
      </c>
      <c r="K488" s="15">
        <v>1.1637999999999999E-2</v>
      </c>
      <c r="L488" s="17">
        <v>12728.167826999999</v>
      </c>
      <c r="M488" s="4" t="s">
        <v>1663</v>
      </c>
      <c r="N488" s="19">
        <v>4.8441320000000001</v>
      </c>
      <c r="O488" s="19">
        <v>4.5279999999999996</v>
      </c>
      <c r="P488" s="19">
        <v>4.4000000000000004</v>
      </c>
      <c r="Q488" s="19">
        <v>3.6493000000000002</v>
      </c>
      <c r="R488" s="19">
        <v>3.11</v>
      </c>
      <c r="S488" s="19">
        <v>3.8281000000000001</v>
      </c>
      <c r="T488" s="19">
        <v>3.11</v>
      </c>
      <c r="U488" s="19">
        <v>3.0171999999999999</v>
      </c>
      <c r="V488" s="19">
        <v>1.56</v>
      </c>
      <c r="W488" s="19">
        <v>1.6067</v>
      </c>
      <c r="X488" s="19">
        <v>1.56</v>
      </c>
      <c r="Y488" s="19">
        <v>1.6067</v>
      </c>
      <c r="Z488" s="4"/>
      <c r="AA488" s="4"/>
      <c r="AB488" s="4" t="e">
        <f ca="1">_xll.ciqfunctions.udf.CIQ("^SPX", "IQ_PRICEDATE", "11/27/2015")</f>
        <v>#NAME?</v>
      </c>
      <c r="AC488" s="16">
        <v>2090.1067763177998</v>
      </c>
    </row>
    <row r="489" spans="1:29" x14ac:dyDescent="0.35">
      <c r="A489" s="2" t="s">
        <v>499</v>
      </c>
      <c r="B489" s="4" t="s">
        <v>1664</v>
      </c>
      <c r="C489" s="4" t="s">
        <v>525</v>
      </c>
      <c r="D489" s="4" t="s">
        <v>526</v>
      </c>
      <c r="E489" s="4" t="s">
        <v>1023</v>
      </c>
      <c r="F489" s="4" t="s">
        <v>1023</v>
      </c>
      <c r="G489" s="14">
        <v>279.33999999999997</v>
      </c>
      <c r="H489" s="10">
        <v>11.163596</v>
      </c>
      <c r="I489" s="10">
        <v>22.046399999999998</v>
      </c>
      <c r="J489" s="10">
        <v>13.212698</v>
      </c>
      <c r="K489" s="15">
        <v>1.9474000000000002E-2</v>
      </c>
      <c r="L489" s="17">
        <v>15732.558134000001</v>
      </c>
      <c r="M489" s="4" t="s">
        <v>1665</v>
      </c>
      <c r="N489" s="19">
        <v>12.670548999999999</v>
      </c>
      <c r="O489" s="19">
        <v>16.826599999999999</v>
      </c>
      <c r="P489" s="19">
        <v>10.021217999999999</v>
      </c>
      <c r="Q489" s="19">
        <v>10.725300000000001</v>
      </c>
      <c r="R489" s="19">
        <v>9.8705239999999996</v>
      </c>
      <c r="S489" s="19">
        <v>11.629099999999999</v>
      </c>
      <c r="T489" s="19">
        <v>9.8705239999999996</v>
      </c>
      <c r="U489" s="19">
        <v>11.494400000000001</v>
      </c>
      <c r="V489" s="19">
        <v>11.448254</v>
      </c>
      <c r="W489" s="19">
        <v>13.0946</v>
      </c>
      <c r="X489" s="19">
        <v>11.448254</v>
      </c>
      <c r="Y489" s="19">
        <v>13.0946</v>
      </c>
      <c r="Z489" s="4"/>
      <c r="AA489" s="4"/>
      <c r="AB489" s="4" t="e">
        <f ca="1">_xll.ciqfunctions.udf.CIQ("^SPX", "IQ_PRICEDATE", "11/30/2015")</f>
        <v>#NAME?</v>
      </c>
      <c r="AC489" s="16">
        <v>2080.4068286182001</v>
      </c>
    </row>
    <row r="490" spans="1:29" x14ac:dyDescent="0.35">
      <c r="A490" s="2" t="s">
        <v>500</v>
      </c>
      <c r="B490" s="4" t="s">
        <v>1666</v>
      </c>
      <c r="C490" s="4" t="s">
        <v>626</v>
      </c>
      <c r="D490" s="4" t="s">
        <v>894</v>
      </c>
      <c r="E490" s="4" t="s">
        <v>894</v>
      </c>
      <c r="F490" s="4" t="s">
        <v>1667</v>
      </c>
      <c r="G490" s="14">
        <v>76.98</v>
      </c>
      <c r="H490" s="10">
        <v>10.75353</v>
      </c>
      <c r="I490" s="10">
        <v>15.243563999999999</v>
      </c>
      <c r="J490" s="10" t="s">
        <v>534</v>
      </c>
      <c r="K490" s="15">
        <v>2.2863000000000001E-2</v>
      </c>
      <c r="L490" s="17">
        <v>73066.684288000004</v>
      </c>
      <c r="M490" s="4" t="s">
        <v>1668</v>
      </c>
      <c r="N490" s="19">
        <v>5.05</v>
      </c>
      <c r="O490" s="19">
        <v>6.4755200000000004</v>
      </c>
      <c r="P490" s="19">
        <v>3.6254430000000002</v>
      </c>
      <c r="Q490" s="19">
        <v>5.5603199999999999</v>
      </c>
      <c r="R490" s="19">
        <v>3.779487</v>
      </c>
      <c r="S490" s="19">
        <v>5.0083799999999998</v>
      </c>
      <c r="T490" s="19">
        <v>3.779487</v>
      </c>
      <c r="U490" s="19">
        <v>4.43675</v>
      </c>
      <c r="V490" s="19">
        <v>2.1374249999999999</v>
      </c>
      <c r="W490" s="19">
        <v>3.7660999999999998</v>
      </c>
      <c r="X490" s="19">
        <v>2.1374249999999999</v>
      </c>
      <c r="Y490" s="19">
        <v>3.7660999999999998</v>
      </c>
      <c r="Z490" s="4"/>
      <c r="AA490" s="4"/>
      <c r="AB490" s="4" t="e">
        <f ca="1">_xll.ciqfunctions.udf.CIQ("^SPX", "IQ_PRICEDATE", "12/1/2015")</f>
        <v>#NAME?</v>
      </c>
      <c r="AC490" s="16">
        <v>2102.6326700487998</v>
      </c>
    </row>
    <row r="491" spans="1:29" x14ac:dyDescent="0.35">
      <c r="A491" s="2" t="s">
        <v>501</v>
      </c>
      <c r="B491" s="4" t="s">
        <v>1669</v>
      </c>
      <c r="C491" s="4" t="s">
        <v>626</v>
      </c>
      <c r="D491" s="4" t="s">
        <v>894</v>
      </c>
      <c r="E491" s="4" t="s">
        <v>894</v>
      </c>
      <c r="F491" s="4" t="s">
        <v>895</v>
      </c>
      <c r="G491" s="14">
        <v>96.56</v>
      </c>
      <c r="H491" s="10">
        <v>9.9191029999999998</v>
      </c>
      <c r="I491" s="10">
        <v>55.231521999999998</v>
      </c>
      <c r="J491" s="10">
        <v>5.3126550000000003</v>
      </c>
      <c r="K491" s="15">
        <v>2.1541000000000001E-2</v>
      </c>
      <c r="L491" s="17">
        <v>282798.610659</v>
      </c>
      <c r="M491" s="4" t="s">
        <v>1670</v>
      </c>
      <c r="N491" s="19">
        <v>1.7482770000000001</v>
      </c>
      <c r="O491" s="19">
        <v>4.6669999999999998</v>
      </c>
      <c r="P491" s="19">
        <v>3.7670509999999999</v>
      </c>
      <c r="Q491" s="19">
        <v>4.6426999999999996</v>
      </c>
      <c r="R491" s="19">
        <v>4.6100260000000004</v>
      </c>
      <c r="S491" s="19">
        <v>4.2832999999999997</v>
      </c>
      <c r="T491" s="19">
        <v>4.6100260000000004</v>
      </c>
      <c r="U491" s="19">
        <v>4.2538999999999998</v>
      </c>
      <c r="V491" s="19">
        <v>4.750127</v>
      </c>
      <c r="W491" s="19">
        <v>5.1368999999999998</v>
      </c>
      <c r="X491" s="19">
        <v>4.750127</v>
      </c>
      <c r="Y491" s="19">
        <v>5.1368999999999998</v>
      </c>
      <c r="Z491" s="4"/>
      <c r="AA491" s="4"/>
      <c r="AB491" s="4" t="e">
        <f ca="1">_xll.ciqfunctions.udf.CIQ("^SPX", "IQ_PRICEDATE", "12/2/2015")</f>
        <v>#NAME?</v>
      </c>
      <c r="AC491" s="16">
        <v>2079.5062206969001</v>
      </c>
    </row>
    <row r="492" spans="1:29" x14ac:dyDescent="0.35">
      <c r="A492" s="2" t="s">
        <v>502</v>
      </c>
      <c r="B492" s="4" t="s">
        <v>1671</v>
      </c>
      <c r="C492" s="4" t="s">
        <v>525</v>
      </c>
      <c r="D492" s="4" t="s">
        <v>855</v>
      </c>
      <c r="E492" s="4" t="s">
        <v>856</v>
      </c>
      <c r="F492" s="4" t="s">
        <v>1450</v>
      </c>
      <c r="G492" s="14">
        <v>90.14</v>
      </c>
      <c r="H492" s="10">
        <v>11.949517</v>
      </c>
      <c r="I492" s="10">
        <v>18.051817</v>
      </c>
      <c r="J492" s="10" t="s">
        <v>534</v>
      </c>
      <c r="K492" s="15">
        <v>2.0634E-2</v>
      </c>
      <c r="L492" s="17">
        <v>38644.546774000002</v>
      </c>
      <c r="M492" s="4" t="s">
        <v>1672</v>
      </c>
      <c r="N492" s="19">
        <v>4.9934029999999998</v>
      </c>
      <c r="O492" s="19">
        <v>4.2054999999999998</v>
      </c>
      <c r="P492" s="19">
        <v>4.41</v>
      </c>
      <c r="Q492" s="19">
        <v>3.4104999999999999</v>
      </c>
      <c r="R492" s="19">
        <v>2.65</v>
      </c>
      <c r="S492" s="19">
        <v>3.0979000000000001</v>
      </c>
      <c r="T492" s="19">
        <v>2.65</v>
      </c>
      <c r="U492" s="19">
        <v>2.7223999999999999</v>
      </c>
      <c r="V492" s="19">
        <v>2.79</v>
      </c>
      <c r="W492" s="19">
        <v>2.4539</v>
      </c>
      <c r="X492" s="19">
        <v>2.79</v>
      </c>
      <c r="Y492" s="19">
        <v>2.4539</v>
      </c>
      <c r="Z492" s="4"/>
      <c r="AA492" s="4"/>
      <c r="AB492" s="4" t="e">
        <f ca="1">_xll.ciqfunctions.udf.CIQ("^SPX", "IQ_PRICEDATE", "12/3/2015")</f>
        <v>#NAME?</v>
      </c>
      <c r="AC492" s="16">
        <v>2049.6156274238001</v>
      </c>
    </row>
    <row r="493" spans="1:29" x14ac:dyDescent="0.35">
      <c r="A493" s="2" t="s">
        <v>503</v>
      </c>
      <c r="B493" s="4" t="s">
        <v>1673</v>
      </c>
      <c r="C493" s="4" t="s">
        <v>530</v>
      </c>
      <c r="D493" s="4" t="s">
        <v>537</v>
      </c>
      <c r="E493" s="4" t="s">
        <v>583</v>
      </c>
      <c r="F493" s="4" t="s">
        <v>583</v>
      </c>
      <c r="G493" s="14">
        <v>188.98</v>
      </c>
      <c r="H493" s="10">
        <v>16.346229999999998</v>
      </c>
      <c r="I493" s="10">
        <v>297.58146099999999</v>
      </c>
      <c r="J493" s="10">
        <v>10.402588</v>
      </c>
      <c r="K493" s="15">
        <v>0</v>
      </c>
      <c r="L493" s="17">
        <v>14564.122227</v>
      </c>
      <c r="M493" s="4" t="s">
        <v>1674</v>
      </c>
      <c r="N493" s="19">
        <v>0.63505299999999998</v>
      </c>
      <c r="O493" s="19">
        <v>8.4959000000000007</v>
      </c>
      <c r="P493" s="19">
        <v>0.25</v>
      </c>
      <c r="Q493" s="19">
        <v>7.8643000000000001</v>
      </c>
      <c r="R493" s="19">
        <v>6.41</v>
      </c>
      <c r="S493" s="19">
        <v>6.9462000000000002</v>
      </c>
      <c r="T493" s="19">
        <v>6.41</v>
      </c>
      <c r="U493" s="19">
        <v>6.2279999999999998</v>
      </c>
      <c r="V493" s="19">
        <v>5.07</v>
      </c>
      <c r="W493" s="19">
        <v>5.7339000000000002</v>
      </c>
      <c r="X493" s="19">
        <v>5.07</v>
      </c>
      <c r="Y493" s="19">
        <v>5.7339000000000002</v>
      </c>
      <c r="Z493" s="4"/>
      <c r="AA493" s="4"/>
      <c r="AB493" s="4" t="e">
        <f ca="1">_xll.ciqfunctions.udf.CIQ("^SPX", "IQ_PRICEDATE", "12/4/2015")</f>
        <v>#NAME?</v>
      </c>
      <c r="AC493" s="16">
        <v>2091.6874238329001</v>
      </c>
    </row>
    <row r="494" spans="1:29" x14ac:dyDescent="0.35">
      <c r="A494" s="2" t="s">
        <v>504</v>
      </c>
      <c r="B494" s="4" t="s">
        <v>1675</v>
      </c>
      <c r="C494" s="4" t="s">
        <v>619</v>
      </c>
      <c r="D494" s="4" t="s">
        <v>619</v>
      </c>
      <c r="E494" s="4" t="s">
        <v>634</v>
      </c>
      <c r="F494" s="4" t="s">
        <v>634</v>
      </c>
      <c r="G494" s="14">
        <v>69.260000000000005</v>
      </c>
      <c r="H494" s="10">
        <v>12.406553000000001</v>
      </c>
      <c r="I494" s="10">
        <v>17.314155</v>
      </c>
      <c r="J494" s="10">
        <v>3.2749649999999999</v>
      </c>
      <c r="K494" s="15">
        <v>3.1907999999999999E-2</v>
      </c>
      <c r="L494" s="17">
        <v>21853.846608</v>
      </c>
      <c r="M494" s="4" t="s">
        <v>1676</v>
      </c>
      <c r="N494" s="19">
        <v>4.0001949999999997</v>
      </c>
      <c r="O494" s="19">
        <v>3.1867000000000001</v>
      </c>
      <c r="P494" s="19">
        <v>3.79</v>
      </c>
      <c r="Q494" s="19">
        <v>2.8016999999999999</v>
      </c>
      <c r="R494" s="19">
        <v>2.96</v>
      </c>
      <c r="S494" s="19">
        <v>3.0007999999999999</v>
      </c>
      <c r="T494" s="19">
        <v>2.96</v>
      </c>
      <c r="U494" s="19">
        <v>2.9009999999999998</v>
      </c>
      <c r="V494" s="19">
        <v>2.59</v>
      </c>
      <c r="W494" s="19">
        <v>2.6379999999999999</v>
      </c>
      <c r="X494" s="19">
        <v>2.59</v>
      </c>
      <c r="Y494" s="19">
        <v>2.6379999999999999</v>
      </c>
      <c r="Z494" s="4"/>
      <c r="AA494" s="4"/>
      <c r="AB494" s="4" t="e">
        <f ca="1">_xll.ciqfunctions.udf.CIQ("^SPX", "IQ_PRICEDATE", "12/7/2015")</f>
        <v>#NAME?</v>
      </c>
      <c r="AC494" s="16">
        <v>2077.0715971645</v>
      </c>
    </row>
    <row r="495" spans="1:29" x14ac:dyDescent="0.35">
      <c r="A495" s="2" t="s">
        <v>505</v>
      </c>
      <c r="B495" s="4" t="s">
        <v>1677</v>
      </c>
      <c r="C495" s="4" t="s">
        <v>530</v>
      </c>
      <c r="D495" s="4" t="s">
        <v>531</v>
      </c>
      <c r="E495" s="4" t="s">
        <v>569</v>
      </c>
      <c r="F495" s="4" t="s">
        <v>570</v>
      </c>
      <c r="G495" s="14">
        <v>316.22000000000003</v>
      </c>
      <c r="H495" s="10">
        <v>14.804938999999999</v>
      </c>
      <c r="I495" s="10">
        <v>29.396553999999998</v>
      </c>
      <c r="J495" s="10">
        <v>8.5905140000000006</v>
      </c>
      <c r="K495" s="15">
        <v>0</v>
      </c>
      <c r="L495" s="17">
        <v>15803.066355999999</v>
      </c>
      <c r="M495" s="4" t="s">
        <v>1678</v>
      </c>
      <c r="N495" s="19">
        <v>10.757042999999999</v>
      </c>
      <c r="O495" s="19">
        <v>11.8165</v>
      </c>
      <c r="P495" s="19">
        <v>8.31</v>
      </c>
      <c r="Q495" s="19">
        <v>7.1138000000000003</v>
      </c>
      <c r="R495" s="19">
        <v>5.4299989999999996</v>
      </c>
      <c r="S495" s="19">
        <v>5.7760999999999996</v>
      </c>
      <c r="T495" s="19">
        <v>5.4299989999999996</v>
      </c>
      <c r="U495" s="19">
        <v>4.1718000000000002</v>
      </c>
      <c r="V495" s="19">
        <v>1.439999</v>
      </c>
      <c r="W495" s="19">
        <v>3.2279</v>
      </c>
      <c r="X495" s="19">
        <v>1.439999</v>
      </c>
      <c r="Y495" s="19">
        <v>3.2279</v>
      </c>
      <c r="Z495" s="4"/>
      <c r="AA495" s="4"/>
      <c r="AB495" s="4" t="e">
        <f ca="1">_xll.ciqfunctions.udf.CIQ("^SPX", "IQ_PRICEDATE", "12/8/2015")</f>
        <v>#NAME?</v>
      </c>
      <c r="AC495" s="16">
        <v>2063.5936443579999</v>
      </c>
    </row>
    <row r="496" spans="1:29" x14ac:dyDescent="0.35">
      <c r="A496" s="2" t="s">
        <v>506</v>
      </c>
      <c r="B496" s="4" t="s">
        <v>1679</v>
      </c>
      <c r="C496" s="4" t="s">
        <v>573</v>
      </c>
      <c r="D496" s="4" t="s">
        <v>737</v>
      </c>
      <c r="E496" s="4" t="s">
        <v>737</v>
      </c>
      <c r="F496" s="4" t="s">
        <v>738</v>
      </c>
      <c r="G496" s="14">
        <v>54.46</v>
      </c>
      <c r="H496" s="10">
        <v>0</v>
      </c>
      <c r="I496" s="10">
        <v>12.863689000000001</v>
      </c>
      <c r="J496" s="10">
        <v>1.7036370000000001</v>
      </c>
      <c r="K496" s="15">
        <v>3.1581999999999999E-2</v>
      </c>
      <c r="L496" s="17">
        <v>256591.614565</v>
      </c>
      <c r="M496" s="4" t="s">
        <v>1680</v>
      </c>
      <c r="N496" s="19">
        <v>4.2336220000000004</v>
      </c>
      <c r="O496" s="19">
        <v>4.9833999999999996</v>
      </c>
      <c r="P496" s="19">
        <v>4.0999999999999996</v>
      </c>
      <c r="Q496" s="19">
        <v>4.21</v>
      </c>
      <c r="R496" s="19">
        <v>3.99</v>
      </c>
      <c r="S496" s="19">
        <v>4.0696000000000003</v>
      </c>
      <c r="T496" s="19">
        <v>3.99</v>
      </c>
      <c r="U496" s="19">
        <v>4.3079999999999998</v>
      </c>
      <c r="V496" s="19">
        <v>4.0999999999999996</v>
      </c>
      <c r="W496" s="19">
        <v>4.1635999999999997</v>
      </c>
      <c r="X496" s="19">
        <v>4.0999999999999996</v>
      </c>
      <c r="Y496" s="19">
        <v>4.1635999999999997</v>
      </c>
      <c r="Z496" s="4"/>
      <c r="AA496" s="4"/>
      <c r="AB496" s="4" t="e">
        <f ca="1">_xll.ciqfunctions.udf.CIQ("^SPX", "IQ_PRICEDATE", "12/9/2015")</f>
        <v>#NAME?</v>
      </c>
      <c r="AC496" s="16">
        <v>2047.6231907509</v>
      </c>
    </row>
    <row r="497" spans="1:29" x14ac:dyDescent="0.35">
      <c r="A497" s="2" t="s">
        <v>507</v>
      </c>
      <c r="B497" s="4" t="s">
        <v>1681</v>
      </c>
      <c r="C497" s="4" t="s">
        <v>601</v>
      </c>
      <c r="D497" s="4" t="s">
        <v>601</v>
      </c>
      <c r="E497" s="4" t="s">
        <v>602</v>
      </c>
      <c r="F497" s="4" t="s">
        <v>1112</v>
      </c>
      <c r="G497" s="14">
        <v>63.39</v>
      </c>
      <c r="H497" s="10">
        <v>18.80396</v>
      </c>
      <c r="I497" s="10">
        <v>42.432161000000001</v>
      </c>
      <c r="J497" s="10">
        <v>1.790556</v>
      </c>
      <c r="K497" s="15">
        <v>5.4897999999999995E-2</v>
      </c>
      <c r="L497" s="17">
        <v>23582.841228000001</v>
      </c>
      <c r="M497" s="4" t="s">
        <v>1682</v>
      </c>
      <c r="N497" s="19">
        <v>1.493914</v>
      </c>
      <c r="O497" s="19">
        <v>1.7748999999999999</v>
      </c>
      <c r="P497" s="19">
        <v>1.26</v>
      </c>
      <c r="Q497" s="19">
        <v>1.9384999999999999</v>
      </c>
      <c r="R497" s="19">
        <v>2.81</v>
      </c>
      <c r="S497" s="19">
        <v>2.0253999999999999</v>
      </c>
      <c r="T497" s="19">
        <v>2.81</v>
      </c>
      <c r="U497" s="19">
        <v>2.0743999999999998</v>
      </c>
      <c r="V497" s="19">
        <v>1.43</v>
      </c>
      <c r="W497" s="19">
        <v>1.7971999999999999</v>
      </c>
      <c r="X497" s="19">
        <v>1.43</v>
      </c>
      <c r="Y497" s="19">
        <v>1.7971999999999999</v>
      </c>
      <c r="Z497" s="4"/>
      <c r="AA497" s="4"/>
      <c r="AB497" s="4" t="e">
        <f ca="1">_xll.ciqfunctions.udf.CIQ("^SPX", "IQ_PRICEDATE", "12/10/2015")</f>
        <v>#NAME?</v>
      </c>
      <c r="AC497" s="16">
        <v>2052.2323464843998</v>
      </c>
    </row>
    <row r="498" spans="1:29" x14ac:dyDescent="0.35">
      <c r="A498" s="2" t="s">
        <v>508</v>
      </c>
      <c r="B498" s="4" t="s">
        <v>1683</v>
      </c>
      <c r="C498" s="4" t="s">
        <v>543</v>
      </c>
      <c r="D498" s="4" t="s">
        <v>664</v>
      </c>
      <c r="E498" s="4" t="s">
        <v>688</v>
      </c>
      <c r="F498" s="4" t="s">
        <v>688</v>
      </c>
      <c r="G498" s="14">
        <v>55.76</v>
      </c>
      <c r="H498" s="10">
        <v>3.789034</v>
      </c>
      <c r="I498" s="10">
        <v>25.345454</v>
      </c>
      <c r="J498" s="10" t="s">
        <v>534</v>
      </c>
      <c r="K498" s="15">
        <v>3.5868000000000004E-2</v>
      </c>
      <c r="L498" s="17">
        <v>16181.834591999999</v>
      </c>
      <c r="M498" s="4" t="s">
        <v>1684</v>
      </c>
      <c r="N498" s="19">
        <v>2.2000000000000002</v>
      </c>
      <c r="O498" s="19">
        <v>11.08517</v>
      </c>
      <c r="P498" s="19">
        <v>1.2828569999999999</v>
      </c>
      <c r="Q498" s="19">
        <v>13.1929</v>
      </c>
      <c r="R498" s="19">
        <v>-1.590225</v>
      </c>
      <c r="S498" s="19">
        <v>7.5510000000000002</v>
      </c>
      <c r="T498" s="19">
        <v>-1.590225</v>
      </c>
      <c r="U498" s="19">
        <v>6.4825999999999997</v>
      </c>
      <c r="V498" s="19">
        <v>6.3886539999999998</v>
      </c>
      <c r="W498" s="19">
        <v>8.3619000000000003</v>
      </c>
      <c r="X498" s="19">
        <v>6.3886539999999998</v>
      </c>
      <c r="Y498" s="19">
        <v>8.3619000000000003</v>
      </c>
      <c r="Z498" s="4"/>
      <c r="AA498" s="4"/>
      <c r="AB498" s="4" t="e">
        <f ca="1">_xll.ciqfunctions.udf.CIQ("^SPX", "IQ_PRICEDATE", "12/11/2015")</f>
        <v>#NAME?</v>
      </c>
      <c r="AC498" s="16">
        <v>2012.3736975981999</v>
      </c>
    </row>
    <row r="499" spans="1:29" x14ac:dyDescent="0.35">
      <c r="A499" s="2" t="s">
        <v>509</v>
      </c>
      <c r="B499" s="4" t="s">
        <v>1685</v>
      </c>
      <c r="C499" s="4" t="s">
        <v>586</v>
      </c>
      <c r="D499" s="4" t="s">
        <v>586</v>
      </c>
      <c r="E499" s="4" t="s">
        <v>726</v>
      </c>
      <c r="F499" s="4" t="s">
        <v>727</v>
      </c>
      <c r="G499" s="14">
        <v>43.15</v>
      </c>
      <c r="H499" s="10">
        <v>6.2156349999999998</v>
      </c>
      <c r="I499" s="10">
        <v>6.1487489999999996</v>
      </c>
      <c r="J499" s="10">
        <v>4.1790700000000003</v>
      </c>
      <c r="K499" s="15">
        <v>3.986E-2</v>
      </c>
      <c r="L499" s="17">
        <v>10880.396556</v>
      </c>
      <c r="M499" s="4" t="s">
        <v>1686</v>
      </c>
      <c r="N499" s="19">
        <v>7.0176869999999996</v>
      </c>
      <c r="O499" s="19">
        <v>4.5194000000000001</v>
      </c>
      <c r="P499" s="19">
        <v>6.8642789999999998</v>
      </c>
      <c r="Q499" s="19">
        <v>3.69842</v>
      </c>
      <c r="R499" s="19">
        <v>0.78283700000000001</v>
      </c>
      <c r="S499" s="19">
        <v>2.8839299999999999</v>
      </c>
      <c r="T499" s="19">
        <v>0.78283700000000001</v>
      </c>
      <c r="U499" s="19">
        <v>3.4999799999999999</v>
      </c>
      <c r="V499" s="19">
        <v>3.4198819999999999</v>
      </c>
      <c r="W499" s="19">
        <v>0</v>
      </c>
      <c r="X499" s="19">
        <v>3.4198819999999999</v>
      </c>
      <c r="Y499" s="19">
        <v>0</v>
      </c>
      <c r="Z499" s="4"/>
      <c r="AA499" s="4"/>
      <c r="AB499" s="4" t="e">
        <f ca="1">_xll.ciqfunctions.udf.CIQ("^SPX", "IQ_PRICEDATE", "12/14/2015")</f>
        <v>#NAME?</v>
      </c>
      <c r="AC499" s="16">
        <v>2021.9395528923001</v>
      </c>
    </row>
    <row r="500" spans="1:29" x14ac:dyDescent="0.35">
      <c r="A500" s="2" t="s">
        <v>510</v>
      </c>
      <c r="B500" s="4" t="s">
        <v>1687</v>
      </c>
      <c r="C500" s="4" t="s">
        <v>601</v>
      </c>
      <c r="D500" s="4" t="s">
        <v>601</v>
      </c>
      <c r="E500" s="4" t="s">
        <v>602</v>
      </c>
      <c r="F500" s="4" t="s">
        <v>647</v>
      </c>
      <c r="G500" s="14">
        <v>28.31</v>
      </c>
      <c r="H500" s="10">
        <v>12.434979999999999</v>
      </c>
      <c r="I500" s="10">
        <v>21.777542</v>
      </c>
      <c r="J500" s="10">
        <v>2.3210649999999999</v>
      </c>
      <c r="K500" s="15">
        <v>4.8038999999999998E-2</v>
      </c>
      <c r="L500" s="17">
        <v>21449.908372000002</v>
      </c>
      <c r="M500" s="4" t="s">
        <v>1688</v>
      </c>
      <c r="N500" s="19">
        <v>1.299963</v>
      </c>
      <c r="O500" s="19">
        <v>1.4287000000000001</v>
      </c>
      <c r="P500" s="19">
        <v>0.77</v>
      </c>
      <c r="Q500" s="19">
        <v>1.3319000000000001</v>
      </c>
      <c r="R500" s="19">
        <v>0.54692700000000005</v>
      </c>
      <c r="S500" s="19">
        <v>0.95009999999999994</v>
      </c>
      <c r="T500" s="19">
        <v>0.54692700000000005</v>
      </c>
      <c r="U500" s="19">
        <v>1.3554999999999999</v>
      </c>
      <c r="V500" s="19">
        <v>1.02</v>
      </c>
      <c r="W500" s="19">
        <v>1.5382</v>
      </c>
      <c r="X500" s="19">
        <v>1.02</v>
      </c>
      <c r="Y500" s="19">
        <v>1.5382</v>
      </c>
      <c r="Z500" s="4"/>
      <c r="AA500" s="4"/>
      <c r="AB500" s="4" t="e">
        <f ca="1">_xll.ciqfunctions.udf.CIQ("^SPX", "IQ_PRICEDATE", "12/15/2015")</f>
        <v>#NAME?</v>
      </c>
      <c r="AC500" s="16">
        <v>2043.4090355479</v>
      </c>
    </row>
    <row r="501" spans="1:29" x14ac:dyDescent="0.35">
      <c r="A501" s="2" t="s">
        <v>511</v>
      </c>
      <c r="B501" s="4" t="s">
        <v>1689</v>
      </c>
      <c r="C501" s="4" t="s">
        <v>559</v>
      </c>
      <c r="D501" s="4" t="s">
        <v>912</v>
      </c>
      <c r="E501" s="4" t="s">
        <v>913</v>
      </c>
      <c r="F501" s="4" t="s">
        <v>1690</v>
      </c>
      <c r="G501" s="14">
        <v>108.34</v>
      </c>
      <c r="H501" s="10">
        <v>6.8716980000000003</v>
      </c>
      <c r="I501" s="10" t="s">
        <v>534</v>
      </c>
      <c r="J501" s="10" t="s">
        <v>534</v>
      </c>
      <c r="K501" s="15">
        <v>4.2458000000000003E-2</v>
      </c>
      <c r="L501" s="17">
        <v>6994.7823969999999</v>
      </c>
      <c r="M501" s="4" t="s">
        <v>1691</v>
      </c>
      <c r="N501" s="19">
        <v>-7.8101330000000004</v>
      </c>
      <c r="O501" s="19">
        <v>15.3749</v>
      </c>
      <c r="P501" s="19">
        <v>4.7</v>
      </c>
      <c r="Q501" s="19">
        <v>15.2408</v>
      </c>
      <c r="R501" s="19">
        <v>11.5</v>
      </c>
      <c r="S501" s="19">
        <v>15.3256</v>
      </c>
      <c r="T501" s="19">
        <v>11.5</v>
      </c>
      <c r="U501" s="19">
        <v>13.565</v>
      </c>
      <c r="V501" s="19">
        <v>8.17</v>
      </c>
      <c r="W501" s="19">
        <v>13.270799999999999</v>
      </c>
      <c r="X501" s="19">
        <v>8.17</v>
      </c>
      <c r="Y501" s="19">
        <v>13.270799999999999</v>
      </c>
      <c r="Z501" s="4"/>
      <c r="AA501" s="4"/>
      <c r="AB501" s="4" t="e">
        <f ca="1">_xll.ciqfunctions.udf.CIQ("^SPX", "IQ_PRICEDATE", "12/16/2015")</f>
        <v>#NAME?</v>
      </c>
      <c r="AC501" s="16">
        <v>2073.0661474443</v>
      </c>
    </row>
    <row r="502" spans="1:29" x14ac:dyDescent="0.35">
      <c r="A502" s="2" t="s">
        <v>512</v>
      </c>
      <c r="B502" s="4" t="s">
        <v>1692</v>
      </c>
      <c r="C502" s="4" t="s">
        <v>573</v>
      </c>
      <c r="D502" s="4" t="s">
        <v>579</v>
      </c>
      <c r="E502" s="4" t="s">
        <v>579</v>
      </c>
      <c r="F502" s="4" t="s">
        <v>680</v>
      </c>
      <c r="G502" s="14">
        <v>139.83000000000001</v>
      </c>
      <c r="H502" s="10">
        <v>15.80805</v>
      </c>
      <c r="I502" s="10">
        <v>40.348899000000003</v>
      </c>
      <c r="J502" s="10" t="s">
        <v>534</v>
      </c>
      <c r="K502" s="15">
        <v>1.7162999999999998E-2</v>
      </c>
      <c r="L502" s="17">
        <v>18285.502261000001</v>
      </c>
      <c r="M502" s="4" t="s">
        <v>1693</v>
      </c>
      <c r="N502" s="19">
        <v>3.465522</v>
      </c>
      <c r="O502" s="19">
        <v>9.9396000000000004</v>
      </c>
      <c r="P502" s="19">
        <v>4.18</v>
      </c>
      <c r="Q502" s="19">
        <v>9.4406999999999996</v>
      </c>
      <c r="R502" s="19">
        <v>3.26</v>
      </c>
      <c r="S502" s="19">
        <v>8.0762</v>
      </c>
      <c r="T502" s="19">
        <v>3.26</v>
      </c>
      <c r="U502" s="19">
        <v>0</v>
      </c>
      <c r="V502" s="19">
        <v>5.32</v>
      </c>
      <c r="W502" s="19">
        <v>0</v>
      </c>
      <c r="X502" s="19">
        <v>5.32</v>
      </c>
      <c r="Y502" s="19">
        <v>0</v>
      </c>
      <c r="Z502" s="4"/>
      <c r="AA502" s="4"/>
      <c r="AB502" s="4" t="e">
        <f ca="1">_xll.ciqfunctions.udf.CIQ("^SPX", "IQ_PRICEDATE", "12/17/2015")</f>
        <v>#NAME?</v>
      </c>
      <c r="AC502" s="16">
        <v>2041.887884854</v>
      </c>
    </row>
    <row r="503" spans="1:29" x14ac:dyDescent="0.35">
      <c r="A503" s="2" t="s">
        <v>513</v>
      </c>
      <c r="B503" s="4" t="s">
        <v>1694</v>
      </c>
      <c r="C503" s="4" t="s">
        <v>559</v>
      </c>
      <c r="D503" s="4" t="s">
        <v>798</v>
      </c>
      <c r="E503" s="4" t="s">
        <v>799</v>
      </c>
      <c r="F503" s="4" t="s">
        <v>1278</v>
      </c>
      <c r="G503" s="14">
        <v>118.29</v>
      </c>
      <c r="H503" s="10">
        <v>11.048524</v>
      </c>
      <c r="I503" s="10">
        <v>23.552980999999999</v>
      </c>
      <c r="J503" s="10">
        <v>8.5634069999999998</v>
      </c>
      <c r="K503" s="15">
        <v>2.5360999999999998E-2</v>
      </c>
      <c r="L503" s="17">
        <v>12851.025600000001</v>
      </c>
      <c r="M503" s="4" t="s">
        <v>1695</v>
      </c>
      <c r="N503" s="19">
        <v>5.0222939999999996</v>
      </c>
      <c r="O503" s="19">
        <v>7.5259999999999998</v>
      </c>
      <c r="P503" s="19">
        <v>7.28</v>
      </c>
      <c r="Q503" s="19">
        <v>6.2252000000000001</v>
      </c>
      <c r="R503" s="19">
        <v>2.38</v>
      </c>
      <c r="S503" s="19">
        <v>3.8769999999999998</v>
      </c>
      <c r="T503" s="19">
        <v>2.38</v>
      </c>
      <c r="U503" s="19">
        <v>3.3106</v>
      </c>
      <c r="V503" s="19">
        <v>7.18</v>
      </c>
      <c r="W503" s="19">
        <v>7.8071000000000002</v>
      </c>
      <c r="X503" s="19">
        <v>7.18</v>
      </c>
      <c r="Y503" s="19">
        <v>7.8071000000000002</v>
      </c>
      <c r="Z503" s="4"/>
      <c r="AA503" s="4"/>
      <c r="AB503" s="4" t="e">
        <f ca="1">_xll.ciqfunctions.udf.CIQ("^SPX", "IQ_PRICEDATE", "12/18/2015")</f>
        <v>#NAME?</v>
      </c>
      <c r="AC503" s="16">
        <v>2005.5497169122</v>
      </c>
    </row>
    <row r="504" spans="1:29" x14ac:dyDescent="0.35">
      <c r="A504" s="2" t="s">
        <v>514</v>
      </c>
      <c r="B504" s="4" t="s">
        <v>1696</v>
      </c>
      <c r="C504" s="4" t="s">
        <v>619</v>
      </c>
      <c r="D504" s="4" t="s">
        <v>619</v>
      </c>
      <c r="E504" s="4" t="s">
        <v>620</v>
      </c>
      <c r="F504" s="4" t="s">
        <v>620</v>
      </c>
      <c r="G504" s="14">
        <v>48.24</v>
      </c>
      <c r="H504" s="10">
        <v>10.704734</v>
      </c>
      <c r="I504" s="10">
        <v>19.935523</v>
      </c>
      <c r="J504" s="10">
        <v>2.1072320000000002</v>
      </c>
      <c r="K504" s="15">
        <v>3.1509000000000002E-2</v>
      </c>
      <c r="L504" s="17">
        <v>24558.362042000001</v>
      </c>
      <c r="M504" s="4" t="s">
        <v>1697</v>
      </c>
      <c r="N504" s="19">
        <v>2.4198010000000001</v>
      </c>
      <c r="O504" s="19">
        <v>2.4657</v>
      </c>
      <c r="P504" s="19">
        <v>2.25</v>
      </c>
      <c r="Q504" s="19">
        <v>2.3925000000000001</v>
      </c>
      <c r="R504" s="19">
        <v>2.2071540000000001</v>
      </c>
      <c r="S504" s="19">
        <v>2.3207</v>
      </c>
      <c r="T504" s="19">
        <v>2.2071540000000001</v>
      </c>
      <c r="U504" s="19">
        <v>2.1543999999999999</v>
      </c>
      <c r="V504" s="19">
        <v>2.0270160000000002</v>
      </c>
      <c r="W504" s="19">
        <v>2.1198000000000001</v>
      </c>
      <c r="X504" s="19">
        <v>2.0270160000000002</v>
      </c>
      <c r="Y504" s="19">
        <v>2.1198000000000001</v>
      </c>
      <c r="Z504" s="4"/>
      <c r="AA504" s="4"/>
      <c r="AB504" s="4" t="e">
        <f ca="1">_xll.ciqfunctions.udf.CIQ("^SPX", "IQ_PRICEDATE", "12/21/2015")</f>
        <v>#NAME?</v>
      </c>
      <c r="AC504" s="16">
        <v>2021.149974271</v>
      </c>
    </row>
    <row r="505" spans="1:29" x14ac:dyDescent="0.35">
      <c r="A505" s="2" t="s">
        <v>515</v>
      </c>
      <c r="B505" s="4" t="s">
        <v>1698</v>
      </c>
      <c r="C505" s="4" t="s">
        <v>543</v>
      </c>
      <c r="D505" s="4" t="s">
        <v>664</v>
      </c>
      <c r="E505" s="4" t="s">
        <v>688</v>
      </c>
      <c r="F505" s="4" t="s">
        <v>688</v>
      </c>
      <c r="G505" s="14">
        <v>26.74</v>
      </c>
      <c r="H505" s="10">
        <v>7.9548810000000003</v>
      </c>
      <c r="I505" s="10">
        <v>67.428026000000003</v>
      </c>
      <c r="J505" s="10">
        <v>5.5189490000000001</v>
      </c>
      <c r="K505" s="15">
        <v>3.7397E-2</v>
      </c>
      <c r="L505" s="17">
        <v>6821.4203399999997</v>
      </c>
      <c r="M505" s="4" t="s">
        <v>1699</v>
      </c>
      <c r="N505" s="19">
        <v>0.39657100000000001</v>
      </c>
      <c r="O505" s="19">
        <v>3.3176999999999999</v>
      </c>
      <c r="P505" s="19">
        <v>0.699847</v>
      </c>
      <c r="Q505" s="19">
        <v>3.4445999999999999</v>
      </c>
      <c r="R505" s="19">
        <v>2.33</v>
      </c>
      <c r="S505" s="19">
        <v>4.4778000000000002</v>
      </c>
      <c r="T505" s="19">
        <v>2.33</v>
      </c>
      <c r="U505" s="19">
        <v>3.9329999999999998</v>
      </c>
      <c r="V505" s="19">
        <v>3.44</v>
      </c>
      <c r="W505" s="19">
        <v>4.3785999999999996</v>
      </c>
      <c r="X505" s="19">
        <v>3.44</v>
      </c>
      <c r="Y505" s="19">
        <v>4.3785999999999996</v>
      </c>
      <c r="Z505" s="4"/>
      <c r="AA505" s="4"/>
      <c r="AB505" s="4" t="e">
        <f ca="1">_xll.ciqfunctions.udf.CIQ("^SPX", "IQ_PRICEDATE", "12/22/2015")</f>
        <v>#NAME?</v>
      </c>
      <c r="AC505" s="16">
        <v>2038.9675363017</v>
      </c>
    </row>
    <row r="506" spans="1:29" x14ac:dyDescent="0.35">
      <c r="A506" s="2" t="s">
        <v>516</v>
      </c>
      <c r="B506" s="4" t="s">
        <v>1700</v>
      </c>
      <c r="C506" s="4" t="s">
        <v>543</v>
      </c>
      <c r="D506" s="4" t="s">
        <v>565</v>
      </c>
      <c r="E506" s="4" t="s">
        <v>565</v>
      </c>
      <c r="F506" s="4" t="s">
        <v>566</v>
      </c>
      <c r="G506" s="14">
        <v>77.72</v>
      </c>
      <c r="H506" s="10">
        <v>19.407254999999999</v>
      </c>
      <c r="I506" s="10">
        <v>36.374051000000001</v>
      </c>
      <c r="J506" s="10">
        <v>8.9510799999999993</v>
      </c>
      <c r="K506" s="15">
        <v>1.8527999999999999E-2</v>
      </c>
      <c r="L506" s="17">
        <v>19656.441650000001</v>
      </c>
      <c r="M506" s="4" t="s">
        <v>1701</v>
      </c>
      <c r="N506" s="19">
        <v>2.1366879999999999</v>
      </c>
      <c r="O506" s="19">
        <v>3.0413999999999999</v>
      </c>
      <c r="P506" s="19">
        <v>1.87778</v>
      </c>
      <c r="Q506" s="19">
        <v>2.7130999999999998</v>
      </c>
      <c r="R506" s="19">
        <v>2.2800929999999999</v>
      </c>
      <c r="S506" s="19">
        <v>2.2185000000000001</v>
      </c>
      <c r="T506" s="19">
        <v>2.2800929999999999</v>
      </c>
      <c r="U506" s="19">
        <v>2.0966999999999998</v>
      </c>
      <c r="V506" s="19">
        <v>2.3768690000000001</v>
      </c>
      <c r="W506" s="19">
        <v>2.5421</v>
      </c>
      <c r="X506" s="19">
        <v>2.3768690000000001</v>
      </c>
      <c r="Y506" s="19">
        <v>2.5421</v>
      </c>
      <c r="Z506" s="4"/>
      <c r="AA506" s="4"/>
      <c r="AB506" s="4" t="e">
        <f ca="1">_xll.ciqfunctions.udf.CIQ("^SPX", "IQ_PRICEDATE", "12/23/2015")</f>
        <v>#NAME?</v>
      </c>
      <c r="AC506" s="16">
        <v>2064.2920493832999</v>
      </c>
    </row>
    <row r="507" spans="1:29" x14ac:dyDescent="0.35">
      <c r="A507" s="2" t="s">
        <v>517</v>
      </c>
      <c r="B507" s="4" t="s">
        <v>1702</v>
      </c>
      <c r="C507" s="4" t="s">
        <v>525</v>
      </c>
      <c r="D507" s="4" t="s">
        <v>526</v>
      </c>
      <c r="E507" s="4" t="s">
        <v>803</v>
      </c>
      <c r="F507" s="4" t="s">
        <v>948</v>
      </c>
      <c r="G507" s="14">
        <v>71.34</v>
      </c>
      <c r="H507" s="10">
        <v>17.062275</v>
      </c>
      <c r="I507" s="10">
        <v>34.972456000000001</v>
      </c>
      <c r="J507" s="10" t="s">
        <v>534</v>
      </c>
      <c r="K507" s="15">
        <v>1.1774E-2</v>
      </c>
      <c r="L507" s="17">
        <v>12813.926788999999</v>
      </c>
      <c r="M507" s="4" t="s">
        <v>1703</v>
      </c>
      <c r="N507" s="19">
        <v>2.0398909999999999</v>
      </c>
      <c r="O507" s="19">
        <v>3.1448</v>
      </c>
      <c r="P507" s="19">
        <v>1.83</v>
      </c>
      <c r="Q507" s="19">
        <v>2.7027000000000001</v>
      </c>
      <c r="R507" s="19">
        <v>1.45</v>
      </c>
      <c r="S507" s="19">
        <v>2.2791999999999999</v>
      </c>
      <c r="T507" s="19">
        <v>1.45</v>
      </c>
      <c r="U507" s="19">
        <v>1.9641999999999999</v>
      </c>
      <c r="V507" s="19">
        <v>1.83</v>
      </c>
      <c r="W507" s="19">
        <v>2.0855999999999999</v>
      </c>
      <c r="X507" s="19">
        <v>1.83</v>
      </c>
      <c r="Y507" s="19">
        <v>2.0855999999999999</v>
      </c>
      <c r="Z507" s="4"/>
      <c r="AA507" s="4"/>
      <c r="AB507" s="4" t="e">
        <f ca="1">_xll.ciqfunctions.udf.CIQ("^SPX", "IQ_PRICEDATE", "12/24/2015")</f>
        <v>#NAME?</v>
      </c>
      <c r="AC507" s="16">
        <v>2060.9882998510998</v>
      </c>
    </row>
    <row r="508" spans="1:29" x14ac:dyDescent="0.35">
      <c r="A508" s="2" t="s">
        <v>518</v>
      </c>
      <c r="B508" s="4" t="s">
        <v>1704</v>
      </c>
      <c r="C508" s="4" t="s">
        <v>559</v>
      </c>
      <c r="D508" s="4" t="s">
        <v>798</v>
      </c>
      <c r="E508" s="4" t="s">
        <v>799</v>
      </c>
      <c r="F508" s="4" t="s">
        <v>839</v>
      </c>
      <c r="G508" s="14">
        <v>91.36</v>
      </c>
      <c r="H508" s="10">
        <v>19.761140999999999</v>
      </c>
      <c r="I508" s="10">
        <v>19.427921999999999</v>
      </c>
      <c r="J508" s="10" t="s">
        <v>534</v>
      </c>
      <c r="K508" s="15">
        <v>1.5761000000000001E-2</v>
      </c>
      <c r="L508" s="17">
        <v>28993.615290000002</v>
      </c>
      <c r="M508" s="4" t="s">
        <v>1705</v>
      </c>
      <c r="N508" s="19">
        <v>4.7025100000000002</v>
      </c>
      <c r="O508" s="19">
        <v>3.4847999999999999</v>
      </c>
      <c r="P508" s="19">
        <v>3.77</v>
      </c>
      <c r="Q508" s="19">
        <v>3.0038999999999998</v>
      </c>
      <c r="R508" s="19">
        <v>2.54</v>
      </c>
      <c r="S508" s="19">
        <v>2.6415000000000002</v>
      </c>
      <c r="T508" s="19">
        <v>2.54</v>
      </c>
      <c r="U508" s="19">
        <v>3.3469000000000002</v>
      </c>
      <c r="V508" s="19">
        <v>2.2200000000000002</v>
      </c>
      <c r="W508" s="19">
        <v>3.2593000000000001</v>
      </c>
      <c r="X508" s="19">
        <v>2.2200000000000002</v>
      </c>
      <c r="Y508" s="19">
        <v>3.2593000000000001</v>
      </c>
      <c r="Z508" s="4"/>
      <c r="AA508" s="4"/>
      <c r="AB508" s="4" t="e">
        <f ca="1">_xll.ciqfunctions.udf.CIQ("^SPX", "IQ_PRICEDATE", "12/28/2015")</f>
        <v>#NAME?</v>
      </c>
      <c r="AC508" s="16">
        <v>2056.5007436105002</v>
      </c>
    </row>
    <row r="509" spans="1:29" x14ac:dyDescent="0.35">
      <c r="A509" s="2" t="s">
        <v>519</v>
      </c>
      <c r="B509" s="4" t="s">
        <v>1706</v>
      </c>
      <c r="C509" s="4" t="s">
        <v>530</v>
      </c>
      <c r="D509" s="4" t="s">
        <v>531</v>
      </c>
      <c r="E509" s="4" t="s">
        <v>532</v>
      </c>
      <c r="F509" s="4" t="s">
        <v>533</v>
      </c>
      <c r="G509" s="14">
        <v>128.32</v>
      </c>
      <c r="H509" s="10">
        <v>12.999884</v>
      </c>
      <c r="I509" s="10">
        <v>15.522086</v>
      </c>
      <c r="J509" s="10" t="s">
        <v>534</v>
      </c>
      <c r="K509" s="15">
        <v>7.4809999999999998E-3</v>
      </c>
      <c r="L509" s="17">
        <v>26111.287462</v>
      </c>
      <c r="M509" s="4" t="s">
        <v>1707</v>
      </c>
      <c r="N509" s="19">
        <v>8.2669300000000003</v>
      </c>
      <c r="O509" s="19">
        <v>7.7969999999999997</v>
      </c>
      <c r="P509" s="19">
        <v>8.9</v>
      </c>
      <c r="Q509" s="19">
        <v>8.0152000000000001</v>
      </c>
      <c r="R509" s="19">
        <v>1.51</v>
      </c>
      <c r="S509" s="19">
        <v>8.4641000000000002</v>
      </c>
      <c r="T509" s="19">
        <v>1.51</v>
      </c>
      <c r="U509" s="19">
        <v>7.7148000000000003</v>
      </c>
      <c r="V509" s="19">
        <v>4.2</v>
      </c>
      <c r="W509" s="19">
        <v>6.2442000000000002</v>
      </c>
      <c r="X509" s="19">
        <v>4.2</v>
      </c>
      <c r="Y509" s="19">
        <v>6.2442000000000002</v>
      </c>
      <c r="Z509" s="4"/>
      <c r="AA509" s="4"/>
      <c r="AB509" s="4" t="e">
        <f ca="1">_xll.ciqfunctions.udf.CIQ("^SPX", "IQ_PRICEDATE", "12/29/2015")</f>
        <v>#NAME?</v>
      </c>
      <c r="AC509" s="16">
        <v>2078.3618660811999</v>
      </c>
    </row>
    <row r="510" spans="1:29" x14ac:dyDescent="0.35">
      <c r="A510" s="2" t="s">
        <v>520</v>
      </c>
      <c r="B510" s="4" t="s">
        <v>1708</v>
      </c>
      <c r="C510" s="4" t="s">
        <v>573</v>
      </c>
      <c r="D510" s="4" t="s">
        <v>737</v>
      </c>
      <c r="E510" s="4" t="s">
        <v>737</v>
      </c>
      <c r="F510" s="4" t="s">
        <v>743</v>
      </c>
      <c r="G510" s="14">
        <v>48.44</v>
      </c>
      <c r="H510" s="10">
        <v>0</v>
      </c>
      <c r="I510" s="10">
        <v>14.997112</v>
      </c>
      <c r="J510" s="10">
        <v>1.5670170000000001</v>
      </c>
      <c r="K510" s="15">
        <v>2.4771999999999999E-2</v>
      </c>
      <c r="L510" s="17">
        <v>9416.8721650000007</v>
      </c>
      <c r="M510" s="4" t="s">
        <v>1709</v>
      </c>
      <c r="N510" s="19">
        <v>3.2299549999999999</v>
      </c>
      <c r="O510" s="19">
        <v>3.9287000000000001</v>
      </c>
      <c r="P510" s="19">
        <v>2.6</v>
      </c>
      <c r="Q510" s="19">
        <v>3.0489000000000002</v>
      </c>
      <c r="R510" s="19">
        <v>1.99</v>
      </c>
      <c r="S510" s="19">
        <v>2.2408000000000001</v>
      </c>
      <c r="T510" s="19">
        <v>1.99</v>
      </c>
      <c r="U510" s="19">
        <v>1.8608</v>
      </c>
      <c r="V510" s="19">
        <v>1.68</v>
      </c>
      <c r="W510" s="19">
        <v>1.6911</v>
      </c>
      <c r="X510" s="19">
        <v>1.68</v>
      </c>
      <c r="Y510" s="19">
        <v>1.6911</v>
      </c>
      <c r="Z510" s="4"/>
      <c r="AA510" s="4"/>
      <c r="AB510" s="4" t="e">
        <f ca="1">_xll.ciqfunctions.udf.CIQ("^SPX", "IQ_PRICEDATE", "12/30/2015")</f>
        <v>#NAME?</v>
      </c>
      <c r="AC510" s="16">
        <v>2063.3552153075002</v>
      </c>
    </row>
    <row r="511" spans="1:29" x14ac:dyDescent="0.35">
      <c r="A511" s="2" t="s">
        <v>521</v>
      </c>
      <c r="B511" s="4" t="s">
        <v>1710</v>
      </c>
      <c r="C511" s="4" t="s">
        <v>530</v>
      </c>
      <c r="D511" s="4" t="s">
        <v>537</v>
      </c>
      <c r="E511" s="4" t="s">
        <v>613</v>
      </c>
      <c r="F511" s="4" t="s">
        <v>613</v>
      </c>
      <c r="G511" s="14">
        <v>92.79</v>
      </c>
      <c r="H511" s="10">
        <v>22.173931</v>
      </c>
      <c r="I511" s="10">
        <v>40.750521999999997</v>
      </c>
      <c r="J511" s="10" t="s">
        <v>534</v>
      </c>
      <c r="K511" s="15">
        <v>5.4310000000000001E-3</v>
      </c>
      <c r="L511" s="17">
        <v>44708.430679999998</v>
      </c>
      <c r="M511" s="4" t="s">
        <v>1711</v>
      </c>
      <c r="N511" s="19">
        <v>2.2770260000000002</v>
      </c>
      <c r="O511" s="19">
        <v>3.2164999999999999</v>
      </c>
      <c r="P511" s="19">
        <v>1.75</v>
      </c>
      <c r="Q511" s="19">
        <v>2.6215999999999999</v>
      </c>
      <c r="R511" s="19">
        <v>1.65</v>
      </c>
      <c r="S511" s="19">
        <v>2.1951999999999998</v>
      </c>
      <c r="T511" s="19">
        <v>1.65</v>
      </c>
      <c r="U511" s="19">
        <v>1.8044</v>
      </c>
      <c r="V511" s="19">
        <v>1.1599999999999999</v>
      </c>
      <c r="W511" s="19">
        <v>1.5689</v>
      </c>
      <c r="X511" s="19">
        <v>1.1599999999999999</v>
      </c>
      <c r="Y511" s="19">
        <v>1.5689</v>
      </c>
      <c r="Z511" s="4"/>
      <c r="AA511" s="4"/>
      <c r="AB511" s="4" t="e">
        <f ca="1">_xll.ciqfunctions.udf.CIQ("^SPX", "IQ_PRICEDATE", "12/31/2015")</f>
        <v>#NAME?</v>
      </c>
      <c r="AC511" s="16">
        <v>2043.9368626606999</v>
      </c>
    </row>
    <row r="512" spans="1:29" x14ac:dyDescent="0.35">
      <c r="Z512" s="4"/>
      <c r="AA512" s="4"/>
      <c r="AB512" s="4" t="e">
        <f ca="1">_xll.ciqfunctions.udf.CIQ("^SPX", "IQ_PRICEDATE", "1/4/2016")</f>
        <v>#NAME?</v>
      </c>
      <c r="AC512" s="16">
        <v>2012.6593712480001</v>
      </c>
    </row>
    <row r="513" spans="26:29" x14ac:dyDescent="0.35">
      <c r="Z513" s="4"/>
      <c r="AA513" s="4"/>
      <c r="AB513" s="4" t="e">
        <f ca="1">_xll.ciqfunctions.udf.CIQ("^SPX", "IQ_PRICEDATE", "1/5/2016")</f>
        <v>#NAME?</v>
      </c>
      <c r="AC513" s="16">
        <v>2016.7144265541999</v>
      </c>
    </row>
    <row r="514" spans="26:29" x14ac:dyDescent="0.35">
      <c r="Z514" s="4"/>
      <c r="AA514" s="4"/>
      <c r="AB514" s="4" t="e">
        <f ca="1">_xll.ciqfunctions.udf.CIQ("^SPX", "IQ_PRICEDATE", "1/6/2016")</f>
        <v>#NAME?</v>
      </c>
      <c r="AC514" s="16">
        <v>1990.2622927555001</v>
      </c>
    </row>
    <row r="515" spans="26:29" x14ac:dyDescent="0.35">
      <c r="Z515" s="4"/>
      <c r="AA515" s="4"/>
      <c r="AB515" s="4" t="e">
        <f ca="1">_xll.ciqfunctions.udf.CIQ("^SPX", "IQ_PRICEDATE", "1/7/2016")</f>
        <v>#NAME?</v>
      </c>
      <c r="AC515" s="16">
        <v>1943.0937024861</v>
      </c>
    </row>
    <row r="516" spans="26:29" x14ac:dyDescent="0.35">
      <c r="Z516" s="4"/>
      <c r="AA516" s="4"/>
      <c r="AB516" s="4" t="e">
        <f ca="1">_xll.ciqfunctions.udf.CIQ("^SPX", "IQ_PRICEDATE", "1/8/2016")</f>
        <v>#NAME?</v>
      </c>
      <c r="AC516" s="16">
        <v>1922.0347926740001</v>
      </c>
    </row>
    <row r="517" spans="26:29" x14ac:dyDescent="0.35">
      <c r="Z517" s="4"/>
      <c r="AA517" s="4"/>
      <c r="AB517" s="4" t="e">
        <f ca="1">_xll.ciqfunctions.udf.CIQ("^SPX", "IQ_PRICEDATE", "1/11/2016")</f>
        <v>#NAME?</v>
      </c>
      <c r="AC517" s="16">
        <v>1923.6748213450001</v>
      </c>
    </row>
    <row r="518" spans="26:29" x14ac:dyDescent="0.35">
      <c r="Z518" s="4"/>
      <c r="AA518" s="4"/>
      <c r="AB518" s="4" t="e">
        <f ca="1">_xll.ciqfunctions.udf.CIQ("^SPX", "IQ_PRICEDATE", "1/12/2016")</f>
        <v>#NAME?</v>
      </c>
      <c r="AC518" s="16">
        <v>1938.6789320655</v>
      </c>
    </row>
    <row r="519" spans="26:29" x14ac:dyDescent="0.35">
      <c r="Z519" s="4"/>
      <c r="AA519" s="4"/>
      <c r="AB519" s="4" t="e">
        <f ca="1">_xll.ciqfunctions.udf.CIQ("^SPX", "IQ_PRICEDATE", "1/13/2016")</f>
        <v>#NAME?</v>
      </c>
      <c r="AC519" s="16">
        <v>1890.2789148177999</v>
      </c>
    </row>
    <row r="520" spans="26:29" x14ac:dyDescent="0.35">
      <c r="Z520" s="4"/>
      <c r="AA520" s="4"/>
      <c r="AB520" s="4" t="e">
        <f ca="1">_xll.ciqfunctions.udf.CIQ("^SPX", "IQ_PRICEDATE", "1/14/2016")</f>
        <v>#NAME?</v>
      </c>
      <c r="AC520" s="16">
        <v>1921.8357608706001</v>
      </c>
    </row>
    <row r="521" spans="26:29" x14ac:dyDescent="0.35">
      <c r="Z521" s="4"/>
      <c r="AA521" s="4"/>
      <c r="AB521" s="4" t="e">
        <f ca="1">_xll.ciqfunctions.udf.CIQ("^SPX", "IQ_PRICEDATE", "1/15/2016")</f>
        <v>#NAME?</v>
      </c>
      <c r="AC521" s="16">
        <v>1880.3277963866999</v>
      </c>
    </row>
    <row r="522" spans="26:29" x14ac:dyDescent="0.35">
      <c r="Z522" s="4"/>
      <c r="AA522" s="4"/>
      <c r="AB522" s="4" t="e">
        <f ca="1">_xll.ciqfunctions.udf.CIQ("^SPX", "IQ_PRICEDATE", "1/19/2016")</f>
        <v>#NAME?</v>
      </c>
      <c r="AC522" s="16">
        <v>1881.3332441622999</v>
      </c>
    </row>
    <row r="523" spans="26:29" x14ac:dyDescent="0.35">
      <c r="Z523" s="4"/>
      <c r="AA523" s="4"/>
      <c r="AB523" s="4" t="e">
        <f ca="1">_xll.ciqfunctions.udf.CIQ("^SPX", "IQ_PRICEDATE", "1/20/2016")</f>
        <v>#NAME?</v>
      </c>
      <c r="AC523" s="16">
        <v>1859.3284619461999</v>
      </c>
    </row>
    <row r="524" spans="26:29" x14ac:dyDescent="0.35">
      <c r="Z524" s="4"/>
      <c r="AA524" s="4"/>
      <c r="AB524" s="4" t="e">
        <f ca="1">_xll.ciqfunctions.udf.CIQ("^SPX", "IQ_PRICEDATE", "1/21/2016")</f>
        <v>#NAME?</v>
      </c>
      <c r="AC524" s="16">
        <v>1868.9863167763001</v>
      </c>
    </row>
    <row r="525" spans="26:29" x14ac:dyDescent="0.35">
      <c r="Z525" s="4"/>
      <c r="AA525" s="4"/>
      <c r="AB525" s="4" t="e">
        <f ca="1">_xll.ciqfunctions.udf.CIQ("^SPX", "IQ_PRICEDATE", "1/22/2016")</f>
        <v>#NAME?</v>
      </c>
      <c r="AC525" s="16">
        <v>1906.9040755857</v>
      </c>
    </row>
    <row r="526" spans="26:29" x14ac:dyDescent="0.35">
      <c r="Z526" s="4"/>
      <c r="AA526" s="4"/>
      <c r="AB526" s="4" t="e">
        <f ca="1">_xll.ciqfunctions.udf.CIQ("^SPX", "IQ_PRICEDATE", "1/25/2016")</f>
        <v>#NAME?</v>
      </c>
      <c r="AC526" s="16">
        <v>1877.0775714959</v>
      </c>
    </row>
    <row r="527" spans="26:29" x14ac:dyDescent="0.35">
      <c r="Z527" s="4"/>
      <c r="AA527" s="4"/>
      <c r="AB527" s="4" t="e">
        <f ca="1">_xll.ciqfunctions.udf.CIQ("^SPX", "IQ_PRICEDATE", "1/26/2016")</f>
        <v>#NAME?</v>
      </c>
      <c r="AC527" s="16">
        <v>1903.6306483067999</v>
      </c>
    </row>
    <row r="528" spans="26:29" x14ac:dyDescent="0.35">
      <c r="Z528" s="4"/>
      <c r="AA528" s="4"/>
      <c r="AB528" s="4" t="e">
        <f ca="1">_xll.ciqfunctions.udf.CIQ("^SPX", "IQ_PRICEDATE", "1/27/2016")</f>
        <v>#NAME?</v>
      </c>
      <c r="AC528" s="16">
        <v>1882.9462651834001</v>
      </c>
    </row>
    <row r="529" spans="26:29" x14ac:dyDescent="0.35">
      <c r="Z529" s="4"/>
      <c r="AA529" s="4"/>
      <c r="AB529" s="4" t="e">
        <f ca="1">_xll.ciqfunctions.udf.CIQ("^SPX", "IQ_PRICEDATE", "1/28/2016")</f>
        <v>#NAME?</v>
      </c>
      <c r="AC529" s="16">
        <v>1893.3567082853999</v>
      </c>
    </row>
    <row r="530" spans="26:29" x14ac:dyDescent="0.35">
      <c r="Z530" s="4"/>
      <c r="AA530" s="4"/>
      <c r="AB530" s="4" t="e">
        <f ca="1">_xll.ciqfunctions.udf.CIQ("^SPX", "IQ_PRICEDATE", "1/29/2016")</f>
        <v>#NAME?</v>
      </c>
      <c r="AC530" s="16">
        <v>1940.2396778185</v>
      </c>
    </row>
    <row r="531" spans="26:29" x14ac:dyDescent="0.35">
      <c r="Z531" s="4"/>
      <c r="AA531" s="4"/>
      <c r="AB531" s="4" t="e">
        <f ca="1">_xll.ciqfunctions.udf.CIQ("^SPX", "IQ_PRICEDATE", "2/1/2016")</f>
        <v>#NAME?</v>
      </c>
      <c r="AC531" s="16">
        <v>1939.3793162679001</v>
      </c>
    </row>
    <row r="532" spans="26:29" x14ac:dyDescent="0.35">
      <c r="Z532" s="4"/>
      <c r="AA532" s="4"/>
      <c r="AB532" s="4" t="e">
        <f ca="1">_xll.ciqfunctions.udf.CIQ("^SPX", "IQ_PRICEDATE", "2/2/2016")</f>
        <v>#NAME?</v>
      </c>
      <c r="AC532" s="16">
        <v>1903.0315127425999</v>
      </c>
    </row>
    <row r="533" spans="26:29" x14ac:dyDescent="0.35">
      <c r="Z533" s="4"/>
      <c r="AA533" s="4"/>
      <c r="AB533" s="4" t="e">
        <f ca="1">_xll.ciqfunctions.udf.CIQ("^SPX", "IQ_PRICEDATE", "2/3/2016")</f>
        <v>#NAME?</v>
      </c>
      <c r="AC533" s="16">
        <v>1912.5336076968999</v>
      </c>
    </row>
    <row r="534" spans="26:29" x14ac:dyDescent="0.35">
      <c r="Z534" s="4"/>
      <c r="AA534" s="4"/>
      <c r="AB534" s="4" t="e">
        <f ca="1">_xll.ciqfunctions.udf.CIQ("^SPX", "IQ_PRICEDATE", "2/4/2016")</f>
        <v>#NAME?</v>
      </c>
      <c r="AC534" s="16">
        <v>1915.4467916985</v>
      </c>
    </row>
    <row r="535" spans="26:29" x14ac:dyDescent="0.35">
      <c r="Z535" s="4"/>
      <c r="AA535" s="4"/>
      <c r="AB535" s="4" t="e">
        <f ca="1">_xll.ciqfunctions.udf.CIQ("^SPX", "IQ_PRICEDATE", "2/5/2016")</f>
        <v>#NAME?</v>
      </c>
      <c r="AC535" s="16">
        <v>1880.0539328839</v>
      </c>
    </row>
    <row r="536" spans="26:29" x14ac:dyDescent="0.35">
      <c r="Z536" s="4"/>
      <c r="AA536" s="4"/>
      <c r="AB536" s="4" t="e">
        <f ca="1">_xll.ciqfunctions.udf.CIQ("^SPX", "IQ_PRICEDATE", "2/8/2016")</f>
        <v>#NAME?</v>
      </c>
      <c r="AC536" s="16">
        <v>1853.4350189577001</v>
      </c>
    </row>
    <row r="537" spans="26:29" x14ac:dyDescent="0.35">
      <c r="Z537" s="4"/>
      <c r="AA537" s="4"/>
      <c r="AB537" s="4" t="e">
        <f ca="1">_xll.ciqfunctions.udf.CIQ("^SPX", "IQ_PRICEDATE", "2/9/2016")</f>
        <v>#NAME?</v>
      </c>
      <c r="AC537" s="16">
        <v>1852.209817315</v>
      </c>
    </row>
    <row r="538" spans="26:29" x14ac:dyDescent="0.35">
      <c r="Z538" s="4"/>
      <c r="AA538" s="4"/>
      <c r="AB538" s="4" t="e">
        <f ca="1">_xll.ciqfunctions.udf.CIQ("^SPX", "IQ_PRICEDATE", "2/10/2016")</f>
        <v>#NAME?</v>
      </c>
      <c r="AC538" s="16">
        <v>1851.8630459234</v>
      </c>
    </row>
    <row r="539" spans="26:29" x14ac:dyDescent="0.35">
      <c r="Z539" s="4"/>
      <c r="AA539" s="4"/>
      <c r="AB539" s="4" t="e">
        <f ca="1">_xll.ciqfunctions.udf.CIQ("^SPX", "IQ_PRICEDATE", "2/11/2016")</f>
        <v>#NAME?</v>
      </c>
      <c r="AC539" s="16">
        <v>1829.078345807</v>
      </c>
    </row>
    <row r="540" spans="26:29" x14ac:dyDescent="0.35">
      <c r="Z540" s="4"/>
      <c r="AA540" s="4"/>
      <c r="AB540" s="4" t="e">
        <f ca="1">_xll.ciqfunctions.udf.CIQ("^SPX", "IQ_PRICEDATE", "2/12/2016")</f>
        <v>#NAME?</v>
      </c>
      <c r="AC540" s="16">
        <v>1864.7753300898</v>
      </c>
    </row>
    <row r="541" spans="26:29" x14ac:dyDescent="0.35">
      <c r="Z541" s="4"/>
      <c r="AA541" s="4"/>
      <c r="AB541" s="4" t="e">
        <f ca="1">_xll.ciqfunctions.udf.CIQ("^SPX", "IQ_PRICEDATE", "2/16/2016")</f>
        <v>#NAME?</v>
      </c>
      <c r="AC541" s="16">
        <v>1895.5773700755999</v>
      </c>
    </row>
    <row r="542" spans="26:29" x14ac:dyDescent="0.35">
      <c r="Z542" s="4"/>
      <c r="AA542" s="4"/>
      <c r="AB542" s="4" t="e">
        <f ca="1">_xll.ciqfunctions.udf.CIQ("^SPX", "IQ_PRICEDATE", "2/17/2016")</f>
        <v>#NAME?</v>
      </c>
      <c r="AC542" s="16">
        <v>1926.8249996812001</v>
      </c>
    </row>
    <row r="543" spans="26:29" x14ac:dyDescent="0.35">
      <c r="Z543" s="4"/>
      <c r="AA543" s="4"/>
      <c r="AB543" s="4" t="e">
        <f ca="1">_xll.ciqfunctions.udf.CIQ("^SPX", "IQ_PRICEDATE", "2/18/2016")</f>
        <v>#NAME?</v>
      </c>
      <c r="AC543" s="16">
        <v>1917.8338001633999</v>
      </c>
    </row>
    <row r="544" spans="26:29" x14ac:dyDescent="0.35">
      <c r="Z544" s="4"/>
      <c r="AA544" s="4"/>
      <c r="AB544" s="4" t="e">
        <f ca="1">_xll.ciqfunctions.udf.CIQ("^SPX", "IQ_PRICEDATE", "2/19/2016")</f>
        <v>#NAME?</v>
      </c>
      <c r="AC544" s="16">
        <v>1917.7836117449999</v>
      </c>
    </row>
    <row r="545" spans="26:29" x14ac:dyDescent="0.35">
      <c r="Z545" s="4"/>
      <c r="AA545" s="4"/>
      <c r="AB545" s="4" t="e">
        <f ca="1">_xll.ciqfunctions.udf.CIQ("^SPX", "IQ_PRICEDATE", "2/22/2016")</f>
        <v>#NAME?</v>
      </c>
      <c r="AC545" s="16">
        <v>1945.5000398876</v>
      </c>
    </row>
    <row r="546" spans="26:29" x14ac:dyDescent="0.35">
      <c r="Z546" s="4"/>
      <c r="AA546" s="4"/>
      <c r="AB546" s="4" t="e">
        <f ca="1">_xll.ciqfunctions.udf.CIQ("^SPX", "IQ_PRICEDATE", "2/23/2016")</f>
        <v>#NAME?</v>
      </c>
      <c r="AC546" s="16">
        <v>1921.2684413203999</v>
      </c>
    </row>
    <row r="547" spans="26:29" x14ac:dyDescent="0.35">
      <c r="Z547" s="4"/>
      <c r="AA547" s="4"/>
      <c r="AB547" s="4" t="e">
        <f ca="1">_xll.ciqfunctions.udf.CIQ("^SPX", "IQ_PRICEDATE", "2/24/2016")</f>
        <v>#NAME?</v>
      </c>
      <c r="AC547" s="16">
        <v>1929.7976752719001</v>
      </c>
    </row>
    <row r="548" spans="26:29" x14ac:dyDescent="0.35">
      <c r="Z548" s="4"/>
      <c r="AA548" s="4"/>
      <c r="AB548" s="4" t="e">
        <f ca="1">_xll.ciqfunctions.udf.CIQ("^SPX", "IQ_PRICEDATE", "2/25/2016")</f>
        <v>#NAME?</v>
      </c>
      <c r="AC548" s="16">
        <v>1951.7006648710001</v>
      </c>
    </row>
    <row r="549" spans="26:29" x14ac:dyDescent="0.35">
      <c r="Z549" s="4"/>
      <c r="AA549" s="4"/>
      <c r="AB549" s="4" t="e">
        <f ca="1">_xll.ciqfunctions.udf.CIQ("^SPX", "IQ_PRICEDATE", "2/26/2016")</f>
        <v>#NAME?</v>
      </c>
      <c r="AC549" s="16">
        <v>1948.0538513040001</v>
      </c>
    </row>
    <row r="550" spans="26:29" x14ac:dyDescent="0.35">
      <c r="Z550" s="4"/>
      <c r="AA550" s="4"/>
      <c r="AB550" s="4" t="e">
        <f ca="1">_xll.ciqfunctions.udf.CIQ("^SPX", "IQ_PRICEDATE", "2/29/2016")</f>
        <v>#NAME?</v>
      </c>
      <c r="AC550" s="16">
        <v>1932.2263947971001</v>
      </c>
    </row>
    <row r="551" spans="26:29" x14ac:dyDescent="0.35">
      <c r="Z551" s="4"/>
      <c r="AA551" s="4"/>
      <c r="AB551" s="4" t="e">
        <f ca="1">_xll.ciqfunctions.udf.CIQ("^SPX", "IQ_PRICEDATE", "3/1/2016")</f>
        <v>#NAME?</v>
      </c>
      <c r="AC551" s="16">
        <v>1978.3481163757999</v>
      </c>
    </row>
    <row r="552" spans="26:29" x14ac:dyDescent="0.35">
      <c r="Z552" s="4"/>
      <c r="AA552" s="4"/>
      <c r="AB552" s="4" t="e">
        <f ca="1">_xll.ciqfunctions.udf.CIQ("^SPX", "IQ_PRICEDATE", "3/2/2016")</f>
        <v>#NAME?</v>
      </c>
      <c r="AC552" s="16">
        <v>1986.4547864171</v>
      </c>
    </row>
    <row r="553" spans="26:29" x14ac:dyDescent="0.35">
      <c r="Z553" s="4"/>
      <c r="AA553" s="4"/>
      <c r="AB553" s="4" t="e">
        <f ca="1">_xll.ciqfunctions.udf.CIQ("^SPX", "IQ_PRICEDATE", "3/3/2016")</f>
        <v>#NAME?</v>
      </c>
      <c r="AC553" s="16">
        <v>1993.4021399067999</v>
      </c>
    </row>
    <row r="554" spans="26:29" x14ac:dyDescent="0.35">
      <c r="Z554" s="4"/>
      <c r="AA554" s="4"/>
      <c r="AB554" s="4" t="e">
        <f ca="1">_xll.ciqfunctions.udf.CIQ("^SPX", "IQ_PRICEDATE", "3/4/2016")</f>
        <v>#NAME?</v>
      </c>
      <c r="AC554" s="16">
        <v>1999.9872258588</v>
      </c>
    </row>
    <row r="555" spans="26:29" x14ac:dyDescent="0.35">
      <c r="Z555" s="4"/>
      <c r="AA555" s="4"/>
      <c r="AB555" s="4" t="e">
        <f ca="1">_xll.ciqfunctions.udf.CIQ("^SPX", "IQ_PRICEDATE", "3/7/2016")</f>
        <v>#NAME?</v>
      </c>
      <c r="AC555" s="16">
        <v>2001.7588480310999</v>
      </c>
    </row>
    <row r="556" spans="26:29" x14ac:dyDescent="0.35">
      <c r="Z556" s="4"/>
      <c r="AA556" s="4"/>
      <c r="AB556" s="4" t="e">
        <f ca="1">_xll.ciqfunctions.udf.CIQ("^SPX", "IQ_PRICEDATE", "3/8/2016")</f>
        <v>#NAME?</v>
      </c>
      <c r="AC556" s="16">
        <v>1979.2607182705001</v>
      </c>
    </row>
    <row r="557" spans="26:29" x14ac:dyDescent="0.35">
      <c r="Z557" s="4"/>
      <c r="AA557" s="4"/>
      <c r="AB557" s="4" t="e">
        <f ca="1">_xll.ciqfunctions.udf.CIQ("^SPX", "IQ_PRICEDATE", "3/9/2016")</f>
        <v>#NAME?</v>
      </c>
      <c r="AC557" s="16">
        <v>1989.2649945042999</v>
      </c>
    </row>
    <row r="558" spans="26:29" x14ac:dyDescent="0.35">
      <c r="Z558" s="4"/>
      <c r="AA558" s="4"/>
      <c r="AB558" s="4" t="e">
        <f ca="1">_xll.ciqfunctions.udf.CIQ("^SPX", "IQ_PRICEDATE", "3/10/2016")</f>
        <v>#NAME?</v>
      </c>
      <c r="AC558" s="16">
        <v>1989.5682879162</v>
      </c>
    </row>
    <row r="559" spans="26:29" x14ac:dyDescent="0.35">
      <c r="Z559" s="4"/>
      <c r="AA559" s="4"/>
      <c r="AB559" s="4" t="e">
        <f ca="1">_xll.ciqfunctions.udf.CIQ("^SPX", "IQ_PRICEDATE", "3/11/2016")</f>
        <v>#NAME?</v>
      </c>
      <c r="AC559" s="16">
        <v>2022.1895722387001</v>
      </c>
    </row>
    <row r="560" spans="26:29" x14ac:dyDescent="0.35">
      <c r="Z560" s="4"/>
      <c r="AA560" s="4"/>
      <c r="AB560" s="4" t="e">
        <f ca="1">_xll.ciqfunctions.udf.CIQ("^SPX", "IQ_PRICEDATE", "3/14/2016")</f>
        <v>#NAME?</v>
      </c>
      <c r="AC560" s="16">
        <v>2019.6401297292</v>
      </c>
    </row>
    <row r="561" spans="26:29" x14ac:dyDescent="0.35">
      <c r="Z561" s="4"/>
      <c r="AA561" s="4"/>
      <c r="AB561" s="4" t="e">
        <f ca="1">_xll.ciqfunctions.udf.CIQ("^SPX", "IQ_PRICEDATE", "3/15/2016")</f>
        <v>#NAME?</v>
      </c>
      <c r="AC561" s="16">
        <v>2015.9279249064</v>
      </c>
    </row>
    <row r="562" spans="26:29" x14ac:dyDescent="0.35">
      <c r="Z562" s="4"/>
      <c r="AA562" s="4"/>
      <c r="AB562" s="4" t="e">
        <f ca="1">_xll.ciqfunctions.udf.CIQ("^SPX", "IQ_PRICEDATE", "3/16/2016")</f>
        <v>#NAME?</v>
      </c>
      <c r="AC562" s="16">
        <v>2027.2173933161</v>
      </c>
    </row>
    <row r="563" spans="26:29" x14ac:dyDescent="0.35">
      <c r="Z563" s="4"/>
      <c r="AA563" s="4"/>
      <c r="AB563" s="4" t="e">
        <f ca="1">_xll.ciqfunctions.udf.CIQ("^SPX", "IQ_PRICEDATE", "3/17/2016")</f>
        <v>#NAME?</v>
      </c>
      <c r="AC563" s="16">
        <v>2040.5911529636001</v>
      </c>
    </row>
    <row r="564" spans="26:29" x14ac:dyDescent="0.35">
      <c r="Z564" s="4"/>
      <c r="AA564" s="4"/>
      <c r="AB564" s="4" t="e">
        <f ca="1">_xll.ciqfunctions.udf.CIQ("^SPX", "IQ_PRICEDATE", "3/18/2016")</f>
        <v>#NAME?</v>
      </c>
      <c r="AC564" s="16">
        <v>2049.5767766017998</v>
      </c>
    </row>
    <row r="565" spans="26:29" x14ac:dyDescent="0.35">
      <c r="Z565" s="4"/>
      <c r="AA565" s="4"/>
      <c r="AB565" s="4" t="e">
        <f ca="1">_xll.ciqfunctions.udf.CIQ("^SPX", "IQ_PRICEDATE", "3/21/2016")</f>
        <v>#NAME?</v>
      </c>
      <c r="AC565" s="16">
        <v>2051.6002316302001</v>
      </c>
    </row>
    <row r="566" spans="26:29" x14ac:dyDescent="0.35">
      <c r="Z566" s="4"/>
      <c r="AA566" s="4"/>
      <c r="AB566" s="4" t="e">
        <f ca="1">_xll.ciqfunctions.udf.CIQ("^SPX", "IQ_PRICEDATE", "3/22/2016")</f>
        <v>#NAME?</v>
      </c>
      <c r="AC566" s="16">
        <v>2049.8035026558</v>
      </c>
    </row>
    <row r="567" spans="26:29" x14ac:dyDescent="0.35">
      <c r="Z567" s="4"/>
      <c r="AA567" s="4"/>
      <c r="AB567" s="4" t="e">
        <f ca="1">_xll.ciqfunctions.udf.CIQ("^SPX", "IQ_PRICEDATE", "3/23/2016")</f>
        <v>#NAME?</v>
      </c>
      <c r="AC567" s="16">
        <v>2036.7127614671999</v>
      </c>
    </row>
    <row r="568" spans="26:29" x14ac:dyDescent="0.35">
      <c r="Z568" s="4"/>
      <c r="AA568" s="4"/>
      <c r="AB568" s="4" t="e">
        <f ca="1">_xll.ciqfunctions.udf.CIQ("^SPX", "IQ_PRICEDATE", "3/24/2016")</f>
        <v>#NAME?</v>
      </c>
      <c r="AC568" s="16">
        <v>2035.9359056955</v>
      </c>
    </row>
    <row r="569" spans="26:29" x14ac:dyDescent="0.35">
      <c r="Z569" s="4"/>
      <c r="AA569" s="4"/>
      <c r="AB569" s="4" t="e">
        <f ca="1">_xll.ciqfunctions.udf.CIQ("^SPX", "IQ_PRICEDATE", "3/28/2016")</f>
        <v>#NAME?</v>
      </c>
      <c r="AC569" s="16">
        <v>2037.0494688776</v>
      </c>
    </row>
    <row r="570" spans="26:29" x14ac:dyDescent="0.35">
      <c r="Z570" s="4"/>
      <c r="AA570" s="4"/>
      <c r="AB570" s="4" t="e">
        <f ca="1">_xll.ciqfunctions.udf.CIQ("^SPX", "IQ_PRICEDATE", "3/29/2016")</f>
        <v>#NAME?</v>
      </c>
      <c r="AC570" s="16">
        <v>2055.0136334985</v>
      </c>
    </row>
    <row r="571" spans="26:29" x14ac:dyDescent="0.35">
      <c r="Z571" s="4"/>
      <c r="AA571" s="4"/>
      <c r="AB571" s="4" t="e">
        <f ca="1">_xll.ciqfunctions.udf.CIQ("^SPX", "IQ_PRICEDATE", "3/30/2016")</f>
        <v>#NAME?</v>
      </c>
      <c r="AC571" s="16">
        <v>2063.9455731809999</v>
      </c>
    </row>
    <row r="572" spans="26:29" x14ac:dyDescent="0.35">
      <c r="Z572" s="4"/>
      <c r="AA572" s="4"/>
      <c r="AB572" s="4" t="e">
        <f ca="1">_xll.ciqfunctions.udf.CIQ("^SPX", "IQ_PRICEDATE", "3/31/2016")</f>
        <v>#NAME?</v>
      </c>
      <c r="AC572" s="16">
        <v>2059.7411766012001</v>
      </c>
    </row>
    <row r="573" spans="26:29" x14ac:dyDescent="0.35">
      <c r="Z573" s="4"/>
      <c r="AA573" s="4"/>
      <c r="AB573" s="4" t="e">
        <f ca="1">_xll.ciqfunctions.udf.CIQ("^SPX", "IQ_PRICEDATE", "4/1/2016")</f>
        <v>#NAME?</v>
      </c>
      <c r="AC573" s="16">
        <v>2072.7790722503</v>
      </c>
    </row>
    <row r="574" spans="26:29" x14ac:dyDescent="0.35">
      <c r="Z574" s="4"/>
      <c r="AA574" s="4"/>
      <c r="AB574" s="4" t="e">
        <f ca="1">_xll.ciqfunctions.udf.CIQ("^SPX", "IQ_PRICEDATE", "4/4/2016")</f>
        <v>#NAME?</v>
      </c>
      <c r="AC574" s="16">
        <v>2066.1294033761001</v>
      </c>
    </row>
    <row r="575" spans="26:29" x14ac:dyDescent="0.35">
      <c r="Z575" s="4"/>
      <c r="AA575" s="4"/>
      <c r="AB575" s="4" t="e">
        <f ca="1">_xll.ciqfunctions.udf.CIQ("^SPX", "IQ_PRICEDATE", "4/5/2016")</f>
        <v>#NAME?</v>
      </c>
      <c r="AC575" s="16">
        <v>2045.1667952564001</v>
      </c>
    </row>
    <row r="576" spans="26:29" x14ac:dyDescent="0.35">
      <c r="Z576" s="4"/>
      <c r="AA576" s="4"/>
      <c r="AB576" s="4" t="e">
        <f ca="1">_xll.ciqfunctions.udf.CIQ("^SPX", "IQ_PRICEDATE", "4/6/2016")</f>
        <v>#NAME?</v>
      </c>
      <c r="AC576" s="16">
        <v>2066.6648189460998</v>
      </c>
    </row>
    <row r="577" spans="26:29" x14ac:dyDescent="0.35">
      <c r="Z577" s="4"/>
      <c r="AA577" s="4"/>
      <c r="AB577" s="4" t="e">
        <f ca="1">_xll.ciqfunctions.udf.CIQ("^SPX", "IQ_PRICEDATE", "4/7/2016")</f>
        <v>#NAME?</v>
      </c>
      <c r="AC577" s="16">
        <v>2041.9119416724</v>
      </c>
    </row>
    <row r="578" spans="26:29" x14ac:dyDescent="0.35">
      <c r="Z578" s="4"/>
      <c r="AA578" s="4"/>
      <c r="AB578" s="4" t="e">
        <f ca="1">_xll.ciqfunctions.udf.CIQ("^SPX", "IQ_PRICEDATE", "4/8/2016")</f>
        <v>#NAME?</v>
      </c>
      <c r="AC578" s="16">
        <v>2047.5971324052</v>
      </c>
    </row>
    <row r="579" spans="26:29" x14ac:dyDescent="0.35">
      <c r="Z579" s="4"/>
      <c r="AA579" s="4"/>
      <c r="AB579" s="4" t="e">
        <f ca="1">_xll.ciqfunctions.udf.CIQ("^SPX", "IQ_PRICEDATE", "4/11/2016")</f>
        <v>#NAME?</v>
      </c>
      <c r="AC579" s="16">
        <v>2041.9860446721</v>
      </c>
    </row>
    <row r="580" spans="26:29" x14ac:dyDescent="0.35">
      <c r="Z580" s="4"/>
      <c r="AA580" s="4"/>
      <c r="AB580" s="4" t="e">
        <f ca="1">_xll.ciqfunctions.udf.CIQ("^SPX", "IQ_PRICEDATE", "4/12/2016")</f>
        <v>#NAME?</v>
      </c>
      <c r="AC580" s="16">
        <v>2061.7184466693002</v>
      </c>
    </row>
    <row r="581" spans="26:29" x14ac:dyDescent="0.35">
      <c r="Z581" s="4"/>
      <c r="AA581" s="4"/>
      <c r="AB581" s="4" t="e">
        <f ca="1">_xll.ciqfunctions.udf.CIQ("^SPX", "IQ_PRICEDATE", "4/13/2016")</f>
        <v>#NAME?</v>
      </c>
      <c r="AC581" s="16">
        <v>2082.4206422921998</v>
      </c>
    </row>
    <row r="582" spans="26:29" x14ac:dyDescent="0.35">
      <c r="Z582" s="4"/>
      <c r="AA582" s="4"/>
      <c r="AB582" s="4" t="e">
        <f ca="1">_xll.ciqfunctions.udf.CIQ("^SPX", "IQ_PRICEDATE", "4/14/2016")</f>
        <v>#NAME?</v>
      </c>
      <c r="AC582" s="16">
        <v>2082.7830910424</v>
      </c>
    </row>
    <row r="583" spans="26:29" x14ac:dyDescent="0.35">
      <c r="Z583" s="4"/>
      <c r="AA583" s="4"/>
      <c r="AB583" s="4" t="e">
        <f ca="1">_xll.ciqfunctions.udf.CIQ("^SPX", "IQ_PRICEDATE", "4/15/2016")</f>
        <v>#NAME?</v>
      </c>
      <c r="AC583" s="16">
        <v>2080.7329648233999</v>
      </c>
    </row>
    <row r="584" spans="26:29" x14ac:dyDescent="0.35">
      <c r="Z584" s="4"/>
      <c r="AA584" s="4"/>
      <c r="AB584" s="4" t="e">
        <f ca="1">_xll.ciqfunctions.udf.CIQ("^SPX", "IQ_PRICEDATE", "4/18/2016")</f>
        <v>#NAME?</v>
      </c>
      <c r="AC584" s="16">
        <v>2094.3403310812</v>
      </c>
    </row>
    <row r="585" spans="26:29" x14ac:dyDescent="0.35">
      <c r="Z585" s="4"/>
      <c r="AA585" s="4"/>
      <c r="AB585" s="4" t="e">
        <f ca="1">_xll.ciqfunctions.udf.CIQ("^SPX", "IQ_PRICEDATE", "4/19/2016")</f>
        <v>#NAME?</v>
      </c>
      <c r="AC585" s="16">
        <v>2100.7987332940002</v>
      </c>
    </row>
    <row r="586" spans="26:29" x14ac:dyDescent="0.35">
      <c r="Z586" s="4"/>
      <c r="AA586" s="4"/>
      <c r="AB586" s="4" t="e">
        <f ca="1">_xll.ciqfunctions.udf.CIQ("^SPX", "IQ_PRICEDATE", "4/20/2016")</f>
        <v>#NAME?</v>
      </c>
      <c r="AC586" s="16">
        <v>2102.3966553845999</v>
      </c>
    </row>
    <row r="587" spans="26:29" x14ac:dyDescent="0.35">
      <c r="Z587" s="4"/>
      <c r="AA587" s="4"/>
      <c r="AB587" s="4" t="e">
        <f ca="1">_xll.ciqfunctions.udf.CIQ("^SPX", "IQ_PRICEDATE", "4/21/2016")</f>
        <v>#NAME?</v>
      </c>
      <c r="AC587" s="16">
        <v>2091.4836606396002</v>
      </c>
    </row>
    <row r="588" spans="26:29" x14ac:dyDescent="0.35">
      <c r="Z588" s="4"/>
      <c r="AA588" s="4"/>
      <c r="AB588" s="4" t="e">
        <f ca="1">_xll.ciqfunctions.udf.CIQ("^SPX", "IQ_PRICEDATE", "4/22/2016")</f>
        <v>#NAME?</v>
      </c>
      <c r="AC588" s="16">
        <v>2091.5801018706002</v>
      </c>
    </row>
    <row r="589" spans="26:29" x14ac:dyDescent="0.35">
      <c r="Z589" s="4"/>
      <c r="AA589" s="4"/>
      <c r="AB589" s="4" t="e">
        <f ca="1">_xll.ciqfunctions.udf.CIQ("^SPX", "IQ_PRICEDATE", "4/25/2016")</f>
        <v>#NAME?</v>
      </c>
      <c r="AC589" s="16">
        <v>2087.7944702435002</v>
      </c>
    </row>
    <row r="590" spans="26:29" x14ac:dyDescent="0.35">
      <c r="Z590" s="4"/>
      <c r="AA590" s="4"/>
      <c r="AB590" s="4" t="e">
        <f ca="1">_xll.ciqfunctions.udf.CIQ("^SPX", "IQ_PRICEDATE", "4/26/2016")</f>
        <v>#NAME?</v>
      </c>
      <c r="AC590" s="16">
        <v>2091.6985448183</v>
      </c>
    </row>
    <row r="591" spans="26:29" x14ac:dyDescent="0.35">
      <c r="Z591" s="4"/>
      <c r="AA591" s="4"/>
      <c r="AB591" s="4" t="e">
        <f ca="1">_xll.ciqfunctions.udf.CIQ("^SPX", "IQ_PRICEDATE", "4/27/2016")</f>
        <v>#NAME?</v>
      </c>
      <c r="AC591" s="16">
        <v>2095.1543936148</v>
      </c>
    </row>
    <row r="592" spans="26:29" x14ac:dyDescent="0.35">
      <c r="Z592" s="4"/>
      <c r="AA592" s="4"/>
      <c r="AB592" s="4" t="e">
        <f ca="1">_xll.ciqfunctions.udf.CIQ("^SPX", "IQ_PRICEDATE", "4/28/2016")</f>
        <v>#NAME?</v>
      </c>
      <c r="AC592" s="16">
        <v>2075.8106634737001</v>
      </c>
    </row>
    <row r="593" spans="26:29" x14ac:dyDescent="0.35">
      <c r="Z593" s="4"/>
      <c r="AA593" s="4"/>
      <c r="AB593" s="4" t="e">
        <f ca="1">_xll.ciqfunctions.udf.CIQ("^SPX", "IQ_PRICEDATE", "4/29/2016")</f>
        <v>#NAME?</v>
      </c>
      <c r="AC593" s="16">
        <v>2065.2963010051999</v>
      </c>
    </row>
    <row r="594" spans="26:29" x14ac:dyDescent="0.35">
      <c r="Z594" s="4"/>
      <c r="AA594" s="4"/>
      <c r="AB594" s="4" t="e">
        <f ca="1">_xll.ciqfunctions.udf.CIQ("^SPX", "IQ_PRICEDATE", "5/2/2016")</f>
        <v>#NAME?</v>
      </c>
      <c r="AC594" s="16">
        <v>2081.4302172006001</v>
      </c>
    </row>
    <row r="595" spans="26:29" x14ac:dyDescent="0.35">
      <c r="Z595" s="4"/>
      <c r="AA595" s="4"/>
      <c r="AB595" s="4" t="e">
        <f ca="1">_xll.ciqfunctions.udf.CIQ("^SPX", "IQ_PRICEDATE", "5/3/2016")</f>
        <v>#NAME?</v>
      </c>
      <c r="AC595" s="16">
        <v>2063.3668538899001</v>
      </c>
    </row>
    <row r="596" spans="26:29" x14ac:dyDescent="0.35">
      <c r="Z596" s="4"/>
      <c r="AA596" s="4"/>
      <c r="AB596" s="4" t="e">
        <f ca="1">_xll.ciqfunctions.udf.CIQ("^SPX", "IQ_PRICEDATE", "5/4/2016")</f>
        <v>#NAME?</v>
      </c>
      <c r="AC596" s="16">
        <v>2051.1212619793</v>
      </c>
    </row>
    <row r="597" spans="26:29" x14ac:dyDescent="0.35">
      <c r="Z597" s="4"/>
      <c r="AA597" s="4"/>
      <c r="AB597" s="4" t="e">
        <f ca="1">_xll.ciqfunctions.udf.CIQ("^SPX", "IQ_PRICEDATE", "5/5/2016")</f>
        <v>#NAME?</v>
      </c>
      <c r="AC597" s="16">
        <v>2050.6287420499002</v>
      </c>
    </row>
    <row r="598" spans="26:29" x14ac:dyDescent="0.35">
      <c r="Z598" s="4"/>
      <c r="AA598" s="4"/>
      <c r="AB598" s="4" t="e">
        <f ca="1">_xll.ciqfunctions.udf.CIQ("^SPX", "IQ_PRICEDATE", "5/6/2016")</f>
        <v>#NAME?</v>
      </c>
      <c r="AC598" s="16">
        <v>2057.1424213606001</v>
      </c>
    </row>
    <row r="599" spans="26:29" x14ac:dyDescent="0.35">
      <c r="Z599" s="4"/>
      <c r="AA599" s="4"/>
      <c r="AB599" s="4" t="e">
        <f ca="1">_xll.ciqfunctions.udf.CIQ("^SPX", "IQ_PRICEDATE", "5/9/2016")</f>
        <v>#NAME?</v>
      </c>
      <c r="AC599" s="16">
        <v>2058.6910661584002</v>
      </c>
    </row>
    <row r="600" spans="26:29" x14ac:dyDescent="0.35">
      <c r="Z600" s="4"/>
      <c r="AA600" s="4"/>
      <c r="AB600" s="4" t="e">
        <f ca="1">_xll.ciqfunctions.udf.CIQ("^SPX", "IQ_PRICEDATE", "5/10/2016")</f>
        <v>#NAME?</v>
      </c>
      <c r="AC600" s="16">
        <v>2084.3861226132999</v>
      </c>
    </row>
    <row r="601" spans="26:29" x14ac:dyDescent="0.35">
      <c r="Z601" s="4"/>
      <c r="AA601" s="4"/>
      <c r="AB601" s="4" t="e">
        <f ca="1">_xll.ciqfunctions.udf.CIQ("^SPX", "IQ_PRICEDATE", "5/11/2016")</f>
        <v>#NAME?</v>
      </c>
      <c r="AC601" s="16">
        <v>2064.4619029935998</v>
      </c>
    </row>
    <row r="602" spans="26:29" x14ac:dyDescent="0.35">
      <c r="Z602" s="4"/>
      <c r="AA602" s="4"/>
      <c r="AB602" s="4" t="e">
        <f ca="1">_xll.ciqfunctions.udf.CIQ("^SPX", "IQ_PRICEDATE", "5/12/2016")</f>
        <v>#NAME?</v>
      </c>
      <c r="AC602" s="16">
        <v>2064.1074656146002</v>
      </c>
    </row>
    <row r="603" spans="26:29" x14ac:dyDescent="0.35">
      <c r="Z603" s="4"/>
      <c r="AA603" s="4"/>
      <c r="AB603" s="4" t="e">
        <f ca="1">_xll.ciqfunctions.udf.CIQ("^SPX", "IQ_PRICEDATE", "5/13/2016")</f>
        <v>#NAME?</v>
      </c>
      <c r="AC603" s="16">
        <v>2046.6129226142</v>
      </c>
    </row>
    <row r="604" spans="26:29" x14ac:dyDescent="0.35">
      <c r="Z604" s="4"/>
      <c r="AA604" s="4"/>
      <c r="AB604" s="4" t="e">
        <f ca="1">_xll.ciqfunctions.udf.CIQ("^SPX", "IQ_PRICEDATE", "5/16/2016")</f>
        <v>#NAME?</v>
      </c>
      <c r="AC604" s="16">
        <v>2066.6571610419001</v>
      </c>
    </row>
    <row r="605" spans="26:29" x14ac:dyDescent="0.35">
      <c r="Z605" s="4"/>
      <c r="AA605" s="4"/>
      <c r="AB605" s="4" t="e">
        <f ca="1">_xll.ciqfunctions.udf.CIQ("^SPX", "IQ_PRICEDATE", "5/17/2016")</f>
        <v>#NAME?</v>
      </c>
      <c r="AC605" s="16">
        <v>2047.2058127273999</v>
      </c>
    </row>
    <row r="606" spans="26:29" x14ac:dyDescent="0.35">
      <c r="Z606" s="4"/>
      <c r="AA606" s="4"/>
      <c r="AB606" s="4" t="e">
        <f ca="1">_xll.ciqfunctions.udf.CIQ("^SPX", "IQ_PRICEDATE", "5/18/2016")</f>
        <v>#NAME?</v>
      </c>
      <c r="AC606" s="16">
        <v>2047.6272305970001</v>
      </c>
    </row>
    <row r="607" spans="26:29" x14ac:dyDescent="0.35">
      <c r="Z607" s="4"/>
      <c r="AA607" s="4"/>
      <c r="AB607" s="4" t="e">
        <f ca="1">_xll.ciqfunctions.udf.CIQ("^SPX", "IQ_PRICEDATE", "5/19/2016")</f>
        <v>#NAME?</v>
      </c>
      <c r="AC607" s="16">
        <v>2040.0398896362001</v>
      </c>
    </row>
    <row r="608" spans="26:29" x14ac:dyDescent="0.35">
      <c r="Z608" s="4"/>
      <c r="AA608" s="4"/>
      <c r="AB608" s="4" t="e">
        <f ca="1">_xll.ciqfunctions.udf.CIQ("^SPX", "IQ_PRICEDATE", "5/20/2016")</f>
        <v>#NAME?</v>
      </c>
      <c r="AC608" s="16">
        <v>2052.3180528978</v>
      </c>
    </row>
    <row r="609" spans="26:29" x14ac:dyDescent="0.35">
      <c r="Z609" s="4"/>
      <c r="AA609" s="4"/>
      <c r="AB609" s="4" t="e">
        <f ca="1">_xll.ciqfunctions.udf.CIQ("^SPX", "IQ_PRICEDATE", "5/23/2016")</f>
        <v>#NAME?</v>
      </c>
      <c r="AC609" s="16">
        <v>2048.0432790190998</v>
      </c>
    </row>
    <row r="610" spans="26:29" x14ac:dyDescent="0.35">
      <c r="Z610" s="4"/>
      <c r="AA610" s="4"/>
      <c r="AB610" s="4" t="e">
        <f ca="1">_xll.ciqfunctions.udf.CIQ("^SPX", "IQ_PRICEDATE", "5/24/2016")</f>
        <v>#NAME?</v>
      </c>
      <c r="AC610" s="16">
        <v>2076.0578170170002</v>
      </c>
    </row>
    <row r="611" spans="26:29" x14ac:dyDescent="0.35">
      <c r="Z611" s="4"/>
      <c r="AA611" s="4"/>
      <c r="AB611" s="4" t="e">
        <f ca="1">_xll.ciqfunctions.udf.CIQ("^SPX", "IQ_PRICEDATE", "5/25/2016")</f>
        <v>#NAME?</v>
      </c>
      <c r="AC611" s="16">
        <v>2090.5430039206999</v>
      </c>
    </row>
    <row r="612" spans="26:29" x14ac:dyDescent="0.35">
      <c r="Z612" s="4"/>
      <c r="AA612" s="4"/>
      <c r="AB612" s="4" t="e">
        <f ca="1">_xll.ciqfunctions.udf.CIQ("^SPX", "IQ_PRICEDATE", "5/26/2016")</f>
        <v>#NAME?</v>
      </c>
      <c r="AC612" s="16">
        <v>2090.1009750070002</v>
      </c>
    </row>
    <row r="613" spans="26:29" x14ac:dyDescent="0.35">
      <c r="Z613" s="4"/>
      <c r="AA613" s="4"/>
      <c r="AB613" s="4" t="e">
        <f ca="1">_xll.ciqfunctions.udf.CIQ("^SPX", "IQ_PRICEDATE", "5/27/2016")</f>
        <v>#NAME?</v>
      </c>
      <c r="AC613" s="16">
        <v>2099.0604609477</v>
      </c>
    </row>
    <row r="614" spans="26:29" x14ac:dyDescent="0.35">
      <c r="Z614" s="4"/>
      <c r="AA614" s="4"/>
      <c r="AB614" s="4" t="e">
        <f ca="1">_xll.ciqfunctions.udf.CIQ("^SPX", "IQ_PRICEDATE", "5/31/2016")</f>
        <v>#NAME?</v>
      </c>
      <c r="AC614" s="16">
        <v>2096.9641950705</v>
      </c>
    </row>
    <row r="615" spans="26:29" x14ac:dyDescent="0.35">
      <c r="Z615" s="4"/>
      <c r="AA615" s="4"/>
      <c r="AB615" s="4" t="e">
        <f ca="1">_xll.ciqfunctions.udf.CIQ("^SPX", "IQ_PRICEDATE", "6/1/2016")</f>
        <v>#NAME?</v>
      </c>
      <c r="AC615" s="16">
        <v>2099.3299950290998</v>
      </c>
    </row>
    <row r="616" spans="26:29" x14ac:dyDescent="0.35">
      <c r="Z616" s="4"/>
      <c r="AA616" s="4"/>
      <c r="AB616" s="4" t="e">
        <f ca="1">_xll.ciqfunctions.udf.CIQ("^SPX", "IQ_PRICEDATE", "6/2/2016")</f>
        <v>#NAME?</v>
      </c>
      <c r="AC616" s="16">
        <v>2105.2643409194998</v>
      </c>
    </row>
    <row r="617" spans="26:29" x14ac:dyDescent="0.35">
      <c r="Z617" s="4"/>
      <c r="AA617" s="4"/>
      <c r="AB617" s="4" t="e">
        <f ca="1">_xll.ciqfunctions.udf.CIQ("^SPX", "IQ_PRICEDATE", "6/3/2016")</f>
        <v>#NAME?</v>
      </c>
      <c r="AC617" s="16">
        <v>2099.1285740266999</v>
      </c>
    </row>
    <row r="618" spans="26:29" x14ac:dyDescent="0.35">
      <c r="Z618" s="4"/>
      <c r="AA618" s="4"/>
      <c r="AB618" s="4" t="e">
        <f ca="1">_xll.ciqfunctions.udf.CIQ("^SPX", "IQ_PRICEDATE", "6/6/2016")</f>
        <v>#NAME?</v>
      </c>
      <c r="AC618" s="16">
        <v>2109.4068447715999</v>
      </c>
    </row>
    <row r="619" spans="26:29" x14ac:dyDescent="0.35">
      <c r="Z619" s="4"/>
      <c r="AA619" s="4"/>
      <c r="AB619" s="4" t="e">
        <f ca="1">_xll.ciqfunctions.udf.CIQ("^SPX", "IQ_PRICEDATE", "6/7/2016")</f>
        <v>#NAME?</v>
      </c>
      <c r="AC619" s="16">
        <v>2112.1270716708</v>
      </c>
    </row>
    <row r="620" spans="26:29" x14ac:dyDescent="0.35">
      <c r="Z620" s="4"/>
      <c r="AA620" s="4"/>
      <c r="AB620" s="4" t="e">
        <f ca="1">_xll.ciqfunctions.udf.CIQ("^SPX", "IQ_PRICEDATE", "6/8/2016")</f>
        <v>#NAME?</v>
      </c>
      <c r="AC620" s="16">
        <v>2119.1182685772001</v>
      </c>
    </row>
    <row r="621" spans="26:29" x14ac:dyDescent="0.35">
      <c r="Z621" s="4"/>
      <c r="AA621" s="4"/>
      <c r="AB621" s="4" t="e">
        <f ca="1">_xll.ciqfunctions.udf.CIQ("^SPX", "IQ_PRICEDATE", "6/9/2016")</f>
        <v>#NAME?</v>
      </c>
      <c r="AC621" s="16">
        <v>2115.4777557885</v>
      </c>
    </row>
    <row r="622" spans="26:29" x14ac:dyDescent="0.35">
      <c r="Z622" s="4"/>
      <c r="AA622" s="4"/>
      <c r="AB622" s="4" t="e">
        <f ca="1">_xll.ciqfunctions.udf.CIQ("^SPX", "IQ_PRICEDATE", "6/10/2016")</f>
        <v>#NAME?</v>
      </c>
      <c r="AC622" s="16">
        <v>2096.0710133092002</v>
      </c>
    </row>
    <row r="623" spans="26:29" x14ac:dyDescent="0.35">
      <c r="Z623" s="4"/>
      <c r="AA623" s="4"/>
      <c r="AB623" s="4" t="e">
        <f ca="1">_xll.ciqfunctions.udf.CIQ("^SPX", "IQ_PRICEDATE", "6/13/2016")</f>
        <v>#NAME?</v>
      </c>
      <c r="AC623" s="16">
        <v>2079.0589804432002</v>
      </c>
    </row>
    <row r="624" spans="26:29" x14ac:dyDescent="0.35">
      <c r="Z624" s="4"/>
      <c r="AA624" s="4"/>
      <c r="AB624" s="4" t="e">
        <f ca="1">_xll.ciqfunctions.udf.CIQ("^SPX", "IQ_PRICEDATE", "6/14/2016")</f>
        <v>#NAME?</v>
      </c>
      <c r="AC624" s="16">
        <v>2075.3159582056001</v>
      </c>
    </row>
    <row r="625" spans="26:29" x14ac:dyDescent="0.35">
      <c r="Z625" s="4"/>
      <c r="AA625" s="4"/>
      <c r="AB625" s="4" t="e">
        <f ca="1">_xll.ciqfunctions.udf.CIQ("^SPX", "IQ_PRICEDATE", "6/15/2016")</f>
        <v>#NAME?</v>
      </c>
      <c r="AC625" s="16">
        <v>2071.5022827118</v>
      </c>
    </row>
    <row r="626" spans="26:29" x14ac:dyDescent="0.35">
      <c r="Z626" s="4"/>
      <c r="AA626" s="4"/>
      <c r="AB626" s="4" t="e">
        <f ca="1">_xll.ciqfunctions.udf.CIQ("^SPX", "IQ_PRICEDATE", "6/16/2016")</f>
        <v>#NAME?</v>
      </c>
      <c r="AC626" s="16">
        <v>2077.9938893249</v>
      </c>
    </row>
    <row r="627" spans="26:29" x14ac:dyDescent="0.35">
      <c r="Z627" s="4"/>
      <c r="AA627" s="4"/>
      <c r="AB627" s="4" t="e">
        <f ca="1">_xll.ciqfunctions.udf.CIQ("^SPX", "IQ_PRICEDATE", "6/17/2016")</f>
        <v>#NAME?</v>
      </c>
      <c r="AC627" s="16">
        <v>2071.2196945688002</v>
      </c>
    </row>
    <row r="628" spans="26:29" x14ac:dyDescent="0.35">
      <c r="Z628" s="4"/>
      <c r="AA628" s="4"/>
      <c r="AB628" s="4" t="e">
        <f ca="1">_xll.ciqfunctions.udf.CIQ("^SPX", "IQ_PRICEDATE", "6/20/2016")</f>
        <v>#NAME?</v>
      </c>
      <c r="AC628" s="16">
        <v>2083.2490307027001</v>
      </c>
    </row>
    <row r="629" spans="26:29" x14ac:dyDescent="0.35">
      <c r="Z629" s="4"/>
      <c r="AA629" s="4"/>
      <c r="AB629" s="4" t="e">
        <f ca="1">_xll.ciqfunctions.udf.CIQ("^SPX", "IQ_PRICEDATE", "6/21/2016")</f>
        <v>#NAME?</v>
      </c>
      <c r="AC629" s="16">
        <v>2088.8995479027999</v>
      </c>
    </row>
    <row r="630" spans="26:29" x14ac:dyDescent="0.35">
      <c r="Z630" s="4"/>
      <c r="AA630" s="4"/>
      <c r="AB630" s="4" t="e">
        <f ca="1">_xll.ciqfunctions.udf.CIQ("^SPX", "IQ_PRICEDATE", "6/22/2016")</f>
        <v>#NAME?</v>
      </c>
      <c r="AC630" s="16">
        <v>2085.4497233948</v>
      </c>
    </row>
    <row r="631" spans="26:29" x14ac:dyDescent="0.35">
      <c r="Z631" s="4"/>
      <c r="AA631" s="4"/>
      <c r="AB631" s="4" t="e">
        <f ca="1">_xll.ciqfunctions.udf.CIQ("^SPX", "IQ_PRICEDATE", "6/23/2016")</f>
        <v>#NAME?</v>
      </c>
      <c r="AC631" s="16">
        <v>2113.3206788011998</v>
      </c>
    </row>
    <row r="632" spans="26:29" x14ac:dyDescent="0.35">
      <c r="Z632" s="4"/>
      <c r="AA632" s="4"/>
      <c r="AB632" s="4" t="e">
        <f ca="1">_xll.ciqfunctions.udf.CIQ("^SPX", "IQ_PRICEDATE", "6/24/2016")</f>
        <v>#NAME?</v>
      </c>
      <c r="AC632" s="16">
        <v>2037.4051843633999</v>
      </c>
    </row>
    <row r="633" spans="26:29" x14ac:dyDescent="0.35">
      <c r="Z633" s="4"/>
      <c r="AA633" s="4"/>
      <c r="AB633" s="4" t="e">
        <f ca="1">_xll.ciqfunctions.udf.CIQ("^SPX", "IQ_PRICEDATE", "6/27/2016")</f>
        <v>#NAME?</v>
      </c>
      <c r="AC633" s="16">
        <v>2000.5352536809</v>
      </c>
    </row>
    <row r="634" spans="26:29" x14ac:dyDescent="0.35">
      <c r="Z634" s="4"/>
      <c r="AA634" s="4"/>
      <c r="AB634" s="4" t="e">
        <f ca="1">_xll.ciqfunctions.udf.CIQ("^SPX", "IQ_PRICEDATE", "6/28/2016")</f>
        <v>#NAME?</v>
      </c>
      <c r="AC634" s="16">
        <v>2036.0912294648001</v>
      </c>
    </row>
    <row r="635" spans="26:29" x14ac:dyDescent="0.35">
      <c r="Z635" s="4"/>
      <c r="AA635" s="4"/>
      <c r="AB635" s="4" t="e">
        <f ca="1">_xll.ciqfunctions.udf.CIQ("^SPX", "IQ_PRICEDATE", "6/29/2016")</f>
        <v>#NAME?</v>
      </c>
      <c r="AC635" s="16">
        <v>2070.7713064509999</v>
      </c>
    </row>
    <row r="636" spans="26:29" x14ac:dyDescent="0.35">
      <c r="Z636" s="4"/>
      <c r="AA636" s="4"/>
      <c r="AB636" s="4" t="e">
        <f ca="1">_xll.ciqfunctions.udf.CIQ("^SPX", "IQ_PRICEDATE", "6/30/2016")</f>
        <v>#NAME?</v>
      </c>
      <c r="AC636" s="16">
        <v>2098.8552265056001</v>
      </c>
    </row>
    <row r="637" spans="26:29" x14ac:dyDescent="0.35">
      <c r="Z637" s="4"/>
      <c r="AA637" s="4"/>
      <c r="AB637" s="4" t="e">
        <f ca="1">_xll.ciqfunctions.udf.CIQ("^SPX", "IQ_PRICEDATE", "7/1/2016")</f>
        <v>#NAME?</v>
      </c>
      <c r="AC637" s="16">
        <v>2102.9534922367002</v>
      </c>
    </row>
    <row r="638" spans="26:29" x14ac:dyDescent="0.35">
      <c r="Z638" s="4"/>
      <c r="AA638" s="4"/>
      <c r="AB638" s="4" t="e">
        <f ca="1">_xll.ciqfunctions.udf.CIQ("^SPX", "IQ_PRICEDATE", "7/5/2016")</f>
        <v>#NAME?</v>
      </c>
      <c r="AC638" s="16">
        <v>2088.5460361504001</v>
      </c>
    </row>
    <row r="639" spans="26:29" x14ac:dyDescent="0.35">
      <c r="Z639" s="4"/>
      <c r="AA639" s="4"/>
      <c r="AB639" s="4" t="e">
        <f ca="1">_xll.ciqfunctions.udf.CIQ("^SPX", "IQ_PRICEDATE", "7/6/2016")</f>
        <v>#NAME?</v>
      </c>
      <c r="AC639" s="16">
        <v>2099.7342908189999</v>
      </c>
    </row>
    <row r="640" spans="26:29" x14ac:dyDescent="0.35">
      <c r="Z640" s="4"/>
      <c r="AA640" s="4"/>
      <c r="AB640" s="4" t="e">
        <f ca="1">_xll.ciqfunctions.udf.CIQ("^SPX", "IQ_PRICEDATE", "7/7/2016")</f>
        <v>#NAME?</v>
      </c>
      <c r="AC640" s="16">
        <v>2097.8997750080998</v>
      </c>
    </row>
    <row r="641" spans="26:29" x14ac:dyDescent="0.35">
      <c r="Z641" s="4"/>
      <c r="AA641" s="4"/>
      <c r="AB641" s="4" t="e">
        <f ca="1">_xll.ciqfunctions.udf.CIQ("^SPX", "IQ_PRICEDATE", "7/8/2016")</f>
        <v>#NAME?</v>
      </c>
      <c r="AC641" s="16">
        <v>2129.8979817799</v>
      </c>
    </row>
    <row r="642" spans="26:29" x14ac:dyDescent="0.35">
      <c r="Z642" s="4"/>
      <c r="AA642" s="4"/>
      <c r="AB642" s="4" t="e">
        <f ca="1">_xll.ciqfunctions.udf.CIQ("^SPX", "IQ_PRICEDATE", "7/11/2016")</f>
        <v>#NAME?</v>
      </c>
      <c r="AC642" s="16">
        <v>2137.1597218421002</v>
      </c>
    </row>
    <row r="643" spans="26:29" x14ac:dyDescent="0.35">
      <c r="Z643" s="4"/>
      <c r="AA643" s="4"/>
      <c r="AB643" s="4" t="e">
        <f ca="1">_xll.ciqfunctions.udf.CIQ("^SPX", "IQ_PRICEDATE", "7/12/2016")</f>
        <v>#NAME?</v>
      </c>
      <c r="AC643" s="16">
        <v>2152.1413985821</v>
      </c>
    </row>
    <row r="644" spans="26:29" x14ac:dyDescent="0.35">
      <c r="Z644" s="4"/>
      <c r="AA644" s="4"/>
      <c r="AB644" s="4" t="e">
        <f ca="1">_xll.ciqfunctions.udf.CIQ("^SPX", "IQ_PRICEDATE", "7/13/2016")</f>
        <v>#NAME?</v>
      </c>
      <c r="AC644" s="16">
        <v>2152.4256572170998</v>
      </c>
    </row>
    <row r="645" spans="26:29" x14ac:dyDescent="0.35">
      <c r="Z645" s="4"/>
      <c r="AA645" s="4"/>
      <c r="AB645" s="4" t="e">
        <f ca="1">_xll.ciqfunctions.udf.CIQ("^SPX", "IQ_PRICEDATE", "7/14/2016")</f>
        <v>#NAME?</v>
      </c>
      <c r="AC645" s="16">
        <v>2163.7475359771001</v>
      </c>
    </row>
    <row r="646" spans="26:29" x14ac:dyDescent="0.35">
      <c r="Z646" s="4"/>
      <c r="AA646" s="4"/>
      <c r="AB646" s="4" t="e">
        <f ca="1">_xll.ciqfunctions.udf.CIQ("^SPX", "IQ_PRICEDATE", "7/15/2016")</f>
        <v>#NAME?</v>
      </c>
      <c r="AC646" s="16">
        <v>2161.7413340346002</v>
      </c>
    </row>
    <row r="647" spans="26:29" x14ac:dyDescent="0.35">
      <c r="Z647" s="4"/>
      <c r="AA647" s="4"/>
      <c r="AB647" s="4" t="e">
        <f ca="1">_xll.ciqfunctions.udf.CIQ("^SPX", "IQ_PRICEDATE", "7/18/2016")</f>
        <v>#NAME?</v>
      </c>
      <c r="AC647" s="16">
        <v>2166.8905245819001</v>
      </c>
    </row>
    <row r="648" spans="26:29" x14ac:dyDescent="0.35">
      <c r="Z648" s="4"/>
      <c r="AA648" s="4"/>
      <c r="AB648" s="4" t="e">
        <f ca="1">_xll.ciqfunctions.udf.CIQ("^SPX", "IQ_PRICEDATE", "7/19/2016")</f>
        <v>#NAME?</v>
      </c>
      <c r="AC648" s="16">
        <v>2163.7810993285998</v>
      </c>
    </row>
    <row r="649" spans="26:29" x14ac:dyDescent="0.35">
      <c r="Z649" s="4"/>
      <c r="AA649" s="4"/>
      <c r="AB649" s="4" t="e">
        <f ca="1">_xll.ciqfunctions.udf.CIQ("^SPX", "IQ_PRICEDATE", "7/20/2016")</f>
        <v>#NAME?</v>
      </c>
      <c r="AC649" s="16">
        <v>2173.0172120746001</v>
      </c>
    </row>
    <row r="650" spans="26:29" x14ac:dyDescent="0.35">
      <c r="Z650" s="4"/>
      <c r="AA650" s="4"/>
      <c r="AB650" s="4" t="e">
        <f ca="1">_xll.ciqfunctions.udf.CIQ("^SPX", "IQ_PRICEDATE", "7/21/2016")</f>
        <v>#NAME?</v>
      </c>
      <c r="AC650" s="16">
        <v>2165.1682977928999</v>
      </c>
    </row>
    <row r="651" spans="26:29" x14ac:dyDescent="0.35">
      <c r="Z651" s="4"/>
      <c r="AA651" s="4"/>
      <c r="AB651" s="4" t="e">
        <f ca="1">_xll.ciqfunctions.udf.CIQ("^SPX", "IQ_PRICEDATE", "7/22/2016")</f>
        <v>#NAME?</v>
      </c>
      <c r="AC651" s="16">
        <v>2175.0290623578999</v>
      </c>
    </row>
    <row r="652" spans="26:29" x14ac:dyDescent="0.35">
      <c r="Z652" s="4"/>
      <c r="AA652" s="4"/>
      <c r="AB652" s="4" t="e">
        <f ca="1">_xll.ciqfunctions.udf.CIQ("^SPX", "IQ_PRICEDATE", "7/25/2016")</f>
        <v>#NAME?</v>
      </c>
      <c r="AC652" s="16">
        <v>2168.4790742916002</v>
      </c>
    </row>
    <row r="653" spans="26:29" x14ac:dyDescent="0.35">
      <c r="Z653" s="4"/>
      <c r="AA653" s="4"/>
      <c r="AB653" s="4" t="e">
        <f ca="1">_xll.ciqfunctions.udf.CIQ("^SPX", "IQ_PRICEDATE", "7/26/2016")</f>
        <v>#NAME?</v>
      </c>
      <c r="AC653" s="16">
        <v>2169.1751918772002</v>
      </c>
    </row>
    <row r="654" spans="26:29" x14ac:dyDescent="0.35">
      <c r="Z654" s="4"/>
      <c r="AA654" s="4"/>
      <c r="AB654" s="4" t="e">
        <f ca="1">_xll.ciqfunctions.udf.CIQ("^SPX", "IQ_PRICEDATE", "7/27/2016")</f>
        <v>#NAME?</v>
      </c>
      <c r="AC654" s="16">
        <v>2166.5804205416998</v>
      </c>
    </row>
    <row r="655" spans="26:29" x14ac:dyDescent="0.35">
      <c r="Z655" s="4"/>
      <c r="AA655" s="4"/>
      <c r="AB655" s="4" t="e">
        <f ca="1">_xll.ciqfunctions.udf.CIQ("^SPX", "IQ_PRICEDATE", "7/28/2016")</f>
        <v>#NAME?</v>
      </c>
      <c r="AC655" s="16">
        <v>2170.0562602812001</v>
      </c>
    </row>
    <row r="656" spans="26:29" x14ac:dyDescent="0.35">
      <c r="Z656" s="4"/>
      <c r="AA656" s="4"/>
      <c r="AB656" s="4" t="e">
        <f ca="1">_xll.ciqfunctions.udf.CIQ("^SPX", "IQ_PRICEDATE", "7/29/2016")</f>
        <v>#NAME?</v>
      </c>
      <c r="AC656" s="16">
        <v>2173.6038598884002</v>
      </c>
    </row>
    <row r="657" spans="26:29" x14ac:dyDescent="0.35">
      <c r="Z657" s="4"/>
      <c r="AA657" s="4"/>
      <c r="AB657" s="4" t="e">
        <f ca="1">_xll.ciqfunctions.udf.CIQ("^SPX", "IQ_PRICEDATE", "8/1/2016")</f>
        <v>#NAME?</v>
      </c>
      <c r="AC657" s="16">
        <v>2170.8363912995001</v>
      </c>
    </row>
    <row r="658" spans="26:29" x14ac:dyDescent="0.35">
      <c r="Z658" s="4"/>
      <c r="AA658" s="4"/>
      <c r="AB658" s="4" t="e">
        <f ca="1">_xll.ciqfunctions.udf.CIQ("^SPX", "IQ_PRICEDATE", "8/2/2016")</f>
        <v>#NAME?</v>
      </c>
      <c r="AC658" s="16">
        <v>2157.0286485708002</v>
      </c>
    </row>
    <row r="659" spans="26:29" x14ac:dyDescent="0.35">
      <c r="Z659" s="4"/>
      <c r="AA659" s="4"/>
      <c r="AB659" s="4" t="e">
        <f ca="1">_xll.ciqfunctions.udf.CIQ("^SPX", "IQ_PRICEDATE", "8/3/2016")</f>
        <v>#NAME?</v>
      </c>
      <c r="AC659" s="16">
        <v>2163.7936743816999</v>
      </c>
    </row>
    <row r="660" spans="26:29" x14ac:dyDescent="0.35">
      <c r="Z660" s="4"/>
      <c r="AA660" s="4"/>
      <c r="AB660" s="4" t="e">
        <f ca="1">_xll.ciqfunctions.udf.CIQ("^SPX", "IQ_PRICEDATE", "8/4/2016")</f>
        <v>#NAME?</v>
      </c>
      <c r="AC660" s="16">
        <v>2164.2521154255001</v>
      </c>
    </row>
    <row r="661" spans="26:29" x14ac:dyDescent="0.35">
      <c r="Z661" s="4"/>
      <c r="AA661" s="4"/>
      <c r="AB661" s="4" t="e">
        <f ca="1">_xll.ciqfunctions.udf.CIQ("^SPX", "IQ_PRICEDATE", "8/5/2016")</f>
        <v>#NAME?</v>
      </c>
      <c r="AC661" s="16">
        <v>2182.8683748860999</v>
      </c>
    </row>
    <row r="662" spans="26:29" x14ac:dyDescent="0.35">
      <c r="Z662" s="4"/>
      <c r="AA662" s="4"/>
      <c r="AB662" s="4" t="e">
        <f ca="1">_xll.ciqfunctions.udf.CIQ("^SPX", "IQ_PRICEDATE", "8/8/2016")</f>
        <v>#NAME?</v>
      </c>
      <c r="AC662" s="16">
        <v>2180.8851510447998</v>
      </c>
    </row>
    <row r="663" spans="26:29" x14ac:dyDescent="0.35">
      <c r="Z663" s="4"/>
      <c r="AA663" s="4"/>
      <c r="AB663" s="4" t="e">
        <f ca="1">_xll.ciqfunctions.udf.CIQ("^SPX", "IQ_PRICEDATE", "8/9/2016")</f>
        <v>#NAME?</v>
      </c>
      <c r="AC663" s="16">
        <v>2181.7356761885999</v>
      </c>
    </row>
    <row r="664" spans="26:29" x14ac:dyDescent="0.35">
      <c r="Z664" s="4"/>
      <c r="AA664" s="4"/>
      <c r="AB664" s="4" t="e">
        <f ca="1">_xll.ciqfunctions.udf.CIQ("^SPX", "IQ_PRICEDATE", "8/10/2016")</f>
        <v>#NAME?</v>
      </c>
      <c r="AC664" s="16">
        <v>2175.4865235992002</v>
      </c>
    </row>
    <row r="665" spans="26:29" x14ac:dyDescent="0.35">
      <c r="Z665" s="4"/>
      <c r="AA665" s="4"/>
      <c r="AB665" s="4" t="e">
        <f ca="1">_xll.ciqfunctions.udf.CIQ("^SPX", "IQ_PRICEDATE", "8/11/2016")</f>
        <v>#NAME?</v>
      </c>
      <c r="AC665" s="16">
        <v>2185.7930995977999</v>
      </c>
    </row>
    <row r="666" spans="26:29" x14ac:dyDescent="0.35">
      <c r="Z666" s="4"/>
      <c r="AA666" s="4"/>
      <c r="AB666" s="4" t="e">
        <f ca="1">_xll.ciqfunctions.udf.CIQ("^SPX", "IQ_PRICEDATE", "8/12/2016")</f>
        <v>#NAME?</v>
      </c>
      <c r="AC666" s="16">
        <v>2184.0509398489999</v>
      </c>
    </row>
    <row r="667" spans="26:29" x14ac:dyDescent="0.35">
      <c r="Z667" s="4"/>
      <c r="AA667" s="4"/>
      <c r="AB667" s="4" t="e">
        <f ca="1">_xll.ciqfunctions.udf.CIQ("^SPX", "IQ_PRICEDATE", "8/15/2016")</f>
        <v>#NAME?</v>
      </c>
      <c r="AC667" s="16">
        <v>2190.1494156013</v>
      </c>
    </row>
    <row r="668" spans="26:29" x14ac:dyDescent="0.35">
      <c r="Z668" s="4"/>
      <c r="AA668" s="4"/>
      <c r="AB668" s="4" t="e">
        <f ca="1">_xll.ciqfunctions.udf.CIQ("^SPX", "IQ_PRICEDATE", "8/16/2016")</f>
        <v>#NAME?</v>
      </c>
      <c r="AC668" s="16">
        <v>2178.1494548590999</v>
      </c>
    </row>
    <row r="669" spans="26:29" x14ac:dyDescent="0.35">
      <c r="Z669" s="4"/>
      <c r="AA669" s="4"/>
      <c r="AB669" s="4" t="e">
        <f ca="1">_xll.ciqfunctions.udf.CIQ("^SPX", "IQ_PRICEDATE", "8/17/2016")</f>
        <v>#NAME?</v>
      </c>
      <c r="AC669" s="16">
        <v>2182.2188888493001</v>
      </c>
    </row>
    <row r="670" spans="26:29" x14ac:dyDescent="0.35">
      <c r="Z670" s="4"/>
      <c r="AA670" s="4"/>
      <c r="AB670" s="4" t="e">
        <f ca="1">_xll.ciqfunctions.udf.CIQ("^SPX", "IQ_PRICEDATE", "8/18/2016")</f>
        <v>#NAME?</v>
      </c>
      <c r="AC670" s="16">
        <v>2187.0248849494001</v>
      </c>
    </row>
    <row r="671" spans="26:29" x14ac:dyDescent="0.35">
      <c r="Z671" s="4"/>
      <c r="AA671" s="4"/>
      <c r="AB671" s="4" t="e">
        <f ca="1">_xll.ciqfunctions.udf.CIQ("^SPX", "IQ_PRICEDATE", "8/19/2016")</f>
        <v>#NAME?</v>
      </c>
      <c r="AC671" s="16">
        <v>2183.8681547889</v>
      </c>
    </row>
    <row r="672" spans="26:29" x14ac:dyDescent="0.35">
      <c r="Z672" s="4"/>
      <c r="AA672" s="4"/>
      <c r="AB672" s="4" t="e">
        <f ca="1">_xll.ciqfunctions.udf.CIQ("^SPX", "IQ_PRICEDATE", "8/22/2016")</f>
        <v>#NAME?</v>
      </c>
      <c r="AC672" s="16">
        <v>2182.6395481375998</v>
      </c>
    </row>
    <row r="673" spans="26:29" x14ac:dyDescent="0.35">
      <c r="Z673" s="4"/>
      <c r="AA673" s="4"/>
      <c r="AB673" s="4" t="e">
        <f ca="1">_xll.ciqfunctions.udf.CIQ("^SPX", "IQ_PRICEDATE", "8/23/2016")</f>
        <v>#NAME?</v>
      </c>
      <c r="AC673" s="16">
        <v>2186.9017991116002</v>
      </c>
    </row>
    <row r="674" spans="26:29" x14ac:dyDescent="0.35">
      <c r="Z674" s="4"/>
      <c r="AA674" s="4"/>
      <c r="AB674" s="4" t="e">
        <f ca="1">_xll.ciqfunctions.udf.CIQ("^SPX", "IQ_PRICEDATE", "8/24/2016")</f>
        <v>#NAME?</v>
      </c>
      <c r="AC674" s="16">
        <v>2175.4370105135999</v>
      </c>
    </row>
    <row r="675" spans="26:29" x14ac:dyDescent="0.35">
      <c r="Z675" s="4"/>
      <c r="AA675" s="4"/>
      <c r="AB675" s="4" t="e">
        <f ca="1">_xll.ciqfunctions.udf.CIQ("^SPX", "IQ_PRICEDATE", "8/25/2016")</f>
        <v>#NAME?</v>
      </c>
      <c r="AC675" s="16">
        <v>2172.4656323201002</v>
      </c>
    </row>
    <row r="676" spans="26:29" x14ac:dyDescent="0.35">
      <c r="Z676" s="4"/>
      <c r="AA676" s="4"/>
      <c r="AB676" s="4" t="e">
        <f ca="1">_xll.ciqfunctions.udf.CIQ("^SPX", "IQ_PRICEDATE", "8/26/2016")</f>
        <v>#NAME?</v>
      </c>
      <c r="AC676" s="16">
        <v>2169.0402322675</v>
      </c>
    </row>
    <row r="677" spans="26:29" x14ac:dyDescent="0.35">
      <c r="Z677" s="4"/>
      <c r="AA677" s="4"/>
      <c r="AB677" s="4" t="e">
        <f ca="1">_xll.ciqfunctions.udf.CIQ("^SPX", "IQ_PRICEDATE", "8/29/2016")</f>
        <v>#NAME?</v>
      </c>
      <c r="AC677" s="16">
        <v>2180.3774091741002</v>
      </c>
    </row>
    <row r="678" spans="26:29" x14ac:dyDescent="0.35">
      <c r="Z678" s="4"/>
      <c r="AA678" s="4"/>
      <c r="AB678" s="4" t="e">
        <f ca="1">_xll.ciqfunctions.udf.CIQ("^SPX", "IQ_PRICEDATE", "8/30/2016")</f>
        <v>#NAME?</v>
      </c>
      <c r="AC678" s="16">
        <v>2176.1226464445999</v>
      </c>
    </row>
    <row r="679" spans="26:29" x14ac:dyDescent="0.35">
      <c r="Z679" s="4"/>
      <c r="AA679" s="4"/>
      <c r="AB679" s="4" t="e">
        <f ca="1">_xll.ciqfunctions.udf.CIQ("^SPX", "IQ_PRICEDATE", "8/31/2016")</f>
        <v>#NAME?</v>
      </c>
      <c r="AC679" s="16">
        <v>2170.9469576924998</v>
      </c>
    </row>
    <row r="680" spans="26:29" x14ac:dyDescent="0.35">
      <c r="Z680" s="4"/>
      <c r="AA680" s="4"/>
      <c r="AB680" s="4" t="e">
        <f ca="1">_xll.ciqfunctions.udf.CIQ("^SPX", "IQ_PRICEDATE", "9/1/2016")</f>
        <v>#NAME?</v>
      </c>
      <c r="AC680" s="16">
        <v>2170.8632592590002</v>
      </c>
    </row>
    <row r="681" spans="26:29" x14ac:dyDescent="0.35">
      <c r="Z681" s="4"/>
      <c r="AA681" s="4"/>
      <c r="AB681" s="4" t="e">
        <f ca="1">_xll.ciqfunctions.udf.CIQ("^SPX", "IQ_PRICEDATE", "9/2/2016")</f>
        <v>#NAME?</v>
      </c>
      <c r="AC681" s="16">
        <v>2179.9842025792</v>
      </c>
    </row>
    <row r="682" spans="26:29" x14ac:dyDescent="0.35">
      <c r="Z682" s="4"/>
      <c r="AA682" s="4"/>
      <c r="AB682" s="4" t="e">
        <f ca="1">_xll.ciqfunctions.udf.CIQ("^SPX", "IQ_PRICEDATE", "9/6/2016")</f>
        <v>#NAME?</v>
      </c>
      <c r="AC682" s="16">
        <v>2186.4767390838001</v>
      </c>
    </row>
    <row r="683" spans="26:29" x14ac:dyDescent="0.35">
      <c r="Z683" s="4"/>
      <c r="AA683" s="4"/>
      <c r="AB683" s="4" t="e">
        <f ca="1">_xll.ciqfunctions.udf.CIQ("^SPX", "IQ_PRICEDATE", "9/7/2016")</f>
        <v>#NAME?</v>
      </c>
      <c r="AC683" s="16">
        <v>2186.1587276337</v>
      </c>
    </row>
    <row r="684" spans="26:29" x14ac:dyDescent="0.35">
      <c r="Z684" s="4"/>
      <c r="AA684" s="4"/>
      <c r="AB684" s="4" t="e">
        <f ca="1">_xll.ciqfunctions.udf.CIQ("^SPX", "IQ_PRICEDATE", "9/8/2016")</f>
        <v>#NAME?</v>
      </c>
      <c r="AC684" s="16">
        <v>2181.2995503214001</v>
      </c>
    </row>
    <row r="685" spans="26:29" x14ac:dyDescent="0.35">
      <c r="Z685" s="4"/>
      <c r="AA685" s="4"/>
      <c r="AB685" s="4" t="e">
        <f ca="1">_xll.ciqfunctions.udf.CIQ("^SPX", "IQ_PRICEDATE", "9/9/2016")</f>
        <v>#NAME?</v>
      </c>
      <c r="AC685" s="16">
        <v>2127.8055738488001</v>
      </c>
    </row>
    <row r="686" spans="26:29" x14ac:dyDescent="0.35">
      <c r="Z686" s="4"/>
      <c r="AA686" s="4"/>
      <c r="AB686" s="4" t="e">
        <f ca="1">_xll.ciqfunctions.udf.CIQ("^SPX", "IQ_PRICEDATE", "9/12/2016")</f>
        <v>#NAME?</v>
      </c>
      <c r="AC686" s="16">
        <v>2159.0397160826001</v>
      </c>
    </row>
    <row r="687" spans="26:29" x14ac:dyDescent="0.35">
      <c r="Z687" s="4"/>
      <c r="AA687" s="4"/>
      <c r="AB687" s="4" t="e">
        <f ca="1">_xll.ciqfunctions.udf.CIQ("^SPX", "IQ_PRICEDATE", "9/13/2016")</f>
        <v>#NAME?</v>
      </c>
      <c r="AC687" s="16">
        <v>2127.0203746730999</v>
      </c>
    </row>
    <row r="688" spans="26:29" x14ac:dyDescent="0.35">
      <c r="Z688" s="4"/>
      <c r="AA688" s="4"/>
      <c r="AB688" s="4" t="e">
        <f ca="1">_xll.ciqfunctions.udf.CIQ("^SPX", "IQ_PRICEDATE", "9/14/2016")</f>
        <v>#NAME?</v>
      </c>
      <c r="AC688" s="16">
        <v>2125.7695405924001</v>
      </c>
    </row>
    <row r="689" spans="26:29" x14ac:dyDescent="0.35">
      <c r="Z689" s="4"/>
      <c r="AA689" s="4"/>
      <c r="AB689" s="4" t="e">
        <f ca="1">_xll.ciqfunctions.udf.CIQ("^SPX", "IQ_PRICEDATE", "9/15/2016")</f>
        <v>#NAME?</v>
      </c>
      <c r="AC689" s="16">
        <v>2147.2620362114999</v>
      </c>
    </row>
    <row r="690" spans="26:29" x14ac:dyDescent="0.35">
      <c r="Z690" s="4"/>
      <c r="AA690" s="4"/>
      <c r="AB690" s="4" t="e">
        <f ca="1">_xll.ciqfunctions.udf.CIQ("^SPX", "IQ_PRICEDATE", "9/16/2016")</f>
        <v>#NAME?</v>
      </c>
      <c r="AC690" s="16">
        <v>2139.1646030154002</v>
      </c>
    </row>
    <row r="691" spans="26:29" x14ac:dyDescent="0.35">
      <c r="Z691" s="4"/>
      <c r="AA691" s="4"/>
      <c r="AB691" s="4" t="e">
        <f ca="1">_xll.ciqfunctions.udf.CIQ("^SPX", "IQ_PRICEDATE", "9/19/2016")</f>
        <v>#NAME?</v>
      </c>
      <c r="AC691" s="16">
        <v>2139.1153606972998</v>
      </c>
    </row>
    <row r="692" spans="26:29" x14ac:dyDescent="0.35">
      <c r="Z692" s="4"/>
      <c r="AA692" s="4"/>
      <c r="AB692" s="4" t="e">
        <f ca="1">_xll.ciqfunctions.udf.CIQ("^SPX", "IQ_PRICEDATE", "9/20/2016")</f>
        <v>#NAME?</v>
      </c>
      <c r="AC692" s="16">
        <v>2139.7568144288998</v>
      </c>
    </row>
    <row r="693" spans="26:29" x14ac:dyDescent="0.35">
      <c r="Z693" s="4"/>
      <c r="AA693" s="4"/>
      <c r="AB693" s="4" t="e">
        <f ca="1">_xll.ciqfunctions.udf.CIQ("^SPX", "IQ_PRICEDATE", "9/21/2016")</f>
        <v>#NAME?</v>
      </c>
      <c r="AC693" s="16">
        <v>2163.1175907881998</v>
      </c>
    </row>
    <row r="694" spans="26:29" x14ac:dyDescent="0.35">
      <c r="Z694" s="4"/>
      <c r="AA694" s="4"/>
      <c r="AB694" s="4" t="e">
        <f ca="1">_xll.ciqfunctions.udf.CIQ("^SPX", "IQ_PRICEDATE", "9/22/2016")</f>
        <v>#NAME?</v>
      </c>
      <c r="AC694" s="16">
        <v>2177.1822491823</v>
      </c>
    </row>
    <row r="695" spans="26:29" x14ac:dyDescent="0.35">
      <c r="Z695" s="4"/>
      <c r="AA695" s="4"/>
      <c r="AB695" s="4" t="e">
        <f ca="1">_xll.ciqfunctions.udf.CIQ("^SPX", "IQ_PRICEDATE", "9/23/2016")</f>
        <v>#NAME?</v>
      </c>
      <c r="AC695" s="16">
        <v>2164.6948076179001</v>
      </c>
    </row>
    <row r="696" spans="26:29" x14ac:dyDescent="0.35">
      <c r="Z696" s="4"/>
      <c r="AA696" s="4"/>
      <c r="AB696" s="4" t="e">
        <f ca="1">_xll.ciqfunctions.udf.CIQ("^SPX", "IQ_PRICEDATE", "9/26/2016")</f>
        <v>#NAME?</v>
      </c>
      <c r="AC696" s="16">
        <v>2146.0973667349999</v>
      </c>
    </row>
    <row r="697" spans="26:29" x14ac:dyDescent="0.35">
      <c r="Z697" s="4"/>
      <c r="AA697" s="4"/>
      <c r="AB697" s="4" t="e">
        <f ca="1">_xll.ciqfunctions.udf.CIQ("^SPX", "IQ_PRICEDATE", "9/27/2016")</f>
        <v>#NAME?</v>
      </c>
      <c r="AC697" s="16">
        <v>2159.9280234305002</v>
      </c>
    </row>
    <row r="698" spans="26:29" x14ac:dyDescent="0.35">
      <c r="Z698" s="4"/>
      <c r="AA698" s="4"/>
      <c r="AB698" s="4" t="e">
        <f ca="1">_xll.ciqfunctions.udf.CIQ("^SPX", "IQ_PRICEDATE", "9/28/2016")</f>
        <v>#NAME?</v>
      </c>
      <c r="AC698" s="16">
        <v>2171.3693316110998</v>
      </c>
    </row>
    <row r="699" spans="26:29" x14ac:dyDescent="0.35">
      <c r="Z699" s="4"/>
      <c r="AA699" s="4"/>
      <c r="AB699" s="4" t="e">
        <f ca="1">_xll.ciqfunctions.udf.CIQ("^SPX", "IQ_PRICEDATE", "9/29/2016")</f>
        <v>#NAME?</v>
      </c>
      <c r="AC699" s="16">
        <v>2151.1314851124998</v>
      </c>
    </row>
    <row r="700" spans="26:29" x14ac:dyDescent="0.35">
      <c r="Z700" s="4"/>
      <c r="AA700" s="4"/>
      <c r="AB700" s="4" t="e">
        <f ca="1">_xll.ciqfunctions.udf.CIQ("^SPX", "IQ_PRICEDATE", "9/30/2016")</f>
        <v>#NAME?</v>
      </c>
      <c r="AC700" s="16">
        <v>2168.2720896372998</v>
      </c>
    </row>
    <row r="701" spans="26:29" x14ac:dyDescent="0.35">
      <c r="Z701" s="4"/>
      <c r="AA701" s="4"/>
      <c r="AB701" s="4" t="e">
        <f ca="1">_xll.ciqfunctions.udf.CIQ("^SPX", "IQ_PRICEDATE", "10/3/2016")</f>
        <v>#NAME?</v>
      </c>
      <c r="AC701" s="16">
        <v>2161.1966867189999</v>
      </c>
    </row>
    <row r="702" spans="26:29" x14ac:dyDescent="0.35">
      <c r="Z702" s="4"/>
      <c r="AA702" s="4"/>
      <c r="AB702" s="4" t="e">
        <f ca="1">_xll.ciqfunctions.udf.CIQ("^SPX", "IQ_PRICEDATE", "10/4/2016")</f>
        <v>#NAME?</v>
      </c>
      <c r="AC702" s="16">
        <v>2150.4896004998</v>
      </c>
    </row>
    <row r="703" spans="26:29" x14ac:dyDescent="0.35">
      <c r="Z703" s="4"/>
      <c r="AA703" s="4"/>
      <c r="AB703" s="4" t="e">
        <f ca="1">_xll.ciqfunctions.udf.CIQ("^SPX", "IQ_PRICEDATE", "10/5/2016")</f>
        <v>#NAME?</v>
      </c>
      <c r="AC703" s="16">
        <v>2159.7279982</v>
      </c>
    </row>
    <row r="704" spans="26:29" x14ac:dyDescent="0.35">
      <c r="Z704" s="4"/>
      <c r="AA704" s="4"/>
      <c r="AB704" s="4" t="e">
        <f ca="1">_xll.ciqfunctions.udf.CIQ("^SPX", "IQ_PRICEDATE", "10/6/2016")</f>
        <v>#NAME?</v>
      </c>
      <c r="AC704" s="16">
        <v>2160.7718256122998</v>
      </c>
    </row>
    <row r="705" spans="26:29" x14ac:dyDescent="0.35">
      <c r="Z705" s="4"/>
      <c r="AA705" s="4"/>
      <c r="AB705" s="4" t="e">
        <f ca="1">_xll.ciqfunctions.udf.CIQ("^SPX", "IQ_PRICEDATE", "10/7/2016")</f>
        <v>#NAME?</v>
      </c>
      <c r="AC705" s="16">
        <v>2153.7393634283999</v>
      </c>
    </row>
    <row r="706" spans="26:29" x14ac:dyDescent="0.35">
      <c r="Z706" s="4"/>
      <c r="AA706" s="4"/>
      <c r="AB706" s="4" t="e">
        <f ca="1">_xll.ciqfunctions.udf.CIQ("^SPX", "IQ_PRICEDATE", "10/10/2016")</f>
        <v>#NAME?</v>
      </c>
      <c r="AC706" s="16">
        <v>2163.6606952522998</v>
      </c>
    </row>
    <row r="707" spans="26:29" x14ac:dyDescent="0.35">
      <c r="Z707" s="4"/>
      <c r="AA707" s="4"/>
      <c r="AB707" s="4" t="e">
        <f ca="1">_xll.ciqfunctions.udf.CIQ("^SPX", "IQ_PRICEDATE", "10/11/2016")</f>
        <v>#NAME?</v>
      </c>
      <c r="AC707" s="16">
        <v>2136.7261901291999</v>
      </c>
    </row>
    <row r="708" spans="26:29" x14ac:dyDescent="0.35">
      <c r="Z708" s="4"/>
      <c r="AA708" s="4"/>
      <c r="AB708" s="4" t="e">
        <f ca="1">_xll.ciqfunctions.udf.CIQ("^SPX", "IQ_PRICEDATE", "10/12/2016")</f>
        <v>#NAME?</v>
      </c>
      <c r="AC708" s="16">
        <v>2139.1764014525002</v>
      </c>
    </row>
    <row r="709" spans="26:29" x14ac:dyDescent="0.35">
      <c r="Z709" s="4"/>
      <c r="AA709" s="4"/>
      <c r="AB709" s="4" t="e">
        <f ca="1">_xll.ciqfunctions.udf.CIQ("^SPX", "IQ_PRICEDATE", "10/13/2016")</f>
        <v>#NAME?</v>
      </c>
      <c r="AC709" s="16">
        <v>2132.5464922646001</v>
      </c>
    </row>
    <row r="710" spans="26:29" x14ac:dyDescent="0.35">
      <c r="Z710" s="4"/>
      <c r="AA710" s="4"/>
      <c r="AB710" s="4" t="e">
        <f ca="1">_xll.ciqfunctions.udf.CIQ("^SPX", "IQ_PRICEDATE", "10/14/2016")</f>
        <v>#NAME?</v>
      </c>
      <c r="AC710" s="16">
        <v>2132.9784650791999</v>
      </c>
    </row>
    <row r="711" spans="26:29" x14ac:dyDescent="0.35">
      <c r="Z711" s="4"/>
      <c r="AA711" s="4"/>
      <c r="AB711" s="4" t="e">
        <f ca="1">_xll.ciqfunctions.udf.CIQ("^SPX", "IQ_PRICEDATE", "10/17/2016")</f>
        <v>#NAME?</v>
      </c>
      <c r="AC711" s="16">
        <v>2126.5033388248999</v>
      </c>
    </row>
    <row r="712" spans="26:29" x14ac:dyDescent="0.35">
      <c r="Z712" s="4"/>
      <c r="AA712" s="4"/>
      <c r="AB712" s="4" t="e">
        <f ca="1">_xll.ciqfunctions.udf.CIQ("^SPX", "IQ_PRICEDATE", "10/18/2016")</f>
        <v>#NAME?</v>
      </c>
      <c r="AC712" s="16">
        <v>2139.6040838805998</v>
      </c>
    </row>
    <row r="713" spans="26:29" x14ac:dyDescent="0.35">
      <c r="Z713" s="4"/>
      <c r="AA713" s="4"/>
      <c r="AB713" s="4" t="e">
        <f ca="1">_xll.ciqfunctions.udf.CIQ("^SPX", "IQ_PRICEDATE", "10/19/2016")</f>
        <v>#NAME?</v>
      </c>
      <c r="AC713" s="16">
        <v>2144.29028913</v>
      </c>
    </row>
    <row r="714" spans="26:29" x14ac:dyDescent="0.35">
      <c r="Z714" s="4"/>
      <c r="AA714" s="4"/>
      <c r="AB714" s="4" t="e">
        <f ca="1">_xll.ciqfunctions.udf.CIQ("^SPX", "IQ_PRICEDATE", "10/20/2016")</f>
        <v>#NAME?</v>
      </c>
      <c r="AC714" s="16">
        <v>2141.3439113742002</v>
      </c>
    </row>
    <row r="715" spans="26:29" x14ac:dyDescent="0.35">
      <c r="Z715" s="4"/>
      <c r="AA715" s="4"/>
      <c r="AB715" s="4" t="e">
        <f ca="1">_xll.ciqfunctions.udf.CIQ("^SPX", "IQ_PRICEDATE", "10/21/2016")</f>
        <v>#NAME?</v>
      </c>
      <c r="AC715" s="16">
        <v>2141.1619114369</v>
      </c>
    </row>
    <row r="716" spans="26:29" x14ac:dyDescent="0.35">
      <c r="Z716" s="4"/>
      <c r="AA716" s="4"/>
      <c r="AB716" s="4" t="e">
        <f ca="1">_xll.ciqfunctions.udf.CIQ("^SPX", "IQ_PRICEDATE", "10/24/2016")</f>
        <v>#NAME?</v>
      </c>
      <c r="AC716" s="16">
        <v>2151.3326381175002</v>
      </c>
    </row>
    <row r="717" spans="26:29" x14ac:dyDescent="0.35">
      <c r="Z717" s="4"/>
      <c r="AA717" s="4"/>
      <c r="AB717" s="4" t="e">
        <f ca="1">_xll.ciqfunctions.udf.CIQ("^SPX", "IQ_PRICEDATE", "10/25/2016")</f>
        <v>#NAME?</v>
      </c>
      <c r="AC717" s="16">
        <v>2143.1597105159999</v>
      </c>
    </row>
    <row r="718" spans="26:29" x14ac:dyDescent="0.35">
      <c r="Z718" s="4"/>
      <c r="AA718" s="4"/>
      <c r="AB718" s="4" t="e">
        <f ca="1">_xll.ciqfunctions.udf.CIQ("^SPX", "IQ_PRICEDATE", "10/26/2016")</f>
        <v>#NAME?</v>
      </c>
      <c r="AC718" s="16">
        <v>2139.4269739450001</v>
      </c>
    </row>
    <row r="719" spans="26:29" x14ac:dyDescent="0.35">
      <c r="Z719" s="4"/>
      <c r="AA719" s="4"/>
      <c r="AB719" s="4" t="e">
        <f ca="1">_xll.ciqfunctions.udf.CIQ("^SPX", "IQ_PRICEDATE", "10/27/2016")</f>
        <v>#NAME?</v>
      </c>
      <c r="AC719" s="16">
        <v>2133.0354951606</v>
      </c>
    </row>
    <row r="720" spans="26:29" x14ac:dyDescent="0.35">
      <c r="Z720" s="4"/>
      <c r="AA720" s="4"/>
      <c r="AB720" s="4" t="e">
        <f ca="1">_xll.ciqfunctions.udf.CIQ("^SPX", "IQ_PRICEDATE", "10/28/2016")</f>
        <v>#NAME?</v>
      </c>
      <c r="AC720" s="16">
        <v>2126.4075651100002</v>
      </c>
    </row>
    <row r="721" spans="26:29" x14ac:dyDescent="0.35">
      <c r="Z721" s="4"/>
      <c r="AA721" s="4"/>
      <c r="AB721" s="4" t="e">
        <f ca="1">_xll.ciqfunctions.udf.CIQ("^SPX", "IQ_PRICEDATE", "10/31/2016")</f>
        <v>#NAME?</v>
      </c>
      <c r="AC721" s="16">
        <v>2126.1532970297999</v>
      </c>
    </row>
    <row r="722" spans="26:29" x14ac:dyDescent="0.35">
      <c r="Z722" s="4"/>
      <c r="AA722" s="4"/>
      <c r="AB722" s="4" t="e">
        <f ca="1">_xll.ciqfunctions.udf.CIQ("^SPX", "IQ_PRICEDATE", "11/1/2016")</f>
        <v>#NAME?</v>
      </c>
      <c r="AC722" s="16">
        <v>2111.7225883933002</v>
      </c>
    </row>
    <row r="723" spans="26:29" x14ac:dyDescent="0.35">
      <c r="Z723" s="4"/>
      <c r="AA723" s="4"/>
      <c r="AB723" s="4" t="e">
        <f ca="1">_xll.ciqfunctions.udf.CIQ("^SPX", "IQ_PRICEDATE", "11/2/2016")</f>
        <v>#NAME?</v>
      </c>
      <c r="AC723" s="16">
        <v>2097.9437710837001</v>
      </c>
    </row>
    <row r="724" spans="26:29" x14ac:dyDescent="0.35">
      <c r="Z724" s="4"/>
      <c r="AA724" s="4"/>
      <c r="AB724" s="4" t="e">
        <f ca="1">_xll.ciqfunctions.udf.CIQ("^SPX", "IQ_PRICEDATE", "11/3/2016")</f>
        <v>#NAME?</v>
      </c>
      <c r="AC724" s="16">
        <v>2088.6635939239</v>
      </c>
    </row>
    <row r="725" spans="26:29" x14ac:dyDescent="0.35">
      <c r="Z725" s="4"/>
      <c r="AA725" s="4"/>
      <c r="AB725" s="4" t="e">
        <f ca="1">_xll.ciqfunctions.udf.CIQ("^SPX", "IQ_PRICEDATE", "11/4/2016")</f>
        <v>#NAME?</v>
      </c>
      <c r="AC725" s="16">
        <v>2085.1763769763002</v>
      </c>
    </row>
    <row r="726" spans="26:29" x14ac:dyDescent="0.35">
      <c r="Z726" s="4"/>
      <c r="AA726" s="4"/>
      <c r="AB726" s="4" t="e">
        <f ca="1">_xll.ciqfunctions.udf.CIQ("^SPX", "IQ_PRICEDATE", "11/7/2016")</f>
        <v>#NAME?</v>
      </c>
      <c r="AC726" s="16">
        <v>2131.5235684473</v>
      </c>
    </row>
    <row r="727" spans="26:29" x14ac:dyDescent="0.35">
      <c r="Z727" s="4"/>
      <c r="AA727" s="4"/>
      <c r="AB727" s="4" t="e">
        <f ca="1">_xll.ciqfunctions.udf.CIQ("^SPX", "IQ_PRICEDATE", "11/8/2016")</f>
        <v>#NAME?</v>
      </c>
      <c r="AC727" s="16">
        <v>2139.5630090412001</v>
      </c>
    </row>
    <row r="728" spans="26:29" x14ac:dyDescent="0.35">
      <c r="Z728" s="4"/>
      <c r="AA728" s="4"/>
      <c r="AB728" s="4" t="e">
        <f ca="1">_xll.ciqfunctions.udf.CIQ("^SPX", "IQ_PRICEDATE", "11/9/2016")</f>
        <v>#NAME?</v>
      </c>
      <c r="AC728" s="16">
        <v>2163.2579034201999</v>
      </c>
    </row>
    <row r="729" spans="26:29" x14ac:dyDescent="0.35">
      <c r="Z729" s="4"/>
      <c r="AA729" s="4"/>
      <c r="AB729" s="4" t="e">
        <f ca="1">_xll.ciqfunctions.udf.CIQ("^SPX", "IQ_PRICEDATE", "11/10/2016")</f>
        <v>#NAME?</v>
      </c>
      <c r="AC729" s="16">
        <v>2167.4781297492</v>
      </c>
    </row>
    <row r="730" spans="26:29" x14ac:dyDescent="0.35">
      <c r="Z730" s="4"/>
      <c r="AA730" s="4"/>
      <c r="AB730" s="4" t="e">
        <f ca="1">_xll.ciqfunctions.udf.CIQ("^SPX", "IQ_PRICEDATE", "11/11/2016")</f>
        <v>#NAME?</v>
      </c>
      <c r="AC730" s="16">
        <v>2164.4507501910002</v>
      </c>
    </row>
    <row r="731" spans="26:29" x14ac:dyDescent="0.35">
      <c r="Z731" s="4"/>
      <c r="AA731" s="4"/>
      <c r="AB731" s="4" t="e">
        <f ca="1">_xll.ciqfunctions.udf.CIQ("^SPX", "IQ_PRICEDATE", "11/14/2016")</f>
        <v>#NAME?</v>
      </c>
      <c r="AC731" s="16">
        <v>2164.2033007483001</v>
      </c>
    </row>
    <row r="732" spans="26:29" x14ac:dyDescent="0.35">
      <c r="Z732" s="4"/>
      <c r="AA732" s="4"/>
      <c r="AB732" s="4" t="e">
        <f ca="1">_xll.ciqfunctions.udf.CIQ("^SPX", "IQ_PRICEDATE", "11/15/2016")</f>
        <v>#NAME?</v>
      </c>
      <c r="AC732" s="16">
        <v>2180.3888273936</v>
      </c>
    </row>
    <row r="733" spans="26:29" x14ac:dyDescent="0.35">
      <c r="Z733" s="4"/>
      <c r="AA733" s="4"/>
      <c r="AB733" s="4" t="e">
        <f ca="1">_xll.ciqfunctions.udf.CIQ("^SPX", "IQ_PRICEDATE", "11/16/2016")</f>
        <v>#NAME?</v>
      </c>
      <c r="AC733" s="16">
        <v>2176.9409032715998</v>
      </c>
    </row>
    <row r="734" spans="26:29" x14ac:dyDescent="0.35">
      <c r="Z734" s="4"/>
      <c r="AA734" s="4"/>
      <c r="AB734" s="4" t="e">
        <f ca="1">_xll.ciqfunctions.udf.CIQ("^SPX", "IQ_PRICEDATE", "11/17/2016")</f>
        <v>#NAME?</v>
      </c>
      <c r="AC734" s="16">
        <v>2187.1210897609999</v>
      </c>
    </row>
    <row r="735" spans="26:29" x14ac:dyDescent="0.35">
      <c r="Z735" s="4"/>
      <c r="AA735" s="4"/>
      <c r="AB735" s="4" t="e">
        <f ca="1">_xll.ciqfunctions.udf.CIQ("^SPX", "IQ_PRICEDATE", "11/18/2016")</f>
        <v>#NAME?</v>
      </c>
      <c r="AC735" s="16">
        <v>2181.9017869641998</v>
      </c>
    </row>
    <row r="736" spans="26:29" x14ac:dyDescent="0.35">
      <c r="Z736" s="4"/>
      <c r="AA736" s="4"/>
      <c r="AB736" s="4" t="e">
        <f ca="1">_xll.ciqfunctions.udf.CIQ("^SPX", "IQ_PRICEDATE", "11/21/2016")</f>
        <v>#NAME?</v>
      </c>
      <c r="AC736" s="16">
        <v>2198.1827069851001</v>
      </c>
    </row>
    <row r="737" spans="26:29" x14ac:dyDescent="0.35">
      <c r="Z737" s="4"/>
      <c r="AA737" s="4"/>
      <c r="AB737" s="4" t="e">
        <f ca="1">_xll.ciqfunctions.udf.CIQ("^SPX", "IQ_PRICEDATE", "11/22/2016")</f>
        <v>#NAME?</v>
      </c>
      <c r="AC737" s="16">
        <v>2202.9368195779002</v>
      </c>
    </row>
    <row r="738" spans="26:29" x14ac:dyDescent="0.35">
      <c r="Z738" s="4"/>
      <c r="AA738" s="4"/>
      <c r="AB738" s="4" t="e">
        <f ca="1">_xll.ciqfunctions.udf.CIQ("^SPX", "IQ_PRICEDATE", "11/23/2016")</f>
        <v>#NAME?</v>
      </c>
      <c r="AC738" s="16">
        <v>2204.7229400811002</v>
      </c>
    </row>
    <row r="739" spans="26:29" x14ac:dyDescent="0.35">
      <c r="Z739" s="4"/>
      <c r="AA739" s="4"/>
      <c r="AB739" s="4" t="e">
        <f ca="1">_xll.ciqfunctions.udf.CIQ("^SPX", "IQ_PRICEDATE", "11/25/2016")</f>
        <v>#NAME?</v>
      </c>
      <c r="AC739" s="16">
        <v>2213.3485684312</v>
      </c>
    </row>
    <row r="740" spans="26:29" x14ac:dyDescent="0.35">
      <c r="Z740" s="4"/>
      <c r="AA740" s="4"/>
      <c r="AB740" s="4" t="e">
        <f ca="1">_xll.ciqfunctions.udf.CIQ("^SPX", "IQ_PRICEDATE", "11/28/2016")</f>
        <v>#NAME?</v>
      </c>
      <c r="AC740" s="16">
        <v>2201.7204991551998</v>
      </c>
    </row>
    <row r="741" spans="26:29" x14ac:dyDescent="0.35">
      <c r="Z741" s="4"/>
      <c r="AA741" s="4"/>
      <c r="AB741" s="4" t="e">
        <f ca="1">_xll.ciqfunctions.udf.CIQ("^SPX", "IQ_PRICEDATE", "11/29/2016")</f>
        <v>#NAME?</v>
      </c>
      <c r="AC741" s="16">
        <v>2204.6616627014</v>
      </c>
    </row>
    <row r="742" spans="26:29" x14ac:dyDescent="0.35">
      <c r="Z742" s="4"/>
      <c r="AA742" s="4"/>
      <c r="AB742" s="4" t="e">
        <f ca="1">_xll.ciqfunctions.udf.CIQ("^SPX", "IQ_PRICEDATE", "11/30/2016")</f>
        <v>#NAME?</v>
      </c>
      <c r="AC742" s="16">
        <v>2198.810449088</v>
      </c>
    </row>
    <row r="743" spans="26:29" x14ac:dyDescent="0.35">
      <c r="Z743" s="4"/>
      <c r="AA743" s="4"/>
      <c r="AB743" s="4" t="e">
        <f ca="1">_xll.ciqfunctions.udf.CIQ("^SPX", "IQ_PRICEDATE", "12/1/2016")</f>
        <v>#NAME?</v>
      </c>
      <c r="AC743" s="16">
        <v>2191.0829567188998</v>
      </c>
    </row>
    <row r="744" spans="26:29" x14ac:dyDescent="0.35">
      <c r="Z744" s="4"/>
      <c r="AA744" s="4"/>
      <c r="AB744" s="4" t="e">
        <f ca="1">_xll.ciqfunctions.udf.CIQ("^SPX", "IQ_PRICEDATE", "12/2/2016")</f>
        <v>#NAME?</v>
      </c>
      <c r="AC744" s="16">
        <v>2191.9536671015999</v>
      </c>
    </row>
    <row r="745" spans="26:29" x14ac:dyDescent="0.35">
      <c r="Z745" s="4"/>
      <c r="AA745" s="4"/>
      <c r="AB745" s="4" t="e">
        <f ca="1">_xll.ciqfunctions.udf.CIQ("^SPX", "IQ_PRICEDATE", "12/5/2016")</f>
        <v>#NAME?</v>
      </c>
      <c r="AC745" s="16">
        <v>2204.7053873538998</v>
      </c>
    </row>
    <row r="746" spans="26:29" x14ac:dyDescent="0.35">
      <c r="Z746" s="4"/>
      <c r="AA746" s="4"/>
      <c r="AB746" s="4" t="e">
        <f ca="1">_xll.ciqfunctions.udf.CIQ("^SPX", "IQ_PRICEDATE", "12/6/2016")</f>
        <v>#NAME?</v>
      </c>
      <c r="AC746" s="16">
        <v>2212.2307766723002</v>
      </c>
    </row>
    <row r="747" spans="26:29" x14ac:dyDescent="0.35">
      <c r="Z747" s="4"/>
      <c r="AA747" s="4"/>
      <c r="AB747" s="4" t="e">
        <f ca="1">_xll.ciqfunctions.udf.CIQ("^SPX", "IQ_PRICEDATE", "12/7/2016")</f>
        <v>#NAME?</v>
      </c>
      <c r="AC747" s="16">
        <v>2241.3546435787998</v>
      </c>
    </row>
    <row r="748" spans="26:29" x14ac:dyDescent="0.35">
      <c r="Z748" s="4"/>
      <c r="AA748" s="4"/>
      <c r="AB748" s="4" t="e">
        <f ca="1">_xll.ciqfunctions.udf.CIQ("^SPX", "IQ_PRICEDATE", "12/8/2016")</f>
        <v>#NAME?</v>
      </c>
      <c r="AC748" s="16">
        <v>2246.1878043501001</v>
      </c>
    </row>
    <row r="749" spans="26:29" x14ac:dyDescent="0.35">
      <c r="Z749" s="4"/>
      <c r="AA749" s="4"/>
      <c r="AB749" s="4" t="e">
        <f ca="1">_xll.ciqfunctions.udf.CIQ("^SPX", "IQ_PRICEDATE", "12/9/2016")</f>
        <v>#NAME?</v>
      </c>
      <c r="AC749" s="16">
        <v>2259.5286768649999</v>
      </c>
    </row>
    <row r="750" spans="26:29" x14ac:dyDescent="0.35">
      <c r="Z750" s="4"/>
      <c r="AA750" s="4"/>
      <c r="AB750" s="4" t="e">
        <f ca="1">_xll.ciqfunctions.udf.CIQ("^SPX", "IQ_PRICEDATE", "12/12/2016")</f>
        <v>#NAME?</v>
      </c>
      <c r="AC750" s="16">
        <v>2256.9632050081</v>
      </c>
    </row>
    <row r="751" spans="26:29" x14ac:dyDescent="0.35">
      <c r="Z751" s="4"/>
      <c r="AA751" s="4"/>
      <c r="AB751" s="4" t="e">
        <f ca="1">_xll.ciqfunctions.udf.CIQ("^SPX", "IQ_PRICEDATE", "12/13/2016")</f>
        <v>#NAME?</v>
      </c>
      <c r="AC751" s="16">
        <v>2271.7208298142</v>
      </c>
    </row>
    <row r="752" spans="26:29" x14ac:dyDescent="0.35">
      <c r="Z752" s="4"/>
      <c r="AA752" s="4"/>
      <c r="AB752" s="4" t="e">
        <f ca="1">_xll.ciqfunctions.udf.CIQ("^SPX", "IQ_PRICEDATE", "12/14/2016")</f>
        <v>#NAME?</v>
      </c>
      <c r="AC752" s="16">
        <v>2253.2786260766002</v>
      </c>
    </row>
    <row r="753" spans="26:29" x14ac:dyDescent="0.35">
      <c r="Z753" s="4"/>
      <c r="AA753" s="4"/>
      <c r="AB753" s="4" t="e">
        <f ca="1">_xll.ciqfunctions.udf.CIQ("^SPX", "IQ_PRICEDATE", "12/15/2016")</f>
        <v>#NAME?</v>
      </c>
      <c r="AC753" s="16">
        <v>2262.0311726028999</v>
      </c>
    </row>
    <row r="754" spans="26:29" x14ac:dyDescent="0.35">
      <c r="Z754" s="4"/>
      <c r="AA754" s="4"/>
      <c r="AB754" s="4" t="e">
        <f ca="1">_xll.ciqfunctions.udf.CIQ("^SPX", "IQ_PRICEDATE", "12/16/2016")</f>
        <v>#NAME?</v>
      </c>
      <c r="AC754" s="16">
        <v>2258.0724023327998</v>
      </c>
    </row>
    <row r="755" spans="26:29" x14ac:dyDescent="0.35">
      <c r="Z755" s="4"/>
      <c r="AA755" s="4"/>
      <c r="AB755" s="4" t="e">
        <f ca="1">_xll.ciqfunctions.udf.CIQ("^SPX", "IQ_PRICEDATE", "12/19/2016")</f>
        <v>#NAME?</v>
      </c>
      <c r="AC755" s="16">
        <v>2262.5322334957</v>
      </c>
    </row>
    <row r="756" spans="26:29" x14ac:dyDescent="0.35">
      <c r="Z756" s="4"/>
      <c r="AA756" s="4"/>
      <c r="AB756" s="4" t="e">
        <f ca="1">_xll.ciqfunctions.udf.CIQ("^SPX", "IQ_PRICEDATE", "12/20/2016")</f>
        <v>#NAME?</v>
      </c>
      <c r="AC756" s="16">
        <v>2270.7616665307</v>
      </c>
    </row>
    <row r="757" spans="26:29" x14ac:dyDescent="0.35">
      <c r="Z757" s="4"/>
      <c r="AA757" s="4"/>
      <c r="AB757" s="4" t="e">
        <f ca="1">_xll.ciqfunctions.udf.CIQ("^SPX", "IQ_PRICEDATE", "12/21/2016")</f>
        <v>#NAME?</v>
      </c>
      <c r="AC757" s="16">
        <v>2265.1799185451</v>
      </c>
    </row>
    <row r="758" spans="26:29" x14ac:dyDescent="0.35">
      <c r="Z758" s="4"/>
      <c r="AA758" s="4"/>
      <c r="AB758" s="4" t="e">
        <f ca="1">_xll.ciqfunctions.udf.CIQ("^SPX", "IQ_PRICEDATE", "12/22/2016")</f>
        <v>#NAME?</v>
      </c>
      <c r="AC758" s="16">
        <v>2260.9571890423999</v>
      </c>
    </row>
    <row r="759" spans="26:29" x14ac:dyDescent="0.35">
      <c r="Z759" s="4"/>
      <c r="AA759" s="4"/>
      <c r="AB759" s="4" t="e">
        <f ca="1">_xll.ciqfunctions.udf.CIQ("^SPX", "IQ_PRICEDATE", "12/23/2016")</f>
        <v>#NAME?</v>
      </c>
      <c r="AC759" s="16">
        <v>2263.7886585509</v>
      </c>
    </row>
    <row r="760" spans="26:29" x14ac:dyDescent="0.35">
      <c r="Z760" s="4"/>
      <c r="AA760" s="4"/>
      <c r="AB760" s="4" t="e">
        <f ca="1">_xll.ciqfunctions.udf.CIQ("^SPX", "IQ_PRICEDATE", "12/27/2016")</f>
        <v>#NAME?</v>
      </c>
      <c r="AC760" s="16">
        <v>2268.8754977453</v>
      </c>
    </row>
    <row r="761" spans="26:29" x14ac:dyDescent="0.35">
      <c r="Z761" s="4"/>
      <c r="AA761" s="4"/>
      <c r="AB761" s="4" t="e">
        <f ca="1">_xll.ciqfunctions.udf.CIQ("^SPX", "IQ_PRICEDATE", "12/28/2016")</f>
        <v>#NAME?</v>
      </c>
      <c r="AC761" s="16">
        <v>2249.9226157214998</v>
      </c>
    </row>
    <row r="762" spans="26:29" x14ac:dyDescent="0.35">
      <c r="Z762" s="4"/>
      <c r="AA762" s="4"/>
      <c r="AB762" s="4" t="e">
        <f ca="1">_xll.ciqfunctions.udf.CIQ("^SPX", "IQ_PRICEDATE", "12/29/2016")</f>
        <v>#NAME?</v>
      </c>
      <c r="AC762" s="16">
        <v>2249.2567692778998</v>
      </c>
    </row>
    <row r="763" spans="26:29" x14ac:dyDescent="0.35">
      <c r="Z763" s="4"/>
      <c r="AA763" s="4"/>
      <c r="AB763" s="4" t="e">
        <f ca="1">_xll.ciqfunctions.udf.CIQ("^SPX", "IQ_PRICEDATE", "12/30/2016")</f>
        <v>#NAME?</v>
      </c>
      <c r="AC763" s="16">
        <v>2238.8266817076001</v>
      </c>
    </row>
    <row r="764" spans="26:29" x14ac:dyDescent="0.35">
      <c r="Z764" s="4"/>
      <c r="AA764" s="4"/>
      <c r="AB764" s="4" t="e">
        <f ca="1">_xll.ciqfunctions.udf.CIQ("^SPX", "IQ_PRICEDATE", "1/3/2017")</f>
        <v>#NAME?</v>
      </c>
      <c r="AC764" s="16">
        <v>2257.8280264107998</v>
      </c>
    </row>
    <row r="765" spans="26:29" x14ac:dyDescent="0.35">
      <c r="Z765" s="4"/>
      <c r="AA765" s="4"/>
      <c r="AB765" s="4" t="e">
        <f ca="1">_xll.ciqfunctions.udf.CIQ("^SPX", "IQ_PRICEDATE", "1/4/2017")</f>
        <v>#NAME?</v>
      </c>
      <c r="AC765" s="16">
        <v>2270.7525300621</v>
      </c>
    </row>
    <row r="766" spans="26:29" x14ac:dyDescent="0.35">
      <c r="Z766" s="4"/>
      <c r="AA766" s="4"/>
      <c r="AB766" s="4" t="e">
        <f ca="1">_xll.ciqfunctions.udf.CIQ("^SPX", "IQ_PRICEDATE", "1/5/2017")</f>
        <v>#NAME?</v>
      </c>
      <c r="AC766" s="16">
        <v>2268.9985049367001</v>
      </c>
    </row>
    <row r="767" spans="26:29" x14ac:dyDescent="0.35">
      <c r="Z767" s="4"/>
      <c r="AA767" s="4"/>
      <c r="AB767" s="4" t="e">
        <f ca="1">_xll.ciqfunctions.udf.CIQ("^SPX", "IQ_PRICEDATE", "1/6/2017")</f>
        <v>#NAME?</v>
      </c>
      <c r="AC767" s="16">
        <v>2276.9814445621</v>
      </c>
    </row>
    <row r="768" spans="26:29" x14ac:dyDescent="0.35">
      <c r="Z768" s="4"/>
      <c r="AA768" s="4"/>
      <c r="AB768" s="4" t="e">
        <f ca="1">_xll.ciqfunctions.udf.CIQ("^SPX", "IQ_PRICEDATE", "1/9/2017")</f>
        <v>#NAME?</v>
      </c>
      <c r="AC768" s="16">
        <v>2268.9042127008001</v>
      </c>
    </row>
    <row r="769" spans="26:29" x14ac:dyDescent="0.35">
      <c r="Z769" s="4"/>
      <c r="AA769" s="4"/>
      <c r="AB769" s="4" t="e">
        <f ca="1">_xll.ciqfunctions.udf.CIQ("^SPX", "IQ_PRICEDATE", "1/10/2017")</f>
        <v>#NAME?</v>
      </c>
      <c r="AC769" s="16">
        <v>2268.8994521366999</v>
      </c>
    </row>
    <row r="770" spans="26:29" x14ac:dyDescent="0.35">
      <c r="Z770" s="4"/>
      <c r="AA770" s="4"/>
      <c r="AB770" s="4" t="e">
        <f ca="1">_xll.ciqfunctions.udf.CIQ("^SPX", "IQ_PRICEDATE", "1/11/2017")</f>
        <v>#NAME?</v>
      </c>
      <c r="AC770" s="16">
        <v>2275.3158782679998</v>
      </c>
    </row>
    <row r="771" spans="26:29" x14ac:dyDescent="0.35">
      <c r="Z771" s="4"/>
      <c r="AA771" s="4"/>
      <c r="AB771" s="4" t="e">
        <f ca="1">_xll.ciqfunctions.udf.CIQ("^SPX", "IQ_PRICEDATE", "1/12/2017")</f>
        <v>#NAME?</v>
      </c>
      <c r="AC771" s="16">
        <v>2270.4428671565001</v>
      </c>
    </row>
    <row r="772" spans="26:29" x14ac:dyDescent="0.35">
      <c r="Z772" s="4"/>
      <c r="AA772" s="4"/>
      <c r="AB772" s="4" t="e">
        <f ca="1">_xll.ciqfunctions.udf.CIQ("^SPX", "IQ_PRICEDATE", "1/13/2017")</f>
        <v>#NAME?</v>
      </c>
      <c r="AC772" s="16">
        <v>2274.6377428952001</v>
      </c>
    </row>
    <row r="773" spans="26:29" x14ac:dyDescent="0.35">
      <c r="Z773" s="4"/>
      <c r="AA773" s="4"/>
      <c r="AB773" s="4" t="e">
        <f ca="1">_xll.ciqfunctions.udf.CIQ("^SPX", "IQ_PRICEDATE", "1/17/2017")</f>
        <v>#NAME?</v>
      </c>
      <c r="AC773" s="16">
        <v>2267.8886336767</v>
      </c>
    </row>
    <row r="774" spans="26:29" x14ac:dyDescent="0.35">
      <c r="Z774" s="4"/>
      <c r="AA774" s="4"/>
      <c r="AB774" s="4" t="e">
        <f ca="1">_xll.ciqfunctions.udf.CIQ("^SPX", "IQ_PRICEDATE", "1/18/2017")</f>
        <v>#NAME?</v>
      </c>
      <c r="AC774" s="16">
        <v>2271.889368823</v>
      </c>
    </row>
    <row r="775" spans="26:29" x14ac:dyDescent="0.35">
      <c r="Z775" s="4"/>
      <c r="AA775" s="4"/>
      <c r="AB775" s="4" t="e">
        <f ca="1">_xll.ciqfunctions.udf.CIQ("^SPX", "IQ_PRICEDATE", "1/19/2017")</f>
        <v>#NAME?</v>
      </c>
      <c r="AC775" s="16">
        <v>2263.6867803261998</v>
      </c>
    </row>
    <row r="776" spans="26:29" x14ac:dyDescent="0.35">
      <c r="Z776" s="4"/>
      <c r="AA776" s="4"/>
      <c r="AB776" s="4" t="e">
        <f ca="1">_xll.ciqfunctions.udf.CIQ("^SPX", "IQ_PRICEDATE", "1/20/2017")</f>
        <v>#NAME?</v>
      </c>
      <c r="AC776" s="16">
        <v>2271.3147292376998</v>
      </c>
    </row>
    <row r="777" spans="26:29" x14ac:dyDescent="0.35">
      <c r="Z777" s="4"/>
      <c r="AA777" s="4"/>
      <c r="AB777" s="4" t="e">
        <f ca="1">_xll.ciqfunctions.udf.CIQ("^SPX", "IQ_PRICEDATE", "1/23/2017")</f>
        <v>#NAME?</v>
      </c>
      <c r="AC777" s="16">
        <v>2265.2002060514001</v>
      </c>
    </row>
    <row r="778" spans="26:29" x14ac:dyDescent="0.35">
      <c r="Z778" s="4"/>
      <c r="AA778" s="4"/>
      <c r="AB778" s="4" t="e">
        <f ca="1">_xll.ciqfunctions.udf.CIQ("^SPX", "IQ_PRICEDATE", "1/24/2017")</f>
        <v>#NAME?</v>
      </c>
      <c r="AC778" s="16">
        <v>2280.0741724414002</v>
      </c>
    </row>
    <row r="779" spans="26:29" x14ac:dyDescent="0.35">
      <c r="Z779" s="4"/>
      <c r="AA779" s="4"/>
      <c r="AB779" s="4" t="e">
        <f ca="1">_xll.ciqfunctions.udf.CIQ("^SPX", "IQ_PRICEDATE", "1/25/2017")</f>
        <v>#NAME?</v>
      </c>
      <c r="AC779" s="16">
        <v>2298.3674030979</v>
      </c>
    </row>
    <row r="780" spans="26:29" x14ac:dyDescent="0.35">
      <c r="Z780" s="4"/>
      <c r="AA780" s="4"/>
      <c r="AB780" s="4" t="e">
        <f ca="1">_xll.ciqfunctions.udf.CIQ("^SPX", "IQ_PRICEDATE", "1/26/2017")</f>
        <v>#NAME?</v>
      </c>
      <c r="AC780" s="16">
        <v>2296.680835659</v>
      </c>
    </row>
    <row r="781" spans="26:29" x14ac:dyDescent="0.35">
      <c r="Z781" s="4"/>
      <c r="AA781" s="4"/>
      <c r="AB781" s="4" t="e">
        <f ca="1">_xll.ciqfunctions.udf.CIQ("^SPX", "IQ_PRICEDATE", "1/27/2017")</f>
        <v>#NAME?</v>
      </c>
      <c r="AC781" s="16">
        <v>2294.6897289069002</v>
      </c>
    </row>
    <row r="782" spans="26:29" x14ac:dyDescent="0.35">
      <c r="Z782" s="4"/>
      <c r="AA782" s="4"/>
      <c r="AB782" s="4" t="e">
        <f ca="1">_xll.ciqfunctions.udf.CIQ("^SPX", "IQ_PRICEDATE", "1/30/2017")</f>
        <v>#NAME?</v>
      </c>
      <c r="AC782" s="16">
        <v>2280.896292119</v>
      </c>
    </row>
    <row r="783" spans="26:29" x14ac:dyDescent="0.35">
      <c r="Z783" s="4"/>
      <c r="AA783" s="4"/>
      <c r="AB783" s="4" t="e">
        <f ca="1">_xll.ciqfunctions.udf.CIQ("^SPX", "IQ_PRICEDATE", "1/31/2017")</f>
        <v>#NAME?</v>
      </c>
      <c r="AC783" s="16">
        <v>2278.8668906139001</v>
      </c>
    </row>
    <row r="784" spans="26:29" x14ac:dyDescent="0.35">
      <c r="Z784" s="4"/>
      <c r="AA784" s="4"/>
      <c r="AB784" s="4" t="e">
        <f ca="1">_xll.ciqfunctions.udf.CIQ("^SPX", "IQ_PRICEDATE", "2/1/2017")</f>
        <v>#NAME?</v>
      </c>
      <c r="AC784" s="16">
        <v>2279.5542905152001</v>
      </c>
    </row>
    <row r="785" spans="26:29" x14ac:dyDescent="0.35">
      <c r="Z785" s="4"/>
      <c r="AA785" s="4"/>
      <c r="AB785" s="4" t="e">
        <f ca="1">_xll.ciqfunctions.udf.CIQ("^SPX", "IQ_PRICEDATE", "2/2/2017")</f>
        <v>#NAME?</v>
      </c>
      <c r="AC785" s="16">
        <v>2280.8503539918001</v>
      </c>
    </row>
    <row r="786" spans="26:29" x14ac:dyDescent="0.35">
      <c r="Z786" s="4"/>
      <c r="AA786" s="4"/>
      <c r="AB786" s="4" t="e">
        <f ca="1">_xll.ciqfunctions.udf.CIQ("^SPX", "IQ_PRICEDATE", "2/3/2017")</f>
        <v>#NAME?</v>
      </c>
      <c r="AC786" s="16">
        <v>2297.4158570560999</v>
      </c>
    </row>
    <row r="787" spans="26:29" x14ac:dyDescent="0.35">
      <c r="Z787" s="4"/>
      <c r="AA787" s="4"/>
      <c r="AB787" s="4" t="e">
        <f ca="1">_xll.ciqfunctions.udf.CIQ("^SPX", "IQ_PRICEDATE", "2/6/2017")</f>
        <v>#NAME?</v>
      </c>
      <c r="AC787" s="16">
        <v>2292.5583856443</v>
      </c>
    </row>
    <row r="788" spans="26:29" x14ac:dyDescent="0.35">
      <c r="Z788" s="4"/>
      <c r="AA788" s="4"/>
      <c r="AB788" s="4" t="e">
        <f ca="1">_xll.ciqfunctions.udf.CIQ("^SPX", "IQ_PRICEDATE", "2/7/2017")</f>
        <v>#NAME?</v>
      </c>
      <c r="AC788" s="16">
        <v>2293.0810794510999</v>
      </c>
    </row>
    <row r="789" spans="26:29" x14ac:dyDescent="0.35">
      <c r="Z789" s="4"/>
      <c r="AA789" s="4"/>
      <c r="AB789" s="4" t="e">
        <f ca="1">_xll.ciqfunctions.udf.CIQ("^SPX", "IQ_PRICEDATE", "2/8/2017")</f>
        <v>#NAME?</v>
      </c>
      <c r="AC789" s="16">
        <v>2294.6686139671001</v>
      </c>
    </row>
    <row r="790" spans="26:29" x14ac:dyDescent="0.35">
      <c r="Z790" s="4"/>
      <c r="AA790" s="4"/>
      <c r="AB790" s="4" t="e">
        <f ca="1">_xll.ciqfunctions.udf.CIQ("^SPX", "IQ_PRICEDATE", "2/9/2017")</f>
        <v>#NAME?</v>
      </c>
      <c r="AC790" s="16">
        <v>2307.8746485800002</v>
      </c>
    </row>
    <row r="791" spans="26:29" x14ac:dyDescent="0.35">
      <c r="Z791" s="4"/>
      <c r="AA791" s="4"/>
      <c r="AB791" s="4" t="e">
        <f ca="1">_xll.ciqfunctions.udf.CIQ("^SPX", "IQ_PRICEDATE", "2/10/2017")</f>
        <v>#NAME?</v>
      </c>
      <c r="AC791" s="16">
        <v>2316.0970695871001</v>
      </c>
    </row>
    <row r="792" spans="26:29" x14ac:dyDescent="0.35">
      <c r="Z792" s="4"/>
      <c r="AA792" s="4"/>
      <c r="AB792" s="4" t="e">
        <f ca="1">_xll.ciqfunctions.udf.CIQ("^SPX", "IQ_PRICEDATE", "2/13/2017")</f>
        <v>#NAME?</v>
      </c>
      <c r="AC792" s="16">
        <v>2328.2532652969999</v>
      </c>
    </row>
    <row r="793" spans="26:29" x14ac:dyDescent="0.35">
      <c r="Z793" s="4"/>
      <c r="AA793" s="4"/>
      <c r="AB793" s="4" t="e">
        <f ca="1">_xll.ciqfunctions.udf.CIQ("^SPX", "IQ_PRICEDATE", "2/14/2017")</f>
        <v>#NAME?</v>
      </c>
      <c r="AC793" s="16">
        <v>2337.5845739169999</v>
      </c>
    </row>
    <row r="794" spans="26:29" x14ac:dyDescent="0.35">
      <c r="Z794" s="4"/>
      <c r="AA794" s="4"/>
      <c r="AB794" s="4" t="e">
        <f ca="1">_xll.ciqfunctions.udf.CIQ("^SPX", "IQ_PRICEDATE", "2/15/2017")</f>
        <v>#NAME?</v>
      </c>
      <c r="AC794" s="16">
        <v>2349.2474085381</v>
      </c>
    </row>
    <row r="795" spans="26:29" x14ac:dyDescent="0.35">
      <c r="Z795" s="4"/>
      <c r="AA795" s="4"/>
      <c r="AB795" s="4" t="e">
        <f ca="1">_xll.ciqfunctions.udf.CIQ("^SPX", "IQ_PRICEDATE", "2/16/2017")</f>
        <v>#NAME?</v>
      </c>
      <c r="AC795" s="16">
        <v>2347.2235385903</v>
      </c>
    </row>
    <row r="796" spans="26:29" x14ac:dyDescent="0.35">
      <c r="Z796" s="4"/>
      <c r="AA796" s="4"/>
      <c r="AB796" s="4" t="e">
        <f ca="1">_xll.ciqfunctions.udf.CIQ("^SPX", "IQ_PRICEDATE", "2/17/2017")</f>
        <v>#NAME?</v>
      </c>
      <c r="AC796" s="16">
        <v>2351.1616992230001</v>
      </c>
    </row>
    <row r="797" spans="26:29" x14ac:dyDescent="0.35">
      <c r="Z797" s="4"/>
      <c r="AA797" s="4"/>
      <c r="AB797" s="4" t="e">
        <f ca="1">_xll.ciqfunctions.udf.CIQ("^SPX", "IQ_PRICEDATE", "2/21/2017")</f>
        <v>#NAME?</v>
      </c>
      <c r="AC797" s="16">
        <v>2365.3827239303</v>
      </c>
    </row>
    <row r="798" spans="26:29" x14ac:dyDescent="0.35">
      <c r="Z798" s="4"/>
      <c r="AA798" s="4"/>
      <c r="AB798" s="4" t="e">
        <f ca="1">_xll.ciqfunctions.udf.CIQ("^SPX", "IQ_PRICEDATE", "2/22/2017")</f>
        <v>#NAME?</v>
      </c>
      <c r="AC798" s="16">
        <v>2362.8215256018998</v>
      </c>
    </row>
    <row r="799" spans="26:29" x14ac:dyDescent="0.35">
      <c r="Z799" s="4"/>
      <c r="AA799" s="4"/>
      <c r="AB799" s="4" t="e">
        <f ca="1">_xll.ciqfunctions.udf.CIQ("^SPX", "IQ_PRICEDATE", "2/23/2017")</f>
        <v>#NAME?</v>
      </c>
      <c r="AC799" s="16">
        <v>2363.8066507957001</v>
      </c>
    </row>
    <row r="800" spans="26:29" x14ac:dyDescent="0.35">
      <c r="Z800" s="4"/>
      <c r="AA800" s="4"/>
      <c r="AB800" s="4" t="e">
        <f ca="1">_xll.ciqfunctions.udf.CIQ("^SPX", "IQ_PRICEDATE", "2/24/2017")</f>
        <v>#NAME?</v>
      </c>
      <c r="AC800" s="16">
        <v>2367.3442469725001</v>
      </c>
    </row>
    <row r="801" spans="26:29" x14ac:dyDescent="0.35">
      <c r="Z801" s="4"/>
      <c r="AA801" s="4"/>
      <c r="AB801" s="4" t="e">
        <f ca="1">_xll.ciqfunctions.udf.CIQ("^SPX", "IQ_PRICEDATE", "2/27/2017")</f>
        <v>#NAME?</v>
      </c>
      <c r="AC801" s="16">
        <v>2369.7502934271001</v>
      </c>
    </row>
    <row r="802" spans="26:29" x14ac:dyDescent="0.35">
      <c r="Z802" s="4"/>
      <c r="AA802" s="4"/>
      <c r="AB802" s="4" t="e">
        <f ca="1">_xll.ciqfunctions.udf.CIQ("^SPX", "IQ_PRICEDATE", "2/28/2017")</f>
        <v>#NAME?</v>
      </c>
      <c r="AC802" s="16">
        <v>2363.6381971289002</v>
      </c>
    </row>
    <row r="803" spans="26:29" x14ac:dyDescent="0.35">
      <c r="Z803" s="4"/>
      <c r="AA803" s="4"/>
      <c r="AB803" s="4" t="e">
        <f ca="1">_xll.ciqfunctions.udf.CIQ("^SPX", "IQ_PRICEDATE", "3/1/2017")</f>
        <v>#NAME?</v>
      </c>
      <c r="AC803" s="16">
        <v>2395.9571420635998</v>
      </c>
    </row>
    <row r="804" spans="26:29" x14ac:dyDescent="0.35">
      <c r="Z804" s="4"/>
      <c r="AA804" s="4"/>
      <c r="AB804" s="4" t="e">
        <f ca="1">_xll.ciqfunctions.udf.CIQ("^SPX", "IQ_PRICEDATE", "3/2/2017")</f>
        <v>#NAME?</v>
      </c>
      <c r="AC804" s="16">
        <v>2381.9182073411998</v>
      </c>
    </row>
    <row r="805" spans="26:29" x14ac:dyDescent="0.35">
      <c r="Z805" s="4"/>
      <c r="AA805" s="4"/>
      <c r="AB805" s="4" t="e">
        <f ca="1">_xll.ciqfunctions.udf.CIQ("^SPX", "IQ_PRICEDATE", "3/3/2017")</f>
        <v>#NAME?</v>
      </c>
      <c r="AC805" s="16">
        <v>2383.1170365799999</v>
      </c>
    </row>
    <row r="806" spans="26:29" x14ac:dyDescent="0.35">
      <c r="Z806" s="4"/>
      <c r="AA806" s="4"/>
      <c r="AB806" s="4" t="e">
        <f ca="1">_xll.ciqfunctions.udf.CIQ("^SPX", "IQ_PRICEDATE", "3/6/2017")</f>
        <v>#NAME?</v>
      </c>
      <c r="AC806" s="16">
        <v>2375.3111240962999</v>
      </c>
    </row>
    <row r="807" spans="26:29" x14ac:dyDescent="0.35">
      <c r="Z807" s="4"/>
      <c r="AA807" s="4"/>
      <c r="AB807" s="4" t="e">
        <f ca="1">_xll.ciqfunctions.udf.CIQ("^SPX", "IQ_PRICEDATE", "3/7/2017")</f>
        <v>#NAME?</v>
      </c>
      <c r="AC807" s="16">
        <v>2368.3942101840998</v>
      </c>
    </row>
    <row r="808" spans="26:29" x14ac:dyDescent="0.35">
      <c r="Z808" s="4"/>
      <c r="AA808" s="4"/>
      <c r="AB808" s="4" t="e">
        <f ca="1">_xll.ciqfunctions.udf.CIQ("^SPX", "IQ_PRICEDATE", "3/8/2017")</f>
        <v>#NAME?</v>
      </c>
      <c r="AC808" s="16">
        <v>2362.9769963468998</v>
      </c>
    </row>
    <row r="809" spans="26:29" x14ac:dyDescent="0.35">
      <c r="Z809" s="4"/>
      <c r="AA809" s="4"/>
      <c r="AB809" s="4" t="e">
        <f ca="1">_xll.ciqfunctions.udf.CIQ("^SPX", "IQ_PRICEDATE", "3/9/2017")</f>
        <v>#NAME?</v>
      </c>
      <c r="AC809" s="16">
        <v>2364.8697868442</v>
      </c>
    </row>
    <row r="810" spans="26:29" x14ac:dyDescent="0.35">
      <c r="Z810" s="4"/>
      <c r="AA810" s="4"/>
      <c r="AB810" s="4" t="e">
        <f ca="1">_xll.ciqfunctions.udf.CIQ("^SPX", "IQ_PRICEDATE", "3/10/2017")</f>
        <v>#NAME?</v>
      </c>
      <c r="AC810" s="16">
        <v>2372.5977517652</v>
      </c>
    </row>
    <row r="811" spans="26:29" x14ac:dyDescent="0.35">
      <c r="Z811" s="4"/>
      <c r="AA811" s="4"/>
      <c r="AB811" s="4" t="e">
        <f ca="1">_xll.ciqfunctions.udf.CIQ("^SPX", "IQ_PRICEDATE", "3/13/2017")</f>
        <v>#NAME?</v>
      </c>
      <c r="AC811" s="16">
        <v>2373.4729821412002</v>
      </c>
    </row>
    <row r="812" spans="26:29" x14ac:dyDescent="0.35">
      <c r="Z812" s="4"/>
      <c r="AA812" s="4"/>
      <c r="AB812" s="4" t="e">
        <f ca="1">_xll.ciqfunctions.udf.CIQ("^SPX", "IQ_PRICEDATE", "3/14/2017")</f>
        <v>#NAME?</v>
      </c>
      <c r="AC812" s="16">
        <v>2365.4548960461002</v>
      </c>
    </row>
    <row r="813" spans="26:29" x14ac:dyDescent="0.35">
      <c r="Z813" s="4"/>
      <c r="AA813" s="4"/>
      <c r="AB813" s="4" t="e">
        <f ca="1">_xll.ciqfunctions.udf.CIQ("^SPX", "IQ_PRICEDATE", "3/15/2017")</f>
        <v>#NAME?</v>
      </c>
      <c r="AC813" s="16">
        <v>2385.2644650697998</v>
      </c>
    </row>
    <row r="814" spans="26:29" x14ac:dyDescent="0.35">
      <c r="Z814" s="4"/>
      <c r="AA814" s="4"/>
      <c r="AB814" s="4" t="e">
        <f ca="1">_xll.ciqfunctions.udf.CIQ("^SPX", "IQ_PRICEDATE", "3/16/2017")</f>
        <v>#NAME?</v>
      </c>
      <c r="AC814" s="16">
        <v>2381.3822478676002</v>
      </c>
    </row>
    <row r="815" spans="26:29" x14ac:dyDescent="0.35">
      <c r="Z815" s="4"/>
      <c r="AA815" s="4"/>
      <c r="AB815" s="4" t="e">
        <f ca="1">_xll.ciqfunctions.udf.CIQ("^SPX", "IQ_PRICEDATE", "3/17/2017")</f>
        <v>#NAME?</v>
      </c>
      <c r="AC815" s="16">
        <v>2378.2530512992998</v>
      </c>
    </row>
    <row r="816" spans="26:29" x14ac:dyDescent="0.35">
      <c r="Z816" s="4"/>
      <c r="AA816" s="4"/>
      <c r="AB816" s="4" t="e">
        <f ca="1">_xll.ciqfunctions.udf.CIQ("^SPX", "IQ_PRICEDATE", "3/20/2017")</f>
        <v>#NAME?</v>
      </c>
      <c r="AC816" s="16">
        <v>2373.4716089251001</v>
      </c>
    </row>
    <row r="817" spans="26:29" x14ac:dyDescent="0.35">
      <c r="Z817" s="4"/>
      <c r="AA817" s="4"/>
      <c r="AB817" s="4" t="e">
        <f ca="1">_xll.ciqfunctions.udf.CIQ("^SPX", "IQ_PRICEDATE", "3/21/2017")</f>
        <v>#NAME?</v>
      </c>
      <c r="AC817" s="16">
        <v>2344.0171188897998</v>
      </c>
    </row>
    <row r="818" spans="26:29" x14ac:dyDescent="0.35">
      <c r="Z818" s="4"/>
      <c r="AA818" s="4"/>
      <c r="AB818" s="4" t="e">
        <f ca="1">_xll.ciqfunctions.udf.CIQ("^SPX", "IQ_PRICEDATE", "3/22/2017")</f>
        <v>#NAME?</v>
      </c>
      <c r="AC818" s="16">
        <v>2348.4488358253998</v>
      </c>
    </row>
    <row r="819" spans="26:29" x14ac:dyDescent="0.35">
      <c r="Z819" s="4"/>
      <c r="AA819" s="4"/>
      <c r="AB819" s="4" t="e">
        <f ca="1">_xll.ciqfunctions.udf.CIQ("^SPX", "IQ_PRICEDATE", "3/23/2017")</f>
        <v>#NAME?</v>
      </c>
      <c r="AC819" s="16">
        <v>2345.9621629387998</v>
      </c>
    </row>
    <row r="820" spans="26:29" x14ac:dyDescent="0.35">
      <c r="Z820" s="4"/>
      <c r="AA820" s="4"/>
      <c r="AB820" s="4" t="e">
        <f ca="1">_xll.ciqfunctions.udf.CIQ("^SPX", "IQ_PRICEDATE", "3/24/2017")</f>
        <v>#NAME?</v>
      </c>
      <c r="AC820" s="16">
        <v>2343.9781399113999</v>
      </c>
    </row>
    <row r="821" spans="26:29" x14ac:dyDescent="0.35">
      <c r="Z821" s="4"/>
      <c r="AA821" s="4"/>
      <c r="AB821" s="4" t="e">
        <f ca="1">_xll.ciqfunctions.udf.CIQ("^SPX", "IQ_PRICEDATE", "3/27/2017")</f>
        <v>#NAME?</v>
      </c>
      <c r="AC821" s="16">
        <v>2341.5905947084002</v>
      </c>
    </row>
    <row r="822" spans="26:29" x14ac:dyDescent="0.35">
      <c r="Z822" s="4"/>
      <c r="AA822" s="4"/>
      <c r="AB822" s="4" t="e">
        <f ca="1">_xll.ciqfunctions.udf.CIQ("^SPX", "IQ_PRICEDATE", "3/28/2017")</f>
        <v>#NAME?</v>
      </c>
      <c r="AC822" s="16">
        <v>2358.5664621082001</v>
      </c>
    </row>
    <row r="823" spans="26:29" x14ac:dyDescent="0.35">
      <c r="Z823" s="4"/>
      <c r="AA823" s="4"/>
      <c r="AB823" s="4" t="e">
        <f ca="1">_xll.ciqfunctions.udf.CIQ("^SPX", "IQ_PRICEDATE", "3/29/2017")</f>
        <v>#NAME?</v>
      </c>
      <c r="AC823" s="16">
        <v>2361.1329611063002</v>
      </c>
    </row>
    <row r="824" spans="26:29" x14ac:dyDescent="0.35">
      <c r="Z824" s="4"/>
      <c r="AA824" s="4"/>
      <c r="AB824" s="4" t="e">
        <f ca="1">_xll.ciqfunctions.udf.CIQ("^SPX", "IQ_PRICEDATE", "3/30/2017")</f>
        <v>#NAME?</v>
      </c>
      <c r="AC824" s="16">
        <v>2368.0605682130999</v>
      </c>
    </row>
    <row r="825" spans="26:29" x14ac:dyDescent="0.35">
      <c r="Z825" s="4"/>
      <c r="AA825" s="4"/>
      <c r="AB825" s="4" t="e">
        <f ca="1">_xll.ciqfunctions.udf.CIQ("^SPX", "IQ_PRICEDATE", "3/31/2017")</f>
        <v>#NAME?</v>
      </c>
      <c r="AC825" s="16">
        <v>2362.7182203972998</v>
      </c>
    </row>
    <row r="826" spans="26:29" x14ac:dyDescent="0.35">
      <c r="Z826" s="4"/>
      <c r="AA826" s="4"/>
      <c r="AB826" s="4" t="e">
        <f ca="1">_xll.ciqfunctions.udf.CIQ("^SPX", "IQ_PRICEDATE", "4/3/2017")</f>
        <v>#NAME?</v>
      </c>
      <c r="AC826" s="16">
        <v>2358.8350901079998</v>
      </c>
    </row>
    <row r="827" spans="26:29" x14ac:dyDescent="0.35">
      <c r="Z827" s="4"/>
      <c r="AA827" s="4"/>
      <c r="AB827" s="4" t="e">
        <f ca="1">_xll.ciqfunctions.udf.CIQ("^SPX", "IQ_PRICEDATE", "4/4/2017")</f>
        <v>#NAME?</v>
      </c>
      <c r="AC827" s="16">
        <v>2360.1556906116998</v>
      </c>
    </row>
    <row r="828" spans="26:29" x14ac:dyDescent="0.35">
      <c r="Z828" s="4"/>
      <c r="AA828" s="4"/>
      <c r="AB828" s="4" t="e">
        <f ca="1">_xll.ciqfunctions.udf.CIQ("^SPX", "IQ_PRICEDATE", "4/5/2017")</f>
        <v>#NAME?</v>
      </c>
      <c r="AC828" s="16">
        <v>2352.9481905326002</v>
      </c>
    </row>
    <row r="829" spans="26:29" x14ac:dyDescent="0.35">
      <c r="Z829" s="4"/>
      <c r="AA829" s="4"/>
      <c r="AB829" s="4" t="e">
        <f ca="1">_xll.ciqfunctions.udf.CIQ("^SPX", "IQ_PRICEDATE", "4/6/2017")</f>
        <v>#NAME?</v>
      </c>
      <c r="AC829" s="16">
        <v>2357.4890699420998</v>
      </c>
    </row>
    <row r="830" spans="26:29" x14ac:dyDescent="0.35">
      <c r="Z830" s="4"/>
      <c r="AA830" s="4"/>
      <c r="AB830" s="4" t="e">
        <f ca="1">_xll.ciqfunctions.udf.CIQ("^SPX", "IQ_PRICEDATE", "4/7/2017")</f>
        <v>#NAME?</v>
      </c>
      <c r="AC830" s="16">
        <v>2355.5449917134001</v>
      </c>
    </row>
    <row r="831" spans="26:29" x14ac:dyDescent="0.35">
      <c r="Z831" s="4"/>
      <c r="AA831" s="4"/>
      <c r="AB831" s="4" t="e">
        <f ca="1">_xll.ciqfunctions.udf.CIQ("^SPX", "IQ_PRICEDATE", "4/10/2017")</f>
        <v>#NAME?</v>
      </c>
      <c r="AC831" s="16">
        <v>2357.1633808413999</v>
      </c>
    </row>
    <row r="832" spans="26:29" x14ac:dyDescent="0.35">
      <c r="Z832" s="4"/>
      <c r="AA832" s="4"/>
      <c r="AB832" s="4" t="e">
        <f ca="1">_xll.ciqfunctions.udf.CIQ("^SPX", "IQ_PRICEDATE", "4/11/2017")</f>
        <v>#NAME?</v>
      </c>
      <c r="AC832" s="16">
        <v>2353.7769915017998</v>
      </c>
    </row>
    <row r="833" spans="26:29" x14ac:dyDescent="0.35">
      <c r="Z833" s="4"/>
      <c r="AA833" s="4"/>
      <c r="AB833" s="4" t="e">
        <f ca="1">_xll.ciqfunctions.udf.CIQ("^SPX", "IQ_PRICEDATE", "4/12/2017")</f>
        <v>#NAME?</v>
      </c>
      <c r="AC833" s="16">
        <v>2344.926332342</v>
      </c>
    </row>
    <row r="834" spans="26:29" x14ac:dyDescent="0.35">
      <c r="Z834" s="4"/>
      <c r="AA834" s="4"/>
      <c r="AB834" s="4" t="e">
        <f ca="1">_xll.ciqfunctions.udf.CIQ("^SPX", "IQ_PRICEDATE", "4/13/2017")</f>
        <v>#NAME?</v>
      </c>
      <c r="AC834" s="16">
        <v>2328.9533474916002</v>
      </c>
    </row>
    <row r="835" spans="26:29" x14ac:dyDescent="0.35">
      <c r="Z835" s="4"/>
      <c r="AA835" s="4"/>
      <c r="AB835" s="4" t="e">
        <f ca="1">_xll.ciqfunctions.udf.CIQ("^SPX", "IQ_PRICEDATE", "4/17/2017")</f>
        <v>#NAME?</v>
      </c>
      <c r="AC835" s="16">
        <v>2349.0102206680999</v>
      </c>
    </row>
    <row r="836" spans="26:29" x14ac:dyDescent="0.35">
      <c r="Z836" s="4"/>
      <c r="AA836" s="4"/>
      <c r="AB836" s="4" t="e">
        <f ca="1">_xll.ciqfunctions.udf.CIQ("^SPX", "IQ_PRICEDATE", "4/18/2017")</f>
        <v>#NAME?</v>
      </c>
      <c r="AC836" s="16">
        <v>2342.1878312869999</v>
      </c>
    </row>
    <row r="837" spans="26:29" x14ac:dyDescent="0.35">
      <c r="Z837" s="4"/>
      <c r="AA837" s="4"/>
      <c r="AB837" s="4" t="e">
        <f ca="1">_xll.ciqfunctions.udf.CIQ("^SPX", "IQ_PRICEDATE", "4/19/2017")</f>
        <v>#NAME?</v>
      </c>
      <c r="AC837" s="16">
        <v>2338.16598759</v>
      </c>
    </row>
    <row r="838" spans="26:29" x14ac:dyDescent="0.35">
      <c r="Z838" s="4"/>
      <c r="AA838" s="4"/>
      <c r="AB838" s="4" t="e">
        <f ca="1">_xll.ciqfunctions.udf.CIQ("^SPX", "IQ_PRICEDATE", "4/20/2017")</f>
        <v>#NAME?</v>
      </c>
      <c r="AC838" s="16">
        <v>2355.8440804402999</v>
      </c>
    </row>
    <row r="839" spans="26:29" x14ac:dyDescent="0.35">
      <c r="Z839" s="4"/>
      <c r="AA839" s="4"/>
      <c r="AB839" s="4" t="e">
        <f ca="1">_xll.ciqfunctions.udf.CIQ("^SPX", "IQ_PRICEDATE", "4/21/2017")</f>
        <v>#NAME?</v>
      </c>
      <c r="AC839" s="16">
        <v>2348.6949580619998</v>
      </c>
    </row>
    <row r="840" spans="26:29" x14ac:dyDescent="0.35">
      <c r="Z840" s="4"/>
      <c r="AA840" s="4"/>
      <c r="AB840" s="4" t="e">
        <f ca="1">_xll.ciqfunctions.udf.CIQ("^SPX", "IQ_PRICEDATE", "4/24/2017")</f>
        <v>#NAME?</v>
      </c>
      <c r="AC840" s="16">
        <v>2374.1506911319002</v>
      </c>
    </row>
    <row r="841" spans="26:29" x14ac:dyDescent="0.35">
      <c r="Z841" s="4"/>
      <c r="AA841" s="4"/>
      <c r="AB841" s="4" t="e">
        <f ca="1">_xll.ciqfunctions.udf.CIQ("^SPX", "IQ_PRICEDATE", "4/25/2017")</f>
        <v>#NAME?</v>
      </c>
      <c r="AC841" s="16">
        <v>2388.6149249553</v>
      </c>
    </row>
    <row r="842" spans="26:29" x14ac:dyDescent="0.35">
      <c r="Z842" s="4"/>
      <c r="AA842" s="4"/>
      <c r="AB842" s="4" t="e">
        <f ca="1">_xll.ciqfunctions.udf.CIQ("^SPX", "IQ_PRICEDATE", "4/26/2017")</f>
        <v>#NAME?</v>
      </c>
      <c r="AC842" s="16">
        <v>2387.4479308863001</v>
      </c>
    </row>
    <row r="843" spans="26:29" x14ac:dyDescent="0.35">
      <c r="Z843" s="4"/>
      <c r="AA843" s="4"/>
      <c r="AB843" s="4" t="e">
        <f ca="1">_xll.ciqfunctions.udf.CIQ("^SPX", "IQ_PRICEDATE", "4/27/2017")</f>
        <v>#NAME?</v>
      </c>
      <c r="AC843" s="16">
        <v>2388.7688361317</v>
      </c>
    </row>
    <row r="844" spans="26:29" x14ac:dyDescent="0.35">
      <c r="Z844" s="4"/>
      <c r="AA844" s="4"/>
      <c r="AB844" s="4" t="e">
        <f ca="1">_xll.ciqfunctions.udf.CIQ("^SPX", "IQ_PRICEDATE", "4/28/2017")</f>
        <v>#NAME?</v>
      </c>
      <c r="AC844" s="16">
        <v>2384.1955178138001</v>
      </c>
    </row>
    <row r="845" spans="26:29" x14ac:dyDescent="0.35">
      <c r="Z845" s="4"/>
      <c r="AA845" s="4"/>
      <c r="AB845" s="4" t="e">
        <f ca="1">_xll.ciqfunctions.udf.CIQ("^SPX", "IQ_PRICEDATE", "5/1/2017")</f>
        <v>#NAME?</v>
      </c>
      <c r="AC845" s="16">
        <v>2388.3271850824999</v>
      </c>
    </row>
    <row r="846" spans="26:29" x14ac:dyDescent="0.35">
      <c r="Z846" s="4"/>
      <c r="AA846" s="4"/>
      <c r="AB846" s="4" t="e">
        <f ca="1">_xll.ciqfunctions.udf.CIQ("^SPX", "IQ_PRICEDATE", "5/2/2017")</f>
        <v>#NAME?</v>
      </c>
      <c r="AC846" s="16">
        <v>2391.1659415048998</v>
      </c>
    </row>
    <row r="847" spans="26:29" x14ac:dyDescent="0.35">
      <c r="Z847" s="4"/>
      <c r="AA847" s="4"/>
      <c r="AB847" s="4" t="e">
        <f ca="1">_xll.ciqfunctions.udf.CIQ("^SPX", "IQ_PRICEDATE", "5/3/2017")</f>
        <v>#NAME?</v>
      </c>
      <c r="AC847" s="16">
        <v>2388.1348932934002</v>
      </c>
    </row>
    <row r="848" spans="26:29" x14ac:dyDescent="0.35">
      <c r="Z848" s="4"/>
      <c r="AA848" s="4"/>
      <c r="AB848" s="4" t="e">
        <f ca="1">_xll.ciqfunctions.udf.CIQ("^SPX", "IQ_PRICEDATE", "5/4/2017")</f>
        <v>#NAME?</v>
      </c>
      <c r="AC848" s="16">
        <v>2389.5216607773</v>
      </c>
    </row>
    <row r="849" spans="26:29" x14ac:dyDescent="0.35">
      <c r="Z849" s="4"/>
      <c r="AA849" s="4"/>
      <c r="AB849" s="4" t="e">
        <f ca="1">_xll.ciqfunctions.udf.CIQ("^SPX", "IQ_PRICEDATE", "5/5/2017")</f>
        <v>#NAME?</v>
      </c>
      <c r="AC849" s="16">
        <v>2399.2857104250002</v>
      </c>
    </row>
    <row r="850" spans="26:29" x14ac:dyDescent="0.35">
      <c r="Z850" s="4"/>
      <c r="AA850" s="4"/>
      <c r="AB850" s="4" t="e">
        <f ca="1">_xll.ciqfunctions.udf.CIQ("^SPX", "IQ_PRICEDATE", "5/8/2017")</f>
        <v>#NAME?</v>
      </c>
      <c r="AC850" s="16">
        <v>2399.3773292577998</v>
      </c>
    </row>
    <row r="851" spans="26:29" x14ac:dyDescent="0.35">
      <c r="Z851" s="4"/>
      <c r="AA851" s="4"/>
      <c r="AB851" s="4" t="e">
        <f ca="1">_xll.ciqfunctions.udf.CIQ("^SPX", "IQ_PRICEDATE", "5/9/2017")</f>
        <v>#NAME?</v>
      </c>
      <c r="AC851" s="16">
        <v>2396.9194242874</v>
      </c>
    </row>
    <row r="852" spans="26:29" x14ac:dyDescent="0.35">
      <c r="Z852" s="4"/>
      <c r="AA852" s="4"/>
      <c r="AB852" s="4" t="e">
        <f ca="1">_xll.ciqfunctions.udf.CIQ("^SPX", "IQ_PRICEDATE", "5/10/2017")</f>
        <v>#NAME?</v>
      </c>
      <c r="AC852" s="16">
        <v>2399.6299593671001</v>
      </c>
    </row>
    <row r="853" spans="26:29" x14ac:dyDescent="0.35">
      <c r="Z853" s="4"/>
      <c r="AA853" s="4"/>
      <c r="AB853" s="4" t="e">
        <f ca="1">_xll.ciqfunctions.udf.CIQ("^SPX", "IQ_PRICEDATE", "5/11/2017")</f>
        <v>#NAME?</v>
      </c>
      <c r="AC853" s="16">
        <v>2394.4397979863002</v>
      </c>
    </row>
    <row r="854" spans="26:29" x14ac:dyDescent="0.35">
      <c r="Z854" s="4"/>
      <c r="AA854" s="4"/>
      <c r="AB854" s="4" t="e">
        <f ca="1">_xll.ciqfunctions.udf.CIQ("^SPX", "IQ_PRICEDATE", "5/12/2017")</f>
        <v>#NAME?</v>
      </c>
      <c r="AC854" s="16">
        <v>2390.8972261383001</v>
      </c>
    </row>
    <row r="855" spans="26:29" x14ac:dyDescent="0.35">
      <c r="Z855" s="4"/>
      <c r="AA855" s="4"/>
      <c r="AB855" s="4" t="e">
        <f ca="1">_xll.ciqfunctions.udf.CIQ("^SPX", "IQ_PRICEDATE", "5/15/2017")</f>
        <v>#NAME?</v>
      </c>
      <c r="AC855" s="16">
        <v>2402.3202821682999</v>
      </c>
    </row>
    <row r="856" spans="26:29" x14ac:dyDescent="0.35">
      <c r="Z856" s="4"/>
      <c r="AA856" s="4"/>
      <c r="AB856" s="4" t="e">
        <f ca="1">_xll.ciqfunctions.udf.CIQ("^SPX", "IQ_PRICEDATE", "5/16/2017")</f>
        <v>#NAME?</v>
      </c>
      <c r="AC856" s="16">
        <v>2400.6741690949998</v>
      </c>
    </row>
    <row r="857" spans="26:29" x14ac:dyDescent="0.35">
      <c r="Z857" s="4"/>
      <c r="AA857" s="4"/>
      <c r="AB857" s="4" t="e">
        <f ca="1">_xll.ciqfunctions.udf.CIQ("^SPX", "IQ_PRICEDATE", "5/17/2017")</f>
        <v>#NAME?</v>
      </c>
      <c r="AC857" s="16">
        <v>2357.0321672037999</v>
      </c>
    </row>
    <row r="858" spans="26:29" x14ac:dyDescent="0.35">
      <c r="Z858" s="4"/>
      <c r="AA858" s="4"/>
      <c r="AB858" s="4" t="e">
        <f ca="1">_xll.ciqfunctions.udf.CIQ("^SPX", "IQ_PRICEDATE", "5/18/2017")</f>
        <v>#NAME?</v>
      </c>
      <c r="AC858" s="16">
        <v>2365.7239626676001</v>
      </c>
    </row>
    <row r="859" spans="26:29" x14ac:dyDescent="0.35">
      <c r="Z859" s="4"/>
      <c r="AA859" s="4"/>
      <c r="AB859" s="4" t="e">
        <f ca="1">_xll.ciqfunctions.udf.CIQ("^SPX", "IQ_PRICEDATE", "5/19/2017")</f>
        <v>#NAME?</v>
      </c>
      <c r="AC859" s="16">
        <v>2381.7267041675</v>
      </c>
    </row>
    <row r="860" spans="26:29" x14ac:dyDescent="0.35">
      <c r="Z860" s="4"/>
      <c r="AA860" s="4"/>
      <c r="AB860" s="4" t="e">
        <f ca="1">_xll.ciqfunctions.udf.CIQ("^SPX", "IQ_PRICEDATE", "5/22/2017")</f>
        <v>#NAME?</v>
      </c>
      <c r="AC860" s="16">
        <v>2394.0240765692001</v>
      </c>
    </row>
    <row r="861" spans="26:29" x14ac:dyDescent="0.35">
      <c r="Z861" s="4"/>
      <c r="AA861" s="4"/>
      <c r="AB861" s="4" t="e">
        <f ca="1">_xll.ciqfunctions.udf.CIQ("^SPX", "IQ_PRICEDATE", "5/23/2017")</f>
        <v>#NAME?</v>
      </c>
      <c r="AC861" s="16">
        <v>2398.4186023841999</v>
      </c>
    </row>
    <row r="862" spans="26:29" x14ac:dyDescent="0.35">
      <c r="Z862" s="4"/>
      <c r="AA862" s="4"/>
      <c r="AB862" s="4" t="e">
        <f ca="1">_xll.ciqfunctions.udf.CIQ("^SPX", "IQ_PRICEDATE", "5/24/2017")</f>
        <v>#NAME?</v>
      </c>
      <c r="AC862" s="16">
        <v>2404.3870216977998</v>
      </c>
    </row>
    <row r="863" spans="26:29" x14ac:dyDescent="0.35">
      <c r="Z863" s="4"/>
      <c r="AA863" s="4"/>
      <c r="AB863" s="4" t="e">
        <f ca="1">_xll.ciqfunctions.udf.CIQ("^SPX", "IQ_PRICEDATE", "5/25/2017")</f>
        <v>#NAME?</v>
      </c>
      <c r="AC863" s="16">
        <v>2415.0657027404</v>
      </c>
    </row>
    <row r="864" spans="26:29" x14ac:dyDescent="0.35">
      <c r="Z864" s="4"/>
      <c r="AA864" s="4"/>
      <c r="AB864" s="4" t="e">
        <f ca="1">_xll.ciqfunctions.udf.CIQ("^SPX", "IQ_PRICEDATE", "5/26/2017")</f>
        <v>#NAME?</v>
      </c>
      <c r="AC864" s="16">
        <v>2415.8224803902999</v>
      </c>
    </row>
    <row r="865" spans="26:29" x14ac:dyDescent="0.35">
      <c r="Z865" s="4"/>
      <c r="AA865" s="4"/>
      <c r="AB865" s="4" t="e">
        <f ca="1">_xll.ciqfunctions.udf.CIQ("^SPX", "IQ_PRICEDATE", "5/30/2017")</f>
        <v>#NAME?</v>
      </c>
      <c r="AC865" s="16">
        <v>2412.9065671479998</v>
      </c>
    </row>
    <row r="866" spans="26:29" x14ac:dyDescent="0.35">
      <c r="Z866" s="4"/>
      <c r="AA866" s="4"/>
      <c r="AB866" s="4" t="e">
        <f ca="1">_xll.ciqfunctions.udf.CIQ("^SPX", "IQ_PRICEDATE", "5/31/2017")</f>
        <v>#NAME?</v>
      </c>
      <c r="AC866" s="16">
        <v>2411.7973242573999</v>
      </c>
    </row>
    <row r="867" spans="26:29" x14ac:dyDescent="0.35">
      <c r="Z867" s="4"/>
      <c r="AA867" s="4"/>
      <c r="AB867" s="4" t="e">
        <f ca="1">_xll.ciqfunctions.udf.CIQ("^SPX", "IQ_PRICEDATE", "6/1/2017")</f>
        <v>#NAME?</v>
      </c>
      <c r="AC867" s="16">
        <v>2430.0610709493999</v>
      </c>
    </row>
    <row r="868" spans="26:29" x14ac:dyDescent="0.35">
      <c r="Z868" s="4"/>
      <c r="AA868" s="4"/>
      <c r="AB868" s="4" t="e">
        <f ca="1">_xll.ciqfunctions.udf.CIQ("^SPX", "IQ_PRICEDATE", "6/2/2017")</f>
        <v>#NAME?</v>
      </c>
      <c r="AC868" s="16">
        <v>2439.0702499803001</v>
      </c>
    </row>
    <row r="869" spans="26:29" x14ac:dyDescent="0.35">
      <c r="Z869" s="4"/>
      <c r="AA869" s="4"/>
      <c r="AB869" s="4" t="e">
        <f ca="1">_xll.ciqfunctions.udf.CIQ("^SPX", "IQ_PRICEDATE", "6/5/2017")</f>
        <v>#NAME?</v>
      </c>
      <c r="AC869" s="16">
        <v>2436.0961957703998</v>
      </c>
    </row>
    <row r="870" spans="26:29" x14ac:dyDescent="0.35">
      <c r="Z870" s="4"/>
      <c r="AA870" s="4"/>
      <c r="AB870" s="4" t="e">
        <f ca="1">_xll.ciqfunctions.udf.CIQ("^SPX", "IQ_PRICEDATE", "6/6/2017")</f>
        <v>#NAME?</v>
      </c>
      <c r="AC870" s="16">
        <v>2429.3272573536001</v>
      </c>
    </row>
    <row r="871" spans="26:29" x14ac:dyDescent="0.35">
      <c r="Z871" s="4"/>
      <c r="AA871" s="4"/>
      <c r="AB871" s="4" t="e">
        <f ca="1">_xll.ciqfunctions.udf.CIQ("^SPX", "IQ_PRICEDATE", "6/7/2017")</f>
        <v>#NAME?</v>
      </c>
      <c r="AC871" s="16">
        <v>2433.1374300828002</v>
      </c>
    </row>
    <row r="872" spans="26:29" x14ac:dyDescent="0.35">
      <c r="Z872" s="4"/>
      <c r="AA872" s="4"/>
      <c r="AB872" s="4" t="e">
        <f ca="1">_xll.ciqfunctions.udf.CIQ("^SPX", "IQ_PRICEDATE", "6/8/2017")</f>
        <v>#NAME?</v>
      </c>
      <c r="AC872" s="16">
        <v>2433.7906309395999</v>
      </c>
    </row>
    <row r="873" spans="26:29" x14ac:dyDescent="0.35">
      <c r="Z873" s="4"/>
      <c r="AA873" s="4"/>
      <c r="AB873" s="4" t="e">
        <f ca="1">_xll.ciqfunctions.udf.CIQ("^SPX", "IQ_PRICEDATE", "6/9/2017")</f>
        <v>#NAME?</v>
      </c>
      <c r="AC873" s="16">
        <v>2431.7723650030998</v>
      </c>
    </row>
    <row r="874" spans="26:29" x14ac:dyDescent="0.35">
      <c r="Z874" s="4"/>
      <c r="AA874" s="4"/>
      <c r="AB874" s="4" t="e">
        <f ca="1">_xll.ciqfunctions.udf.CIQ("^SPX", "IQ_PRICEDATE", "6/12/2017")</f>
        <v>#NAME?</v>
      </c>
      <c r="AC874" s="16">
        <v>2429.3912557921999</v>
      </c>
    </row>
    <row r="875" spans="26:29" x14ac:dyDescent="0.35">
      <c r="Z875" s="4"/>
      <c r="AA875" s="4"/>
      <c r="AB875" s="4" t="e">
        <f ca="1">_xll.ciqfunctions.udf.CIQ("^SPX", "IQ_PRICEDATE", "6/13/2017")</f>
        <v>#NAME?</v>
      </c>
      <c r="AC875" s="16">
        <v>2440.3474964374</v>
      </c>
    </row>
    <row r="876" spans="26:29" x14ac:dyDescent="0.35">
      <c r="Z876" s="4"/>
      <c r="AA876" s="4"/>
      <c r="AB876" s="4" t="e">
        <f ca="1">_xll.ciqfunctions.udf.CIQ("^SPX", "IQ_PRICEDATE", "6/14/2017")</f>
        <v>#NAME?</v>
      </c>
      <c r="AC876" s="16">
        <v>2437.9204812496</v>
      </c>
    </row>
    <row r="877" spans="26:29" x14ac:dyDescent="0.35">
      <c r="Z877" s="4"/>
      <c r="AA877" s="4"/>
      <c r="AB877" s="4" t="e">
        <f ca="1">_xll.ciqfunctions.udf.CIQ("^SPX", "IQ_PRICEDATE", "6/15/2017")</f>
        <v>#NAME?</v>
      </c>
      <c r="AC877" s="16">
        <v>2432.4591271283002</v>
      </c>
    </row>
    <row r="878" spans="26:29" x14ac:dyDescent="0.35">
      <c r="Z878" s="4"/>
      <c r="AA878" s="4"/>
      <c r="AB878" s="4" t="e">
        <f ca="1">_xll.ciqfunctions.udf.CIQ("^SPX", "IQ_PRICEDATE", "6/16/2017")</f>
        <v>#NAME?</v>
      </c>
      <c r="AC878" s="16">
        <v>2433.1508288614</v>
      </c>
    </row>
    <row r="879" spans="26:29" x14ac:dyDescent="0.35">
      <c r="Z879" s="4"/>
      <c r="AA879" s="4"/>
      <c r="AB879" s="4" t="e">
        <f ca="1">_xll.ciqfunctions.udf.CIQ("^SPX", "IQ_PRICEDATE", "6/19/2017")</f>
        <v>#NAME?</v>
      </c>
      <c r="AC879" s="16">
        <v>2453.4586037494</v>
      </c>
    </row>
    <row r="880" spans="26:29" x14ac:dyDescent="0.35">
      <c r="Z880" s="4"/>
      <c r="AA880" s="4"/>
      <c r="AB880" s="4" t="e">
        <f ca="1">_xll.ciqfunctions.udf.CIQ("^SPX", "IQ_PRICEDATE", "6/20/2017")</f>
        <v>#NAME?</v>
      </c>
      <c r="AC880" s="16">
        <v>2437.0281337665001</v>
      </c>
    </row>
    <row r="881" spans="26:29" x14ac:dyDescent="0.35">
      <c r="Z881" s="4"/>
      <c r="AA881" s="4"/>
      <c r="AB881" s="4" t="e">
        <f ca="1">_xll.ciqfunctions.udf.CIQ("^SPX", "IQ_PRICEDATE", "6/21/2017")</f>
        <v>#NAME?</v>
      </c>
      <c r="AC881" s="16">
        <v>2435.6116850599001</v>
      </c>
    </row>
    <row r="882" spans="26:29" x14ac:dyDescent="0.35">
      <c r="Z882" s="4"/>
      <c r="AA882" s="4"/>
      <c r="AB882" s="4" t="e">
        <f ca="1">_xll.ciqfunctions.udf.CIQ("^SPX", "IQ_PRICEDATE", "6/22/2017")</f>
        <v>#NAME?</v>
      </c>
      <c r="AC882" s="16">
        <v>2434.4974087685</v>
      </c>
    </row>
    <row r="883" spans="26:29" x14ac:dyDescent="0.35">
      <c r="Z883" s="4"/>
      <c r="AA883" s="4"/>
      <c r="AB883" s="4" t="e">
        <f ca="1">_xll.ciqfunctions.udf.CIQ("^SPX", "IQ_PRICEDATE", "6/23/2017")</f>
        <v>#NAME?</v>
      </c>
      <c r="AC883" s="16">
        <v>2438.2969118630999</v>
      </c>
    </row>
    <row r="884" spans="26:29" x14ac:dyDescent="0.35">
      <c r="Z884" s="4"/>
      <c r="AA884" s="4"/>
      <c r="AB884" s="4" t="e">
        <f ca="1">_xll.ciqfunctions.udf.CIQ("^SPX", "IQ_PRICEDATE", "6/26/2017")</f>
        <v>#NAME?</v>
      </c>
      <c r="AC884" s="16">
        <v>2439.0654771775999</v>
      </c>
    </row>
    <row r="885" spans="26:29" x14ac:dyDescent="0.35">
      <c r="Z885" s="4"/>
      <c r="AA885" s="4"/>
      <c r="AB885" s="4" t="e">
        <f ca="1">_xll.ciqfunctions.udf.CIQ("^SPX", "IQ_PRICEDATE", "6/27/2017")</f>
        <v>#NAME?</v>
      </c>
      <c r="AC885" s="16">
        <v>2419.3758615268998</v>
      </c>
    </row>
    <row r="886" spans="26:29" x14ac:dyDescent="0.35">
      <c r="Z886" s="4"/>
      <c r="AA886" s="4"/>
      <c r="AB886" s="4" t="e">
        <f ca="1">_xll.ciqfunctions.udf.CIQ("^SPX", "IQ_PRICEDATE", "6/28/2017")</f>
        <v>#NAME?</v>
      </c>
      <c r="AC886" s="16">
        <v>2440.6903289911002</v>
      </c>
    </row>
    <row r="887" spans="26:29" x14ac:dyDescent="0.35">
      <c r="Z887" s="4"/>
      <c r="AA887" s="4"/>
      <c r="AB887" s="4" t="e">
        <f ca="1">_xll.ciqfunctions.udf.CIQ("^SPX", "IQ_PRICEDATE", "6/29/2017")</f>
        <v>#NAME?</v>
      </c>
      <c r="AC887" s="16">
        <v>2419.6971113274999</v>
      </c>
    </row>
    <row r="888" spans="26:29" x14ac:dyDescent="0.35">
      <c r="Z888" s="4"/>
      <c r="AA888" s="4"/>
      <c r="AB888" s="4" t="e">
        <f ca="1">_xll.ciqfunctions.udf.CIQ("^SPX", "IQ_PRICEDATE", "6/30/2017")</f>
        <v>#NAME?</v>
      </c>
      <c r="AC888" s="16">
        <v>2423.4088910629998</v>
      </c>
    </row>
    <row r="889" spans="26:29" x14ac:dyDescent="0.35">
      <c r="Z889" s="4"/>
      <c r="AA889" s="4"/>
      <c r="AB889" s="4" t="e">
        <f ca="1">_xll.ciqfunctions.udf.CIQ("^SPX", "IQ_PRICEDATE", "7/3/2017")</f>
        <v>#NAME?</v>
      </c>
      <c r="AC889" s="16">
        <v>2429.0148792035002</v>
      </c>
    </row>
    <row r="890" spans="26:29" x14ac:dyDescent="0.35">
      <c r="Z890" s="4"/>
      <c r="AA890" s="4"/>
      <c r="AB890" s="4" t="e">
        <f ca="1">_xll.ciqfunctions.udf.CIQ("^SPX", "IQ_PRICEDATE", "7/5/2017")</f>
        <v>#NAME?</v>
      </c>
      <c r="AC890" s="16">
        <v>2432.5423402270999</v>
      </c>
    </row>
    <row r="891" spans="26:29" x14ac:dyDescent="0.35">
      <c r="Z891" s="4"/>
      <c r="AA891" s="4"/>
      <c r="AB891" s="4" t="e">
        <f ca="1">_xll.ciqfunctions.udf.CIQ("^SPX", "IQ_PRICEDATE", "7/6/2017")</f>
        <v>#NAME?</v>
      </c>
      <c r="AC891" s="16">
        <v>2409.7497799244002</v>
      </c>
    </row>
    <row r="892" spans="26:29" x14ac:dyDescent="0.35">
      <c r="Z892" s="4"/>
      <c r="AA892" s="4"/>
      <c r="AB892" s="4" t="e">
        <f ca="1">_xll.ciqfunctions.udf.CIQ("^SPX", "IQ_PRICEDATE", "7/7/2017")</f>
        <v>#NAME?</v>
      </c>
      <c r="AC892" s="16">
        <v>2425.1769614262998</v>
      </c>
    </row>
    <row r="893" spans="26:29" x14ac:dyDescent="0.35">
      <c r="Z893" s="4"/>
      <c r="AA893" s="4"/>
      <c r="AB893" s="4" t="e">
        <f ca="1">_xll.ciqfunctions.udf.CIQ("^SPX", "IQ_PRICEDATE", "7/10/2017")</f>
        <v>#NAME?</v>
      </c>
      <c r="AC893" s="16">
        <v>2427.4344884965999</v>
      </c>
    </row>
    <row r="894" spans="26:29" x14ac:dyDescent="0.35">
      <c r="Z894" s="4"/>
      <c r="AA894" s="4"/>
      <c r="AB894" s="4" t="e">
        <f ca="1">_xll.ciqfunctions.udf.CIQ("^SPX", "IQ_PRICEDATE", "7/11/2017")</f>
        <v>#NAME?</v>
      </c>
      <c r="AC894" s="16">
        <v>2425.5262141653998</v>
      </c>
    </row>
    <row r="895" spans="26:29" x14ac:dyDescent="0.35">
      <c r="Z895" s="4"/>
      <c r="AA895" s="4"/>
      <c r="AB895" s="4" t="e">
        <f ca="1">_xll.ciqfunctions.udf.CIQ("^SPX", "IQ_PRICEDATE", "7/12/2017")</f>
        <v>#NAME?</v>
      </c>
      <c r="AC895" s="16">
        <v>2443.2511766420998</v>
      </c>
    </row>
    <row r="896" spans="26:29" x14ac:dyDescent="0.35">
      <c r="Z896" s="4"/>
      <c r="AA896" s="4"/>
      <c r="AB896" s="4" t="e">
        <f ca="1">_xll.ciqfunctions.udf.CIQ("^SPX", "IQ_PRICEDATE", "7/13/2017")</f>
        <v>#NAME?</v>
      </c>
      <c r="AC896" s="16">
        <v>2447.8342759661</v>
      </c>
    </row>
    <row r="897" spans="26:29" x14ac:dyDescent="0.35">
      <c r="Z897" s="4"/>
      <c r="AA897" s="4"/>
      <c r="AB897" s="4" t="e">
        <f ca="1">_xll.ciqfunctions.udf.CIQ("^SPX", "IQ_PRICEDATE", "7/14/2017")</f>
        <v>#NAME?</v>
      </c>
      <c r="AC897" s="16">
        <v>2459.2709908214001</v>
      </c>
    </row>
    <row r="898" spans="26:29" x14ac:dyDescent="0.35">
      <c r="Z898" s="4"/>
      <c r="AA898" s="4"/>
      <c r="AB898" s="4" t="e">
        <f ca="1">_xll.ciqfunctions.udf.CIQ("^SPX", "IQ_PRICEDATE", "7/17/2017")</f>
        <v>#NAME?</v>
      </c>
      <c r="AC898" s="16">
        <v>2459.1407192176998</v>
      </c>
    </row>
    <row r="899" spans="26:29" x14ac:dyDescent="0.35">
      <c r="Z899" s="4"/>
      <c r="AA899" s="4"/>
      <c r="AB899" s="4" t="e">
        <f ca="1">_xll.ciqfunctions.udf.CIQ("^SPX", "IQ_PRICEDATE", "7/18/2017")</f>
        <v>#NAME?</v>
      </c>
      <c r="AC899" s="16">
        <v>2460.6104434094</v>
      </c>
    </row>
    <row r="900" spans="26:29" x14ac:dyDescent="0.35">
      <c r="Z900" s="4"/>
      <c r="AA900" s="4"/>
      <c r="AB900" s="4" t="e">
        <f ca="1">_xll.ciqfunctions.udf.CIQ("^SPX", "IQ_PRICEDATE", "7/19/2017")</f>
        <v>#NAME?</v>
      </c>
      <c r="AC900" s="16">
        <v>2473.8277852738001</v>
      </c>
    </row>
    <row r="901" spans="26:29" x14ac:dyDescent="0.35">
      <c r="Z901" s="4"/>
      <c r="AA901" s="4"/>
      <c r="AB901" s="4" t="e">
        <f ca="1">_xll.ciqfunctions.udf.CIQ("^SPX", "IQ_PRICEDATE", "7/20/2017")</f>
        <v>#NAME?</v>
      </c>
      <c r="AC901" s="16">
        <v>2473.4493827199999</v>
      </c>
    </row>
    <row r="902" spans="26:29" x14ac:dyDescent="0.35">
      <c r="Z902" s="4"/>
      <c r="AA902" s="4"/>
      <c r="AB902" s="4" t="e">
        <f ca="1">_xll.ciqfunctions.udf.CIQ("^SPX", "IQ_PRICEDATE", "7/21/2017")</f>
        <v>#NAME?</v>
      </c>
      <c r="AC902" s="16">
        <v>2472.5358544521</v>
      </c>
    </row>
    <row r="903" spans="26:29" x14ac:dyDescent="0.35">
      <c r="Z903" s="4"/>
      <c r="AA903" s="4"/>
      <c r="AB903" s="4" t="e">
        <f ca="1">_xll.ciqfunctions.udf.CIQ("^SPX", "IQ_PRICEDATE", "7/24/2017")</f>
        <v>#NAME?</v>
      </c>
      <c r="AC903" s="16">
        <v>2469.9119171232001</v>
      </c>
    </row>
    <row r="904" spans="26:29" x14ac:dyDescent="0.35">
      <c r="Z904" s="4"/>
      <c r="AA904" s="4"/>
      <c r="AB904" s="4" t="e">
        <f ca="1">_xll.ciqfunctions.udf.CIQ("^SPX", "IQ_PRICEDATE", "7/25/2017")</f>
        <v>#NAME?</v>
      </c>
      <c r="AC904" s="16">
        <v>2477.1253697525999</v>
      </c>
    </row>
    <row r="905" spans="26:29" x14ac:dyDescent="0.35">
      <c r="Z905" s="4"/>
      <c r="AA905" s="4"/>
      <c r="AB905" s="4" t="e">
        <f ca="1">_xll.ciqfunctions.udf.CIQ("^SPX", "IQ_PRICEDATE", "7/26/2017")</f>
        <v>#NAME?</v>
      </c>
      <c r="AC905" s="16">
        <v>2477.8305107064998</v>
      </c>
    </row>
    <row r="906" spans="26:29" x14ac:dyDescent="0.35">
      <c r="Z906" s="4"/>
      <c r="AA906" s="4"/>
      <c r="AB906" s="4" t="e">
        <f ca="1">_xll.ciqfunctions.udf.CIQ("^SPX", "IQ_PRICEDATE", "7/27/2017")</f>
        <v>#NAME?</v>
      </c>
      <c r="AC906" s="16">
        <v>2475.420890931</v>
      </c>
    </row>
    <row r="907" spans="26:29" x14ac:dyDescent="0.35">
      <c r="Z907" s="4"/>
      <c r="AA907" s="4"/>
      <c r="AB907" s="4" t="e">
        <f ca="1">_xll.ciqfunctions.udf.CIQ("^SPX", "IQ_PRICEDATE", "7/28/2017")</f>
        <v>#NAME?</v>
      </c>
      <c r="AC907" s="16">
        <v>2472.0985372059999</v>
      </c>
    </row>
    <row r="908" spans="26:29" x14ac:dyDescent="0.35">
      <c r="Z908" s="4"/>
      <c r="AA908" s="4"/>
      <c r="AB908" s="4" t="e">
        <f ca="1">_xll.ciqfunctions.udf.CIQ("^SPX", "IQ_PRICEDATE", "7/31/2017")</f>
        <v>#NAME?</v>
      </c>
      <c r="AC908" s="16">
        <v>2470.3000252602001</v>
      </c>
    </row>
    <row r="909" spans="26:29" x14ac:dyDescent="0.35">
      <c r="Z909" s="4"/>
      <c r="AA909" s="4"/>
      <c r="AB909" s="4" t="e">
        <f ca="1">_xll.ciqfunctions.udf.CIQ("^SPX", "IQ_PRICEDATE", "8/1/2017")</f>
        <v>#NAME?</v>
      </c>
      <c r="AC909" s="16">
        <v>2476.3472099536002</v>
      </c>
    </row>
    <row r="910" spans="26:29" x14ac:dyDescent="0.35">
      <c r="Z910" s="4"/>
      <c r="AA910" s="4"/>
      <c r="AB910" s="4" t="e">
        <f ca="1">_xll.ciqfunctions.udf.CIQ("^SPX", "IQ_PRICEDATE", "8/2/2017")</f>
        <v>#NAME?</v>
      </c>
      <c r="AC910" s="16">
        <v>2477.5680969176001</v>
      </c>
    </row>
    <row r="911" spans="26:29" x14ac:dyDescent="0.35">
      <c r="Z911" s="4"/>
      <c r="AA911" s="4"/>
      <c r="AB911" s="4" t="e">
        <f ca="1">_xll.ciqfunctions.udf.CIQ("^SPX", "IQ_PRICEDATE", "8/3/2017")</f>
        <v>#NAME?</v>
      </c>
      <c r="AC911" s="16">
        <v>2472.1576280376999</v>
      </c>
    </row>
    <row r="912" spans="26:29" x14ac:dyDescent="0.35">
      <c r="Z912" s="4"/>
      <c r="AA912" s="4"/>
      <c r="AB912" s="4" t="e">
        <f ca="1">_xll.ciqfunctions.udf.CIQ("^SPX", "IQ_PRICEDATE", "8/4/2017")</f>
        <v>#NAME?</v>
      </c>
      <c r="AC912" s="16">
        <v>2476.8309965460999</v>
      </c>
    </row>
    <row r="913" spans="26:29" x14ac:dyDescent="0.35">
      <c r="Z913" s="4"/>
      <c r="AA913" s="4"/>
      <c r="AB913" s="4" t="e">
        <f ca="1">_xll.ciqfunctions.udf.CIQ("^SPX", "IQ_PRICEDATE", "8/7/2017")</f>
        <v>#NAME?</v>
      </c>
      <c r="AC913" s="16">
        <v>2480.9120213837</v>
      </c>
    </row>
    <row r="914" spans="26:29" x14ac:dyDescent="0.35">
      <c r="Z914" s="4"/>
      <c r="AA914" s="4"/>
      <c r="AB914" s="4" t="e">
        <f ca="1">_xll.ciqfunctions.udf.CIQ("^SPX", "IQ_PRICEDATE", "8/8/2017")</f>
        <v>#NAME?</v>
      </c>
      <c r="AC914" s="16">
        <v>2474.9188409218</v>
      </c>
    </row>
    <row r="915" spans="26:29" x14ac:dyDescent="0.35">
      <c r="Z915" s="4"/>
      <c r="AA915" s="4"/>
      <c r="AB915" s="4" t="e">
        <f ca="1">_xll.ciqfunctions.udf.CIQ("^SPX", "IQ_PRICEDATE", "8/9/2017")</f>
        <v>#NAME?</v>
      </c>
      <c r="AC915" s="16">
        <v>2474.0170798125</v>
      </c>
    </row>
    <row r="916" spans="26:29" x14ac:dyDescent="0.35">
      <c r="Z916" s="4"/>
      <c r="AA916" s="4"/>
      <c r="AB916" s="4" t="e">
        <f ca="1">_xll.ciqfunctions.udf.CIQ("^SPX", "IQ_PRICEDATE", "8/10/2017")</f>
        <v>#NAME?</v>
      </c>
      <c r="AC916" s="16">
        <v>2438.2097100884998</v>
      </c>
    </row>
    <row r="917" spans="26:29" x14ac:dyDescent="0.35">
      <c r="Z917" s="4"/>
      <c r="AA917" s="4"/>
      <c r="AB917" s="4" t="e">
        <f ca="1">_xll.ciqfunctions.udf.CIQ("^SPX", "IQ_PRICEDATE", "8/11/2017")</f>
        <v>#NAME?</v>
      </c>
      <c r="AC917" s="16">
        <v>2441.3202405644001</v>
      </c>
    </row>
    <row r="918" spans="26:29" x14ac:dyDescent="0.35">
      <c r="Z918" s="4"/>
      <c r="AA918" s="4"/>
      <c r="AB918" s="4" t="e">
        <f ca="1">_xll.ciqfunctions.udf.CIQ("^SPX", "IQ_PRICEDATE", "8/14/2017")</f>
        <v>#NAME?</v>
      </c>
      <c r="AC918" s="16">
        <v>2465.8358122222999</v>
      </c>
    </row>
    <row r="919" spans="26:29" x14ac:dyDescent="0.35">
      <c r="Z919" s="4"/>
      <c r="AA919" s="4"/>
      <c r="AB919" s="4" t="e">
        <f ca="1">_xll.ciqfunctions.udf.CIQ("^SPX", "IQ_PRICEDATE", "8/15/2017")</f>
        <v>#NAME?</v>
      </c>
      <c r="AC919" s="16">
        <v>2464.6099933352998</v>
      </c>
    </row>
    <row r="920" spans="26:29" x14ac:dyDescent="0.35">
      <c r="Z920" s="4"/>
      <c r="AA920" s="4"/>
      <c r="AB920" s="4" t="e">
        <f ca="1">_xll.ciqfunctions.udf.CIQ("^SPX", "IQ_PRICEDATE", "8/16/2017")</f>
        <v>#NAME?</v>
      </c>
      <c r="AC920" s="16">
        <v>2468.1072601102001</v>
      </c>
    </row>
    <row r="921" spans="26:29" x14ac:dyDescent="0.35">
      <c r="Z921" s="4"/>
      <c r="AA921" s="4"/>
      <c r="AB921" s="4" t="e">
        <f ca="1">_xll.ciqfunctions.udf.CIQ("^SPX", "IQ_PRICEDATE", "8/17/2017")</f>
        <v>#NAME?</v>
      </c>
      <c r="AC921" s="16">
        <v>2430.0078784775001</v>
      </c>
    </row>
    <row r="922" spans="26:29" x14ac:dyDescent="0.35">
      <c r="Z922" s="4"/>
      <c r="AA922" s="4"/>
      <c r="AB922" s="4" t="e">
        <f ca="1">_xll.ciqfunctions.udf.CIQ("^SPX", "IQ_PRICEDATE", "8/18/2017")</f>
        <v>#NAME?</v>
      </c>
      <c r="AC922" s="16">
        <v>2425.5521696646001</v>
      </c>
    </row>
    <row r="923" spans="26:29" x14ac:dyDescent="0.35">
      <c r="Z923" s="4"/>
      <c r="AA923" s="4"/>
      <c r="AB923" s="4" t="e">
        <f ca="1">_xll.ciqfunctions.udf.CIQ("^SPX", "IQ_PRICEDATE", "8/21/2017")</f>
        <v>#NAME?</v>
      </c>
      <c r="AC923" s="16">
        <v>2428.3679855597002</v>
      </c>
    </row>
    <row r="924" spans="26:29" x14ac:dyDescent="0.35">
      <c r="Z924" s="4"/>
      <c r="AA924" s="4"/>
      <c r="AB924" s="4" t="e">
        <f ca="1">_xll.ciqfunctions.udf.CIQ("^SPX", "IQ_PRICEDATE", "8/22/2017")</f>
        <v>#NAME?</v>
      </c>
      <c r="AC924" s="16">
        <v>2452.5102728912998</v>
      </c>
    </row>
    <row r="925" spans="26:29" x14ac:dyDescent="0.35">
      <c r="Z925" s="4"/>
      <c r="AA925" s="4"/>
      <c r="AB925" s="4" t="e">
        <f ca="1">_xll.ciqfunctions.udf.CIQ("^SPX", "IQ_PRICEDATE", "8/23/2017")</f>
        <v>#NAME?</v>
      </c>
      <c r="AC925" s="16">
        <v>2444.0432453390999</v>
      </c>
    </row>
    <row r="926" spans="26:29" x14ac:dyDescent="0.35">
      <c r="Z926" s="4"/>
      <c r="AA926" s="4"/>
      <c r="AB926" s="4" t="e">
        <f ca="1">_xll.ciqfunctions.udf.CIQ("^SPX", "IQ_PRICEDATE", "8/24/2017")</f>
        <v>#NAME?</v>
      </c>
      <c r="AC926" s="16">
        <v>2438.9681198158</v>
      </c>
    </row>
    <row r="927" spans="26:29" x14ac:dyDescent="0.35">
      <c r="Z927" s="4"/>
      <c r="AA927" s="4"/>
      <c r="AB927" s="4" t="e">
        <f ca="1">_xll.ciqfunctions.udf.CIQ("^SPX", "IQ_PRICEDATE", "8/25/2017")</f>
        <v>#NAME?</v>
      </c>
      <c r="AC927" s="16">
        <v>2443.0457983411002</v>
      </c>
    </row>
    <row r="928" spans="26:29" x14ac:dyDescent="0.35">
      <c r="Z928" s="4"/>
      <c r="AA928" s="4"/>
      <c r="AB928" s="4" t="e">
        <f ca="1">_xll.ciqfunctions.udf.CIQ("^SPX", "IQ_PRICEDATE", "8/28/2017")</f>
        <v>#NAME?</v>
      </c>
      <c r="AC928" s="16">
        <v>2444.2403151729</v>
      </c>
    </row>
    <row r="929" spans="26:29" x14ac:dyDescent="0.35">
      <c r="Z929" s="4"/>
      <c r="AA929" s="4"/>
      <c r="AB929" s="4" t="e">
        <f ca="1">_xll.ciqfunctions.udf.CIQ("^SPX", "IQ_PRICEDATE", "8/29/2017")</f>
        <v>#NAME?</v>
      </c>
      <c r="AC929" s="16">
        <v>2446.2955235941999</v>
      </c>
    </row>
    <row r="930" spans="26:29" x14ac:dyDescent="0.35">
      <c r="Z930" s="4"/>
      <c r="AA930" s="4"/>
      <c r="AB930" s="4" t="e">
        <f ca="1">_xll.ciqfunctions.udf.CIQ("^SPX", "IQ_PRICEDATE", "8/30/2017")</f>
        <v>#NAME?</v>
      </c>
      <c r="AC930" s="16">
        <v>2457.5858115205001</v>
      </c>
    </row>
    <row r="931" spans="26:29" x14ac:dyDescent="0.35">
      <c r="Z931" s="4"/>
      <c r="AA931" s="4"/>
      <c r="AB931" s="4" t="e">
        <f ca="1">_xll.ciqfunctions.udf.CIQ("^SPX", "IQ_PRICEDATE", "8/31/2017")</f>
        <v>#NAME?</v>
      </c>
      <c r="AC931" s="16">
        <v>2471.6502079420002</v>
      </c>
    </row>
    <row r="932" spans="26:29" x14ac:dyDescent="0.35">
      <c r="Z932" s="4"/>
      <c r="AA932" s="4"/>
      <c r="AB932" s="4" t="e">
        <f ca="1">_xll.ciqfunctions.udf.CIQ("^SPX", "IQ_PRICEDATE", "9/1/2017")</f>
        <v>#NAME?</v>
      </c>
      <c r="AC932" s="16">
        <v>2476.5523893887998</v>
      </c>
    </row>
    <row r="933" spans="26:29" x14ac:dyDescent="0.35">
      <c r="Z933" s="4"/>
      <c r="AA933" s="4"/>
      <c r="AB933" s="4" t="e">
        <f ca="1">_xll.ciqfunctions.udf.CIQ("^SPX", "IQ_PRICEDATE", "9/5/2017")</f>
        <v>#NAME?</v>
      </c>
      <c r="AC933" s="16">
        <v>2457.8498705637999</v>
      </c>
    </row>
    <row r="934" spans="26:29" x14ac:dyDescent="0.35">
      <c r="Z934" s="4"/>
      <c r="AA934" s="4"/>
      <c r="AB934" s="4" t="e">
        <f ca="1">_xll.ciqfunctions.udf.CIQ("^SPX", "IQ_PRICEDATE", "9/6/2017")</f>
        <v>#NAME?</v>
      </c>
      <c r="AC934" s="16">
        <v>2465.5436228673002</v>
      </c>
    </row>
    <row r="935" spans="26:29" x14ac:dyDescent="0.35">
      <c r="Z935" s="4"/>
      <c r="AA935" s="4"/>
      <c r="AB935" s="4" t="e">
        <f ca="1">_xll.ciqfunctions.udf.CIQ("^SPX", "IQ_PRICEDATE", "9/7/2017")</f>
        <v>#NAME?</v>
      </c>
      <c r="AC935" s="16">
        <v>2465.1021359574002</v>
      </c>
    </row>
    <row r="936" spans="26:29" x14ac:dyDescent="0.35">
      <c r="Z936" s="4"/>
      <c r="AA936" s="4"/>
      <c r="AB936" s="4" t="e">
        <f ca="1">_xll.ciqfunctions.udf.CIQ("^SPX", "IQ_PRICEDATE", "9/8/2017")</f>
        <v>#NAME?</v>
      </c>
      <c r="AC936" s="16">
        <v>2461.4336439222002</v>
      </c>
    </row>
    <row r="937" spans="26:29" x14ac:dyDescent="0.35">
      <c r="Z937" s="4"/>
      <c r="AA937" s="4"/>
      <c r="AB937" s="4" t="e">
        <f ca="1">_xll.ciqfunctions.udf.CIQ("^SPX", "IQ_PRICEDATE", "9/11/2017")</f>
        <v>#NAME?</v>
      </c>
      <c r="AC937" s="16">
        <v>2488.1079650554002</v>
      </c>
    </row>
    <row r="938" spans="26:29" x14ac:dyDescent="0.35">
      <c r="Z938" s="4"/>
      <c r="AA938" s="4"/>
      <c r="AB938" s="4" t="e">
        <f ca="1">_xll.ciqfunctions.udf.CIQ("^SPX", "IQ_PRICEDATE", "9/12/2017")</f>
        <v>#NAME?</v>
      </c>
      <c r="AC938" s="16">
        <v>2496.4836195681</v>
      </c>
    </row>
    <row r="939" spans="26:29" x14ac:dyDescent="0.35">
      <c r="Z939" s="4"/>
      <c r="AA939" s="4"/>
      <c r="AB939" s="4" t="e">
        <f ca="1">_xll.ciqfunctions.udf.CIQ("^SPX", "IQ_PRICEDATE", "9/13/2017")</f>
        <v>#NAME?</v>
      </c>
      <c r="AC939" s="16">
        <v>2498.3708154599999</v>
      </c>
    </row>
    <row r="940" spans="26:29" x14ac:dyDescent="0.35">
      <c r="Z940" s="4"/>
      <c r="AA940" s="4"/>
      <c r="AB940" s="4" t="e">
        <f ca="1">_xll.ciqfunctions.udf.CIQ("^SPX", "IQ_PRICEDATE", "9/14/2017")</f>
        <v>#NAME?</v>
      </c>
      <c r="AC940" s="16">
        <v>2495.6191538507001</v>
      </c>
    </row>
    <row r="941" spans="26:29" x14ac:dyDescent="0.35">
      <c r="Z941" s="4"/>
      <c r="AA941" s="4"/>
      <c r="AB941" s="4" t="e">
        <f ca="1">_xll.ciqfunctions.udf.CIQ("^SPX", "IQ_PRICEDATE", "9/15/2017")</f>
        <v>#NAME?</v>
      </c>
      <c r="AC941" s="16">
        <v>2500.2258576201998</v>
      </c>
    </row>
    <row r="942" spans="26:29" x14ac:dyDescent="0.35">
      <c r="Z942" s="4"/>
      <c r="AA942" s="4"/>
      <c r="AB942" s="4" t="e">
        <f ca="1">_xll.ciqfunctions.udf.CIQ("^SPX", "IQ_PRICEDATE", "9/18/2017")</f>
        <v>#NAME?</v>
      </c>
      <c r="AC942" s="16">
        <v>2503.8695562620001</v>
      </c>
    </row>
    <row r="943" spans="26:29" x14ac:dyDescent="0.35">
      <c r="Z943" s="4"/>
      <c r="AA943" s="4"/>
      <c r="AB943" s="4" t="e">
        <f ca="1">_xll.ciqfunctions.udf.CIQ("^SPX", "IQ_PRICEDATE", "9/19/2017")</f>
        <v>#NAME?</v>
      </c>
      <c r="AC943" s="16">
        <v>2506.6479354336002</v>
      </c>
    </row>
    <row r="944" spans="26:29" x14ac:dyDescent="0.35">
      <c r="Z944" s="4"/>
      <c r="AA944" s="4"/>
      <c r="AB944" s="4" t="e">
        <f ca="1">_xll.ciqfunctions.udf.CIQ("^SPX", "IQ_PRICEDATE", "9/20/2017")</f>
        <v>#NAME?</v>
      </c>
      <c r="AC944" s="16">
        <v>2508.2360483629</v>
      </c>
    </row>
    <row r="945" spans="26:29" x14ac:dyDescent="0.35">
      <c r="Z945" s="4"/>
      <c r="AA945" s="4"/>
      <c r="AB945" s="4" t="e">
        <f ca="1">_xll.ciqfunctions.udf.CIQ("^SPX", "IQ_PRICEDATE", "9/21/2017")</f>
        <v>#NAME?</v>
      </c>
      <c r="AC945" s="16">
        <v>2500.6026174977001</v>
      </c>
    </row>
    <row r="946" spans="26:29" x14ac:dyDescent="0.35">
      <c r="Z946" s="4"/>
      <c r="AA946" s="4"/>
      <c r="AB946" s="4" t="e">
        <f ca="1">_xll.ciqfunctions.udf.CIQ("^SPX", "IQ_PRICEDATE", "9/22/2017")</f>
        <v>#NAME?</v>
      </c>
      <c r="AC946" s="16">
        <v>2502.2222245405001</v>
      </c>
    </row>
    <row r="947" spans="26:29" x14ac:dyDescent="0.35">
      <c r="Z947" s="4"/>
      <c r="AA947" s="4"/>
      <c r="AB947" s="4" t="e">
        <f ca="1">_xll.ciqfunctions.udf.CIQ("^SPX", "IQ_PRICEDATE", "9/25/2017")</f>
        <v>#NAME?</v>
      </c>
      <c r="AC947" s="16">
        <v>2496.6605903076002</v>
      </c>
    </row>
    <row r="948" spans="26:29" x14ac:dyDescent="0.35">
      <c r="Z948" s="4"/>
      <c r="AA948" s="4"/>
      <c r="AB948" s="4" t="e">
        <f ca="1">_xll.ciqfunctions.udf.CIQ("^SPX", "IQ_PRICEDATE", "9/26/2017")</f>
        <v>#NAME?</v>
      </c>
      <c r="AC948" s="16">
        <v>2496.8408940905001</v>
      </c>
    </row>
    <row r="949" spans="26:29" x14ac:dyDescent="0.35">
      <c r="Z949" s="4"/>
      <c r="AA949" s="4"/>
      <c r="AB949" s="4" t="e">
        <f ca="1">_xll.ciqfunctions.udf.CIQ("^SPX", "IQ_PRICEDATE", "9/27/2017")</f>
        <v>#NAME?</v>
      </c>
      <c r="AC949" s="16">
        <v>2507.0432811582</v>
      </c>
    </row>
    <row r="950" spans="26:29" x14ac:dyDescent="0.35">
      <c r="Z950" s="4"/>
      <c r="AA950" s="4"/>
      <c r="AB950" s="4" t="e">
        <f ca="1">_xll.ciqfunctions.udf.CIQ("^SPX", "IQ_PRICEDATE", "9/28/2017")</f>
        <v>#NAME?</v>
      </c>
      <c r="AC950" s="16">
        <v>2510.0619918303</v>
      </c>
    </row>
    <row r="951" spans="26:29" x14ac:dyDescent="0.35">
      <c r="Z951" s="4"/>
      <c r="AA951" s="4"/>
      <c r="AB951" s="4" t="e">
        <f ca="1">_xll.ciqfunctions.udf.CIQ("^SPX", "IQ_PRICEDATE", "9/29/2017")</f>
        <v>#NAME?</v>
      </c>
      <c r="AC951" s="16">
        <v>2519.3596719061002</v>
      </c>
    </row>
    <row r="952" spans="26:29" x14ac:dyDescent="0.35">
      <c r="Z952" s="4"/>
      <c r="AA952" s="4"/>
      <c r="AB952" s="4" t="e">
        <f ca="1">_xll.ciqfunctions.udf.CIQ("^SPX", "IQ_PRICEDATE", "10/2/2017")</f>
        <v>#NAME?</v>
      </c>
      <c r="AC952" s="16">
        <v>2529.1152990602</v>
      </c>
    </row>
    <row r="953" spans="26:29" x14ac:dyDescent="0.35">
      <c r="Z953" s="4"/>
      <c r="AA953" s="4"/>
      <c r="AB953" s="4" t="e">
        <f ca="1">_xll.ciqfunctions.udf.CIQ("^SPX", "IQ_PRICEDATE", "10/3/2017")</f>
        <v>#NAME?</v>
      </c>
      <c r="AC953" s="16">
        <v>2534.5796830441</v>
      </c>
    </row>
    <row r="954" spans="26:29" x14ac:dyDescent="0.35">
      <c r="Z954" s="4"/>
      <c r="AA954" s="4"/>
      <c r="AB954" s="4" t="e">
        <f ca="1">_xll.ciqfunctions.udf.CIQ("^SPX", "IQ_PRICEDATE", "10/4/2017")</f>
        <v>#NAME?</v>
      </c>
      <c r="AC954" s="16">
        <v>2537.7412400060002</v>
      </c>
    </row>
    <row r="955" spans="26:29" x14ac:dyDescent="0.35">
      <c r="Z955" s="4"/>
      <c r="AA955" s="4"/>
      <c r="AB955" s="4" t="e">
        <f ca="1">_xll.ciqfunctions.udf.CIQ("^SPX", "IQ_PRICEDATE", "10/5/2017")</f>
        <v>#NAME?</v>
      </c>
      <c r="AC955" s="16">
        <v>2552.0653990719002</v>
      </c>
    </row>
    <row r="956" spans="26:29" x14ac:dyDescent="0.35">
      <c r="Z956" s="4"/>
      <c r="AA956" s="4"/>
      <c r="AB956" s="4" t="e">
        <f ca="1">_xll.ciqfunctions.udf.CIQ("^SPX", "IQ_PRICEDATE", "10/6/2017")</f>
        <v>#NAME?</v>
      </c>
      <c r="AC956" s="16">
        <v>2549.3315089020998</v>
      </c>
    </row>
    <row r="957" spans="26:29" x14ac:dyDescent="0.35">
      <c r="Z957" s="4"/>
      <c r="AA957" s="4"/>
      <c r="AB957" s="4" t="e">
        <f ca="1">_xll.ciqfunctions.udf.CIQ("^SPX", "IQ_PRICEDATE", "10/9/2017")</f>
        <v>#NAME?</v>
      </c>
      <c r="AC957" s="16">
        <v>2544.7285771562001</v>
      </c>
    </row>
    <row r="958" spans="26:29" x14ac:dyDescent="0.35">
      <c r="Z958" s="4"/>
      <c r="AA958" s="4"/>
      <c r="AB958" s="4" t="e">
        <f ca="1">_xll.ciqfunctions.udf.CIQ("^SPX", "IQ_PRICEDATE", "10/10/2017")</f>
        <v>#NAME?</v>
      </c>
      <c r="AC958" s="16">
        <v>2550.6424334051999</v>
      </c>
    </row>
    <row r="959" spans="26:29" x14ac:dyDescent="0.35">
      <c r="Z959" s="4"/>
      <c r="AA959" s="4"/>
      <c r="AB959" s="4" t="e">
        <f ca="1">_xll.ciqfunctions.udf.CIQ("^SPX", "IQ_PRICEDATE", "10/11/2017")</f>
        <v>#NAME?</v>
      </c>
      <c r="AC959" s="16">
        <v>2555.2407886845999</v>
      </c>
    </row>
    <row r="960" spans="26:29" x14ac:dyDescent="0.35">
      <c r="Z960" s="4"/>
      <c r="AA960" s="4"/>
      <c r="AB960" s="4" t="e">
        <f ca="1">_xll.ciqfunctions.udf.CIQ("^SPX", "IQ_PRICEDATE", "10/12/2017")</f>
        <v>#NAME?</v>
      </c>
      <c r="AC960" s="16">
        <v>2550.9330093848998</v>
      </c>
    </row>
    <row r="961" spans="26:29" x14ac:dyDescent="0.35">
      <c r="Z961" s="4"/>
      <c r="AA961" s="4"/>
      <c r="AB961" s="4" t="e">
        <f ca="1">_xll.ciqfunctions.udf.CIQ("^SPX", "IQ_PRICEDATE", "10/13/2017")</f>
        <v>#NAME?</v>
      </c>
      <c r="AC961" s="16">
        <v>2553.1693728503001</v>
      </c>
    </row>
    <row r="962" spans="26:29" x14ac:dyDescent="0.35">
      <c r="Z962" s="4"/>
      <c r="AA962" s="4"/>
      <c r="AB962" s="4" t="e">
        <f ca="1">_xll.ciqfunctions.udf.CIQ("^SPX", "IQ_PRICEDATE", "10/16/2017")</f>
        <v>#NAME?</v>
      </c>
      <c r="AC962" s="16">
        <v>2557.6397377800999</v>
      </c>
    </row>
    <row r="963" spans="26:29" x14ac:dyDescent="0.35">
      <c r="Z963" s="4"/>
      <c r="AA963" s="4"/>
      <c r="AB963" s="4" t="e">
        <f ca="1">_xll.ciqfunctions.udf.CIQ("^SPX", "IQ_PRICEDATE", "10/17/2017")</f>
        <v>#NAME?</v>
      </c>
      <c r="AC963" s="16">
        <v>2559.3563108588</v>
      </c>
    </row>
    <row r="964" spans="26:29" x14ac:dyDescent="0.35">
      <c r="Z964" s="4"/>
      <c r="AA964" s="4"/>
      <c r="AB964" s="4" t="e">
        <f ca="1">_xll.ciqfunctions.udf.CIQ("^SPX", "IQ_PRICEDATE", "10/18/2017")</f>
        <v>#NAME?</v>
      </c>
      <c r="AC964" s="16">
        <v>2561.2644527327998</v>
      </c>
    </row>
    <row r="965" spans="26:29" x14ac:dyDescent="0.35">
      <c r="Z965" s="4"/>
      <c r="AA965" s="4"/>
      <c r="AB965" s="4" t="e">
        <f ca="1">_xll.ciqfunctions.udf.CIQ("^SPX", "IQ_PRICEDATE", "10/19/2017")</f>
        <v>#NAME?</v>
      </c>
      <c r="AC965" s="16">
        <v>2562.1037547780002</v>
      </c>
    </row>
    <row r="966" spans="26:29" x14ac:dyDescent="0.35">
      <c r="Z966" s="4"/>
      <c r="AA966" s="4"/>
      <c r="AB966" s="4" t="e">
        <f ca="1">_xll.ciqfunctions.udf.CIQ("^SPX", "IQ_PRICEDATE", "10/20/2017")</f>
        <v>#NAME?</v>
      </c>
      <c r="AC966" s="16">
        <v>2575.2058778891001</v>
      </c>
    </row>
    <row r="967" spans="26:29" x14ac:dyDescent="0.35">
      <c r="Z967" s="4"/>
      <c r="AA967" s="4"/>
      <c r="AB967" s="4" t="e">
        <f ca="1">_xll.ciqfunctions.udf.CIQ("^SPX", "IQ_PRICEDATE", "10/23/2017")</f>
        <v>#NAME?</v>
      </c>
      <c r="AC967" s="16">
        <v>2564.9785238794998</v>
      </c>
    </row>
    <row r="968" spans="26:29" x14ac:dyDescent="0.35">
      <c r="Z968" s="4"/>
      <c r="AA968" s="4"/>
      <c r="AB968" s="4" t="e">
        <f ca="1">_xll.ciqfunctions.udf.CIQ("^SPX", "IQ_PRICEDATE", "10/24/2017")</f>
        <v>#NAME?</v>
      </c>
      <c r="AC968" s="16">
        <v>2569.1342599453001</v>
      </c>
    </row>
    <row r="969" spans="26:29" x14ac:dyDescent="0.35">
      <c r="Z969" s="4"/>
      <c r="AA969" s="4"/>
      <c r="AB969" s="4" t="e">
        <f ca="1">_xll.ciqfunctions.udf.CIQ("^SPX", "IQ_PRICEDATE", "10/25/2017")</f>
        <v>#NAME?</v>
      </c>
      <c r="AC969" s="16">
        <v>2557.1509845873002</v>
      </c>
    </row>
    <row r="970" spans="26:29" x14ac:dyDescent="0.35">
      <c r="Z970" s="4"/>
      <c r="AA970" s="4"/>
      <c r="AB970" s="4" t="e">
        <f ca="1">_xll.ciqfunctions.udf.CIQ("^SPX", "IQ_PRICEDATE", "10/26/2017")</f>
        <v>#NAME?</v>
      </c>
      <c r="AC970" s="16">
        <v>2560.3991945194002</v>
      </c>
    </row>
    <row r="971" spans="26:29" x14ac:dyDescent="0.35">
      <c r="Z971" s="4"/>
      <c r="AA971" s="4"/>
      <c r="AB971" s="4" t="e">
        <f ca="1">_xll.ciqfunctions.udf.CIQ("^SPX", "IQ_PRICEDATE", "10/27/2017")</f>
        <v>#NAME?</v>
      </c>
      <c r="AC971" s="16">
        <v>2581.0657031342998</v>
      </c>
    </row>
    <row r="972" spans="26:29" x14ac:dyDescent="0.35">
      <c r="Z972" s="4"/>
      <c r="AA972" s="4"/>
      <c r="AB972" s="4" t="e">
        <f ca="1">_xll.ciqfunctions.udf.CIQ("^SPX", "IQ_PRICEDATE", "10/30/2017")</f>
        <v>#NAME?</v>
      </c>
      <c r="AC972" s="16">
        <v>2572.8336032472998</v>
      </c>
    </row>
    <row r="973" spans="26:29" x14ac:dyDescent="0.35">
      <c r="Z973" s="4"/>
      <c r="AA973" s="4"/>
      <c r="AB973" s="4" t="e">
        <f ca="1">_xll.ciqfunctions.udf.CIQ("^SPX", "IQ_PRICEDATE", "10/31/2017")</f>
        <v>#NAME?</v>
      </c>
      <c r="AC973" s="16">
        <v>2575.2638304521001</v>
      </c>
    </row>
    <row r="974" spans="26:29" x14ac:dyDescent="0.35">
      <c r="Z974" s="4"/>
      <c r="AA974" s="4"/>
      <c r="AB974" s="4" t="e">
        <f ca="1">_xll.ciqfunctions.udf.CIQ("^SPX", "IQ_PRICEDATE", "11/1/2017")</f>
        <v>#NAME?</v>
      </c>
      <c r="AC974" s="16">
        <v>2579.3558498933999</v>
      </c>
    </row>
    <row r="975" spans="26:29" x14ac:dyDescent="0.35">
      <c r="Z975" s="4"/>
      <c r="AA975" s="4"/>
      <c r="AB975" s="4" t="e">
        <f ca="1">_xll.ciqfunctions.udf.CIQ("^SPX", "IQ_PRICEDATE", "11/2/2017")</f>
        <v>#NAME?</v>
      </c>
      <c r="AC975" s="16">
        <v>2579.8516516144</v>
      </c>
    </row>
    <row r="976" spans="26:29" x14ac:dyDescent="0.35">
      <c r="Z976" s="4"/>
      <c r="AA976" s="4"/>
      <c r="AB976" s="4" t="e">
        <f ca="1">_xll.ciqfunctions.udf.CIQ("^SPX", "IQ_PRICEDATE", "11/3/2017")</f>
        <v>#NAME?</v>
      </c>
      <c r="AC976" s="16">
        <v>2587.8360570379</v>
      </c>
    </row>
    <row r="977" spans="26:29" x14ac:dyDescent="0.35">
      <c r="Z977" s="4"/>
      <c r="AA977" s="4"/>
      <c r="AB977" s="4" t="e">
        <f ca="1">_xll.ciqfunctions.udf.CIQ("^SPX", "IQ_PRICEDATE", "11/6/2017")</f>
        <v>#NAME?</v>
      </c>
      <c r="AC977" s="16">
        <v>2591.1284424032001</v>
      </c>
    </row>
    <row r="978" spans="26:29" x14ac:dyDescent="0.35">
      <c r="Z978" s="4"/>
      <c r="AA978" s="4"/>
      <c r="AB978" s="4" t="e">
        <f ca="1">_xll.ciqfunctions.udf.CIQ("^SPX", "IQ_PRICEDATE", "11/7/2017")</f>
        <v>#NAME?</v>
      </c>
      <c r="AC978" s="16">
        <v>2590.6417566441</v>
      </c>
    </row>
    <row r="979" spans="26:29" x14ac:dyDescent="0.35">
      <c r="Z979" s="4"/>
      <c r="AA979" s="4"/>
      <c r="AB979" s="4" t="e">
        <f ca="1">_xll.ciqfunctions.udf.CIQ("^SPX", "IQ_PRICEDATE", "11/8/2017")</f>
        <v>#NAME?</v>
      </c>
      <c r="AC979" s="16">
        <v>2594.3752091488</v>
      </c>
    </row>
    <row r="980" spans="26:29" x14ac:dyDescent="0.35">
      <c r="Z980" s="4"/>
      <c r="AA980" s="4"/>
      <c r="AB980" s="4" t="e">
        <f ca="1">_xll.ciqfunctions.udf.CIQ("^SPX", "IQ_PRICEDATE", "11/9/2017")</f>
        <v>#NAME?</v>
      </c>
      <c r="AC980" s="16">
        <v>2584.6212738756999</v>
      </c>
    </row>
    <row r="981" spans="26:29" x14ac:dyDescent="0.35">
      <c r="Z981" s="4"/>
      <c r="AA981" s="4"/>
      <c r="AB981" s="4" t="e">
        <f ca="1">_xll.ciqfunctions.udf.CIQ("^SPX", "IQ_PRICEDATE", "11/10/2017")</f>
        <v>#NAME?</v>
      </c>
      <c r="AC981" s="16">
        <v>2582.3000392549002</v>
      </c>
    </row>
    <row r="982" spans="26:29" x14ac:dyDescent="0.35">
      <c r="Z982" s="4"/>
      <c r="AA982" s="4"/>
      <c r="AB982" s="4" t="e">
        <f ca="1">_xll.ciqfunctions.udf.CIQ("^SPX", "IQ_PRICEDATE", "11/13/2017")</f>
        <v>#NAME?</v>
      </c>
      <c r="AC982" s="16">
        <v>2584.844826306</v>
      </c>
    </row>
    <row r="983" spans="26:29" x14ac:dyDescent="0.35">
      <c r="Z983" s="4"/>
      <c r="AA983" s="4"/>
      <c r="AB983" s="4" t="e">
        <f ca="1">_xll.ciqfunctions.udf.CIQ("^SPX", "IQ_PRICEDATE", "11/14/2017")</f>
        <v>#NAME?</v>
      </c>
      <c r="AC983" s="16">
        <v>2578.8718241124998</v>
      </c>
    </row>
    <row r="984" spans="26:29" x14ac:dyDescent="0.35">
      <c r="Z984" s="4"/>
      <c r="AA984" s="4"/>
      <c r="AB984" s="4" t="e">
        <f ca="1">_xll.ciqfunctions.udf.CIQ("^SPX", "IQ_PRICEDATE", "11/15/2017")</f>
        <v>#NAME?</v>
      </c>
      <c r="AC984" s="16">
        <v>2564.6205095055998</v>
      </c>
    </row>
    <row r="985" spans="26:29" x14ac:dyDescent="0.35">
      <c r="Z985" s="4"/>
      <c r="AA985" s="4"/>
      <c r="AB985" s="4" t="e">
        <f ca="1">_xll.ciqfunctions.udf.CIQ("^SPX", "IQ_PRICEDATE", "11/16/2017")</f>
        <v>#NAME?</v>
      </c>
      <c r="AC985" s="16">
        <v>2585.6431638326999</v>
      </c>
    </row>
    <row r="986" spans="26:29" x14ac:dyDescent="0.35">
      <c r="Z986" s="4"/>
      <c r="AA986" s="4"/>
      <c r="AB986" s="4" t="e">
        <f ca="1">_xll.ciqfunctions.udf.CIQ("^SPX", "IQ_PRICEDATE", "11/17/2017")</f>
        <v>#NAME?</v>
      </c>
      <c r="AC986" s="16">
        <v>2578.8543239638002</v>
      </c>
    </row>
    <row r="987" spans="26:29" x14ac:dyDescent="0.35">
      <c r="Z987" s="4"/>
      <c r="AA987" s="4"/>
      <c r="AB987" s="4" t="e">
        <f ca="1">_xll.ciqfunctions.udf.CIQ("^SPX", "IQ_PRICEDATE", "11/20/2017")</f>
        <v>#NAME?</v>
      </c>
      <c r="AC987" s="16">
        <v>2582.1415887037001</v>
      </c>
    </row>
    <row r="988" spans="26:29" x14ac:dyDescent="0.35">
      <c r="Z988" s="4"/>
      <c r="AA988" s="4"/>
      <c r="AB988" s="4" t="e">
        <f ca="1">_xll.ciqfunctions.udf.CIQ("^SPX", "IQ_PRICEDATE", "11/21/2017")</f>
        <v>#NAME?</v>
      </c>
      <c r="AC988" s="16">
        <v>2599.0291929053001</v>
      </c>
    </row>
    <row r="989" spans="26:29" x14ac:dyDescent="0.35">
      <c r="Z989" s="4"/>
      <c r="AA989" s="4"/>
      <c r="AB989" s="4" t="e">
        <f ca="1">_xll.ciqfunctions.udf.CIQ("^SPX", "IQ_PRICEDATE", "11/22/2017")</f>
        <v>#NAME?</v>
      </c>
      <c r="AC989" s="16">
        <v>2597.0772026103</v>
      </c>
    </row>
    <row r="990" spans="26:29" x14ac:dyDescent="0.35">
      <c r="Z990" s="4"/>
      <c r="AA990" s="4"/>
      <c r="AB990" s="4" t="e">
        <f ca="1">_xll.ciqfunctions.udf.CIQ("^SPX", "IQ_PRICEDATE", "11/24/2017")</f>
        <v>#NAME?</v>
      </c>
      <c r="AC990" s="16">
        <v>2602.4247078124999</v>
      </c>
    </row>
    <row r="991" spans="26:29" x14ac:dyDescent="0.35">
      <c r="Z991" s="4"/>
      <c r="AA991" s="4"/>
      <c r="AB991" s="4" t="e">
        <f ca="1">_xll.ciqfunctions.udf.CIQ("^SPX", "IQ_PRICEDATE", "11/27/2017")</f>
        <v>#NAME?</v>
      </c>
      <c r="AC991" s="16">
        <v>2601.4238908288999</v>
      </c>
    </row>
    <row r="992" spans="26:29" x14ac:dyDescent="0.35">
      <c r="Z992" s="4"/>
      <c r="AA992" s="4"/>
      <c r="AB992" s="4" t="e">
        <f ca="1">_xll.ciqfunctions.udf.CIQ("^SPX", "IQ_PRICEDATE", "11/28/2017")</f>
        <v>#NAME?</v>
      </c>
      <c r="AC992" s="16">
        <v>2627.0440254405999</v>
      </c>
    </row>
    <row r="993" spans="26:29" x14ac:dyDescent="0.35">
      <c r="Z993" s="4"/>
      <c r="AA993" s="4"/>
      <c r="AB993" s="4" t="e">
        <f ca="1">_xll.ciqfunctions.udf.CIQ("^SPX", "IQ_PRICEDATE", "11/29/2017")</f>
        <v>#NAME?</v>
      </c>
      <c r="AC993" s="16">
        <v>2626.0661946542</v>
      </c>
    </row>
    <row r="994" spans="26:29" x14ac:dyDescent="0.35">
      <c r="Z994" s="4"/>
      <c r="AA994" s="4"/>
      <c r="AB994" s="4" t="e">
        <f ca="1">_xll.ciqfunctions.udf.CIQ("^SPX", "IQ_PRICEDATE", "11/30/2017")</f>
        <v>#NAME?</v>
      </c>
      <c r="AC994" s="16">
        <v>2647.5799274831002</v>
      </c>
    </row>
    <row r="995" spans="26:29" x14ac:dyDescent="0.35">
      <c r="Z995" s="4"/>
      <c r="AA995" s="4"/>
      <c r="AB995" s="4" t="e">
        <f ca="1">_xll.ciqfunctions.udf.CIQ("^SPX", "IQ_PRICEDATE", "12/1/2017")</f>
        <v>#NAME?</v>
      </c>
      <c r="AC995" s="16">
        <v>2642.2157647466001</v>
      </c>
    </row>
    <row r="996" spans="26:29" x14ac:dyDescent="0.35">
      <c r="Z996" s="4"/>
      <c r="AA996" s="4"/>
      <c r="AB996" s="4" t="e">
        <f ca="1">_xll.ciqfunctions.udf.CIQ("^SPX", "IQ_PRICEDATE", "12/4/2017")</f>
        <v>#NAME?</v>
      </c>
      <c r="AC996" s="16">
        <v>2639.4370480450002</v>
      </c>
    </row>
    <row r="997" spans="26:29" x14ac:dyDescent="0.35">
      <c r="Z997" s="4"/>
      <c r="AA997" s="4"/>
      <c r="AB997" s="4" t="e">
        <f ca="1">_xll.ciqfunctions.udf.CIQ("^SPX", "IQ_PRICEDATE", "12/5/2017")</f>
        <v>#NAME?</v>
      </c>
      <c r="AC997" s="16">
        <v>2629.5708449898002</v>
      </c>
    </row>
    <row r="998" spans="26:29" x14ac:dyDescent="0.35">
      <c r="Z998" s="4"/>
      <c r="AA998" s="4"/>
      <c r="AB998" s="4" t="e">
        <f ca="1">_xll.ciqfunctions.udf.CIQ("^SPX", "IQ_PRICEDATE", "12/6/2017")</f>
        <v>#NAME?</v>
      </c>
      <c r="AC998" s="16">
        <v>2629.2669138668002</v>
      </c>
    </row>
    <row r="999" spans="26:29" x14ac:dyDescent="0.35">
      <c r="Z999" s="4"/>
      <c r="AA999" s="4"/>
      <c r="AB999" s="4" t="e">
        <f ca="1">_xll.ciqfunctions.udf.CIQ("^SPX", "IQ_PRICEDATE", "12/7/2017")</f>
        <v>#NAME?</v>
      </c>
      <c r="AC999" s="16">
        <v>2636.9764936510001</v>
      </c>
    </row>
    <row r="1000" spans="26:29" x14ac:dyDescent="0.35">
      <c r="Z1000" s="4"/>
      <c r="AA1000" s="4"/>
      <c r="AB1000" s="4" t="e">
        <f ca="1">_xll.ciqfunctions.udf.CIQ("^SPX", "IQ_PRICEDATE", "12/8/2017")</f>
        <v>#NAME?</v>
      </c>
      <c r="AC1000" s="16">
        <v>2651.5010002734002</v>
      </c>
    </row>
    <row r="1001" spans="26:29" x14ac:dyDescent="0.35">
      <c r="Z1001" s="4"/>
      <c r="AA1001" s="4"/>
      <c r="AB1001" s="4" t="e">
        <f ca="1">_xll.ciqfunctions.udf.CIQ("^SPX", "IQ_PRICEDATE", "12/11/2017")</f>
        <v>#NAME?</v>
      </c>
      <c r="AC1001" s="16">
        <v>2659.9896497108002</v>
      </c>
    </row>
    <row r="1002" spans="26:29" x14ac:dyDescent="0.35">
      <c r="Z1002" s="4"/>
      <c r="AA1002" s="4"/>
      <c r="AB1002" s="4" t="e">
        <f ca="1">_xll.ciqfunctions.udf.CIQ("^SPX", "IQ_PRICEDATE", "12/12/2017")</f>
        <v>#NAME?</v>
      </c>
      <c r="AC1002" s="16">
        <v>2664.1057286303999</v>
      </c>
    </row>
    <row r="1003" spans="26:29" x14ac:dyDescent="0.35">
      <c r="Z1003" s="4"/>
      <c r="AA1003" s="4"/>
      <c r="AB1003" s="4" t="e">
        <f ca="1">_xll.ciqfunctions.udf.CIQ("^SPX", "IQ_PRICEDATE", "12/13/2017")</f>
        <v>#NAME?</v>
      </c>
      <c r="AC1003" s="16">
        <v>2662.8451882638001</v>
      </c>
    </row>
    <row r="1004" spans="26:29" x14ac:dyDescent="0.35">
      <c r="Z1004" s="4"/>
      <c r="AA1004" s="4"/>
      <c r="AB1004" s="4" t="e">
        <f ca="1">_xll.ciqfunctions.udf.CIQ("^SPX", "IQ_PRICEDATE", "12/14/2017")</f>
        <v>#NAME?</v>
      </c>
      <c r="AC1004" s="16">
        <v>2652.0124436092001</v>
      </c>
    </row>
    <row r="1005" spans="26:29" x14ac:dyDescent="0.35">
      <c r="Z1005" s="4"/>
      <c r="AA1005" s="4"/>
      <c r="AB1005" s="4" t="e">
        <f ca="1">_xll.ciqfunctions.udf.CIQ("^SPX", "IQ_PRICEDATE", "12/15/2017")</f>
        <v>#NAME?</v>
      </c>
      <c r="AC1005" s="16">
        <v>2675.8079812269998</v>
      </c>
    </row>
    <row r="1006" spans="26:29" x14ac:dyDescent="0.35">
      <c r="Z1006" s="4"/>
      <c r="AA1006" s="4"/>
      <c r="AB1006" s="4" t="e">
        <f ca="1">_xll.ciqfunctions.udf.CIQ("^SPX", "IQ_PRICEDATE", "12/18/2017")</f>
        <v>#NAME?</v>
      </c>
      <c r="AC1006" s="16">
        <v>2690.1582514102001</v>
      </c>
    </row>
    <row r="1007" spans="26:29" x14ac:dyDescent="0.35">
      <c r="Z1007" s="4"/>
      <c r="AA1007" s="4"/>
      <c r="AB1007" s="4" t="e">
        <f ca="1">_xll.ciqfunctions.udf.CIQ("^SPX", "IQ_PRICEDATE", "12/19/2017")</f>
        <v>#NAME?</v>
      </c>
      <c r="AC1007" s="16">
        <v>2681.4736294856998</v>
      </c>
    </row>
    <row r="1008" spans="26:29" x14ac:dyDescent="0.35">
      <c r="Z1008" s="4"/>
      <c r="AA1008" s="4"/>
      <c r="AB1008" s="4" t="e">
        <f ca="1">_xll.ciqfunctions.udf.CIQ("^SPX", "IQ_PRICEDATE", "12/20/2017")</f>
        <v>#NAME?</v>
      </c>
      <c r="AC1008" s="16">
        <v>2679.2480845041</v>
      </c>
    </row>
    <row r="1009" spans="26:29" x14ac:dyDescent="0.35">
      <c r="Z1009" s="4"/>
      <c r="AA1009" s="4"/>
      <c r="AB1009" s="4" t="e">
        <f ca="1">_xll.ciqfunctions.udf.CIQ("^SPX", "IQ_PRICEDATE", "12/21/2017")</f>
        <v>#NAME?</v>
      </c>
      <c r="AC1009" s="16">
        <v>2684.5691760676</v>
      </c>
    </row>
    <row r="1010" spans="26:29" x14ac:dyDescent="0.35">
      <c r="Z1010" s="4"/>
      <c r="AA1010" s="4"/>
      <c r="AB1010" s="4" t="e">
        <f ca="1">_xll.ciqfunctions.udf.CIQ("^SPX", "IQ_PRICEDATE", "12/22/2017")</f>
        <v>#NAME?</v>
      </c>
      <c r="AC1010" s="16">
        <v>2683.3372743313998</v>
      </c>
    </row>
    <row r="1011" spans="26:29" x14ac:dyDescent="0.35">
      <c r="Z1011" s="4"/>
      <c r="AA1011" s="4"/>
      <c r="AB1011" s="4" t="e">
        <f ca="1">_xll.ciqfunctions.udf.CIQ("^SPX", "IQ_PRICEDATE", "12/26/2017")</f>
        <v>#NAME?</v>
      </c>
      <c r="AC1011" s="16">
        <v>2680.5044863251001</v>
      </c>
    </row>
    <row r="1012" spans="26:29" x14ac:dyDescent="0.35">
      <c r="Z1012" s="4"/>
      <c r="AA1012" s="4"/>
      <c r="AB1012" s="4" t="e">
        <f ca="1">_xll.ciqfunctions.udf.CIQ("^SPX", "IQ_PRICEDATE", "12/27/2017")</f>
        <v>#NAME?</v>
      </c>
      <c r="AC1012" s="16">
        <v>2682.6199232041999</v>
      </c>
    </row>
    <row r="1013" spans="26:29" x14ac:dyDescent="0.35">
      <c r="Z1013" s="4"/>
      <c r="AA1013" s="4"/>
      <c r="AB1013" s="4" t="e">
        <f ca="1">_xll.ciqfunctions.udf.CIQ("^SPX", "IQ_PRICEDATE", "12/28/2017")</f>
        <v>#NAME?</v>
      </c>
      <c r="AC1013" s="16">
        <v>2687.5378291884999</v>
      </c>
    </row>
    <row r="1014" spans="26:29" x14ac:dyDescent="0.35">
      <c r="Z1014" s="4"/>
      <c r="AA1014" s="4"/>
      <c r="AB1014" s="4" t="e">
        <f ca="1">_xll.ciqfunctions.udf.CIQ("^SPX", "IQ_PRICEDATE", "12/29/2017")</f>
        <v>#NAME?</v>
      </c>
      <c r="AC1014" s="16">
        <v>2673.6105231516999</v>
      </c>
    </row>
    <row r="1015" spans="26:29" x14ac:dyDescent="0.35">
      <c r="Z1015" s="4"/>
      <c r="AA1015" s="4"/>
      <c r="AB1015" s="4" t="e">
        <f ca="1">_xll.ciqfunctions.udf.CIQ("^SPX", "IQ_PRICEDATE", "1/2/2018")</f>
        <v>#NAME?</v>
      </c>
      <c r="AC1015" s="16">
        <v>2695.8097718087001</v>
      </c>
    </row>
    <row r="1016" spans="26:29" x14ac:dyDescent="0.35">
      <c r="Z1016" s="4"/>
      <c r="AA1016" s="4"/>
      <c r="AB1016" s="4" t="e">
        <f ca="1">_xll.ciqfunctions.udf.CIQ("^SPX", "IQ_PRICEDATE", "1/3/2018")</f>
        <v>#NAME?</v>
      </c>
      <c r="AC1016" s="16">
        <v>2713.0610059947999</v>
      </c>
    </row>
    <row r="1017" spans="26:29" x14ac:dyDescent="0.35">
      <c r="Z1017" s="4"/>
      <c r="AA1017" s="4"/>
      <c r="AB1017" s="4" t="e">
        <f ca="1">_xll.ciqfunctions.udf.CIQ("^SPX", "IQ_PRICEDATE", "1/4/2018")</f>
        <v>#NAME?</v>
      </c>
      <c r="AC1017" s="16">
        <v>2723.9925953636998</v>
      </c>
    </row>
    <row r="1018" spans="26:29" x14ac:dyDescent="0.35">
      <c r="Z1018" s="4"/>
      <c r="AA1018" s="4"/>
      <c r="AB1018" s="4" t="e">
        <f ca="1">_xll.ciqfunctions.udf.CIQ("^SPX", "IQ_PRICEDATE", "1/5/2018")</f>
        <v>#NAME?</v>
      </c>
      <c r="AC1018" s="16">
        <v>2743.1477732975</v>
      </c>
    </row>
    <row r="1019" spans="26:29" x14ac:dyDescent="0.35">
      <c r="Z1019" s="4"/>
      <c r="AA1019" s="4"/>
      <c r="AB1019" s="4" t="e">
        <f ca="1">_xll.ciqfunctions.udf.CIQ("^SPX", "IQ_PRICEDATE", "1/8/2018")</f>
        <v>#NAME?</v>
      </c>
      <c r="AC1019" s="16">
        <v>2747.7102333489001</v>
      </c>
    </row>
    <row r="1020" spans="26:29" x14ac:dyDescent="0.35">
      <c r="Z1020" s="4"/>
      <c r="AA1020" s="4"/>
      <c r="AB1020" s="4" t="e">
        <f ca="1">_xll.ciqfunctions.udf.CIQ("^SPX", "IQ_PRICEDATE", "1/9/2018")</f>
        <v>#NAME?</v>
      </c>
      <c r="AC1020" s="16">
        <v>2751.2852488919998</v>
      </c>
    </row>
    <row r="1021" spans="26:29" x14ac:dyDescent="0.35">
      <c r="Z1021" s="4"/>
      <c r="AA1021" s="4"/>
      <c r="AB1021" s="4" t="e">
        <f ca="1">_xll.ciqfunctions.udf.CIQ("^SPX", "IQ_PRICEDATE", "1/10/2018")</f>
        <v>#NAME?</v>
      </c>
      <c r="AC1021" s="16">
        <v>2748.2254899627001</v>
      </c>
    </row>
    <row r="1022" spans="26:29" x14ac:dyDescent="0.35">
      <c r="Z1022" s="4"/>
      <c r="AA1022" s="4"/>
      <c r="AB1022" s="4" t="e">
        <f ca="1">_xll.ciqfunctions.udf.CIQ("^SPX", "IQ_PRICEDATE", "1/11/2018")</f>
        <v>#NAME?</v>
      </c>
      <c r="AC1022" s="16">
        <v>2767.5581418168999</v>
      </c>
    </row>
    <row r="1023" spans="26:29" x14ac:dyDescent="0.35">
      <c r="Z1023" s="4"/>
      <c r="AA1023" s="4"/>
      <c r="AB1023" s="4" t="e">
        <f ca="1">_xll.ciqfunctions.udf.CIQ("^SPX", "IQ_PRICEDATE", "1/12/2018")</f>
        <v>#NAME?</v>
      </c>
      <c r="AC1023" s="16">
        <v>2786.2441431866</v>
      </c>
    </row>
    <row r="1024" spans="26:29" x14ac:dyDescent="0.35">
      <c r="Z1024" s="4"/>
      <c r="AA1024" s="4"/>
      <c r="AB1024" s="4" t="e">
        <f ca="1">_xll.ciqfunctions.udf.CIQ("^SPX", "IQ_PRICEDATE", "1/16/2018")</f>
        <v>#NAME?</v>
      </c>
      <c r="AC1024" s="16">
        <v>2776.4200235751</v>
      </c>
    </row>
    <row r="1025" spans="26:29" x14ac:dyDescent="0.35">
      <c r="Z1025" s="4"/>
      <c r="AA1025" s="4"/>
      <c r="AB1025" s="4" t="e">
        <f ca="1">_xll.ciqfunctions.udf.CIQ("^SPX", "IQ_PRICEDATE", "1/17/2018")</f>
        <v>#NAME?</v>
      </c>
      <c r="AC1025" s="16">
        <v>2802.5555741929002</v>
      </c>
    </row>
    <row r="1026" spans="26:29" x14ac:dyDescent="0.35">
      <c r="Z1026" s="4"/>
      <c r="AA1026" s="4"/>
      <c r="AB1026" s="4" t="e">
        <f ca="1">_xll.ciqfunctions.udf.CIQ("^SPX", "IQ_PRICEDATE", "1/18/2018")</f>
        <v>#NAME?</v>
      </c>
      <c r="AC1026" s="16">
        <v>2798.0302570590002</v>
      </c>
    </row>
    <row r="1027" spans="26:29" x14ac:dyDescent="0.35">
      <c r="Z1027" s="4"/>
      <c r="AA1027" s="4"/>
      <c r="AB1027" s="4" t="e">
        <f ca="1">_xll.ciqfunctions.udf.CIQ("^SPX", "IQ_PRICEDATE", "1/19/2018")</f>
        <v>#NAME?</v>
      </c>
      <c r="AC1027" s="16">
        <v>2810.3026834920001</v>
      </c>
    </row>
    <row r="1028" spans="26:29" x14ac:dyDescent="0.35">
      <c r="Z1028" s="4"/>
      <c r="AA1028" s="4"/>
      <c r="AB1028" s="4" t="e">
        <f ca="1">_xll.ciqfunctions.udf.CIQ("^SPX", "IQ_PRICEDATE", "1/22/2018")</f>
        <v>#NAME?</v>
      </c>
      <c r="AC1028" s="16">
        <v>2832.9740997724998</v>
      </c>
    </row>
    <row r="1029" spans="26:29" x14ac:dyDescent="0.35">
      <c r="Z1029" s="4"/>
      <c r="AA1029" s="4"/>
      <c r="AB1029" s="4" t="e">
        <f ca="1">_xll.ciqfunctions.udf.CIQ("^SPX", "IQ_PRICEDATE", "1/23/2018")</f>
        <v>#NAME?</v>
      </c>
      <c r="AC1029" s="16">
        <v>2839.1303619554001</v>
      </c>
    </row>
    <row r="1030" spans="26:29" x14ac:dyDescent="0.35">
      <c r="Z1030" s="4"/>
      <c r="AA1030" s="4"/>
      <c r="AB1030" s="4" t="e">
        <f ca="1">_xll.ciqfunctions.udf.CIQ("^SPX", "IQ_PRICEDATE", "1/24/2018")</f>
        <v>#NAME?</v>
      </c>
      <c r="AC1030" s="16">
        <v>2837.5440076131999</v>
      </c>
    </row>
    <row r="1031" spans="26:29" x14ac:dyDescent="0.35">
      <c r="Z1031" s="4"/>
      <c r="AA1031" s="4"/>
      <c r="AB1031" s="4" t="e">
        <f ca="1">_xll.ciqfunctions.udf.CIQ("^SPX", "IQ_PRICEDATE", "1/25/2018")</f>
        <v>#NAME?</v>
      </c>
      <c r="AC1031" s="16">
        <v>2839.2530312105</v>
      </c>
    </row>
    <row r="1032" spans="26:29" x14ac:dyDescent="0.35">
      <c r="Z1032" s="4"/>
      <c r="AA1032" s="4"/>
      <c r="AB1032" s="4" t="e">
        <f ca="1">_xll.ciqfunctions.udf.CIQ("^SPX", "IQ_PRICEDATE", "1/26/2018")</f>
        <v>#NAME?</v>
      </c>
      <c r="AC1032" s="16">
        <v>2872.8678392431002</v>
      </c>
    </row>
    <row r="1033" spans="26:29" x14ac:dyDescent="0.35">
      <c r="Z1033" s="4"/>
      <c r="AA1033" s="4"/>
      <c r="AB1033" s="4" t="e">
        <f ca="1">_xll.ciqfunctions.udf.CIQ("^SPX", "IQ_PRICEDATE", "1/29/2018")</f>
        <v>#NAME?</v>
      </c>
      <c r="AC1033" s="16">
        <v>2853.5284110404</v>
      </c>
    </row>
    <row r="1034" spans="26:29" x14ac:dyDescent="0.35">
      <c r="Z1034" s="4"/>
      <c r="AA1034" s="4"/>
      <c r="AB1034" s="4" t="e">
        <f ca="1">_xll.ciqfunctions.udf.CIQ("^SPX", "IQ_PRICEDATE", "1/30/2018")</f>
        <v>#NAME?</v>
      </c>
      <c r="AC1034" s="16">
        <v>2822.4339480164999</v>
      </c>
    </row>
    <row r="1035" spans="26:29" x14ac:dyDescent="0.35">
      <c r="Z1035" s="4"/>
      <c r="AA1035" s="4"/>
      <c r="AB1035" s="4" t="e">
        <f ca="1">_xll.ciqfunctions.udf.CIQ("^SPX", "IQ_PRICEDATE", "1/31/2018")</f>
        <v>#NAME?</v>
      </c>
      <c r="AC1035" s="16">
        <v>2823.8099373554001</v>
      </c>
    </row>
    <row r="1036" spans="26:29" x14ac:dyDescent="0.35">
      <c r="Z1036" s="4"/>
      <c r="AA1036" s="4"/>
      <c r="AB1036" s="4" t="e">
        <f ca="1">_xll.ciqfunctions.udf.CIQ("^SPX", "IQ_PRICEDATE", "2/1/2018")</f>
        <v>#NAME?</v>
      </c>
      <c r="AC1036" s="16">
        <v>2821.975892767</v>
      </c>
    </row>
    <row r="1037" spans="26:29" x14ac:dyDescent="0.35">
      <c r="Z1037" s="4"/>
      <c r="AA1037" s="4"/>
      <c r="AB1037" s="4" t="e">
        <f ca="1">_xll.ciqfunctions.udf.CIQ("^SPX", "IQ_PRICEDATE", "2/2/2018")</f>
        <v>#NAME?</v>
      </c>
      <c r="AC1037" s="16">
        <v>2762.1253342727</v>
      </c>
    </row>
    <row r="1038" spans="26:29" x14ac:dyDescent="0.35">
      <c r="Z1038" s="4"/>
      <c r="AA1038" s="4"/>
      <c r="AB1038" s="4" t="e">
        <f ca="1">_xll.ciqfunctions.udf.CIQ("^SPX", "IQ_PRICEDATE", "2/5/2018")</f>
        <v>#NAME?</v>
      </c>
      <c r="AC1038" s="16">
        <v>2648.9390824826</v>
      </c>
    </row>
    <row r="1039" spans="26:29" x14ac:dyDescent="0.35">
      <c r="Z1039" s="4"/>
      <c r="AA1039" s="4"/>
      <c r="AB1039" s="4" t="e">
        <f ca="1">_xll.ciqfunctions.udf.CIQ("^SPX", "IQ_PRICEDATE", "2/6/2018")</f>
        <v>#NAME?</v>
      </c>
      <c r="AC1039" s="16">
        <v>2695.1442389796998</v>
      </c>
    </row>
    <row r="1040" spans="26:29" x14ac:dyDescent="0.35">
      <c r="Z1040" s="4"/>
      <c r="AA1040" s="4"/>
      <c r="AB1040" s="4" t="e">
        <f ca="1">_xll.ciqfunctions.udf.CIQ("^SPX", "IQ_PRICEDATE", "2/7/2018")</f>
        <v>#NAME?</v>
      </c>
      <c r="AC1040" s="16">
        <v>2681.6601351724998</v>
      </c>
    </row>
    <row r="1041" spans="26:29" x14ac:dyDescent="0.35">
      <c r="Z1041" s="4"/>
      <c r="AA1041" s="4"/>
      <c r="AB1041" s="4" t="e">
        <f ca="1">_xll.ciqfunctions.udf.CIQ("^SPX", "IQ_PRICEDATE", "2/8/2018")</f>
        <v>#NAME?</v>
      </c>
      <c r="AC1041" s="16">
        <v>2580.9994808281999</v>
      </c>
    </row>
    <row r="1042" spans="26:29" x14ac:dyDescent="0.35">
      <c r="Z1042" s="4"/>
      <c r="AA1042" s="4"/>
      <c r="AB1042" s="4" t="e">
        <f ca="1">_xll.ciqfunctions.udf.CIQ("^SPX", "IQ_PRICEDATE", "2/9/2018")</f>
        <v>#NAME?</v>
      </c>
      <c r="AC1042" s="16">
        <v>2619.5455949231</v>
      </c>
    </row>
    <row r="1043" spans="26:29" x14ac:dyDescent="0.35">
      <c r="Z1043" s="4"/>
      <c r="AA1043" s="4"/>
      <c r="AB1043" s="4" t="e">
        <f ca="1">_xll.ciqfunctions.udf.CIQ("^SPX", "IQ_PRICEDATE", "2/12/2018")</f>
        <v>#NAME?</v>
      </c>
      <c r="AC1043" s="16">
        <v>2655.9975272689999</v>
      </c>
    </row>
    <row r="1044" spans="26:29" x14ac:dyDescent="0.35">
      <c r="Z1044" s="4"/>
      <c r="AA1044" s="4"/>
      <c r="AB1044" s="4" t="e">
        <f ca="1">_xll.ciqfunctions.udf.CIQ("^SPX", "IQ_PRICEDATE", "2/13/2018")</f>
        <v>#NAME?</v>
      </c>
      <c r="AC1044" s="16">
        <v>2662.9429033240999</v>
      </c>
    </row>
    <row r="1045" spans="26:29" x14ac:dyDescent="0.35">
      <c r="Z1045" s="4"/>
      <c r="AA1045" s="4"/>
      <c r="AB1045" s="4" t="e">
        <f ca="1">_xll.ciqfunctions.udf.CIQ("^SPX", "IQ_PRICEDATE", "2/14/2018")</f>
        <v>#NAME?</v>
      </c>
      <c r="AC1045" s="16">
        <v>2698.6336625295999</v>
      </c>
    </row>
    <row r="1046" spans="26:29" x14ac:dyDescent="0.35">
      <c r="Z1046" s="4"/>
      <c r="AA1046" s="4"/>
      <c r="AB1046" s="4" t="e">
        <f ca="1">_xll.ciqfunctions.udf.CIQ("^SPX", "IQ_PRICEDATE", "2/15/2018")</f>
        <v>#NAME?</v>
      </c>
      <c r="AC1046" s="16">
        <v>2731.2041407155002</v>
      </c>
    </row>
    <row r="1047" spans="26:29" x14ac:dyDescent="0.35">
      <c r="Z1047" s="4"/>
      <c r="AA1047" s="4"/>
      <c r="AB1047" s="4" t="e">
        <f ca="1">_xll.ciqfunctions.udf.CIQ("^SPX", "IQ_PRICEDATE", "2/16/2018")</f>
        <v>#NAME?</v>
      </c>
      <c r="AC1047" s="16">
        <v>2732.2198367972001</v>
      </c>
    </row>
    <row r="1048" spans="26:29" x14ac:dyDescent="0.35">
      <c r="Z1048" s="4"/>
      <c r="AA1048" s="4"/>
      <c r="AB1048" s="4" t="e">
        <f ca="1">_xll.ciqfunctions.udf.CIQ("^SPX", "IQ_PRICEDATE", "2/20/2018")</f>
        <v>#NAME?</v>
      </c>
      <c r="AC1048" s="16">
        <v>2716.2555424986999</v>
      </c>
    </row>
    <row r="1049" spans="26:29" x14ac:dyDescent="0.35">
      <c r="Z1049" s="4"/>
      <c r="AA1049" s="4"/>
      <c r="AB1049" s="4" t="e">
        <f ca="1">_xll.ciqfunctions.udf.CIQ("^SPX", "IQ_PRICEDATE", "2/21/2018")</f>
        <v>#NAME?</v>
      </c>
      <c r="AC1049" s="16">
        <v>2701.328793314</v>
      </c>
    </row>
    <row r="1050" spans="26:29" x14ac:dyDescent="0.35">
      <c r="Z1050" s="4"/>
      <c r="AA1050" s="4"/>
      <c r="AB1050" s="4" t="e">
        <f ca="1">_xll.ciqfunctions.udf.CIQ("^SPX", "IQ_PRICEDATE", "2/22/2018")</f>
        <v>#NAME?</v>
      </c>
      <c r="AC1050" s="16">
        <v>2703.9612574600001</v>
      </c>
    </row>
    <row r="1051" spans="26:29" x14ac:dyDescent="0.35">
      <c r="Z1051" s="4"/>
      <c r="AA1051" s="4"/>
      <c r="AB1051" s="4" t="e">
        <f ca="1">_xll.ciqfunctions.udf.CIQ("^SPX", "IQ_PRICEDATE", "2/23/2018")</f>
        <v>#NAME?</v>
      </c>
      <c r="AC1051" s="16">
        <v>2747.2985491692998</v>
      </c>
    </row>
    <row r="1052" spans="26:29" x14ac:dyDescent="0.35">
      <c r="Z1052" s="4"/>
      <c r="AA1052" s="4"/>
      <c r="AB1052" s="4" t="e">
        <f ca="1">_xll.ciqfunctions.udf.CIQ("^SPX", "IQ_PRICEDATE", "2/26/2018")</f>
        <v>#NAME?</v>
      </c>
      <c r="AC1052" s="16">
        <v>2779.5959744897</v>
      </c>
    </row>
    <row r="1053" spans="26:29" x14ac:dyDescent="0.35">
      <c r="Z1053" s="4"/>
      <c r="AA1053" s="4"/>
      <c r="AB1053" s="4" t="e">
        <f ca="1">_xll.ciqfunctions.udf.CIQ("^SPX", "IQ_PRICEDATE", "2/27/2018")</f>
        <v>#NAME?</v>
      </c>
      <c r="AC1053" s="16">
        <v>2744.2806905071002</v>
      </c>
    </row>
    <row r="1054" spans="26:29" x14ac:dyDescent="0.35">
      <c r="Z1054" s="4"/>
      <c r="AA1054" s="4"/>
      <c r="AB1054" s="4" t="e">
        <f ca="1">_xll.ciqfunctions.udf.CIQ("^SPX", "IQ_PRICEDATE", "2/28/2018")</f>
        <v>#NAME?</v>
      </c>
      <c r="AC1054" s="16">
        <v>2713.8305387238001</v>
      </c>
    </row>
    <row r="1055" spans="26:29" x14ac:dyDescent="0.35">
      <c r="Z1055" s="4"/>
      <c r="AA1055" s="4"/>
      <c r="AB1055" s="4" t="e">
        <f ca="1">_xll.ciqfunctions.udf.CIQ("^SPX", "IQ_PRICEDATE", "3/1/2018")</f>
        <v>#NAME?</v>
      </c>
      <c r="AC1055" s="16">
        <v>2677.6709360935001</v>
      </c>
    </row>
    <row r="1056" spans="26:29" x14ac:dyDescent="0.35">
      <c r="Z1056" s="4"/>
      <c r="AA1056" s="4"/>
      <c r="AB1056" s="4" t="e">
        <f ca="1">_xll.ciqfunctions.udf.CIQ("^SPX", "IQ_PRICEDATE", "3/2/2018")</f>
        <v>#NAME?</v>
      </c>
      <c r="AC1056" s="16">
        <v>2691.2527686766002</v>
      </c>
    </row>
    <row r="1057" spans="26:29" x14ac:dyDescent="0.35">
      <c r="Z1057" s="4"/>
      <c r="AA1057" s="4"/>
      <c r="AB1057" s="4" t="e">
        <f ca="1">_xll.ciqfunctions.udf.CIQ("^SPX", "IQ_PRICEDATE", "3/5/2018")</f>
        <v>#NAME?</v>
      </c>
      <c r="AC1057" s="16">
        <v>2720.9408972913998</v>
      </c>
    </row>
    <row r="1058" spans="26:29" x14ac:dyDescent="0.35">
      <c r="Z1058" s="4"/>
      <c r="AA1058" s="4"/>
      <c r="AB1058" s="4" t="e">
        <f ca="1">_xll.ciqfunctions.udf.CIQ("^SPX", "IQ_PRICEDATE", "3/6/2018")</f>
        <v>#NAME?</v>
      </c>
      <c r="AC1058" s="16">
        <v>2728.1219997834</v>
      </c>
    </row>
    <row r="1059" spans="26:29" x14ac:dyDescent="0.35">
      <c r="Z1059" s="4"/>
      <c r="AA1059" s="4"/>
      <c r="AB1059" s="4" t="e">
        <f ca="1">_xll.ciqfunctions.udf.CIQ("^SPX", "IQ_PRICEDATE", "3/7/2018")</f>
        <v>#NAME?</v>
      </c>
      <c r="AC1059" s="16">
        <v>2726.8013692489999</v>
      </c>
    </row>
    <row r="1060" spans="26:29" x14ac:dyDescent="0.35">
      <c r="Z1060" s="4"/>
      <c r="AA1060" s="4"/>
      <c r="AB1060" s="4" t="e">
        <f ca="1">_xll.ciqfunctions.udf.CIQ("^SPX", "IQ_PRICEDATE", "3/8/2018")</f>
        <v>#NAME?</v>
      </c>
      <c r="AC1060" s="16">
        <v>2738.9694301486002</v>
      </c>
    </row>
    <row r="1061" spans="26:29" x14ac:dyDescent="0.35">
      <c r="Z1061" s="4"/>
      <c r="AA1061" s="4"/>
      <c r="AB1061" s="4" t="e">
        <f ca="1">_xll.ciqfunctions.udf.CIQ("^SPX", "IQ_PRICEDATE", "3/9/2018")</f>
        <v>#NAME?</v>
      </c>
      <c r="AC1061" s="16">
        <v>2786.5651027531999</v>
      </c>
    </row>
    <row r="1062" spans="26:29" x14ac:dyDescent="0.35">
      <c r="Z1062" s="4"/>
      <c r="AA1062" s="4"/>
      <c r="AB1062" s="4" t="e">
        <f ca="1">_xll.ciqfunctions.udf.CIQ("^SPX", "IQ_PRICEDATE", "3/12/2018")</f>
        <v>#NAME?</v>
      </c>
      <c r="AC1062" s="16">
        <v>2783.0192629327998</v>
      </c>
    </row>
    <row r="1063" spans="26:29" x14ac:dyDescent="0.35">
      <c r="Z1063" s="4"/>
      <c r="AA1063" s="4"/>
      <c r="AB1063" s="4" t="e">
        <f ca="1">_xll.ciqfunctions.udf.CIQ("^SPX", "IQ_PRICEDATE", "3/13/2018")</f>
        <v>#NAME?</v>
      </c>
      <c r="AC1063" s="16">
        <v>2765.3094530812</v>
      </c>
    </row>
    <row r="1064" spans="26:29" x14ac:dyDescent="0.35">
      <c r="Z1064" s="4"/>
      <c r="AA1064" s="4"/>
      <c r="AB1064" s="4" t="e">
        <f ca="1">_xll.ciqfunctions.udf.CIQ("^SPX", "IQ_PRICEDATE", "3/14/2018")</f>
        <v>#NAME?</v>
      </c>
      <c r="AC1064" s="16">
        <v>2749.4822693171</v>
      </c>
    </row>
    <row r="1065" spans="26:29" x14ac:dyDescent="0.35">
      <c r="Z1065" s="4"/>
      <c r="AA1065" s="4"/>
      <c r="AB1065" s="4" t="e">
        <f ca="1">_xll.ciqfunctions.udf.CIQ("^SPX", "IQ_PRICEDATE", "3/15/2018")</f>
        <v>#NAME?</v>
      </c>
      <c r="AC1065" s="16">
        <v>2747.3298499872999</v>
      </c>
    </row>
    <row r="1066" spans="26:29" x14ac:dyDescent="0.35">
      <c r="Z1066" s="4"/>
      <c r="AA1066" s="4"/>
      <c r="AB1066" s="4" t="e">
        <f ca="1">_xll.ciqfunctions.udf.CIQ("^SPX", "IQ_PRICEDATE", "3/16/2018")</f>
        <v>#NAME?</v>
      </c>
      <c r="AC1066" s="16">
        <v>2752.0117875495998</v>
      </c>
    </row>
    <row r="1067" spans="26:29" x14ac:dyDescent="0.35">
      <c r="Z1067" s="4"/>
      <c r="AA1067" s="4"/>
      <c r="AB1067" s="4" t="e">
        <f ca="1">_xll.ciqfunctions.udf.CIQ("^SPX", "IQ_PRICEDATE", "3/19/2018")</f>
        <v>#NAME?</v>
      </c>
      <c r="AC1067" s="16">
        <v>2712.9173684696998</v>
      </c>
    </row>
    <row r="1068" spans="26:29" x14ac:dyDescent="0.35">
      <c r="Z1068" s="4"/>
      <c r="AA1068" s="4"/>
      <c r="AB1068" s="4" t="e">
        <f ca="1">_xll.ciqfunctions.udf.CIQ("^SPX", "IQ_PRICEDATE", "3/20/2018")</f>
        <v>#NAME?</v>
      </c>
      <c r="AC1068" s="16">
        <v>2716.9422346931001</v>
      </c>
    </row>
    <row r="1069" spans="26:29" x14ac:dyDescent="0.35">
      <c r="Z1069" s="4"/>
      <c r="AA1069" s="4"/>
      <c r="AB1069" s="4" t="e">
        <f ca="1">_xll.ciqfunctions.udf.CIQ("^SPX", "IQ_PRICEDATE", "3/21/2018")</f>
        <v>#NAME?</v>
      </c>
      <c r="AC1069" s="16">
        <v>2711.9280882306998</v>
      </c>
    </row>
    <row r="1070" spans="26:29" x14ac:dyDescent="0.35">
      <c r="Z1070" s="4"/>
      <c r="AA1070" s="4"/>
      <c r="AB1070" s="4" t="e">
        <f ca="1">_xll.ciqfunctions.udf.CIQ("^SPX", "IQ_PRICEDATE", "3/22/2018")</f>
        <v>#NAME?</v>
      </c>
      <c r="AC1070" s="16">
        <v>2643.6921823736002</v>
      </c>
    </row>
    <row r="1071" spans="26:29" x14ac:dyDescent="0.35">
      <c r="Z1071" s="4"/>
      <c r="AA1071" s="4"/>
      <c r="AB1071" s="4" t="e">
        <f ca="1">_xll.ciqfunctions.udf.CIQ("^SPX", "IQ_PRICEDATE", "3/23/2018")</f>
        <v>#NAME?</v>
      </c>
      <c r="AC1071" s="16">
        <v>2588.2627920513</v>
      </c>
    </row>
    <row r="1072" spans="26:29" x14ac:dyDescent="0.35">
      <c r="Z1072" s="4"/>
      <c r="AA1072" s="4"/>
      <c r="AB1072" s="4" t="e">
        <f ca="1">_xll.ciqfunctions.udf.CIQ("^SPX", "IQ_PRICEDATE", "3/26/2018")</f>
        <v>#NAME?</v>
      </c>
      <c r="AC1072" s="16">
        <v>2658.5541823533999</v>
      </c>
    </row>
    <row r="1073" spans="26:29" x14ac:dyDescent="0.35">
      <c r="Z1073" s="4"/>
      <c r="AA1073" s="4"/>
      <c r="AB1073" s="4" t="e">
        <f ca="1">_xll.ciqfunctions.udf.CIQ("^SPX", "IQ_PRICEDATE", "3/27/2018")</f>
        <v>#NAME?</v>
      </c>
      <c r="AC1073" s="16">
        <v>2612.6245972403999</v>
      </c>
    </row>
    <row r="1074" spans="26:29" x14ac:dyDescent="0.35">
      <c r="Z1074" s="4"/>
      <c r="AA1074" s="4"/>
      <c r="AB1074" s="4" t="e">
        <f ca="1">_xll.ciqfunctions.udf.CIQ("^SPX", "IQ_PRICEDATE", "3/28/2018")</f>
        <v>#NAME?</v>
      </c>
      <c r="AC1074" s="16">
        <v>2604.9974974954998</v>
      </c>
    </row>
    <row r="1075" spans="26:29" x14ac:dyDescent="0.35">
      <c r="Z1075" s="4"/>
      <c r="AA1075" s="4"/>
      <c r="AB1075" s="4" t="e">
        <f ca="1">_xll.ciqfunctions.udf.CIQ("^SPX", "IQ_PRICEDATE", "3/29/2018")</f>
        <v>#NAME?</v>
      </c>
      <c r="AC1075" s="16">
        <v>2640.8659903293001</v>
      </c>
    </row>
    <row r="1076" spans="26:29" x14ac:dyDescent="0.35">
      <c r="Z1076" s="4"/>
      <c r="AA1076" s="4"/>
      <c r="AB1076" s="4" t="e">
        <f ca="1">_xll.ciqfunctions.udf.CIQ("^SPX", "IQ_PRICEDATE", "4/2/2018")</f>
        <v>#NAME?</v>
      </c>
      <c r="AC1076" s="16">
        <v>2581.881609651</v>
      </c>
    </row>
    <row r="1077" spans="26:29" x14ac:dyDescent="0.35">
      <c r="Z1077" s="4"/>
      <c r="AA1077" s="4"/>
      <c r="AB1077" s="4" t="e">
        <f ca="1">_xll.ciqfunctions.udf.CIQ("^SPX", "IQ_PRICEDATE", "4/3/2018")</f>
        <v>#NAME?</v>
      </c>
      <c r="AC1077" s="16">
        <v>2614.4456710448999</v>
      </c>
    </row>
    <row r="1078" spans="26:29" x14ac:dyDescent="0.35">
      <c r="Z1078" s="4"/>
      <c r="AA1078" s="4"/>
      <c r="AB1078" s="4" t="e">
        <f ca="1">_xll.ciqfunctions.udf.CIQ("^SPX", "IQ_PRICEDATE", "4/4/2018")</f>
        <v>#NAME?</v>
      </c>
      <c r="AC1078" s="16">
        <v>2644.6879610989999</v>
      </c>
    </row>
    <row r="1079" spans="26:29" x14ac:dyDescent="0.35">
      <c r="Z1079" s="4"/>
      <c r="AA1079" s="4"/>
      <c r="AB1079" s="4" t="e">
        <f ca="1">_xll.ciqfunctions.udf.CIQ("^SPX", "IQ_PRICEDATE", "4/5/2018")</f>
        <v>#NAME?</v>
      </c>
      <c r="AC1079" s="16">
        <v>2662.8362421788001</v>
      </c>
    </row>
    <row r="1080" spans="26:29" x14ac:dyDescent="0.35">
      <c r="Z1080" s="4"/>
      <c r="AA1080" s="4"/>
      <c r="AB1080" s="4" t="e">
        <f ca="1">_xll.ciqfunctions.udf.CIQ("^SPX", "IQ_PRICEDATE", "4/6/2018")</f>
        <v>#NAME?</v>
      </c>
      <c r="AC1080" s="16">
        <v>2604.4693845293</v>
      </c>
    </row>
    <row r="1081" spans="26:29" x14ac:dyDescent="0.35">
      <c r="Z1081" s="4"/>
      <c r="AA1081" s="4"/>
      <c r="AB1081" s="4" t="e">
        <f ca="1">_xll.ciqfunctions.udf.CIQ("^SPX", "IQ_PRICEDATE", "4/9/2018")</f>
        <v>#NAME?</v>
      </c>
      <c r="AC1081" s="16">
        <v>2613.158838761</v>
      </c>
    </row>
    <row r="1082" spans="26:29" x14ac:dyDescent="0.35">
      <c r="Z1082" s="4"/>
      <c r="AA1082" s="4"/>
      <c r="AB1082" s="4" t="e">
        <f ca="1">_xll.ciqfunctions.udf.CIQ("^SPX", "IQ_PRICEDATE", "4/10/2018")</f>
        <v>#NAME?</v>
      </c>
      <c r="AC1082" s="16">
        <v>2656.8679807192998</v>
      </c>
    </row>
    <row r="1083" spans="26:29" x14ac:dyDescent="0.35">
      <c r="Z1083" s="4"/>
      <c r="AA1083" s="4"/>
      <c r="AB1083" s="4" t="e">
        <f ca="1">_xll.ciqfunctions.udf.CIQ("^SPX", "IQ_PRICEDATE", "4/11/2018")</f>
        <v>#NAME?</v>
      </c>
      <c r="AC1083" s="16">
        <v>2642.1902114466002</v>
      </c>
    </row>
    <row r="1084" spans="26:29" x14ac:dyDescent="0.35">
      <c r="Z1084" s="4"/>
      <c r="AA1084" s="4"/>
      <c r="AB1084" s="4" t="e">
        <f ca="1">_xll.ciqfunctions.udf.CIQ("^SPX", "IQ_PRICEDATE", "4/12/2018")</f>
        <v>#NAME?</v>
      </c>
      <c r="AC1084" s="16">
        <v>2663.9948004537</v>
      </c>
    </row>
    <row r="1085" spans="26:29" x14ac:dyDescent="0.35">
      <c r="Z1085" s="4"/>
      <c r="AA1085" s="4"/>
      <c r="AB1085" s="4" t="e">
        <f ca="1">_xll.ciqfunctions.udf.CIQ("^SPX", "IQ_PRICEDATE", "4/13/2018")</f>
        <v>#NAME?</v>
      </c>
      <c r="AC1085" s="16">
        <v>2656.2969056536999</v>
      </c>
    </row>
    <row r="1086" spans="26:29" x14ac:dyDescent="0.35">
      <c r="Z1086" s="4"/>
      <c r="AA1086" s="4"/>
      <c r="AB1086" s="4" t="e">
        <f ca="1">_xll.ciqfunctions.udf.CIQ("^SPX", "IQ_PRICEDATE", "4/16/2018")</f>
        <v>#NAME?</v>
      </c>
      <c r="AC1086" s="16">
        <v>2677.8395628404</v>
      </c>
    </row>
    <row r="1087" spans="26:29" x14ac:dyDescent="0.35">
      <c r="Z1087" s="4"/>
      <c r="AA1087" s="4"/>
      <c r="AB1087" s="4" t="e">
        <f ca="1">_xll.ciqfunctions.udf.CIQ("^SPX", "IQ_PRICEDATE", "4/17/2018")</f>
        <v>#NAME?</v>
      </c>
      <c r="AC1087" s="16">
        <v>2706.3850873186998</v>
      </c>
    </row>
    <row r="1088" spans="26:29" x14ac:dyDescent="0.35">
      <c r="Z1088" s="4"/>
      <c r="AA1088" s="4"/>
      <c r="AB1088" s="4" t="e">
        <f ca="1">_xll.ciqfunctions.udf.CIQ("^SPX", "IQ_PRICEDATE", "4/18/2018")</f>
        <v>#NAME?</v>
      </c>
      <c r="AC1088" s="16">
        <v>2708.6389528643999</v>
      </c>
    </row>
    <row r="1089" spans="26:29" x14ac:dyDescent="0.35">
      <c r="Z1089" s="4"/>
      <c r="AA1089" s="4"/>
      <c r="AB1089" s="4" t="e">
        <f ca="1">_xll.ciqfunctions.udf.CIQ("^SPX", "IQ_PRICEDATE", "4/19/2018")</f>
        <v>#NAME?</v>
      </c>
      <c r="AC1089" s="16">
        <v>2693.1257302322001</v>
      </c>
    </row>
    <row r="1090" spans="26:29" x14ac:dyDescent="0.35">
      <c r="Z1090" s="4"/>
      <c r="AA1090" s="4"/>
      <c r="AB1090" s="4" t="e">
        <f ca="1">_xll.ciqfunctions.udf.CIQ("^SPX", "IQ_PRICEDATE", "4/20/2018")</f>
        <v>#NAME?</v>
      </c>
      <c r="AC1090" s="16">
        <v>2670.1417556473998</v>
      </c>
    </row>
    <row r="1091" spans="26:29" x14ac:dyDescent="0.35">
      <c r="Z1091" s="4"/>
      <c r="AA1091" s="4"/>
      <c r="AB1091" s="4" t="e">
        <f ca="1">_xll.ciqfunctions.udf.CIQ("^SPX", "IQ_PRICEDATE", "4/23/2018")</f>
        <v>#NAME?</v>
      </c>
      <c r="AC1091" s="16">
        <v>2670.2904815958</v>
      </c>
    </row>
    <row r="1092" spans="26:29" x14ac:dyDescent="0.35">
      <c r="Z1092" s="4"/>
      <c r="AA1092" s="4"/>
      <c r="AB1092" s="4" t="e">
        <f ca="1">_xll.ciqfunctions.udf.CIQ("^SPX", "IQ_PRICEDATE", "4/24/2018")</f>
        <v>#NAME?</v>
      </c>
      <c r="AC1092" s="16">
        <v>2634.5564523615999</v>
      </c>
    </row>
    <row r="1093" spans="26:29" x14ac:dyDescent="0.35">
      <c r="Z1093" s="4"/>
      <c r="AA1093" s="4"/>
      <c r="AB1093" s="4" t="e">
        <f ca="1">_xll.ciqfunctions.udf.CIQ("^SPX", "IQ_PRICEDATE", "4/25/2018")</f>
        <v>#NAME?</v>
      </c>
      <c r="AC1093" s="16">
        <v>2639.3950272385</v>
      </c>
    </row>
    <row r="1094" spans="26:29" x14ac:dyDescent="0.35">
      <c r="Z1094" s="4"/>
      <c r="AA1094" s="4"/>
      <c r="AB1094" s="4" t="e">
        <f ca="1">_xll.ciqfunctions.udf.CIQ("^SPX", "IQ_PRICEDATE", "4/26/2018")</f>
        <v>#NAME?</v>
      </c>
      <c r="AC1094" s="16">
        <v>2666.9427838322999</v>
      </c>
    </row>
    <row r="1095" spans="26:29" x14ac:dyDescent="0.35">
      <c r="Z1095" s="4"/>
      <c r="AA1095" s="4"/>
      <c r="AB1095" s="4" t="e">
        <f ca="1">_xll.ciqfunctions.udf.CIQ("^SPX", "IQ_PRICEDATE", "4/27/2018")</f>
        <v>#NAME?</v>
      </c>
      <c r="AC1095" s="16">
        <v>2669.906271715</v>
      </c>
    </row>
    <row r="1096" spans="26:29" x14ac:dyDescent="0.35">
      <c r="Z1096" s="4"/>
      <c r="AA1096" s="4"/>
      <c r="AB1096" s="4" t="e">
        <f ca="1">_xll.ciqfunctions.udf.CIQ("^SPX", "IQ_PRICEDATE", "4/30/2018")</f>
        <v>#NAME?</v>
      </c>
      <c r="AC1096" s="16">
        <v>2648.0493647087001</v>
      </c>
    </row>
    <row r="1097" spans="26:29" x14ac:dyDescent="0.35">
      <c r="Z1097" s="4"/>
      <c r="AA1097" s="4"/>
      <c r="AB1097" s="4" t="e">
        <f ca="1">_xll.ciqfunctions.udf.CIQ("^SPX", "IQ_PRICEDATE", "5/1/2018")</f>
        <v>#NAME?</v>
      </c>
      <c r="AC1097" s="16">
        <v>2654.8006518471998</v>
      </c>
    </row>
    <row r="1098" spans="26:29" x14ac:dyDescent="0.35">
      <c r="Z1098" s="4"/>
      <c r="AA1098" s="4"/>
      <c r="AB1098" s="4" t="e">
        <f ca="1">_xll.ciqfunctions.udf.CIQ("^SPX", "IQ_PRICEDATE", "5/2/2018")</f>
        <v>#NAME?</v>
      </c>
      <c r="AC1098" s="16">
        <v>2635.6685473995999</v>
      </c>
    </row>
    <row r="1099" spans="26:29" x14ac:dyDescent="0.35">
      <c r="Z1099" s="4"/>
      <c r="AA1099" s="4"/>
      <c r="AB1099" s="4" t="e">
        <f ca="1">_xll.ciqfunctions.udf.CIQ("^SPX", "IQ_PRICEDATE", "5/3/2018")</f>
        <v>#NAME?</v>
      </c>
      <c r="AC1099" s="16">
        <v>2629.7256154840002</v>
      </c>
    </row>
    <row r="1100" spans="26:29" x14ac:dyDescent="0.35">
      <c r="Z1100" s="4"/>
      <c r="AA1100" s="4"/>
      <c r="AB1100" s="4" t="e">
        <f ca="1">_xll.ciqfunctions.udf.CIQ("^SPX", "IQ_PRICEDATE", "5/4/2018")</f>
        <v>#NAME?</v>
      </c>
      <c r="AC1100" s="16">
        <v>2663.4203373004002</v>
      </c>
    </row>
    <row r="1101" spans="26:29" x14ac:dyDescent="0.35">
      <c r="Z1101" s="4"/>
      <c r="AA1101" s="4"/>
      <c r="AB1101" s="4" t="e">
        <f ca="1">_xll.ciqfunctions.udf.CIQ("^SPX", "IQ_PRICEDATE", "5/7/2018")</f>
        <v>#NAME?</v>
      </c>
      <c r="AC1101" s="16">
        <v>2672.6284981829999</v>
      </c>
    </row>
    <row r="1102" spans="26:29" x14ac:dyDescent="0.35">
      <c r="Z1102" s="4"/>
      <c r="AA1102" s="4"/>
      <c r="AB1102" s="4" t="e">
        <f ca="1">_xll.ciqfunctions.udf.CIQ("^SPX", "IQ_PRICEDATE", "5/8/2018")</f>
        <v>#NAME?</v>
      </c>
      <c r="AC1102" s="16">
        <v>2671.9182617050001</v>
      </c>
    </row>
    <row r="1103" spans="26:29" x14ac:dyDescent="0.35">
      <c r="Z1103" s="4"/>
      <c r="AA1103" s="4"/>
      <c r="AB1103" s="4" t="e">
        <f ca="1">_xll.ciqfunctions.udf.CIQ("^SPX", "IQ_PRICEDATE", "5/9/2018")</f>
        <v>#NAME?</v>
      </c>
      <c r="AC1103" s="16">
        <v>2697.7915487847999</v>
      </c>
    </row>
    <row r="1104" spans="26:29" x14ac:dyDescent="0.35">
      <c r="Z1104" s="4"/>
      <c r="AA1104" s="4"/>
      <c r="AB1104" s="4" t="e">
        <f ca="1">_xll.ciqfunctions.udf.CIQ("^SPX", "IQ_PRICEDATE", "5/10/2018")</f>
        <v>#NAME?</v>
      </c>
      <c r="AC1104" s="16">
        <v>2723.0689028173001</v>
      </c>
    </row>
    <row r="1105" spans="26:29" x14ac:dyDescent="0.35">
      <c r="Z1105" s="4"/>
      <c r="AA1105" s="4"/>
      <c r="AB1105" s="4" t="e">
        <f ca="1">_xll.ciqfunctions.udf.CIQ("^SPX", "IQ_PRICEDATE", "5/11/2018")</f>
        <v>#NAME?</v>
      </c>
      <c r="AC1105" s="16">
        <v>2727.7159275558001</v>
      </c>
    </row>
    <row r="1106" spans="26:29" x14ac:dyDescent="0.35">
      <c r="Z1106" s="4"/>
      <c r="AA1106" s="4"/>
      <c r="AB1106" s="4" t="e">
        <f ca="1">_xll.ciqfunctions.udf.CIQ("^SPX", "IQ_PRICEDATE", "5/14/2018")</f>
        <v>#NAME?</v>
      </c>
      <c r="AC1106" s="16">
        <v>2730.1324574028999</v>
      </c>
    </row>
    <row r="1107" spans="26:29" x14ac:dyDescent="0.35">
      <c r="Z1107" s="4"/>
      <c r="AA1107" s="4"/>
      <c r="AB1107" s="4" t="e">
        <f ca="1">_xll.ciqfunctions.udf.CIQ("^SPX", "IQ_PRICEDATE", "5/15/2018")</f>
        <v>#NAME?</v>
      </c>
      <c r="AC1107" s="16">
        <v>2711.4455236237</v>
      </c>
    </row>
    <row r="1108" spans="26:29" x14ac:dyDescent="0.35">
      <c r="Z1108" s="4"/>
      <c r="AA1108" s="4"/>
      <c r="AB1108" s="4" t="e">
        <f ca="1">_xll.ciqfunctions.udf.CIQ("^SPX", "IQ_PRICEDATE", "5/16/2018")</f>
        <v>#NAME?</v>
      </c>
      <c r="AC1108" s="16">
        <v>2722.4622972534999</v>
      </c>
    </row>
    <row r="1109" spans="26:29" x14ac:dyDescent="0.35">
      <c r="Z1109" s="4"/>
      <c r="AA1109" s="4"/>
      <c r="AB1109" s="4" t="e">
        <f ca="1">_xll.ciqfunctions.udf.CIQ("^SPX", "IQ_PRICEDATE", "5/17/2018")</f>
        <v>#NAME?</v>
      </c>
      <c r="AC1109" s="16">
        <v>2720.1272067587001</v>
      </c>
    </row>
    <row r="1110" spans="26:29" x14ac:dyDescent="0.35">
      <c r="Z1110" s="4"/>
      <c r="AA1110" s="4"/>
      <c r="AB1110" s="4" t="e">
        <f ca="1">_xll.ciqfunctions.udf.CIQ("^SPX", "IQ_PRICEDATE", "5/18/2018")</f>
        <v>#NAME?</v>
      </c>
      <c r="AC1110" s="16">
        <v>2712.9747135605999</v>
      </c>
    </row>
    <row r="1111" spans="26:29" x14ac:dyDescent="0.35">
      <c r="Z1111" s="4"/>
      <c r="AA1111" s="4"/>
      <c r="AB1111" s="4" t="e">
        <f ca="1">_xll.ciqfunctions.udf.CIQ("^SPX", "IQ_PRICEDATE", "5/21/2018")</f>
        <v>#NAME?</v>
      </c>
      <c r="AC1111" s="16">
        <v>2733.0108196046999</v>
      </c>
    </row>
    <row r="1112" spans="26:29" x14ac:dyDescent="0.35">
      <c r="Z1112" s="4"/>
      <c r="AA1112" s="4"/>
      <c r="AB1112" s="4" t="e">
        <f ca="1">_xll.ciqfunctions.udf.CIQ("^SPX", "IQ_PRICEDATE", "5/22/2018")</f>
        <v>#NAME?</v>
      </c>
      <c r="AC1112" s="16">
        <v>2724.4440411118999</v>
      </c>
    </row>
    <row r="1113" spans="26:29" x14ac:dyDescent="0.35">
      <c r="Z1113" s="4"/>
      <c r="AA1113" s="4"/>
      <c r="AB1113" s="4" t="e">
        <f ca="1">_xll.ciqfunctions.udf.CIQ("^SPX", "IQ_PRICEDATE", "5/23/2018")</f>
        <v>#NAME?</v>
      </c>
      <c r="AC1113" s="16">
        <v>2733.2892688342999</v>
      </c>
    </row>
    <row r="1114" spans="26:29" x14ac:dyDescent="0.35">
      <c r="Z1114" s="4"/>
      <c r="AA1114" s="4"/>
      <c r="AB1114" s="4" t="e">
        <f ca="1">_xll.ciqfunctions.udf.CIQ("^SPX", "IQ_PRICEDATE", "5/24/2018")</f>
        <v>#NAME?</v>
      </c>
      <c r="AC1114" s="16">
        <v>2727.7631947084001</v>
      </c>
    </row>
    <row r="1115" spans="26:29" x14ac:dyDescent="0.35">
      <c r="Z1115" s="4"/>
      <c r="AA1115" s="4"/>
      <c r="AB1115" s="4" t="e">
        <f ca="1">_xll.ciqfunctions.udf.CIQ("^SPX", "IQ_PRICEDATE", "5/25/2018")</f>
        <v>#NAME?</v>
      </c>
      <c r="AC1115" s="16">
        <v>2721.3279562726002</v>
      </c>
    </row>
    <row r="1116" spans="26:29" x14ac:dyDescent="0.35">
      <c r="Z1116" s="4"/>
      <c r="AA1116" s="4"/>
      <c r="AB1116" s="4" t="e">
        <f ca="1">_xll.ciqfunctions.udf.CIQ("^SPX", "IQ_PRICEDATE", "5/29/2018")</f>
        <v>#NAME?</v>
      </c>
      <c r="AC1116" s="16">
        <v>2689.8572489476001</v>
      </c>
    </row>
    <row r="1117" spans="26:29" x14ac:dyDescent="0.35">
      <c r="Z1117" s="4"/>
      <c r="AA1117" s="4"/>
      <c r="AB1117" s="4" t="e">
        <f ca="1">_xll.ciqfunctions.udf.CIQ("^SPX", "IQ_PRICEDATE", "5/30/2018")</f>
        <v>#NAME?</v>
      </c>
      <c r="AC1117" s="16">
        <v>2724.0099112322</v>
      </c>
    </row>
    <row r="1118" spans="26:29" x14ac:dyDescent="0.35">
      <c r="Z1118" s="4"/>
      <c r="AA1118" s="4"/>
      <c r="AB1118" s="4" t="e">
        <f ca="1">_xll.ciqfunctions.udf.CIQ("^SPX", "IQ_PRICEDATE", "5/31/2018")</f>
        <v>#NAME?</v>
      </c>
      <c r="AC1118" s="16">
        <v>2705.2747516248</v>
      </c>
    </row>
    <row r="1119" spans="26:29" x14ac:dyDescent="0.35">
      <c r="Z1119" s="4"/>
      <c r="AA1119" s="4"/>
      <c r="AB1119" s="4" t="e">
        <f ca="1">_xll.ciqfunctions.udf.CIQ("^SPX", "IQ_PRICEDATE", "6/1/2018")</f>
        <v>#NAME?</v>
      </c>
      <c r="AC1119" s="16">
        <v>2734.6188550041002</v>
      </c>
    </row>
    <row r="1120" spans="26:29" x14ac:dyDescent="0.35">
      <c r="Z1120" s="4"/>
      <c r="AA1120" s="4"/>
      <c r="AB1120" s="4" t="e">
        <f ca="1">_xll.ciqfunctions.udf.CIQ("^SPX", "IQ_PRICEDATE", "6/4/2018")</f>
        <v>#NAME?</v>
      </c>
      <c r="AC1120" s="16">
        <v>2746.8711136748998</v>
      </c>
    </row>
    <row r="1121" spans="26:29" x14ac:dyDescent="0.35">
      <c r="Z1121" s="4"/>
      <c r="AA1121" s="4"/>
      <c r="AB1121" s="4" t="e">
        <f ca="1">_xll.ciqfunctions.udf.CIQ("^SPX", "IQ_PRICEDATE", "6/5/2018")</f>
        <v>#NAME?</v>
      </c>
      <c r="AC1121" s="16">
        <v>2748.7951858796</v>
      </c>
    </row>
    <row r="1122" spans="26:29" x14ac:dyDescent="0.35">
      <c r="Z1122" s="4"/>
      <c r="AA1122" s="4"/>
      <c r="AB1122" s="4" t="e">
        <f ca="1">_xll.ciqfunctions.udf.CIQ("^SPX", "IQ_PRICEDATE", "6/6/2018")</f>
        <v>#NAME?</v>
      </c>
      <c r="AC1122" s="16">
        <v>2772.3457853834002</v>
      </c>
    </row>
    <row r="1123" spans="26:29" x14ac:dyDescent="0.35">
      <c r="Z1123" s="4"/>
      <c r="AA1123" s="4"/>
      <c r="AB1123" s="4" t="e">
        <f ca="1">_xll.ciqfunctions.udf.CIQ("^SPX", "IQ_PRICEDATE", "6/7/2018")</f>
        <v>#NAME?</v>
      </c>
      <c r="AC1123" s="16">
        <v>2770.3720468904999</v>
      </c>
    </row>
    <row r="1124" spans="26:29" x14ac:dyDescent="0.35">
      <c r="Z1124" s="4"/>
      <c r="AA1124" s="4"/>
      <c r="AB1124" s="4" t="e">
        <f ca="1">_xll.ciqfunctions.udf.CIQ("^SPX", "IQ_PRICEDATE", "6/8/2018")</f>
        <v>#NAME?</v>
      </c>
      <c r="AC1124" s="16">
        <v>2779.0285906191002</v>
      </c>
    </row>
    <row r="1125" spans="26:29" x14ac:dyDescent="0.35">
      <c r="Z1125" s="4"/>
      <c r="AA1125" s="4"/>
      <c r="AB1125" s="4" t="e">
        <f ca="1">_xll.ciqfunctions.udf.CIQ("^SPX", "IQ_PRICEDATE", "6/11/2018")</f>
        <v>#NAME?</v>
      </c>
      <c r="AC1125" s="16">
        <v>2782.0048600648001</v>
      </c>
    </row>
    <row r="1126" spans="26:29" x14ac:dyDescent="0.35">
      <c r="Z1126" s="4"/>
      <c r="AA1126" s="4"/>
      <c r="AB1126" s="4" t="e">
        <f ca="1">_xll.ciqfunctions.udf.CIQ("^SPX", "IQ_PRICEDATE", "6/12/2018")</f>
        <v>#NAME?</v>
      </c>
      <c r="AC1126" s="16">
        <v>2786.8524730265999</v>
      </c>
    </row>
    <row r="1127" spans="26:29" x14ac:dyDescent="0.35">
      <c r="Z1127" s="4"/>
      <c r="AA1127" s="4"/>
      <c r="AB1127" s="4" t="e">
        <f ca="1">_xll.ciqfunctions.udf.CIQ("^SPX", "IQ_PRICEDATE", "6/13/2018")</f>
        <v>#NAME?</v>
      </c>
      <c r="AC1127" s="16">
        <v>2775.6267511489</v>
      </c>
    </row>
    <row r="1128" spans="26:29" x14ac:dyDescent="0.35">
      <c r="Z1128" s="4"/>
      <c r="AA1128" s="4"/>
      <c r="AB1128" s="4" t="e">
        <f ca="1">_xll.ciqfunctions.udf.CIQ("^SPX", "IQ_PRICEDATE", "6/14/2018")</f>
        <v>#NAME?</v>
      </c>
      <c r="AC1128" s="16">
        <v>2782.4894063784</v>
      </c>
    </row>
    <row r="1129" spans="26:29" x14ac:dyDescent="0.35">
      <c r="Z1129" s="4"/>
      <c r="AA1129" s="4"/>
      <c r="AB1129" s="4" t="e">
        <f ca="1">_xll.ciqfunctions.udf.CIQ("^SPX", "IQ_PRICEDATE", "6/15/2018")</f>
        <v>#NAME?</v>
      </c>
      <c r="AC1129" s="16">
        <v>2779.6630272875</v>
      </c>
    </row>
    <row r="1130" spans="26:29" x14ac:dyDescent="0.35">
      <c r="Z1130" s="4"/>
      <c r="AA1130" s="4"/>
      <c r="AB1130" s="4" t="e">
        <f ca="1">_xll.ciqfunctions.udf.CIQ("^SPX", "IQ_PRICEDATE", "6/18/2018")</f>
        <v>#NAME?</v>
      </c>
      <c r="AC1130" s="16">
        <v>2773.7450408555001</v>
      </c>
    </row>
    <row r="1131" spans="26:29" x14ac:dyDescent="0.35">
      <c r="Z1131" s="4"/>
      <c r="AA1131" s="4"/>
      <c r="AB1131" s="4" t="e">
        <f ca="1">_xll.ciqfunctions.udf.CIQ("^SPX", "IQ_PRICEDATE", "6/19/2018")</f>
        <v>#NAME?</v>
      </c>
      <c r="AC1131" s="16">
        <v>2762.5946469127998</v>
      </c>
    </row>
    <row r="1132" spans="26:29" x14ac:dyDescent="0.35">
      <c r="Z1132" s="4"/>
      <c r="AA1132" s="4"/>
      <c r="AB1132" s="4" t="e">
        <f ca="1">_xll.ciqfunctions.udf.CIQ("^SPX", "IQ_PRICEDATE", "6/20/2018")</f>
        <v>#NAME?</v>
      </c>
      <c r="AC1132" s="16">
        <v>2767.3179049554001</v>
      </c>
    </row>
    <row r="1133" spans="26:29" x14ac:dyDescent="0.35">
      <c r="Z1133" s="4"/>
      <c r="AA1133" s="4"/>
      <c r="AB1133" s="4" t="e">
        <f ca="1">_xll.ciqfunctions.udf.CIQ("^SPX", "IQ_PRICEDATE", "6/21/2018")</f>
        <v>#NAME?</v>
      </c>
      <c r="AC1133" s="16">
        <v>2749.7579690309999</v>
      </c>
    </row>
    <row r="1134" spans="26:29" x14ac:dyDescent="0.35">
      <c r="Z1134" s="4"/>
      <c r="AA1134" s="4"/>
      <c r="AB1134" s="4" t="e">
        <f ca="1">_xll.ciqfunctions.udf.CIQ("^SPX", "IQ_PRICEDATE", "6/22/2018")</f>
        <v>#NAME?</v>
      </c>
      <c r="AC1134" s="16">
        <v>2754.8769951096001</v>
      </c>
    </row>
    <row r="1135" spans="26:29" x14ac:dyDescent="0.35">
      <c r="Z1135" s="4"/>
      <c r="AA1135" s="4"/>
      <c r="AB1135" s="4" t="e">
        <f ca="1">_xll.ciqfunctions.udf.CIQ("^SPX", "IQ_PRICEDATE", "6/25/2018")</f>
        <v>#NAME?</v>
      </c>
      <c r="AC1135" s="16">
        <v>2717.0742184511</v>
      </c>
    </row>
    <row r="1136" spans="26:29" x14ac:dyDescent="0.35">
      <c r="Z1136" s="4"/>
      <c r="AA1136" s="4"/>
      <c r="AB1136" s="4" t="e">
        <f ca="1">_xll.ciqfunctions.udf.CIQ("^SPX", "IQ_PRICEDATE", "6/26/2018")</f>
        <v>#NAME?</v>
      </c>
      <c r="AC1136" s="16">
        <v>2723.0588856282002</v>
      </c>
    </row>
    <row r="1137" spans="26:29" x14ac:dyDescent="0.35">
      <c r="Z1137" s="4"/>
      <c r="AA1137" s="4"/>
      <c r="AB1137" s="4" t="e">
        <f ca="1">_xll.ciqfunctions.udf.CIQ("^SPX", "IQ_PRICEDATE", "6/27/2018")</f>
        <v>#NAME?</v>
      </c>
      <c r="AC1137" s="16">
        <v>2699.6262029689001</v>
      </c>
    </row>
    <row r="1138" spans="26:29" x14ac:dyDescent="0.35">
      <c r="Z1138" s="4"/>
      <c r="AA1138" s="4"/>
      <c r="AB1138" s="4" t="e">
        <f ca="1">_xll.ciqfunctions.udf.CIQ("^SPX", "IQ_PRICEDATE", "6/28/2018")</f>
        <v>#NAME?</v>
      </c>
      <c r="AC1138" s="16">
        <v>2716.3099359139001</v>
      </c>
    </row>
    <row r="1139" spans="26:29" x14ac:dyDescent="0.35">
      <c r="Z1139" s="4"/>
      <c r="AA1139" s="4"/>
      <c r="AB1139" s="4" t="e">
        <f ca="1">_xll.ciqfunctions.udf.CIQ("^SPX", "IQ_PRICEDATE", "6/29/2018")</f>
        <v>#NAME?</v>
      </c>
      <c r="AC1139" s="16">
        <v>2718.3734650222</v>
      </c>
    </row>
    <row r="1140" spans="26:29" x14ac:dyDescent="0.35">
      <c r="Z1140" s="4"/>
      <c r="AA1140" s="4"/>
      <c r="AB1140" s="4" t="e">
        <f ca="1">_xll.ciqfunctions.udf.CIQ("^SPX", "IQ_PRICEDATE", "7/2/2018")</f>
        <v>#NAME?</v>
      </c>
      <c r="AC1140" s="16">
        <v>2726.7137643404999</v>
      </c>
    </row>
    <row r="1141" spans="26:29" x14ac:dyDescent="0.35">
      <c r="Z1141" s="4"/>
      <c r="AA1141" s="4"/>
      <c r="AB1141" s="4" t="e">
        <f ca="1">_xll.ciqfunctions.udf.CIQ("^SPX", "IQ_PRICEDATE", "7/3/2018")</f>
        <v>#NAME?</v>
      </c>
      <c r="AC1141" s="16">
        <v>2713.220886397</v>
      </c>
    </row>
    <row r="1142" spans="26:29" x14ac:dyDescent="0.35">
      <c r="Z1142" s="4"/>
      <c r="AA1142" s="4"/>
      <c r="AB1142" s="4" t="e">
        <f ca="1">_xll.ciqfunctions.udf.CIQ("^SPX", "IQ_PRICEDATE", "7/5/2018")</f>
        <v>#NAME?</v>
      </c>
      <c r="AC1142" s="16">
        <v>2736.612571228</v>
      </c>
    </row>
    <row r="1143" spans="26:29" x14ac:dyDescent="0.35">
      <c r="Z1143" s="4"/>
      <c r="AA1143" s="4"/>
      <c r="AB1143" s="4" t="e">
        <f ca="1">_xll.ciqfunctions.udf.CIQ("^SPX", "IQ_PRICEDATE", "7/6/2018")</f>
        <v>#NAME?</v>
      </c>
      <c r="AC1143" s="16">
        <v>2759.8219158252</v>
      </c>
    </row>
    <row r="1144" spans="26:29" x14ac:dyDescent="0.35">
      <c r="Z1144" s="4"/>
      <c r="AA1144" s="4"/>
      <c r="AB1144" s="4" t="e">
        <f ca="1">_xll.ciqfunctions.udf.CIQ("^SPX", "IQ_PRICEDATE", "7/9/2018")</f>
        <v>#NAME?</v>
      </c>
      <c r="AC1144" s="16">
        <v>2784.1732403668998</v>
      </c>
    </row>
    <row r="1145" spans="26:29" x14ac:dyDescent="0.35">
      <c r="Z1145" s="4"/>
      <c r="AA1145" s="4"/>
      <c r="AB1145" s="4" t="e">
        <f ca="1">_xll.ciqfunctions.udf.CIQ("^SPX", "IQ_PRICEDATE", "7/10/2018")</f>
        <v>#NAME?</v>
      </c>
      <c r="AC1145" s="16">
        <v>2793.8391511653999</v>
      </c>
    </row>
    <row r="1146" spans="26:29" x14ac:dyDescent="0.35">
      <c r="Z1146" s="4"/>
      <c r="AA1146" s="4"/>
      <c r="AB1146" s="4" t="e">
        <f ca="1">_xll.ciqfunctions.udf.CIQ("^SPX", "IQ_PRICEDATE", "7/11/2018")</f>
        <v>#NAME?</v>
      </c>
      <c r="AC1146" s="16">
        <v>2774.0174783796001</v>
      </c>
    </row>
    <row r="1147" spans="26:29" x14ac:dyDescent="0.35">
      <c r="Z1147" s="4"/>
      <c r="AA1147" s="4"/>
      <c r="AB1147" s="4" t="e">
        <f ca="1">_xll.ciqfunctions.udf.CIQ("^SPX", "IQ_PRICEDATE", "7/12/2018")</f>
        <v>#NAME?</v>
      </c>
      <c r="AC1147" s="16">
        <v>2798.2869223869002</v>
      </c>
    </row>
    <row r="1148" spans="26:29" x14ac:dyDescent="0.35">
      <c r="Z1148" s="4"/>
      <c r="AA1148" s="4"/>
      <c r="AB1148" s="4" t="e">
        <f ca="1">_xll.ciqfunctions.udf.CIQ("^SPX", "IQ_PRICEDATE", "7/13/2018")</f>
        <v>#NAME?</v>
      </c>
      <c r="AC1148" s="16">
        <v>2801.3113726616998</v>
      </c>
    </row>
    <row r="1149" spans="26:29" x14ac:dyDescent="0.35">
      <c r="Z1149" s="4"/>
      <c r="AA1149" s="4"/>
      <c r="AB1149" s="4" t="e">
        <f ca="1">_xll.ciqfunctions.udf.CIQ("^SPX", "IQ_PRICEDATE", "7/16/2018")</f>
        <v>#NAME?</v>
      </c>
      <c r="AC1149" s="16">
        <v>2798.4346041356998</v>
      </c>
    </row>
    <row r="1150" spans="26:29" x14ac:dyDescent="0.35">
      <c r="Z1150" s="4"/>
      <c r="AA1150" s="4"/>
      <c r="AB1150" s="4" t="e">
        <f ca="1">_xll.ciqfunctions.udf.CIQ("^SPX", "IQ_PRICEDATE", "7/17/2018")</f>
        <v>#NAME?</v>
      </c>
      <c r="AC1150" s="16">
        <v>2809.5516223514001</v>
      </c>
    </row>
    <row r="1151" spans="26:29" x14ac:dyDescent="0.35">
      <c r="Z1151" s="4"/>
      <c r="AA1151" s="4"/>
      <c r="AB1151" s="4" t="e">
        <f ca="1">_xll.ciqfunctions.udf.CIQ("^SPX", "IQ_PRICEDATE", "7/18/2018")</f>
        <v>#NAME?</v>
      </c>
      <c r="AC1151" s="16">
        <v>2815.6197843404002</v>
      </c>
    </row>
    <row r="1152" spans="26:29" x14ac:dyDescent="0.35">
      <c r="Z1152" s="4"/>
      <c r="AA1152" s="4"/>
      <c r="AB1152" s="4" t="e">
        <f ca="1">_xll.ciqfunctions.udf.CIQ("^SPX", "IQ_PRICEDATE", "7/19/2018")</f>
        <v>#NAME?</v>
      </c>
      <c r="AC1152" s="16">
        <v>2804.4934139565999</v>
      </c>
    </row>
    <row r="1153" spans="26:29" x14ac:dyDescent="0.35">
      <c r="Z1153" s="4"/>
      <c r="AA1153" s="4"/>
      <c r="AB1153" s="4" t="e">
        <f ca="1">_xll.ciqfunctions.udf.CIQ("^SPX", "IQ_PRICEDATE", "7/20/2018")</f>
        <v>#NAME?</v>
      </c>
      <c r="AC1153" s="16">
        <v>2801.8280880917</v>
      </c>
    </row>
    <row r="1154" spans="26:29" x14ac:dyDescent="0.35">
      <c r="Z1154" s="4"/>
      <c r="AA1154" s="4"/>
      <c r="AB1154" s="4" t="e">
        <f ca="1">_xll.ciqfunctions.udf.CIQ("^SPX", "IQ_PRICEDATE", "7/23/2018")</f>
        <v>#NAME?</v>
      </c>
      <c r="AC1154" s="16">
        <v>2806.9828988651002</v>
      </c>
    </row>
    <row r="1155" spans="26:29" x14ac:dyDescent="0.35">
      <c r="Z1155" s="4"/>
      <c r="AA1155" s="4"/>
      <c r="AB1155" s="4" t="e">
        <f ca="1">_xll.ciqfunctions.udf.CIQ("^SPX", "IQ_PRICEDATE", "7/24/2018")</f>
        <v>#NAME?</v>
      </c>
      <c r="AC1155" s="16">
        <v>2820.4041297202998</v>
      </c>
    </row>
    <row r="1156" spans="26:29" x14ac:dyDescent="0.35">
      <c r="Z1156" s="4"/>
      <c r="AA1156" s="4"/>
      <c r="AB1156" s="4" t="e">
        <f ca="1">_xll.ciqfunctions.udf.CIQ("^SPX", "IQ_PRICEDATE", "7/25/2018")</f>
        <v>#NAME?</v>
      </c>
      <c r="AC1156" s="16">
        <v>2846.0670433640998</v>
      </c>
    </row>
    <row r="1157" spans="26:29" x14ac:dyDescent="0.35">
      <c r="Z1157" s="4"/>
      <c r="AA1157" s="4"/>
      <c r="AB1157" s="4" t="e">
        <f ca="1">_xll.ciqfunctions.udf.CIQ("^SPX", "IQ_PRICEDATE", "7/26/2018")</f>
        <v>#NAME?</v>
      </c>
      <c r="AC1157" s="16">
        <v>2837.4399856340001</v>
      </c>
    </row>
    <row r="1158" spans="26:29" x14ac:dyDescent="0.35">
      <c r="Z1158" s="4"/>
      <c r="AA1158" s="4"/>
      <c r="AB1158" s="4" t="e">
        <f ca="1">_xll.ciqfunctions.udf.CIQ("^SPX", "IQ_PRICEDATE", "7/27/2018")</f>
        <v>#NAME?</v>
      </c>
      <c r="AC1158" s="16">
        <v>2818.8176262962002</v>
      </c>
    </row>
    <row r="1159" spans="26:29" x14ac:dyDescent="0.35">
      <c r="Z1159" s="4"/>
      <c r="AA1159" s="4"/>
      <c r="AB1159" s="4" t="e">
        <f ca="1">_xll.ciqfunctions.udf.CIQ("^SPX", "IQ_PRICEDATE", "7/30/2018")</f>
        <v>#NAME?</v>
      </c>
      <c r="AC1159" s="16">
        <v>2802.601445843</v>
      </c>
    </row>
    <row r="1160" spans="26:29" x14ac:dyDescent="0.35">
      <c r="Z1160" s="4"/>
      <c r="AA1160" s="4"/>
      <c r="AB1160" s="4" t="e">
        <f ca="1">_xll.ciqfunctions.udf.CIQ("^SPX", "IQ_PRICEDATE", "7/31/2018")</f>
        <v>#NAME?</v>
      </c>
      <c r="AC1160" s="16">
        <v>2816.2886310910999</v>
      </c>
    </row>
    <row r="1161" spans="26:29" x14ac:dyDescent="0.35">
      <c r="Z1161" s="4"/>
      <c r="AA1161" s="4"/>
      <c r="AB1161" s="4" t="e">
        <f ca="1">_xll.ciqfunctions.udf.CIQ("^SPX", "IQ_PRICEDATE", "8/1/2018")</f>
        <v>#NAME?</v>
      </c>
      <c r="AC1161" s="16">
        <v>2813.3649089529999</v>
      </c>
    </row>
    <row r="1162" spans="26:29" x14ac:dyDescent="0.35">
      <c r="Z1162" s="4"/>
      <c r="AA1162" s="4"/>
      <c r="AB1162" s="4" t="e">
        <f ca="1">_xll.ciqfunctions.udf.CIQ("^SPX", "IQ_PRICEDATE", "8/2/2018")</f>
        <v>#NAME?</v>
      </c>
      <c r="AC1162" s="16">
        <v>2827.2182583862</v>
      </c>
    </row>
    <row r="1163" spans="26:29" x14ac:dyDescent="0.35">
      <c r="Z1163" s="4"/>
      <c r="AA1163" s="4"/>
      <c r="AB1163" s="4" t="e">
        <f ca="1">_xll.ciqfunctions.udf.CIQ("^SPX", "IQ_PRICEDATE", "8/3/2018")</f>
        <v>#NAME?</v>
      </c>
      <c r="AC1163" s="16">
        <v>2840.3535543807998</v>
      </c>
    </row>
    <row r="1164" spans="26:29" x14ac:dyDescent="0.35">
      <c r="Z1164" s="4"/>
      <c r="AA1164" s="4"/>
      <c r="AB1164" s="4" t="e">
        <f ca="1">_xll.ciqfunctions.udf.CIQ("^SPX", "IQ_PRICEDATE", "8/6/2018")</f>
        <v>#NAME?</v>
      </c>
      <c r="AC1164" s="16">
        <v>2850.3965780045</v>
      </c>
    </row>
    <row r="1165" spans="26:29" x14ac:dyDescent="0.35">
      <c r="Z1165" s="4"/>
      <c r="AA1165" s="4"/>
      <c r="AB1165" s="4" t="e">
        <f ca="1">_xll.ciqfunctions.udf.CIQ("^SPX", "IQ_PRICEDATE", "8/7/2018")</f>
        <v>#NAME?</v>
      </c>
      <c r="AC1165" s="16">
        <v>2858.4515094494</v>
      </c>
    </row>
    <row r="1166" spans="26:29" x14ac:dyDescent="0.35">
      <c r="Z1166" s="4"/>
      <c r="AA1166" s="4"/>
      <c r="AB1166" s="4" t="e">
        <f ca="1">_xll.ciqfunctions.udf.CIQ("^SPX", "IQ_PRICEDATE", "8/8/2018")</f>
        <v>#NAME?</v>
      </c>
      <c r="AC1166" s="16">
        <v>2857.7044950281002</v>
      </c>
    </row>
    <row r="1167" spans="26:29" x14ac:dyDescent="0.35">
      <c r="Z1167" s="4"/>
      <c r="AA1167" s="4"/>
      <c r="AB1167" s="4" t="e">
        <f ca="1">_xll.ciqfunctions.udf.CIQ("^SPX", "IQ_PRICEDATE", "8/9/2018")</f>
        <v>#NAME?</v>
      </c>
      <c r="AC1167" s="16">
        <v>2853.5839477989998</v>
      </c>
    </row>
    <row r="1168" spans="26:29" x14ac:dyDescent="0.35">
      <c r="Z1168" s="4"/>
      <c r="AA1168" s="4"/>
      <c r="AB1168" s="4" t="e">
        <f ca="1">_xll.ciqfunctions.udf.CIQ("^SPX", "IQ_PRICEDATE", "8/10/2018")</f>
        <v>#NAME?</v>
      </c>
      <c r="AC1168" s="16">
        <v>2833.2836316821999</v>
      </c>
    </row>
    <row r="1169" spans="26:29" x14ac:dyDescent="0.35">
      <c r="Z1169" s="4"/>
      <c r="AA1169" s="4"/>
      <c r="AB1169" s="4" t="e">
        <f ca="1">_xll.ciqfunctions.udf.CIQ("^SPX", "IQ_PRICEDATE", "8/13/2018")</f>
        <v>#NAME?</v>
      </c>
      <c r="AC1169" s="16">
        <v>2821.9282342060001</v>
      </c>
    </row>
    <row r="1170" spans="26:29" x14ac:dyDescent="0.35">
      <c r="Z1170" s="4"/>
      <c r="AA1170" s="4"/>
      <c r="AB1170" s="4" t="e">
        <f ca="1">_xll.ciqfunctions.udf.CIQ("^SPX", "IQ_PRICEDATE", "8/14/2018")</f>
        <v>#NAME?</v>
      </c>
      <c r="AC1170" s="16">
        <v>2839.955390868</v>
      </c>
    </row>
    <row r="1171" spans="26:29" x14ac:dyDescent="0.35">
      <c r="Z1171" s="4"/>
      <c r="AA1171" s="4"/>
      <c r="AB1171" s="4" t="e">
        <f ca="1">_xll.ciqfunctions.udf.CIQ("^SPX", "IQ_PRICEDATE", "8/15/2018")</f>
        <v>#NAME?</v>
      </c>
      <c r="AC1171" s="16">
        <v>2818.3730198970002</v>
      </c>
    </row>
    <row r="1172" spans="26:29" x14ac:dyDescent="0.35">
      <c r="Z1172" s="4"/>
      <c r="AA1172" s="4"/>
      <c r="AB1172" s="4" t="e">
        <f ca="1">_xll.ciqfunctions.udf.CIQ("^SPX", "IQ_PRICEDATE", "8/16/2018")</f>
        <v>#NAME?</v>
      </c>
      <c r="AC1172" s="16">
        <v>2840.6879724707001</v>
      </c>
    </row>
    <row r="1173" spans="26:29" x14ac:dyDescent="0.35">
      <c r="Z1173" s="4"/>
      <c r="AA1173" s="4"/>
      <c r="AB1173" s="4" t="e">
        <f ca="1">_xll.ciqfunctions.udf.CIQ("^SPX", "IQ_PRICEDATE", "8/17/2018")</f>
        <v>#NAME?</v>
      </c>
      <c r="AC1173" s="16">
        <v>2850.1316116040998</v>
      </c>
    </row>
    <row r="1174" spans="26:29" x14ac:dyDescent="0.35">
      <c r="Z1174" s="4"/>
      <c r="AA1174" s="4"/>
      <c r="AB1174" s="4" t="e">
        <f ca="1">_xll.ciqfunctions.udf.CIQ("^SPX", "IQ_PRICEDATE", "8/20/2018")</f>
        <v>#NAME?</v>
      </c>
      <c r="AC1174" s="16">
        <v>2857.0540072342001</v>
      </c>
    </row>
    <row r="1175" spans="26:29" x14ac:dyDescent="0.35">
      <c r="Z1175" s="4"/>
      <c r="AA1175" s="4"/>
      <c r="AB1175" s="4" t="e">
        <f ca="1">_xll.ciqfunctions.udf.CIQ("^SPX", "IQ_PRICEDATE", "8/21/2018")</f>
        <v>#NAME?</v>
      </c>
      <c r="AC1175" s="16">
        <v>2862.9569880949002</v>
      </c>
    </row>
    <row r="1176" spans="26:29" x14ac:dyDescent="0.35">
      <c r="Z1176" s="4"/>
      <c r="AA1176" s="4"/>
      <c r="AB1176" s="4" t="e">
        <f ca="1">_xll.ciqfunctions.udf.CIQ("^SPX", "IQ_PRICEDATE", "8/22/2018")</f>
        <v>#NAME?</v>
      </c>
      <c r="AC1176" s="16">
        <v>2861.8246299142002</v>
      </c>
    </row>
    <row r="1177" spans="26:29" x14ac:dyDescent="0.35">
      <c r="Z1177" s="4"/>
      <c r="AA1177" s="4"/>
      <c r="AB1177" s="4" t="e">
        <f ca="1">_xll.ciqfunctions.udf.CIQ("^SPX", "IQ_PRICEDATE", "8/23/2018")</f>
        <v>#NAME?</v>
      </c>
      <c r="AC1177" s="16">
        <v>2856.9805412893002</v>
      </c>
    </row>
    <row r="1178" spans="26:29" x14ac:dyDescent="0.35">
      <c r="Z1178" s="4"/>
      <c r="AA1178" s="4"/>
      <c r="AB1178" s="4" t="e">
        <f ca="1">_xll.ciqfunctions.udf.CIQ("^SPX", "IQ_PRICEDATE", "8/24/2018")</f>
        <v>#NAME?</v>
      </c>
      <c r="AC1178" s="16">
        <v>2874.6891438910998</v>
      </c>
    </row>
    <row r="1179" spans="26:29" x14ac:dyDescent="0.35">
      <c r="Z1179" s="4"/>
      <c r="AA1179" s="4"/>
      <c r="AB1179" s="4" t="e">
        <f ca="1">_xll.ciqfunctions.udf.CIQ("^SPX", "IQ_PRICEDATE", "8/27/2018")</f>
        <v>#NAME?</v>
      </c>
      <c r="AC1179" s="16">
        <v>2896.7356353035002</v>
      </c>
    </row>
    <row r="1180" spans="26:29" x14ac:dyDescent="0.35">
      <c r="Z1180" s="4"/>
      <c r="AA1180" s="4"/>
      <c r="AB1180" s="4" t="e">
        <f ca="1">_xll.ciqfunctions.udf.CIQ("^SPX", "IQ_PRICEDATE", "8/28/2018")</f>
        <v>#NAME?</v>
      </c>
      <c r="AC1180" s="16">
        <v>2897.5220448636001</v>
      </c>
    </row>
    <row r="1181" spans="26:29" x14ac:dyDescent="0.35">
      <c r="Z1181" s="4"/>
      <c r="AA1181" s="4"/>
      <c r="AB1181" s="4" t="e">
        <f ca="1">_xll.ciqfunctions.udf.CIQ("^SPX", "IQ_PRICEDATE", "8/29/2018")</f>
        <v>#NAME?</v>
      </c>
      <c r="AC1181" s="16">
        <v>2914.0413654341</v>
      </c>
    </row>
    <row r="1182" spans="26:29" x14ac:dyDescent="0.35">
      <c r="Z1182" s="4"/>
      <c r="AA1182" s="4"/>
      <c r="AB1182" s="4" t="e">
        <f ca="1">_xll.ciqfunctions.udf.CIQ("^SPX", "IQ_PRICEDATE", "8/30/2018")</f>
        <v>#NAME?</v>
      </c>
      <c r="AC1182" s="16">
        <v>2901.1265962030002</v>
      </c>
    </row>
    <row r="1183" spans="26:29" x14ac:dyDescent="0.35">
      <c r="Z1183" s="4"/>
      <c r="AA1183" s="4"/>
      <c r="AB1183" s="4" t="e">
        <f ca="1">_xll.ciqfunctions.udf.CIQ("^SPX", "IQ_PRICEDATE", "8/31/2018")</f>
        <v>#NAME?</v>
      </c>
      <c r="AC1183" s="16">
        <v>2901.5176770405001</v>
      </c>
    </row>
    <row r="1184" spans="26:29" x14ac:dyDescent="0.35">
      <c r="Z1184" s="4"/>
      <c r="AA1184" s="4"/>
      <c r="AB1184" s="4" t="e">
        <f ca="1">_xll.ciqfunctions.udf.CIQ("^SPX", "IQ_PRICEDATE", "9/4/2018")</f>
        <v>#NAME?</v>
      </c>
      <c r="AC1184" s="16">
        <v>2896.7232861861999</v>
      </c>
    </row>
    <row r="1185" spans="26:29" x14ac:dyDescent="0.35">
      <c r="Z1185" s="4"/>
      <c r="AA1185" s="4"/>
      <c r="AB1185" s="4" t="e">
        <f ca="1">_xll.ciqfunctions.udf.CIQ("^SPX", "IQ_PRICEDATE", "9/5/2018")</f>
        <v>#NAME?</v>
      </c>
      <c r="AC1185" s="16">
        <v>2888.6017988977001</v>
      </c>
    </row>
    <row r="1186" spans="26:29" x14ac:dyDescent="0.35">
      <c r="Z1186" s="4"/>
      <c r="AA1186" s="4"/>
      <c r="AB1186" s="4" t="e">
        <f ca="1">_xll.ciqfunctions.udf.CIQ("^SPX", "IQ_PRICEDATE", "9/6/2018")</f>
        <v>#NAME?</v>
      </c>
      <c r="AC1186" s="16">
        <v>2878.0524329330001</v>
      </c>
    </row>
    <row r="1187" spans="26:29" x14ac:dyDescent="0.35">
      <c r="Z1187" s="4"/>
      <c r="AA1187" s="4"/>
      <c r="AB1187" s="4" t="e">
        <f ca="1">_xll.ciqfunctions.udf.CIQ("^SPX", "IQ_PRICEDATE", "9/7/2018")</f>
        <v>#NAME?</v>
      </c>
      <c r="AC1187" s="16">
        <v>2871.6815283021001</v>
      </c>
    </row>
    <row r="1188" spans="26:29" x14ac:dyDescent="0.35">
      <c r="Z1188" s="4"/>
      <c r="AA1188" s="4"/>
      <c r="AB1188" s="4" t="e">
        <f ca="1">_xll.ciqfunctions.udf.CIQ("^SPX", "IQ_PRICEDATE", "9/10/2018")</f>
        <v>#NAME?</v>
      </c>
      <c r="AC1188" s="16">
        <v>2877.1261459303</v>
      </c>
    </row>
    <row r="1189" spans="26:29" x14ac:dyDescent="0.35">
      <c r="Z1189" s="4"/>
      <c r="AA1189" s="4"/>
      <c r="AB1189" s="4" t="e">
        <f ca="1">_xll.ciqfunctions.udf.CIQ("^SPX", "IQ_PRICEDATE", "9/11/2018")</f>
        <v>#NAME?</v>
      </c>
      <c r="AC1189" s="16">
        <v>2887.8937973604002</v>
      </c>
    </row>
    <row r="1190" spans="26:29" x14ac:dyDescent="0.35">
      <c r="Z1190" s="4"/>
      <c r="AA1190" s="4"/>
      <c r="AB1190" s="4" t="e">
        <f ca="1">_xll.ciqfunctions.udf.CIQ("^SPX", "IQ_PRICEDATE", "9/12/2018")</f>
        <v>#NAME?</v>
      </c>
      <c r="AC1190" s="16">
        <v>2888.9166550290001</v>
      </c>
    </row>
    <row r="1191" spans="26:29" x14ac:dyDescent="0.35">
      <c r="Z1191" s="4"/>
      <c r="AA1191" s="4"/>
      <c r="AB1191" s="4" t="e">
        <f ca="1">_xll.ciqfunctions.udf.CIQ("^SPX", "IQ_PRICEDATE", "9/13/2018")</f>
        <v>#NAME?</v>
      </c>
      <c r="AC1191" s="16">
        <v>2904.183860264</v>
      </c>
    </row>
    <row r="1192" spans="26:29" x14ac:dyDescent="0.35">
      <c r="Z1192" s="4"/>
      <c r="AA1192" s="4"/>
      <c r="AB1192" s="4" t="e">
        <f ca="1">_xll.ciqfunctions.udf.CIQ("^SPX", "IQ_PRICEDATE", "9/14/2018")</f>
        <v>#NAME?</v>
      </c>
      <c r="AC1192" s="16">
        <v>2904.9753853013999</v>
      </c>
    </row>
    <row r="1193" spans="26:29" x14ac:dyDescent="0.35">
      <c r="Z1193" s="4"/>
      <c r="AA1193" s="4"/>
      <c r="AB1193" s="4" t="e">
        <f ca="1">_xll.ciqfunctions.udf.CIQ("^SPX", "IQ_PRICEDATE", "9/17/2018")</f>
        <v>#NAME?</v>
      </c>
      <c r="AC1193" s="16">
        <v>2888.8011449655</v>
      </c>
    </row>
    <row r="1194" spans="26:29" x14ac:dyDescent="0.35">
      <c r="Z1194" s="4"/>
      <c r="AA1194" s="4"/>
      <c r="AB1194" s="4" t="e">
        <f ca="1">_xll.ciqfunctions.udf.CIQ("^SPX", "IQ_PRICEDATE", "9/18/2018")</f>
        <v>#NAME?</v>
      </c>
      <c r="AC1194" s="16">
        <v>2904.3106462578999</v>
      </c>
    </row>
    <row r="1195" spans="26:29" x14ac:dyDescent="0.35">
      <c r="Z1195" s="4"/>
      <c r="AA1195" s="4"/>
      <c r="AB1195" s="4" t="e">
        <f ca="1">_xll.ciqfunctions.udf.CIQ("^SPX", "IQ_PRICEDATE", "9/19/2018")</f>
        <v>#NAME?</v>
      </c>
      <c r="AC1195" s="16">
        <v>2907.9453942373002</v>
      </c>
    </row>
    <row r="1196" spans="26:29" x14ac:dyDescent="0.35">
      <c r="Z1196" s="4"/>
      <c r="AA1196" s="4"/>
      <c r="AB1196" s="4" t="e">
        <f ca="1">_xll.ciqfunctions.udf.CIQ("^SPX", "IQ_PRICEDATE", "9/20/2018")</f>
        <v>#NAME?</v>
      </c>
      <c r="AC1196" s="16">
        <v>2930.7461520994998</v>
      </c>
    </row>
    <row r="1197" spans="26:29" x14ac:dyDescent="0.35">
      <c r="Z1197" s="4"/>
      <c r="AA1197" s="4"/>
      <c r="AB1197" s="4" t="e">
        <f ca="1">_xll.ciqfunctions.udf.CIQ("^SPX", "IQ_PRICEDATE", "9/21/2018")</f>
        <v>#NAME?</v>
      </c>
      <c r="AC1197" s="16">
        <v>2929.6671956252999</v>
      </c>
    </row>
    <row r="1198" spans="26:29" x14ac:dyDescent="0.35">
      <c r="Z1198" s="4"/>
      <c r="AA1198" s="4"/>
      <c r="AB1198" s="4" t="e">
        <f ca="1">_xll.ciqfunctions.udf.CIQ("^SPX", "IQ_PRICEDATE", "9/24/2018")</f>
        <v>#NAME?</v>
      </c>
      <c r="AC1198" s="16">
        <v>2919.3731493785999</v>
      </c>
    </row>
    <row r="1199" spans="26:29" x14ac:dyDescent="0.35">
      <c r="Z1199" s="4"/>
      <c r="AA1199" s="4"/>
      <c r="AB1199" s="4" t="e">
        <f ca="1">_xll.ciqfunctions.udf.CIQ("^SPX", "IQ_PRICEDATE", "9/25/2018")</f>
        <v>#NAME?</v>
      </c>
      <c r="AC1199" s="16">
        <v>2915.5642837762998</v>
      </c>
    </row>
    <row r="1200" spans="26:29" x14ac:dyDescent="0.35">
      <c r="Z1200" s="4"/>
      <c r="AA1200" s="4"/>
      <c r="AB1200" s="4" t="e">
        <f ca="1">_xll.ciqfunctions.udf.CIQ("^SPX", "IQ_PRICEDATE", "9/26/2018")</f>
        <v>#NAME?</v>
      </c>
      <c r="AC1200" s="16">
        <v>2905.9655876406</v>
      </c>
    </row>
    <row r="1201" spans="26:29" x14ac:dyDescent="0.35">
      <c r="Z1201" s="4"/>
      <c r="AA1201" s="4"/>
      <c r="AB1201" s="4" t="e">
        <f ca="1">_xll.ciqfunctions.udf.CIQ("^SPX", "IQ_PRICEDATE", "9/27/2018")</f>
        <v>#NAME?</v>
      </c>
      <c r="AC1201" s="16">
        <v>2913.9981861058</v>
      </c>
    </row>
    <row r="1202" spans="26:29" x14ac:dyDescent="0.35">
      <c r="Z1202" s="4"/>
      <c r="AA1202" s="4"/>
      <c r="AB1202" s="4" t="e">
        <f ca="1">_xll.ciqfunctions.udf.CIQ("^SPX", "IQ_PRICEDATE", "9/28/2018")</f>
        <v>#NAME?</v>
      </c>
      <c r="AC1202" s="16">
        <v>2913.978139886</v>
      </c>
    </row>
    <row r="1203" spans="26:29" x14ac:dyDescent="0.35">
      <c r="Z1203" s="4"/>
      <c r="AA1203" s="4"/>
      <c r="AB1203" s="4" t="e">
        <f ca="1">_xll.ciqfunctions.udf.CIQ("^SPX", "IQ_PRICEDATE", "10/1/2018")</f>
        <v>#NAME?</v>
      </c>
      <c r="AC1203" s="16">
        <v>2924.5909370456002</v>
      </c>
    </row>
    <row r="1204" spans="26:29" x14ac:dyDescent="0.35">
      <c r="Z1204" s="4"/>
      <c r="AA1204" s="4"/>
      <c r="AB1204" s="4" t="e">
        <f ca="1">_xll.ciqfunctions.udf.CIQ("^SPX", "IQ_PRICEDATE", "10/2/2018")</f>
        <v>#NAME?</v>
      </c>
      <c r="AC1204" s="16">
        <v>2923.4334526643001</v>
      </c>
    </row>
    <row r="1205" spans="26:29" x14ac:dyDescent="0.35">
      <c r="Z1205" s="4"/>
      <c r="AA1205" s="4"/>
      <c r="AB1205" s="4" t="e">
        <f ca="1">_xll.ciqfunctions.udf.CIQ("^SPX", "IQ_PRICEDATE", "10/3/2018")</f>
        <v>#NAME?</v>
      </c>
      <c r="AC1205" s="16">
        <v>2925.5130376727998</v>
      </c>
    </row>
    <row r="1206" spans="26:29" x14ac:dyDescent="0.35">
      <c r="Z1206" s="4"/>
      <c r="AA1206" s="4"/>
      <c r="AB1206" s="4" t="e">
        <f ca="1">_xll.ciqfunctions.udf.CIQ("^SPX", "IQ_PRICEDATE", "10/4/2018")</f>
        <v>#NAME?</v>
      </c>
      <c r="AC1206" s="16">
        <v>2901.6114880516998</v>
      </c>
    </row>
    <row r="1207" spans="26:29" x14ac:dyDescent="0.35">
      <c r="Z1207" s="4"/>
      <c r="AA1207" s="4"/>
      <c r="AB1207" s="4" t="e">
        <f ca="1">_xll.ciqfunctions.udf.CIQ("^SPX", "IQ_PRICEDATE", "10/5/2018")</f>
        <v>#NAME?</v>
      </c>
      <c r="AC1207" s="16">
        <v>2885.5662522712</v>
      </c>
    </row>
    <row r="1208" spans="26:29" x14ac:dyDescent="0.35">
      <c r="Z1208" s="4"/>
      <c r="AA1208" s="4"/>
      <c r="AB1208" s="4" t="e">
        <f ca="1">_xll.ciqfunctions.udf.CIQ("^SPX", "IQ_PRICEDATE", "10/8/2018")</f>
        <v>#NAME?</v>
      </c>
      <c r="AC1208" s="16">
        <v>2884.4326743419001</v>
      </c>
    </row>
    <row r="1209" spans="26:29" x14ac:dyDescent="0.35">
      <c r="Z1209" s="4"/>
      <c r="AA1209" s="4"/>
      <c r="AB1209" s="4" t="e">
        <f ca="1">_xll.ciqfunctions.udf.CIQ("^SPX", "IQ_PRICEDATE", "10/9/2018")</f>
        <v>#NAME?</v>
      </c>
      <c r="AC1209" s="16">
        <v>2880.3437116677001</v>
      </c>
    </row>
    <row r="1210" spans="26:29" x14ac:dyDescent="0.35">
      <c r="Z1210" s="4"/>
      <c r="AA1210" s="4"/>
      <c r="AB1210" s="4" t="e">
        <f ca="1">_xll.ciqfunctions.udf.CIQ("^SPX", "IQ_PRICEDATE", "10/10/2018")</f>
        <v>#NAME?</v>
      </c>
      <c r="AC1210" s="16">
        <v>2785.6791790991001</v>
      </c>
    </row>
    <row r="1211" spans="26:29" x14ac:dyDescent="0.35">
      <c r="Z1211" s="4"/>
      <c r="AA1211" s="4"/>
      <c r="AB1211" s="4" t="e">
        <f ca="1">_xll.ciqfunctions.udf.CIQ("^SPX", "IQ_PRICEDATE", "10/11/2018")</f>
        <v>#NAME?</v>
      </c>
      <c r="AC1211" s="16">
        <v>2728.3662914993001</v>
      </c>
    </row>
    <row r="1212" spans="26:29" x14ac:dyDescent="0.35">
      <c r="Z1212" s="4"/>
      <c r="AA1212" s="4"/>
      <c r="AB1212" s="4" t="e">
        <f ca="1">_xll.ciqfunctions.udf.CIQ("^SPX", "IQ_PRICEDATE", "10/12/2018")</f>
        <v>#NAME?</v>
      </c>
      <c r="AC1212" s="16">
        <v>2767.1260181809998</v>
      </c>
    </row>
    <row r="1213" spans="26:29" x14ac:dyDescent="0.35">
      <c r="Z1213" s="4"/>
      <c r="AA1213" s="4"/>
      <c r="AB1213" s="4" t="e">
        <f ca="1">_xll.ciqfunctions.udf.CIQ("^SPX", "IQ_PRICEDATE", "10/15/2018")</f>
        <v>#NAME?</v>
      </c>
      <c r="AC1213" s="16">
        <v>2750.7860409097998</v>
      </c>
    </row>
    <row r="1214" spans="26:29" x14ac:dyDescent="0.35">
      <c r="AB1214" s="4" t="e">
        <f ca="1">_xll.ciqfunctions.udf.CIQ("^SPX", "IQ_PRICEDATE", "10/16/2018")</f>
        <v>#NAME?</v>
      </c>
      <c r="AC1214" s="16">
        <v>2809.9156707527</v>
      </c>
    </row>
    <row r="1215" spans="26:29" x14ac:dyDescent="0.35">
      <c r="AB1215" s="4" t="e">
        <f ca="1">_xll.ciqfunctions.udf.CIQ("^SPX", "IQ_PRICEDATE", "10/17/2018")</f>
        <v>#NAME?</v>
      </c>
      <c r="AC1215" s="16">
        <v>2809.2090822675</v>
      </c>
    </row>
  </sheetData>
  <mergeCells count="8">
    <mergeCell ref="D1:F1"/>
    <mergeCell ref="N4:Y4"/>
    <mergeCell ref="N5:O5"/>
    <mergeCell ref="P5:Q5"/>
    <mergeCell ref="R5:S5"/>
    <mergeCell ref="T5:U5"/>
    <mergeCell ref="V5:W5"/>
    <mergeCell ref="X5:Y5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freshMacro_Verti1">
                <anchor moveWithCells="1" sizeWithCells="1">
                  <from>
                    <xdr:col>4</xdr:col>
                    <xdr:colOff>400050</xdr:colOff>
                    <xdr:row>2</xdr:row>
                    <xdr:rowOff>76200</xdr:rowOff>
                  </from>
                  <to>
                    <xdr:col>5</xdr:col>
                    <xdr:colOff>279400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C1215"/>
  <sheetViews>
    <sheetView tabSelected="1" zoomScale="90" zoomScaleNormal="90" workbookViewId="0">
      <selection activeCell="A11" sqref="A11"/>
    </sheetView>
  </sheetViews>
  <sheetFormatPr defaultRowHeight="14.5" x14ac:dyDescent="0.35"/>
  <cols>
    <col min="1" max="1" width="26.54296875" bestFit="1" customWidth="1"/>
    <col min="2" max="2" width="15.54296875" bestFit="1" customWidth="1"/>
    <col min="3" max="3" width="23.1796875" bestFit="1" customWidth="1"/>
    <col min="4" max="4" width="14.7265625" bestFit="1" customWidth="1"/>
    <col min="5" max="5" width="23.7265625" bestFit="1" customWidth="1"/>
    <col min="6" max="6" width="22.26953125" customWidth="1"/>
    <col min="7" max="7" width="19.453125" customWidth="1"/>
    <col min="8" max="8" width="21.1796875" bestFit="1" customWidth="1"/>
    <col min="9" max="9" width="23.453125" bestFit="1" customWidth="1"/>
    <col min="10" max="10" width="19.81640625" bestFit="1" customWidth="1"/>
    <col min="11" max="11" width="14.453125" bestFit="1" customWidth="1"/>
    <col min="12" max="12" width="20.26953125" bestFit="1" customWidth="1"/>
    <col min="13" max="13" width="20.453125" bestFit="1" customWidth="1"/>
    <col min="14" max="17" width="13.453125" customWidth="1"/>
    <col min="18" max="18" width="10.453125" bestFit="1" customWidth="1"/>
    <col min="19" max="25" width="13.453125" customWidth="1"/>
    <col min="28" max="28" width="11.54296875" bestFit="1" customWidth="1"/>
    <col min="29" max="29" width="11.81640625" bestFit="1" customWidth="1"/>
  </cols>
  <sheetData>
    <row r="1" spans="1:29" ht="23.5" x14ac:dyDescent="0.55000000000000004">
      <c r="A1" t="s">
        <v>0</v>
      </c>
      <c r="B1" s="1" t="s">
        <v>1</v>
      </c>
      <c r="D1" s="21" t="e">
        <f ca="1">IF($B$1="","",_xll.ciqfunctions.udf.CIQ($B$1,"iq_company_name"))</f>
        <v>#NAME?</v>
      </c>
      <c r="E1" s="21"/>
      <c r="F1" s="21"/>
    </row>
    <row r="2" spans="1:29" x14ac:dyDescent="0.35">
      <c r="A2" t="s">
        <v>3</v>
      </c>
      <c r="B2" s="1" t="s">
        <v>4</v>
      </c>
    </row>
    <row r="3" spans="1:29" x14ac:dyDescent="0.35">
      <c r="A3" t="s">
        <v>2</v>
      </c>
      <c r="B3" s="13" t="e">
        <f ca="1">_xll.ciqfunctions.udf.CIQGETDATE(IQ_TODAY)</f>
        <v>#NAME?</v>
      </c>
      <c r="AB3" s="12"/>
      <c r="AC3" s="13"/>
    </row>
    <row r="4" spans="1:29" x14ac:dyDescent="0.35">
      <c r="A4" t="s">
        <v>1715</v>
      </c>
      <c r="B4" s="13">
        <v>41639</v>
      </c>
      <c r="G4" s="11">
        <f>IQ_LTM</f>
        <v>2000</v>
      </c>
      <c r="H4" s="11">
        <f>IQ_NTM</f>
        <v>6000</v>
      </c>
      <c r="N4" s="22" t="s">
        <v>1712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AB4" s="12"/>
    </row>
    <row r="5" spans="1:29" ht="15.5" x14ac:dyDescent="0.35">
      <c r="M5" t="s">
        <v>523</v>
      </c>
      <c r="N5" s="23">
        <v>43388</v>
      </c>
      <c r="O5" s="24"/>
      <c r="P5" s="23">
        <v>43100</v>
      </c>
      <c r="Q5" s="24"/>
      <c r="R5" s="23">
        <v>42735</v>
      </c>
      <c r="S5" s="24"/>
      <c r="T5" s="23">
        <v>42369</v>
      </c>
      <c r="U5" s="24"/>
      <c r="V5" s="23">
        <v>42004</v>
      </c>
      <c r="W5" s="24"/>
      <c r="X5" s="23">
        <v>42004</v>
      </c>
      <c r="Y5" s="24"/>
      <c r="AB5" s="20" t="e">
        <f ca="1">D1&amp;" Values"</f>
        <v>#NAME?</v>
      </c>
    </row>
    <row r="6" spans="1:29" ht="43.5" x14ac:dyDescent="0.35">
      <c r="A6" s="5" t="e">
        <f ca="1">_xll.ciqfunctions.udf.CIQRANGE($B$1,"IQ_CONSTITUENTS",1,,,,,,"Constituents")</f>
        <v>#NAME?</v>
      </c>
      <c r="B6" s="5" t="s">
        <v>5</v>
      </c>
      <c r="C6" s="5" t="s">
        <v>6</v>
      </c>
      <c r="D6" s="5" t="s">
        <v>7</v>
      </c>
      <c r="E6" s="5" t="s">
        <v>8</v>
      </c>
      <c r="F6" s="5" t="s">
        <v>9</v>
      </c>
      <c r="G6" s="6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18" t="s">
        <v>1713</v>
      </c>
      <c r="O6" s="18" t="s">
        <v>1714</v>
      </c>
      <c r="P6" s="18" t="s">
        <v>1713</v>
      </c>
      <c r="Q6" s="18" t="s">
        <v>1714</v>
      </c>
      <c r="R6" s="18" t="s">
        <v>1713</v>
      </c>
      <c r="S6" s="18" t="s">
        <v>1714</v>
      </c>
      <c r="T6" s="18" t="s">
        <v>1713</v>
      </c>
      <c r="U6" s="18" t="s">
        <v>1714</v>
      </c>
      <c r="V6" s="18" t="s">
        <v>1713</v>
      </c>
      <c r="W6" s="18" t="s">
        <v>1714</v>
      </c>
      <c r="X6" s="18" t="s">
        <v>1713</v>
      </c>
      <c r="Y6" s="18" t="s">
        <v>1714</v>
      </c>
      <c r="Z6" s="7"/>
      <c r="AA6" s="8"/>
      <c r="AB6" s="9" t="e">
        <f ca="1">_xll.ciqfunctions.udf.CIQRANGE($B$1,"IQ_PRICEDATE",$B$4,$B$3,,,,,"Date")</f>
        <v>#NAME?</v>
      </c>
      <c r="AC6" s="7" t="s">
        <v>522</v>
      </c>
    </row>
    <row r="7" spans="1:29" x14ac:dyDescent="0.35">
      <c r="A7" s="2" t="s">
        <v>17</v>
      </c>
      <c r="B7" s="4" t="e">
        <f ca="1">IF($A7="","",_xll.ciqfunctions.udf.CIQ($A7,"IQ_COMPANY_NAME"))</f>
        <v>#NAME?</v>
      </c>
      <c r="C7" s="4" t="e">
        <f ca="1">IF($A7="","",_xll.ciqfunctions.udf.CIQ($A7,"IQ_INDUSTRY_SECTOR"))</f>
        <v>#NAME?</v>
      </c>
      <c r="D7" s="4" t="e">
        <f ca="1">IF($A7="","",_xll.ciqfunctions.udf.CIQ($A7,"IQ_INDUSTRY_GROUP"))</f>
        <v>#NAME?</v>
      </c>
      <c r="E7" s="4" t="e">
        <f ca="1">IF($A7="","",_xll.ciqfunctions.udf.CIQ($A7,"IQ_INDUSTRY"))</f>
        <v>#NAME?</v>
      </c>
      <c r="F7" s="4" t="e">
        <f ca="1">IF($A7="","",_xll.ciqfunctions.udf.CIQ($A7,"IQ_PRIMARY_INDUSTRY"))</f>
        <v>#NAME?</v>
      </c>
      <c r="G7" s="14" t="e">
        <f ca="1">IF($A7="","",_xll.ciqfunctions.udf.CIQ($A7,"IQ_CLOSEPRICE_ADJ",$B$3,$B$2))</f>
        <v>#NAME?</v>
      </c>
      <c r="H7" s="10" t="e">
        <f ca="1">IF($A7="","",_xll.ciqfunctions.udf.CIQ($A7,"IQ_TEV_EBITDA",$G$4,$B$3))</f>
        <v>#NAME?</v>
      </c>
      <c r="I7" s="10" t="e">
        <f ca="1">IF($A7="","",_xll.ciqfunctions.udf.CIQ($A7,"IQ_PE_EXCL",$G$4,$B$3))</f>
        <v>#NAME?</v>
      </c>
      <c r="J7" s="10" t="e">
        <f ca="1">IF($A7="","",_xll.ciqfunctions.udf.CIQ($A7,"IQ_PTBV",$G$4,$B$3))</f>
        <v>#NAME?</v>
      </c>
      <c r="K7" s="15" t="str">
        <f ca="1">IF($A7="","",IF(ISERROR(_xll.ciqfunctions.udf.CIQ($A7,"IQ_DIVIDEND_YIELD",$B$3)/100),"NA",_xll.ciqfunctions.udf.CIQ($A7,"IQ_DIVIDEND_YIELD",$B$3)/100))</f>
        <v>NA</v>
      </c>
      <c r="L7" s="17" t="e">
        <f ca="1">IF($A7="","",_xll.ciqfunctions.udf.CIQ($A7,"IQ_MARKETCAP",$B$3,$B$2))</f>
        <v>#NAME?</v>
      </c>
      <c r="M7" s="4" t="e">
        <f ca="1">IF($A7="","",_xll.ciqfunctions.udf.CIQ($A7,"IQ_COMPANY_ADDRESS"))</f>
        <v>#NAME?</v>
      </c>
      <c r="N7" s="19" t="e">
        <f ca="1">IF($A7="","",_xll.ciqfunctions.udf.CIQ($A7,"IQ_DILUT_EPS_EXCL",$G$4,$N$5,,,$B$2))</f>
        <v>#NAME?</v>
      </c>
      <c r="O7" s="19" t="e">
        <f ca="1">IF($A7="","",_xll.ciqfunctions.udf.CIQ($A7,"IQ_EPS_EST",$H$4,$N$5,,,$B$2))</f>
        <v>#NAME?</v>
      </c>
      <c r="P7" s="19" t="e">
        <f ca="1">IF($A7="","",_xll.ciqfunctions.udf.CIQ($A7,"IQ_DILUT_EPS_EXCL",G$4,$P$5,,,$B$2))</f>
        <v>#NAME?</v>
      </c>
      <c r="Q7" s="19" t="e">
        <f ca="1">IF($A7="","",_xll.ciqfunctions.udf.CIQ($A7,"IQ_EPS_EST",H$4,$P$5,,,$B$2))</f>
        <v>#NAME?</v>
      </c>
      <c r="R7" s="19" t="e">
        <f ca="1">IF($A7="","",_xll.ciqfunctions.udf.CIQ($A7,"IQ_DILUT_EPS_EXCL",G$4,$R$5,,,$B$2))</f>
        <v>#NAME?</v>
      </c>
      <c r="S7" s="19" t="e">
        <f ca="1">IF($A7="","",_xll.ciqfunctions.udf.CIQ($A7,"IQ_EPS_EST",H$4,$R$5,,,$B$2))</f>
        <v>#NAME?</v>
      </c>
      <c r="T7" s="19" t="e">
        <f ca="1">IF($A7="","",_xll.ciqfunctions.udf.CIQ($A7,"IQ_DILUT_EPS_EXCL",$G$4,$R$5,,,$B$2))</f>
        <v>#NAME?</v>
      </c>
      <c r="U7" s="19" t="e">
        <f ca="1">IF($A7="","",_xll.ciqfunctions.udf.CIQ($A7,"IQ_EPS_EST",H$4,$T$5,,,$B$2))</f>
        <v>#NAME?</v>
      </c>
      <c r="V7" s="19" t="e">
        <f ca="1">IF($A7="","",_xll.ciqfunctions.udf.CIQ($A7,"IQ_DILUT_EPS_EXCL",G$4,$V$5,,,$B$2))</f>
        <v>#NAME?</v>
      </c>
      <c r="W7" s="19" t="e">
        <f ca="1">IF($A7="","",_xll.ciqfunctions.udf.CIQ($A7,"IQ_EPS_EST",H$4,$V$5,,,$B$2))</f>
        <v>#NAME?</v>
      </c>
      <c r="X7" s="19" t="e">
        <f ca="1">IF($A7="","",_xll.ciqfunctions.udf.CIQ($A7,"IQ_DILUT_EPS_EXCL",G$4,$X$5,,,$B$2))</f>
        <v>#NAME?</v>
      </c>
      <c r="Y7" s="19" t="e">
        <f ca="1">IF($A7="","",_xll.ciqfunctions.udf.CIQ($A7,"IQ_EPS_EST",H$4,$X$5,,,$B$2))</f>
        <v>#NAME?</v>
      </c>
      <c r="Z7" s="3"/>
      <c r="AA7" s="3"/>
      <c r="AB7" s="4" t="e">
        <f ca="1">_xll.ciqfunctions.udf.CIQ("^SPX", "IQ_PRICEDATE", "12/31/2013")</f>
        <v>#NAME?</v>
      </c>
      <c r="AC7" s="16" t="e">
        <f ca="1">IF($AB7="","",_xll.ciqfunctions.udf.CIQ($B$1,"IQ_LASTSALEPRICE",$AB7))</f>
        <v>#NAME?</v>
      </c>
    </row>
    <row r="8" spans="1:29" x14ac:dyDescent="0.35">
      <c r="A8" s="2" t="s">
        <v>18</v>
      </c>
      <c r="B8" s="4" t="s">
        <v>524</v>
      </c>
      <c r="C8" s="4" t="s">
        <v>525</v>
      </c>
      <c r="D8" s="4" t="s">
        <v>526</v>
      </c>
      <c r="E8" s="4" t="s">
        <v>527</v>
      </c>
      <c r="F8" s="4" t="s">
        <v>527</v>
      </c>
      <c r="G8" s="14">
        <v>47.62</v>
      </c>
      <c r="H8" s="10">
        <v>12.431886</v>
      </c>
      <c r="I8" s="10">
        <v>25.099882000000001</v>
      </c>
      <c r="J8" s="10">
        <v>8.8809430000000003</v>
      </c>
      <c r="K8" s="15">
        <v>1.8479000000000002E-2</v>
      </c>
      <c r="L8" s="17">
        <v>8124.2858630000001</v>
      </c>
      <c r="M8" s="4" t="s">
        <v>528</v>
      </c>
      <c r="N8" s="19">
        <v>1.8972199999999999</v>
      </c>
      <c r="O8" s="19">
        <v>2.77</v>
      </c>
      <c r="P8" s="19">
        <v>1.699999</v>
      </c>
      <c r="Q8" s="19">
        <v>2.3384999999999998</v>
      </c>
      <c r="R8" s="19">
        <v>1.85</v>
      </c>
      <c r="S8" s="19">
        <v>2.0019999999999998</v>
      </c>
      <c r="T8" s="19">
        <v>1.85</v>
      </c>
      <c r="U8" s="19">
        <v>1.7150000000000001</v>
      </c>
      <c r="V8" s="19">
        <v>1.1399999999999999</v>
      </c>
      <c r="W8" s="19">
        <v>1.3201000000000001</v>
      </c>
      <c r="X8" s="19">
        <v>1.1399999999999999</v>
      </c>
      <c r="Y8" s="19">
        <v>1.3201000000000001</v>
      </c>
      <c r="Z8" s="4"/>
      <c r="AA8" s="4"/>
      <c r="AB8" s="4" t="e">
        <f ca="1">_xll.ciqfunctions.udf.CIQ("^SPX", "IQ_PRICEDATE", "1/2/2014")</f>
        <v>#NAME?</v>
      </c>
      <c r="AC8" s="16">
        <v>1831.9847069969001</v>
      </c>
    </row>
    <row r="9" spans="1:29" x14ac:dyDescent="0.35">
      <c r="A9" s="2" t="s">
        <v>19</v>
      </c>
      <c r="B9" s="4" t="s">
        <v>529</v>
      </c>
      <c r="C9" s="4" t="s">
        <v>530</v>
      </c>
      <c r="D9" s="4" t="s">
        <v>531</v>
      </c>
      <c r="E9" s="4" t="s">
        <v>532</v>
      </c>
      <c r="F9" s="4" t="s">
        <v>533</v>
      </c>
      <c r="G9" s="14">
        <v>70.23</v>
      </c>
      <c r="H9" s="10">
        <v>20.619713000000001</v>
      </c>
      <c r="I9" s="10">
        <v>151.43086299999999</v>
      </c>
      <c r="J9" s="10" t="s">
        <v>534</v>
      </c>
      <c r="K9" s="15">
        <v>1.5946999999999999E-2</v>
      </c>
      <c r="L9" s="17">
        <v>123205.84331500001</v>
      </c>
      <c r="M9" s="4" t="s">
        <v>535</v>
      </c>
      <c r="N9" s="19">
        <v>0.45742100000000002</v>
      </c>
      <c r="O9" s="19">
        <v>3.0392999999999999</v>
      </c>
      <c r="P9" s="19">
        <v>0.19770099999999999</v>
      </c>
      <c r="Q9" s="19">
        <v>2.7597</v>
      </c>
      <c r="R9" s="19">
        <v>0.71</v>
      </c>
      <c r="S9" s="19">
        <v>2.3942999999999999</v>
      </c>
      <c r="T9" s="19">
        <v>0.71</v>
      </c>
      <c r="U9" s="19">
        <v>2.2970000000000002</v>
      </c>
      <c r="V9" s="19">
        <v>1.1200000000000001</v>
      </c>
      <c r="W9" s="19">
        <v>2.2957000000000001</v>
      </c>
      <c r="X9" s="19">
        <v>1.1200000000000001</v>
      </c>
      <c r="Y9" s="19">
        <v>2.2957000000000001</v>
      </c>
      <c r="Z9" s="4"/>
      <c r="AA9" s="4"/>
      <c r="AB9" s="4" t="e">
        <f ca="1">_xll.ciqfunctions.udf.CIQ("^SPX", "IQ_PRICEDATE", "1/3/2014")</f>
        <v>#NAME?</v>
      </c>
      <c r="AC9" s="16">
        <v>1831.3665650882001</v>
      </c>
    </row>
    <row r="10" spans="1:29" x14ac:dyDescent="0.35">
      <c r="A10" s="2" t="s">
        <v>20</v>
      </c>
      <c r="B10" s="4" t="s">
        <v>536</v>
      </c>
      <c r="C10" s="4" t="s">
        <v>530</v>
      </c>
      <c r="D10" s="4" t="s">
        <v>537</v>
      </c>
      <c r="E10" s="4" t="s">
        <v>538</v>
      </c>
      <c r="F10" s="4" t="s">
        <v>538</v>
      </c>
      <c r="G10" s="14">
        <v>92.27</v>
      </c>
      <c r="H10" s="10">
        <v>13.411451</v>
      </c>
      <c r="I10" s="10">
        <v>22.903839999999999</v>
      </c>
      <c r="J10" s="10" t="s">
        <v>534</v>
      </c>
      <c r="K10" s="15">
        <v>4.1616E-2</v>
      </c>
      <c r="L10" s="17">
        <v>139721.94184399999</v>
      </c>
      <c r="M10" s="4" t="s">
        <v>539</v>
      </c>
      <c r="N10" s="19">
        <v>4.0285820000000001</v>
      </c>
      <c r="O10" s="19">
        <v>8.2057000000000002</v>
      </c>
      <c r="P10" s="19">
        <v>3.3</v>
      </c>
      <c r="Q10" s="19">
        <v>6.2378999999999998</v>
      </c>
      <c r="R10" s="19">
        <v>3.63</v>
      </c>
      <c r="S10" s="19">
        <v>5.2127999999999997</v>
      </c>
      <c r="T10" s="19">
        <v>3.63</v>
      </c>
      <c r="U10" s="19">
        <v>4.7849000000000004</v>
      </c>
      <c r="V10" s="19">
        <v>1.1000000000000001</v>
      </c>
      <c r="W10" s="19">
        <v>3.9489000000000001</v>
      </c>
      <c r="X10" s="19">
        <v>1.1000000000000001</v>
      </c>
      <c r="Y10" s="19">
        <v>3.9489000000000001</v>
      </c>
      <c r="Z10" s="4"/>
      <c r="AA10" s="4"/>
      <c r="AB10" s="4" t="e">
        <f ca="1">_xll.ciqfunctions.udf.CIQ("^SPX", "IQ_PRICEDATE", "1/6/2014")</f>
        <v>#NAME?</v>
      </c>
      <c r="AC10" s="16">
        <v>1826.7671905136999</v>
      </c>
    </row>
    <row r="11" spans="1:29" x14ac:dyDescent="0.35">
      <c r="A11" s="2" t="s">
        <v>21</v>
      </c>
      <c r="B11" s="4" t="s">
        <v>540</v>
      </c>
      <c r="C11" s="4" t="s">
        <v>530</v>
      </c>
      <c r="D11" s="4" t="s">
        <v>531</v>
      </c>
      <c r="E11" s="4" t="s">
        <v>532</v>
      </c>
      <c r="F11" s="4" t="s">
        <v>533</v>
      </c>
      <c r="G11" s="14">
        <v>389.79</v>
      </c>
      <c r="H11" s="10">
        <v>93.505396000000005</v>
      </c>
      <c r="I11" s="10">
        <v>108.669015</v>
      </c>
      <c r="J11" s="10">
        <v>25.372848999999999</v>
      </c>
      <c r="K11" s="15">
        <v>0</v>
      </c>
      <c r="L11" s="17">
        <v>17492.668195999999</v>
      </c>
      <c r="M11" s="4" t="s">
        <v>541</v>
      </c>
      <c r="N11" s="19">
        <v>3.5869469999999999</v>
      </c>
      <c r="O11" s="19">
        <v>3.7967</v>
      </c>
      <c r="P11" s="19">
        <v>1.9928250000000001</v>
      </c>
      <c r="Q11" s="19">
        <v>2.3254999999999999</v>
      </c>
      <c r="R11" s="19">
        <v>1.069429</v>
      </c>
      <c r="S11" s="19">
        <v>1.5048999999999999</v>
      </c>
      <c r="T11" s="19">
        <v>1.069429</v>
      </c>
      <c r="U11" s="19">
        <v>0.83340000000000003</v>
      </c>
      <c r="V11" s="19">
        <v>0.43869999999999998</v>
      </c>
      <c r="W11" s="19">
        <v>0.27</v>
      </c>
      <c r="X11" s="19">
        <v>0.43869999999999998</v>
      </c>
      <c r="Y11" s="19">
        <v>0.27</v>
      </c>
      <c r="Z11" s="4"/>
      <c r="AA11" s="4"/>
      <c r="AB11" s="4" t="e">
        <f ca="1">_xll.ciqfunctions.udf.CIQ("^SPX", "IQ_PRICEDATE", "1/7/2014")</f>
        <v>#NAME?</v>
      </c>
      <c r="AC11" s="16">
        <v>1837.8771502604</v>
      </c>
    </row>
    <row r="12" spans="1:29" x14ac:dyDescent="0.35">
      <c r="A12" s="2" t="s">
        <v>22</v>
      </c>
      <c r="B12" s="4" t="s">
        <v>542</v>
      </c>
      <c r="C12" s="4" t="s">
        <v>543</v>
      </c>
      <c r="D12" s="4" t="s">
        <v>544</v>
      </c>
      <c r="E12" s="4" t="s">
        <v>545</v>
      </c>
      <c r="F12" s="4" t="s">
        <v>546</v>
      </c>
      <c r="G12" s="14">
        <v>158.9</v>
      </c>
      <c r="H12" s="10">
        <v>14.352510000000001</v>
      </c>
      <c r="I12" s="10">
        <v>25.060727</v>
      </c>
      <c r="J12" s="10">
        <v>20.432095</v>
      </c>
      <c r="K12" s="15">
        <v>1.8376E-2</v>
      </c>
      <c r="L12" s="17">
        <v>101814.86975300001</v>
      </c>
      <c r="M12" s="4" t="s">
        <v>547</v>
      </c>
      <c r="N12" s="19">
        <v>6.340598</v>
      </c>
      <c r="O12" s="19">
        <v>7.2157799999999996</v>
      </c>
      <c r="P12" s="19">
        <v>5.6416959999999996</v>
      </c>
      <c r="Q12" s="19">
        <v>6.7298</v>
      </c>
      <c r="R12" s="19">
        <v>6.7577980000000002</v>
      </c>
      <c r="S12" s="19">
        <v>5.9042000000000003</v>
      </c>
      <c r="T12" s="19">
        <v>6.7577980000000002</v>
      </c>
      <c r="U12" s="19">
        <v>5.3948</v>
      </c>
      <c r="V12" s="19">
        <v>4.6630919999999998</v>
      </c>
      <c r="W12" s="19">
        <v>4.8414000000000001</v>
      </c>
      <c r="X12" s="19">
        <v>4.6630919999999998</v>
      </c>
      <c r="Y12" s="19">
        <v>4.8414000000000001</v>
      </c>
      <c r="Z12" s="4"/>
      <c r="AA12" s="4"/>
      <c r="AB12" s="4" t="e">
        <f ca="1">_xll.ciqfunctions.udf.CIQ("^SPX", "IQ_PRICEDATE", "1/8/2014")</f>
        <v>#NAME?</v>
      </c>
      <c r="AC12" s="16">
        <v>1837.4946026504999</v>
      </c>
    </row>
    <row r="13" spans="1:29" x14ac:dyDescent="0.35">
      <c r="A13" s="2" t="s">
        <v>23</v>
      </c>
      <c r="B13" s="4" t="s">
        <v>548</v>
      </c>
      <c r="C13" s="4" t="s">
        <v>549</v>
      </c>
      <c r="D13" s="4" t="s">
        <v>550</v>
      </c>
      <c r="E13" s="4" t="s">
        <v>551</v>
      </c>
      <c r="F13" s="4" t="s">
        <v>552</v>
      </c>
      <c r="G13" s="14">
        <v>78.3</v>
      </c>
      <c r="H13" s="10">
        <v>26.368684999999999</v>
      </c>
      <c r="I13" s="10">
        <v>119.25867700000001</v>
      </c>
      <c r="J13" s="10" t="s">
        <v>534</v>
      </c>
      <c r="K13" s="15">
        <v>4.3419999999999995E-3</v>
      </c>
      <c r="L13" s="17">
        <v>59696.592362000003</v>
      </c>
      <c r="M13" s="4" t="s">
        <v>553</v>
      </c>
      <c r="N13" s="19">
        <v>0.65655600000000003</v>
      </c>
      <c r="O13" s="19">
        <v>2.8862999999999999</v>
      </c>
      <c r="P13" s="19">
        <v>0.36</v>
      </c>
      <c r="Q13" s="19">
        <v>2.3892000000000002</v>
      </c>
      <c r="R13" s="19">
        <v>1.28</v>
      </c>
      <c r="S13" s="19">
        <v>1.9939</v>
      </c>
      <c r="T13" s="19">
        <v>1.28</v>
      </c>
      <c r="U13" s="19">
        <v>1.4822</v>
      </c>
      <c r="V13" s="19">
        <v>1.1299999999999999</v>
      </c>
      <c r="W13" s="19">
        <v>1.3381000000000001</v>
      </c>
      <c r="X13" s="19">
        <v>1.1299999999999999</v>
      </c>
      <c r="Y13" s="19">
        <v>1.3381000000000001</v>
      </c>
      <c r="Z13" s="4"/>
      <c r="AA13" s="4"/>
      <c r="AB13" s="4" t="e">
        <f ca="1">_xll.ciqfunctions.udf.CIQ("^SPX", "IQ_PRICEDATE", "1/9/2014")</f>
        <v>#NAME?</v>
      </c>
      <c r="AC13" s="16">
        <v>1838.1253009133</v>
      </c>
    </row>
    <row r="14" spans="1:29" x14ac:dyDescent="0.35">
      <c r="A14" s="2" t="s">
        <v>24</v>
      </c>
      <c r="B14" s="4" t="s">
        <v>554</v>
      </c>
      <c r="C14" s="4" t="s">
        <v>543</v>
      </c>
      <c r="D14" s="4" t="s">
        <v>544</v>
      </c>
      <c r="E14" s="4" t="s">
        <v>555</v>
      </c>
      <c r="F14" s="4" t="s">
        <v>556</v>
      </c>
      <c r="G14" s="14">
        <v>258.91000000000003</v>
      </c>
      <c r="H14" s="10">
        <v>39.908220999999998</v>
      </c>
      <c r="I14" s="10">
        <v>53.507344000000003</v>
      </c>
      <c r="J14" s="10">
        <v>119.940592</v>
      </c>
      <c r="K14" s="15">
        <v>0</v>
      </c>
      <c r="L14" s="17">
        <v>126382.651476</v>
      </c>
      <c r="M14" s="4" t="s">
        <v>557</v>
      </c>
      <c r="N14" s="19">
        <v>4.838775</v>
      </c>
      <c r="O14" s="19">
        <v>7.5877999999999997</v>
      </c>
      <c r="P14" s="19">
        <v>3.38</v>
      </c>
      <c r="Q14" s="19">
        <v>5.5664100000000003</v>
      </c>
      <c r="R14" s="19">
        <v>2.3199999999999998</v>
      </c>
      <c r="S14" s="19">
        <v>3.8252299999999999</v>
      </c>
      <c r="T14" s="19">
        <v>2.3199999999999998</v>
      </c>
      <c r="U14" s="19">
        <v>2.7635700000000001</v>
      </c>
      <c r="V14" s="19">
        <v>0.53</v>
      </c>
      <c r="W14" s="19">
        <v>2.1261000000000001</v>
      </c>
      <c r="X14" s="19">
        <v>0.53</v>
      </c>
      <c r="Y14" s="19">
        <v>2.1261000000000001</v>
      </c>
      <c r="Z14" s="4"/>
      <c r="AA14" s="4"/>
      <c r="AB14" s="4" t="e">
        <f ca="1">_xll.ciqfunctions.udf.CIQ("^SPX", "IQ_PRICEDATE", "1/10/2014")</f>
        <v>#NAME?</v>
      </c>
      <c r="AC14" s="16">
        <v>1842.3721870462</v>
      </c>
    </row>
    <row r="15" spans="1:29" x14ac:dyDescent="0.35">
      <c r="A15" s="2" t="s">
        <v>25</v>
      </c>
      <c r="B15" s="4" t="s">
        <v>558</v>
      </c>
      <c r="C15" s="4" t="s">
        <v>559</v>
      </c>
      <c r="D15" s="4" t="s">
        <v>560</v>
      </c>
      <c r="E15" s="4" t="s">
        <v>561</v>
      </c>
      <c r="F15" s="4" t="s">
        <v>562</v>
      </c>
      <c r="G15" s="14">
        <v>159.58000000000001</v>
      </c>
      <c r="H15" s="10">
        <v>12.834377999999999</v>
      </c>
      <c r="I15" s="10">
        <v>22.104013999999999</v>
      </c>
      <c r="J15" s="10">
        <v>5.6433559999999998</v>
      </c>
      <c r="K15" s="15">
        <v>1.503E-3</v>
      </c>
      <c r="L15" s="17">
        <v>11821.686400000001</v>
      </c>
      <c r="M15" s="4" t="s">
        <v>563</v>
      </c>
      <c r="N15" s="19">
        <v>7.2195029999999996</v>
      </c>
      <c r="O15" s="19">
        <v>7.5393999999999997</v>
      </c>
      <c r="P15" s="19">
        <v>6.42</v>
      </c>
      <c r="Q15" s="19">
        <v>5.6608000000000001</v>
      </c>
      <c r="R15" s="19">
        <v>6.2</v>
      </c>
      <c r="S15" s="19">
        <v>7.5974000000000004</v>
      </c>
      <c r="T15" s="19">
        <v>6.2</v>
      </c>
      <c r="U15" s="19">
        <v>8.8721999999999994</v>
      </c>
      <c r="V15" s="19">
        <v>6.229724</v>
      </c>
      <c r="W15" s="19">
        <v>8.5260999999999996</v>
      </c>
      <c r="X15" s="19">
        <v>6.229724</v>
      </c>
      <c r="Y15" s="19">
        <v>8.5260999999999996</v>
      </c>
      <c r="Z15" s="4"/>
      <c r="AA15" s="4"/>
      <c r="AB15" s="4" t="e">
        <f ca="1">_xll.ciqfunctions.udf.CIQ("^SPX", "IQ_PRICEDATE", "1/13/2014")</f>
        <v>#NAME?</v>
      </c>
      <c r="AC15" s="16">
        <v>1819.2026637956001</v>
      </c>
    </row>
    <row r="16" spans="1:29" x14ac:dyDescent="0.35">
      <c r="A16" s="2" t="s">
        <v>26</v>
      </c>
      <c r="B16" s="4" t="s">
        <v>564</v>
      </c>
      <c r="C16" s="4" t="s">
        <v>543</v>
      </c>
      <c r="D16" s="4" t="s">
        <v>565</v>
      </c>
      <c r="E16" s="4" t="s">
        <v>565</v>
      </c>
      <c r="F16" s="4" t="s">
        <v>566</v>
      </c>
      <c r="G16" s="14">
        <v>27.3</v>
      </c>
      <c r="H16" s="10">
        <v>43.307718999999999</v>
      </c>
      <c r="I16" s="10">
        <v>94.396381000000005</v>
      </c>
      <c r="J16" s="10">
        <v>89.320476999999997</v>
      </c>
      <c r="K16" s="15">
        <v>0</v>
      </c>
      <c r="L16" s="17">
        <v>26614.016766000001</v>
      </c>
      <c r="M16" s="4" t="s">
        <v>567</v>
      </c>
      <c r="N16" s="19">
        <v>0.28920600000000002</v>
      </c>
      <c r="O16" s="19">
        <v>0.51690000000000003</v>
      </c>
      <c r="P16" s="19">
        <v>0.04</v>
      </c>
      <c r="Q16" s="19">
        <v>0.28760000000000002</v>
      </c>
      <c r="R16" s="19">
        <v>-0.6</v>
      </c>
      <c r="S16" s="19">
        <v>6.4000000000000003E-3</v>
      </c>
      <c r="T16" s="19">
        <v>-0.6</v>
      </c>
      <c r="U16" s="19">
        <v>-0.36670000000000003</v>
      </c>
      <c r="V16" s="19">
        <v>-0.53</v>
      </c>
      <c r="W16" s="19">
        <v>6.59E-2</v>
      </c>
      <c r="X16" s="19">
        <v>-0.53</v>
      </c>
      <c r="Y16" s="19">
        <v>6.59E-2</v>
      </c>
      <c r="Z16" s="4"/>
      <c r="AA16" s="4"/>
      <c r="AB16" s="4" t="e">
        <f ca="1">_xll.ciqfunctions.udf.CIQ("^SPX", "IQ_PRICEDATE", "1/14/2014")</f>
        <v>#NAME?</v>
      </c>
      <c r="AC16" s="16">
        <v>1838.8825956266001</v>
      </c>
    </row>
    <row r="17" spans="1:29" x14ac:dyDescent="0.35">
      <c r="A17" s="2" t="s">
        <v>27</v>
      </c>
      <c r="B17" s="4" t="s">
        <v>568</v>
      </c>
      <c r="C17" s="4" t="s">
        <v>530</v>
      </c>
      <c r="D17" s="4" t="s">
        <v>531</v>
      </c>
      <c r="E17" s="4" t="s">
        <v>569</v>
      </c>
      <c r="F17" s="4" t="s">
        <v>570</v>
      </c>
      <c r="G17" s="14">
        <v>201.29</v>
      </c>
      <c r="H17" s="10">
        <v>10.971513</v>
      </c>
      <c r="I17" s="10">
        <v>18.976153</v>
      </c>
      <c r="J17" s="10">
        <v>11.517362</v>
      </c>
      <c r="K17" s="15">
        <v>9.9350000000000011E-3</v>
      </c>
      <c r="L17" s="17">
        <v>65902.346000000005</v>
      </c>
      <c r="M17" s="4" t="s">
        <v>571</v>
      </c>
      <c r="N17" s="19">
        <v>10.607524</v>
      </c>
      <c r="O17" s="19">
        <v>11.4535</v>
      </c>
      <c r="P17" s="19">
        <v>5.68</v>
      </c>
      <c r="Q17" s="19">
        <v>9.3135999999999992</v>
      </c>
      <c r="R17" s="19">
        <v>6.41</v>
      </c>
      <c r="S17" s="19">
        <v>8.4269999999999996</v>
      </c>
      <c r="T17" s="19">
        <v>6.41</v>
      </c>
      <c r="U17" s="19">
        <v>7.7839999999999998</v>
      </c>
      <c r="V17" s="19">
        <v>5.68</v>
      </c>
      <c r="W17" s="19">
        <v>6.8905000000000003</v>
      </c>
      <c r="X17" s="19">
        <v>5.68</v>
      </c>
      <c r="Y17" s="19">
        <v>6.8905000000000003</v>
      </c>
      <c r="Z17" s="4"/>
      <c r="AA17" s="4"/>
      <c r="AB17" s="4" t="e">
        <f ca="1">_xll.ciqfunctions.udf.CIQ("^SPX", "IQ_PRICEDATE", "1/15/2014")</f>
        <v>#NAME?</v>
      </c>
      <c r="AC17" s="16">
        <v>1848.3784960119001</v>
      </c>
    </row>
    <row r="18" spans="1:29" x14ac:dyDescent="0.35">
      <c r="A18" s="2" t="s">
        <v>28</v>
      </c>
      <c r="B18" s="4" t="s">
        <v>572</v>
      </c>
      <c r="C18" s="4" t="s">
        <v>573</v>
      </c>
      <c r="D18" s="4" t="s">
        <v>574</v>
      </c>
      <c r="E18" s="4" t="s">
        <v>575</v>
      </c>
      <c r="F18" s="4" t="s">
        <v>576</v>
      </c>
      <c r="G18" s="14">
        <v>127.3</v>
      </c>
      <c r="H18" s="10">
        <v>8.0659589999999994</v>
      </c>
      <c r="I18" s="10">
        <v>10.055982999999999</v>
      </c>
      <c r="J18" s="10" t="s">
        <v>534</v>
      </c>
      <c r="K18" s="15">
        <v>9.4260000000000004E-3</v>
      </c>
      <c r="L18" s="17">
        <v>6801.8869800000002</v>
      </c>
      <c r="M18" s="4" t="s">
        <v>577</v>
      </c>
      <c r="N18" s="19">
        <v>12.659129999999999</v>
      </c>
      <c r="O18" s="19">
        <v>15.7136</v>
      </c>
      <c r="P18" s="19">
        <v>12.030716</v>
      </c>
      <c r="Q18" s="19">
        <v>15.8079</v>
      </c>
      <c r="R18" s="19">
        <v>8.5666659999999997</v>
      </c>
      <c r="S18" s="19">
        <v>13.959</v>
      </c>
      <c r="T18" s="19">
        <v>8.5666659999999997</v>
      </c>
      <c r="U18" s="19">
        <v>13.321099999999999</v>
      </c>
      <c r="V18" s="19">
        <v>7.6900680000000001</v>
      </c>
      <c r="W18" s="19">
        <v>12.5372</v>
      </c>
      <c r="X18" s="19">
        <v>7.6900680000000001</v>
      </c>
      <c r="Y18" s="19">
        <v>12.5372</v>
      </c>
      <c r="Z18" s="4"/>
      <c r="AA18" s="4"/>
      <c r="AB18" s="4" t="e">
        <f ca="1">_xll.ciqfunctions.udf.CIQ("^SPX", "IQ_PRICEDATE", "1/16/2014")</f>
        <v>#NAME?</v>
      </c>
      <c r="AC18" s="16">
        <v>1845.8910317350999</v>
      </c>
    </row>
    <row r="19" spans="1:29" x14ac:dyDescent="0.35">
      <c r="A19" s="2" t="s">
        <v>29</v>
      </c>
      <c r="B19" s="4" t="s">
        <v>578</v>
      </c>
      <c r="C19" s="4" t="s">
        <v>573</v>
      </c>
      <c r="D19" s="4" t="s">
        <v>579</v>
      </c>
      <c r="E19" s="4" t="s">
        <v>579</v>
      </c>
      <c r="F19" s="4" t="s">
        <v>580</v>
      </c>
      <c r="G19" s="14">
        <v>44.72</v>
      </c>
      <c r="H19" s="10">
        <v>8.5708760000000002</v>
      </c>
      <c r="I19" s="10">
        <v>7.2554119999999998</v>
      </c>
      <c r="J19" s="10">
        <v>1.4454549999999999</v>
      </c>
      <c r="K19" s="15">
        <v>2.3254999999999998E-2</v>
      </c>
      <c r="L19" s="17">
        <v>34336.027538000002</v>
      </c>
      <c r="M19" s="4" t="s">
        <v>581</v>
      </c>
      <c r="N19" s="19">
        <v>6.1636740000000003</v>
      </c>
      <c r="O19" s="19">
        <v>4.0414000000000003</v>
      </c>
      <c r="P19" s="19">
        <v>5.77</v>
      </c>
      <c r="Q19" s="19">
        <v>3.3582000000000001</v>
      </c>
      <c r="R19" s="19">
        <v>3.21</v>
      </c>
      <c r="S19" s="19">
        <v>3.2810999999999999</v>
      </c>
      <c r="T19" s="19">
        <v>3.21</v>
      </c>
      <c r="U19" s="19">
        <v>3.1200999999999999</v>
      </c>
      <c r="V19" s="19">
        <v>3.25</v>
      </c>
      <c r="W19" s="19">
        <v>3.0108000000000001</v>
      </c>
      <c r="X19" s="19">
        <v>3.25</v>
      </c>
      <c r="Y19" s="19">
        <v>3.0108000000000001</v>
      </c>
      <c r="Z19" s="4"/>
      <c r="AA19" s="4"/>
      <c r="AB19" s="4" t="e">
        <f ca="1">_xll.ciqfunctions.udf.CIQ("^SPX", "IQ_PRICEDATE", "1/17/2014")</f>
        <v>#NAME?</v>
      </c>
      <c r="AC19" s="16">
        <v>1838.6994866672001</v>
      </c>
    </row>
    <row r="20" spans="1:29" x14ac:dyDescent="0.35">
      <c r="A20" s="2" t="s">
        <v>30</v>
      </c>
      <c r="B20" s="4" t="s">
        <v>582</v>
      </c>
      <c r="C20" s="4" t="s">
        <v>530</v>
      </c>
      <c r="D20" s="4" t="s">
        <v>537</v>
      </c>
      <c r="E20" s="4" t="s">
        <v>583</v>
      </c>
      <c r="F20" s="4" t="s">
        <v>583</v>
      </c>
      <c r="G20" s="14">
        <v>67.2</v>
      </c>
      <c r="H20" s="10">
        <v>18.043894999999999</v>
      </c>
      <c r="I20" s="10">
        <v>73.628907999999996</v>
      </c>
      <c r="J20" s="10">
        <v>19.208604999999999</v>
      </c>
      <c r="K20" s="15">
        <v>8.8690000000000001E-3</v>
      </c>
      <c r="L20" s="17">
        <v>21421.313558000002</v>
      </c>
      <c r="M20" s="4" t="s">
        <v>584</v>
      </c>
      <c r="N20" s="19">
        <v>0.91268499999999997</v>
      </c>
      <c r="O20" s="19">
        <v>2.9154</v>
      </c>
      <c r="P20" s="19">
        <v>2.1</v>
      </c>
      <c r="Q20" s="19">
        <v>2.5831</v>
      </c>
      <c r="R20" s="19">
        <v>1.4</v>
      </c>
      <c r="S20" s="19">
        <v>2.1518000000000002</v>
      </c>
      <c r="T20" s="19">
        <v>1.4</v>
      </c>
      <c r="U20" s="19">
        <v>1.8944000000000001</v>
      </c>
      <c r="V20" s="19">
        <v>0.69</v>
      </c>
      <c r="W20" s="19">
        <v>1.73434</v>
      </c>
      <c r="X20" s="19">
        <v>0.69</v>
      </c>
      <c r="Y20" s="19">
        <v>1.73434</v>
      </c>
      <c r="Z20" s="4"/>
      <c r="AA20" s="4"/>
      <c r="AB20" s="4" t="e">
        <f ca="1">_xll.ciqfunctions.udf.CIQ("^SPX", "IQ_PRICEDATE", "1/21/2014")</f>
        <v>#NAME?</v>
      </c>
      <c r="AC20" s="16">
        <v>1843.8044457285</v>
      </c>
    </row>
    <row r="21" spans="1:29" x14ac:dyDescent="0.35">
      <c r="A21" s="2" t="s">
        <v>31</v>
      </c>
      <c r="B21" s="4" t="s">
        <v>585</v>
      </c>
      <c r="C21" s="4" t="s">
        <v>586</v>
      </c>
      <c r="D21" s="4" t="s">
        <v>586</v>
      </c>
      <c r="E21" s="4" t="s">
        <v>587</v>
      </c>
      <c r="F21" s="4" t="s">
        <v>588</v>
      </c>
      <c r="G21" s="14">
        <v>159.47999999999999</v>
      </c>
      <c r="H21" s="10">
        <v>12.168284</v>
      </c>
      <c r="I21" s="10">
        <v>23.810020999999999</v>
      </c>
      <c r="J21" s="10">
        <v>3.783398</v>
      </c>
      <c r="K21" s="15">
        <v>2.7589000000000002E-2</v>
      </c>
      <c r="L21" s="17">
        <v>34969.577662000003</v>
      </c>
      <c r="M21" s="4" t="s">
        <v>589</v>
      </c>
      <c r="N21" s="19">
        <v>6.6980199999999996</v>
      </c>
      <c r="O21" s="19">
        <v>7.9725000000000001</v>
      </c>
      <c r="P21" s="19">
        <v>4.708685</v>
      </c>
      <c r="Q21" s="19">
        <v>7.02379</v>
      </c>
      <c r="R21" s="19">
        <v>4.8997820000000001</v>
      </c>
      <c r="S21" s="19">
        <v>6.4468800000000002</v>
      </c>
      <c r="T21" s="19">
        <v>4.8997820000000001</v>
      </c>
      <c r="U21" s="19">
        <v>7.3868499999999999</v>
      </c>
      <c r="V21" s="19">
        <v>4.7526630000000001</v>
      </c>
      <c r="W21" s="19">
        <v>6.47464</v>
      </c>
      <c r="X21" s="19">
        <v>4.7526630000000001</v>
      </c>
      <c r="Y21" s="19">
        <v>6.47464</v>
      </c>
      <c r="Z21" s="4"/>
      <c r="AA21" s="4"/>
      <c r="AB21" s="4" t="e">
        <f ca="1">_xll.ciqfunctions.udf.CIQ("^SPX", "IQ_PRICEDATE", "1/22/2014")</f>
        <v>#NAME?</v>
      </c>
      <c r="AC21" s="16">
        <v>1844.8559052889</v>
      </c>
    </row>
    <row r="22" spans="1:29" x14ac:dyDescent="0.35">
      <c r="A22" s="2" t="s">
        <v>32</v>
      </c>
      <c r="B22" s="4" t="s">
        <v>590</v>
      </c>
      <c r="C22" s="4" t="s">
        <v>543</v>
      </c>
      <c r="D22" s="4" t="s">
        <v>544</v>
      </c>
      <c r="E22" s="4" t="s">
        <v>545</v>
      </c>
      <c r="F22" s="4" t="s">
        <v>591</v>
      </c>
      <c r="G22" s="14">
        <v>65.69</v>
      </c>
      <c r="H22" s="10">
        <v>16.105796000000002</v>
      </c>
      <c r="I22" s="10">
        <v>61.511983000000001</v>
      </c>
      <c r="J22" s="10">
        <v>6.2977559999999997</v>
      </c>
      <c r="K22" s="15">
        <v>0</v>
      </c>
      <c r="L22" s="17">
        <v>11134.759013000001</v>
      </c>
      <c r="M22" s="4" t="s">
        <v>592</v>
      </c>
      <c r="N22" s="19">
        <v>1.067922</v>
      </c>
      <c r="O22" s="19">
        <v>3.5804</v>
      </c>
      <c r="P22" s="19">
        <v>1.26</v>
      </c>
      <c r="Q22" s="19">
        <v>2.5524</v>
      </c>
      <c r="R22" s="19">
        <v>1.79</v>
      </c>
      <c r="S22" s="19">
        <v>2.7942999999999998</v>
      </c>
      <c r="T22" s="19">
        <v>1.79</v>
      </c>
      <c r="U22" s="19">
        <v>2.5880999999999998</v>
      </c>
      <c r="V22" s="19">
        <v>1.84</v>
      </c>
      <c r="W22" s="19">
        <v>2.6307</v>
      </c>
      <c r="X22" s="19">
        <v>1.84</v>
      </c>
      <c r="Y22" s="19">
        <v>2.6307</v>
      </c>
      <c r="Z22" s="4"/>
      <c r="AA22" s="4"/>
      <c r="AB22" s="4" t="e">
        <f ca="1">_xll.ciqfunctions.udf.CIQ("^SPX", "IQ_PRICEDATE", "1/23/2014")</f>
        <v>#NAME?</v>
      </c>
      <c r="AC22" s="16">
        <v>1828.4642100517999</v>
      </c>
    </row>
    <row r="23" spans="1:29" x14ac:dyDescent="0.35">
      <c r="A23" s="2" t="s">
        <v>33</v>
      </c>
      <c r="B23" s="4" t="s">
        <v>593</v>
      </c>
      <c r="C23" s="4" t="s">
        <v>525</v>
      </c>
      <c r="D23" s="4" t="s">
        <v>594</v>
      </c>
      <c r="E23" s="4" t="s">
        <v>595</v>
      </c>
      <c r="F23" s="4" t="s">
        <v>595</v>
      </c>
      <c r="G23" s="14">
        <v>64.489999999999995</v>
      </c>
      <c r="H23" s="10">
        <v>6.3517780000000004</v>
      </c>
      <c r="I23" s="10">
        <v>9.4285270000000008</v>
      </c>
      <c r="J23" s="10">
        <v>5.2272410000000002</v>
      </c>
      <c r="K23" s="15">
        <v>1.9847999999999998E-2</v>
      </c>
      <c r="L23" s="17">
        <v>7957.9370200000003</v>
      </c>
      <c r="M23" s="4" t="s">
        <v>596</v>
      </c>
      <c r="N23" s="19">
        <v>6.83988</v>
      </c>
      <c r="O23" s="19">
        <v>4.9287000000000001</v>
      </c>
      <c r="P23" s="19">
        <v>8.35</v>
      </c>
      <c r="Q23" s="19">
        <v>5.9124999999999996</v>
      </c>
      <c r="R23" s="19">
        <v>6.54</v>
      </c>
      <c r="S23" s="19">
        <v>7.1219999999999999</v>
      </c>
      <c r="T23" s="19">
        <v>6.54</v>
      </c>
      <c r="U23" s="19">
        <v>7.1466000000000003</v>
      </c>
      <c r="V23" s="19">
        <v>4.42</v>
      </c>
      <c r="W23" s="19">
        <v>5.0696000000000003</v>
      </c>
      <c r="X23" s="19">
        <v>4.42</v>
      </c>
      <c r="Y23" s="19">
        <v>5.0696000000000003</v>
      </c>
      <c r="Z23" s="4"/>
      <c r="AA23" s="4"/>
      <c r="AB23" s="4" t="e">
        <f ca="1">_xll.ciqfunctions.udf.CIQ("^SPX", "IQ_PRICEDATE", "1/24/2014")</f>
        <v>#NAME?</v>
      </c>
      <c r="AC23" s="16">
        <v>1790.2854774268999</v>
      </c>
    </row>
    <row r="24" spans="1:29" x14ac:dyDescent="0.35">
      <c r="A24" s="2" t="s">
        <v>34</v>
      </c>
      <c r="B24" s="4" t="s">
        <v>597</v>
      </c>
      <c r="C24" s="4" t="s">
        <v>586</v>
      </c>
      <c r="D24" s="4" t="s">
        <v>586</v>
      </c>
      <c r="E24" s="4" t="s">
        <v>587</v>
      </c>
      <c r="F24" s="4" t="s">
        <v>598</v>
      </c>
      <c r="G24" s="14">
        <v>96.32</v>
      </c>
      <c r="H24" s="10">
        <v>11.009551</v>
      </c>
      <c r="I24" s="10">
        <v>32.144286000000001</v>
      </c>
      <c r="J24" s="10">
        <v>6.1348890000000003</v>
      </c>
      <c r="K24" s="15">
        <v>1.3911E-2</v>
      </c>
      <c r="L24" s="17">
        <v>10445.881171999999</v>
      </c>
      <c r="M24" s="4" t="s">
        <v>599</v>
      </c>
      <c r="N24" s="19">
        <v>2.996489</v>
      </c>
      <c r="O24" s="19">
        <v>5.8300999999999998</v>
      </c>
      <c r="P24" s="19">
        <v>0.49</v>
      </c>
      <c r="Q24" s="19">
        <v>4.9772999999999996</v>
      </c>
      <c r="R24" s="19">
        <v>3.9</v>
      </c>
      <c r="S24" s="19">
        <v>3.6690999999999998</v>
      </c>
      <c r="T24" s="19">
        <v>3.9</v>
      </c>
      <c r="U24" s="19">
        <v>3.7957000000000001</v>
      </c>
      <c r="V24" s="19">
        <v>2.57</v>
      </c>
      <c r="W24" s="19">
        <v>4.4009</v>
      </c>
      <c r="X24" s="19">
        <v>2.57</v>
      </c>
      <c r="Y24" s="19">
        <v>4.4009</v>
      </c>
      <c r="Z24" s="4"/>
      <c r="AA24" s="4"/>
      <c r="AB24" s="4" t="e">
        <f ca="1">_xll.ciqfunctions.udf.CIQ("^SPX", "IQ_PRICEDATE", "1/27/2014")</f>
        <v>#NAME?</v>
      </c>
      <c r="AC24" s="16">
        <v>1781.5598990844001</v>
      </c>
    </row>
    <row r="25" spans="1:29" x14ac:dyDescent="0.35">
      <c r="A25" s="2" t="s">
        <v>35</v>
      </c>
      <c r="B25" s="4" t="s">
        <v>600</v>
      </c>
      <c r="C25" s="4" t="s">
        <v>601</v>
      </c>
      <c r="D25" s="4" t="s">
        <v>601</v>
      </c>
      <c r="E25" s="4" t="s">
        <v>602</v>
      </c>
      <c r="F25" s="4" t="s">
        <v>603</v>
      </c>
      <c r="G25" s="14">
        <v>122.57</v>
      </c>
      <c r="H25" s="10">
        <v>24.392128</v>
      </c>
      <c r="I25" s="10">
        <v>43.903275000000001</v>
      </c>
      <c r="J25" s="10">
        <v>2.0320589999999998</v>
      </c>
      <c r="K25" s="15">
        <v>3.0350000000000002E-2</v>
      </c>
      <c r="L25" s="17">
        <v>12962.680963000001</v>
      </c>
      <c r="M25" s="4" t="s">
        <v>604</v>
      </c>
      <c r="N25" s="19">
        <v>2.7918189999999998</v>
      </c>
      <c r="O25" s="19">
        <v>2.3774999999999999</v>
      </c>
      <c r="P25" s="19">
        <v>1.5799989999999999</v>
      </c>
      <c r="Q25" s="19">
        <v>1.9208000000000001</v>
      </c>
      <c r="R25" s="19">
        <v>-1.99</v>
      </c>
      <c r="S25" s="19">
        <v>1.8141</v>
      </c>
      <c r="T25" s="19">
        <v>-1.99</v>
      </c>
      <c r="U25" s="19">
        <v>1.9378</v>
      </c>
      <c r="V25" s="19">
        <v>0.98999899999999996</v>
      </c>
      <c r="W25" s="19">
        <v>1.6573</v>
      </c>
      <c r="X25" s="19">
        <v>0.98999899999999996</v>
      </c>
      <c r="Y25" s="19">
        <v>1.6573</v>
      </c>
      <c r="Z25" s="4"/>
      <c r="AA25" s="4"/>
      <c r="AB25" s="4" t="e">
        <f ca="1">_xll.ciqfunctions.udf.CIQ("^SPX", "IQ_PRICEDATE", "1/28/2014")</f>
        <v>#NAME?</v>
      </c>
      <c r="AC25" s="16">
        <v>1792.4964343403001</v>
      </c>
    </row>
    <row r="26" spans="1:29" x14ac:dyDescent="0.35">
      <c r="A26" s="2" t="s">
        <v>36</v>
      </c>
      <c r="B26" s="4" t="s">
        <v>605</v>
      </c>
      <c r="C26" s="4" t="s">
        <v>530</v>
      </c>
      <c r="D26" s="4" t="s">
        <v>537</v>
      </c>
      <c r="E26" s="4" t="s">
        <v>538</v>
      </c>
      <c r="F26" s="4" t="s">
        <v>538</v>
      </c>
      <c r="G26" s="14">
        <v>128.94</v>
      </c>
      <c r="H26" s="10">
        <v>18.010165000000001</v>
      </c>
      <c r="I26" s="10" t="s">
        <v>534</v>
      </c>
      <c r="J26" s="10" t="s">
        <v>534</v>
      </c>
      <c r="K26" s="15">
        <v>0</v>
      </c>
      <c r="L26" s="17">
        <v>28735.458543000001</v>
      </c>
      <c r="M26" s="4" t="s">
        <v>606</v>
      </c>
      <c r="N26" s="19">
        <v>-0.454295</v>
      </c>
      <c r="O26" s="19">
        <v>7.6116999999999999</v>
      </c>
      <c r="P26" s="19">
        <v>1.97</v>
      </c>
      <c r="Q26" s="19">
        <v>6.35</v>
      </c>
      <c r="R26" s="19">
        <v>1.76</v>
      </c>
      <c r="S26" s="19">
        <v>5.4255000000000004</v>
      </c>
      <c r="T26" s="19">
        <v>1.76</v>
      </c>
      <c r="U26" s="19">
        <v>4.9871999999999996</v>
      </c>
      <c r="V26" s="19">
        <v>3.26</v>
      </c>
      <c r="W26" s="19">
        <v>5.4734999999999996</v>
      </c>
      <c r="X26" s="19">
        <v>3.26</v>
      </c>
      <c r="Y26" s="19">
        <v>5.4734999999999996</v>
      </c>
      <c r="Z26" s="4"/>
      <c r="AA26" s="4"/>
      <c r="AB26" s="4" t="e">
        <f ca="1">_xll.ciqfunctions.udf.CIQ("^SPX", "IQ_PRICEDATE", "1/29/2014")</f>
        <v>#NAME?</v>
      </c>
      <c r="AC26" s="16">
        <v>1774.202749994</v>
      </c>
    </row>
    <row r="27" spans="1:29" x14ac:dyDescent="0.35">
      <c r="A27" s="2" t="s">
        <v>37</v>
      </c>
      <c r="B27" s="4" t="s">
        <v>607</v>
      </c>
      <c r="C27" s="4" t="s">
        <v>530</v>
      </c>
      <c r="D27" s="4" t="s">
        <v>531</v>
      </c>
      <c r="E27" s="4" t="s">
        <v>532</v>
      </c>
      <c r="F27" s="4" t="s">
        <v>608</v>
      </c>
      <c r="G27" s="14">
        <v>332.83</v>
      </c>
      <c r="H27" s="10">
        <v>55.485967000000002</v>
      </c>
      <c r="I27" s="10">
        <v>92.256270999999998</v>
      </c>
      <c r="J27" s="10">
        <v>23.579172</v>
      </c>
      <c r="K27" s="15">
        <v>0</v>
      </c>
      <c r="L27" s="17">
        <v>26732.932892000001</v>
      </c>
      <c r="M27" s="4" t="s">
        <v>609</v>
      </c>
      <c r="N27" s="19">
        <v>3.6076679999999999</v>
      </c>
      <c r="O27" s="19">
        <v>5.3796999999999997</v>
      </c>
      <c r="P27" s="19">
        <v>2.83</v>
      </c>
      <c r="Q27" s="19">
        <v>4.1074000000000002</v>
      </c>
      <c r="R27" s="19">
        <v>2.33</v>
      </c>
      <c r="S27" s="19">
        <v>2.8119999999999998</v>
      </c>
      <c r="T27" s="19">
        <v>2.33</v>
      </c>
      <c r="U27" s="19">
        <v>2.1110000000000002</v>
      </c>
      <c r="V27" s="19">
        <v>1.77</v>
      </c>
      <c r="W27" s="19">
        <v>2.0026000000000002</v>
      </c>
      <c r="X27" s="19">
        <v>1.77</v>
      </c>
      <c r="Y27" s="19">
        <v>2.0026000000000002</v>
      </c>
      <c r="Z27" s="4"/>
      <c r="AA27" s="4"/>
      <c r="AB27" s="4" t="e">
        <f ca="1">_xll.ciqfunctions.udf.CIQ("^SPX", "IQ_PRICEDATE", "1/30/2014")</f>
        <v>#NAME?</v>
      </c>
      <c r="AC27" s="16">
        <v>1794.1901899019001</v>
      </c>
    </row>
    <row r="28" spans="1:29" x14ac:dyDescent="0.35">
      <c r="A28" s="2" t="s">
        <v>38</v>
      </c>
      <c r="B28" s="4" t="s">
        <v>610</v>
      </c>
      <c r="C28" s="4" t="s">
        <v>525</v>
      </c>
      <c r="D28" s="4" t="s">
        <v>526</v>
      </c>
      <c r="E28" s="4" t="s">
        <v>527</v>
      </c>
      <c r="F28" s="4" t="s">
        <v>527</v>
      </c>
      <c r="G28" s="14">
        <v>84.17</v>
      </c>
      <c r="H28" s="10">
        <v>15.928915</v>
      </c>
      <c r="I28" s="10">
        <v>28.258327000000001</v>
      </c>
      <c r="J28" s="10" t="s">
        <v>534</v>
      </c>
      <c r="K28" s="15">
        <v>9.979E-3</v>
      </c>
      <c r="L28" s="17">
        <v>7996.4288550000001</v>
      </c>
      <c r="M28" s="4" t="s">
        <v>611</v>
      </c>
      <c r="N28" s="19">
        <v>2.9785910000000002</v>
      </c>
      <c r="O28" s="19">
        <v>4.6982999999999997</v>
      </c>
      <c r="P28" s="19">
        <v>2.85</v>
      </c>
      <c r="Q28" s="19">
        <v>4.0679999999999996</v>
      </c>
      <c r="R28" s="19">
        <v>2.36</v>
      </c>
      <c r="S28" s="19">
        <v>3.6274999999999999</v>
      </c>
      <c r="T28" s="19">
        <v>2.36</v>
      </c>
      <c r="U28" s="19">
        <v>3.2574000000000001</v>
      </c>
      <c r="V28" s="19">
        <v>1.92</v>
      </c>
      <c r="W28" s="19">
        <v>2.8837000000000002</v>
      </c>
      <c r="X28" s="19">
        <v>1.92</v>
      </c>
      <c r="Y28" s="19">
        <v>2.8837000000000002</v>
      </c>
      <c r="Z28" s="4"/>
      <c r="AA28" s="4"/>
      <c r="AB28" s="4" t="e">
        <f ca="1">_xll.ciqfunctions.udf.CIQ("^SPX", "IQ_PRICEDATE", "1/31/2014")</f>
        <v>#NAME?</v>
      </c>
      <c r="AC28" s="16">
        <v>1782.5869667694001</v>
      </c>
    </row>
    <row r="29" spans="1:29" x14ac:dyDescent="0.35">
      <c r="A29" s="2" t="s">
        <v>39</v>
      </c>
      <c r="B29" s="4" t="s">
        <v>612</v>
      </c>
      <c r="C29" s="4" t="s">
        <v>530</v>
      </c>
      <c r="D29" s="4" t="s">
        <v>537</v>
      </c>
      <c r="E29" s="4" t="s">
        <v>613</v>
      </c>
      <c r="F29" s="4" t="s">
        <v>613</v>
      </c>
      <c r="G29" s="14">
        <v>191</v>
      </c>
      <c r="H29" s="10">
        <v>11.933862</v>
      </c>
      <c r="I29" s="10" t="s">
        <v>534</v>
      </c>
      <c r="J29" s="10" t="s">
        <v>534</v>
      </c>
      <c r="K29" s="15">
        <v>1.5078000000000001E-2</v>
      </c>
      <c r="L29" s="17">
        <v>64833.884601999998</v>
      </c>
      <c r="M29" s="4" t="s">
        <v>614</v>
      </c>
      <c r="N29" s="19">
        <v>-4.1488509999999996</v>
      </c>
      <c r="O29" s="19">
        <v>16.184799999999999</v>
      </c>
      <c r="P29" s="19">
        <v>-11.99</v>
      </c>
      <c r="Q29" s="19">
        <v>16.450600000000001</v>
      </c>
      <c r="R29" s="19">
        <v>-3.17</v>
      </c>
      <c r="S29" s="19">
        <v>15.389900000000001</v>
      </c>
      <c r="T29" s="19">
        <v>-3.17</v>
      </c>
      <c r="U29" s="19">
        <v>15.541399999999999</v>
      </c>
      <c r="V29" s="19">
        <v>-11.31</v>
      </c>
      <c r="W29" s="19">
        <v>15.8141</v>
      </c>
      <c r="X29" s="19">
        <v>-11.31</v>
      </c>
      <c r="Y29" s="19">
        <v>15.8141</v>
      </c>
      <c r="Z29" s="4"/>
      <c r="AA29" s="4"/>
      <c r="AB29" s="4" t="e">
        <f ca="1">_xll.ciqfunctions.udf.CIQ("^SPX", "IQ_PRICEDATE", "2/3/2014")</f>
        <v>#NAME?</v>
      </c>
      <c r="AC29" s="16">
        <v>1741.8855076612001</v>
      </c>
    </row>
    <row r="30" spans="1:29" x14ac:dyDescent="0.35">
      <c r="A30" s="2" t="s">
        <v>40</v>
      </c>
      <c r="B30" s="4" t="s">
        <v>615</v>
      </c>
      <c r="C30" s="4" t="s">
        <v>543</v>
      </c>
      <c r="D30" s="4" t="s">
        <v>544</v>
      </c>
      <c r="E30" s="4" t="s">
        <v>545</v>
      </c>
      <c r="F30" s="4" t="s">
        <v>616</v>
      </c>
      <c r="G30" s="14">
        <v>211.46</v>
      </c>
      <c r="H30" s="10">
        <v>18.218432</v>
      </c>
      <c r="I30" s="10">
        <v>13.258654</v>
      </c>
      <c r="J30" s="10" t="s">
        <v>534</v>
      </c>
      <c r="K30" s="15">
        <v>1.0782E-2</v>
      </c>
      <c r="L30" s="17">
        <v>11618.371752999999</v>
      </c>
      <c r="M30" s="4" t="s">
        <v>617</v>
      </c>
      <c r="N30" s="19">
        <v>15.948828000000001</v>
      </c>
      <c r="O30" s="19">
        <v>24.6281</v>
      </c>
      <c r="P30" s="19">
        <v>14.1</v>
      </c>
      <c r="Q30" s="19">
        <v>20.595700000000001</v>
      </c>
      <c r="R30" s="19">
        <v>7.34</v>
      </c>
      <c r="S30" s="19">
        <v>18.249500000000001</v>
      </c>
      <c r="T30" s="19">
        <v>7.34</v>
      </c>
      <c r="U30" s="19">
        <v>16.690100000000001</v>
      </c>
      <c r="V30" s="19">
        <v>7.87</v>
      </c>
      <c r="W30" s="19">
        <v>14.158099999999999</v>
      </c>
      <c r="X30" s="19">
        <v>7.87</v>
      </c>
      <c r="Y30" s="19">
        <v>14.158099999999999</v>
      </c>
      <c r="Z30" s="4"/>
      <c r="AA30" s="4"/>
      <c r="AB30" s="4" t="e">
        <f ca="1">_xll.ciqfunctions.udf.CIQ("^SPX", "IQ_PRICEDATE", "2/4/2014")</f>
        <v>#NAME?</v>
      </c>
      <c r="AC30" s="16">
        <v>1755.2041996217999</v>
      </c>
    </row>
    <row r="31" spans="1:29" x14ac:dyDescent="0.35">
      <c r="A31" s="2" t="s">
        <v>41</v>
      </c>
      <c r="B31" s="4" t="s">
        <v>618</v>
      </c>
      <c r="C31" s="4" t="s">
        <v>619</v>
      </c>
      <c r="D31" s="4" t="s">
        <v>619</v>
      </c>
      <c r="E31" s="4" t="s">
        <v>620</v>
      </c>
      <c r="F31" s="4" t="s">
        <v>620</v>
      </c>
      <c r="G31" s="14">
        <v>43.23</v>
      </c>
      <c r="H31" s="10">
        <v>13.025459</v>
      </c>
      <c r="I31" s="10">
        <v>20.672498999999998</v>
      </c>
      <c r="J31" s="10">
        <v>2.322845</v>
      </c>
      <c r="K31" s="15">
        <v>3.0996000000000003E-2</v>
      </c>
      <c r="L31" s="17">
        <v>10287.568813</v>
      </c>
      <c r="M31" s="4" t="s">
        <v>621</v>
      </c>
      <c r="N31" s="19">
        <v>2.0911840000000002</v>
      </c>
      <c r="O31" s="19">
        <v>2.1358000000000001</v>
      </c>
      <c r="P31" s="19">
        <v>1.9847619999999999</v>
      </c>
      <c r="Q31" s="19">
        <v>2.2665999999999999</v>
      </c>
      <c r="R31" s="19">
        <v>1.6459699999999999</v>
      </c>
      <c r="S31" s="19">
        <v>2.0745</v>
      </c>
      <c r="T31" s="19">
        <v>1.6459699999999999</v>
      </c>
      <c r="U31" s="19">
        <v>1.921</v>
      </c>
      <c r="V31" s="19">
        <v>1.738836</v>
      </c>
      <c r="W31" s="19">
        <v>1.8338000000000001</v>
      </c>
      <c r="X31" s="19">
        <v>1.738836</v>
      </c>
      <c r="Y31" s="19">
        <v>1.8338000000000001</v>
      </c>
      <c r="Z31" s="4"/>
      <c r="AA31" s="4"/>
      <c r="AB31" s="4" t="e">
        <f ca="1">_xll.ciqfunctions.udf.CIQ("^SPX", "IQ_PRICEDATE", "2/5/2014")</f>
        <v>#NAME?</v>
      </c>
      <c r="AC31" s="16">
        <v>1751.6417690134999</v>
      </c>
    </row>
    <row r="32" spans="1:29" x14ac:dyDescent="0.35">
      <c r="A32" s="2" t="s">
        <v>42</v>
      </c>
      <c r="B32" s="4" t="s">
        <v>622</v>
      </c>
      <c r="C32" s="4" t="s">
        <v>549</v>
      </c>
      <c r="D32" s="4" t="s">
        <v>550</v>
      </c>
      <c r="E32" s="4" t="s">
        <v>623</v>
      </c>
      <c r="F32" s="4" t="s">
        <v>623</v>
      </c>
      <c r="G32" s="14">
        <v>1115.69</v>
      </c>
      <c r="H32" s="10">
        <v>17.851136</v>
      </c>
      <c r="I32" s="10">
        <v>0</v>
      </c>
      <c r="J32" s="10">
        <v>0</v>
      </c>
      <c r="K32" s="15">
        <v>0</v>
      </c>
      <c r="L32" s="17">
        <v>780275.68643100001</v>
      </c>
      <c r="M32" s="4" t="s">
        <v>624</v>
      </c>
      <c r="N32" s="19">
        <v>23.155086000000001</v>
      </c>
      <c r="O32" s="19">
        <v>44.751199999999997</v>
      </c>
      <c r="P32" s="19">
        <v>17.996428999999999</v>
      </c>
      <c r="Q32" s="19">
        <v>39.5794</v>
      </c>
      <c r="R32" s="19">
        <v>27.877247000000001</v>
      </c>
      <c r="S32" s="19">
        <v>39.429200000000002</v>
      </c>
      <c r="T32" s="19">
        <v>27.877247000000001</v>
      </c>
      <c r="U32" s="19">
        <v>32.428199999999997</v>
      </c>
      <c r="V32" s="19">
        <v>19.823307</v>
      </c>
      <c r="W32" s="19">
        <v>28.783000000000001</v>
      </c>
      <c r="X32" s="19">
        <v>19.823307</v>
      </c>
      <c r="Y32" s="19">
        <v>28.783000000000001</v>
      </c>
      <c r="Z32" s="4"/>
      <c r="AA32" s="4"/>
      <c r="AB32" s="4" t="e">
        <f ca="1">_xll.ciqfunctions.udf.CIQ("^SPX", "IQ_PRICEDATE", "2/6/2014")</f>
        <v>#NAME?</v>
      </c>
      <c r="AC32" s="16">
        <v>1773.4299637595</v>
      </c>
    </row>
    <row r="33" spans="1:29" x14ac:dyDescent="0.35">
      <c r="A33" s="2" t="s">
        <v>43</v>
      </c>
      <c r="B33" s="4" t="s">
        <v>622</v>
      </c>
      <c r="C33" s="4" t="s">
        <v>549</v>
      </c>
      <c r="D33" s="4" t="s">
        <v>550</v>
      </c>
      <c r="E33" s="4" t="s">
        <v>623</v>
      </c>
      <c r="F33" s="4" t="s">
        <v>623</v>
      </c>
      <c r="G33" s="14">
        <v>1127.5899999999999</v>
      </c>
      <c r="H33" s="10">
        <v>17.851136</v>
      </c>
      <c r="I33" s="10">
        <v>48.697291999999997</v>
      </c>
      <c r="J33" s="10">
        <v>5.5481129999999999</v>
      </c>
      <c r="K33" s="15">
        <v>0</v>
      </c>
      <c r="L33" s="17">
        <v>780275.68643100001</v>
      </c>
      <c r="M33" s="4" t="s">
        <v>624</v>
      </c>
      <c r="N33" s="19">
        <v>23.155086000000001</v>
      </c>
      <c r="O33" s="19">
        <v>43.810899999999997</v>
      </c>
      <c r="P33" s="19">
        <v>17.996428999999999</v>
      </c>
      <c r="Q33" s="19">
        <v>39.5794</v>
      </c>
      <c r="R33" s="19">
        <v>27.877247000000001</v>
      </c>
      <c r="S33" s="19">
        <v>39.433999999999997</v>
      </c>
      <c r="T33" s="19">
        <v>27.877247000000001</v>
      </c>
      <c r="U33" s="19">
        <v>32.431699999999999</v>
      </c>
      <c r="V33" s="19">
        <v>19.823307</v>
      </c>
      <c r="W33" s="19">
        <v>28.863</v>
      </c>
      <c r="X33" s="19">
        <v>19.823307</v>
      </c>
      <c r="Y33" s="19">
        <v>28.863</v>
      </c>
      <c r="Z33" s="4"/>
      <c r="AA33" s="4"/>
      <c r="AB33" s="4" t="e">
        <f ca="1">_xll.ciqfunctions.udf.CIQ("^SPX", "IQ_PRICEDATE", "2/7/2014")</f>
        <v>#NAME?</v>
      </c>
      <c r="AC33" s="16">
        <v>1797.0169234533</v>
      </c>
    </row>
    <row r="34" spans="1:29" x14ac:dyDescent="0.35">
      <c r="A34" s="2" t="s">
        <v>44</v>
      </c>
      <c r="B34" s="4" t="s">
        <v>625</v>
      </c>
      <c r="C34" s="4" t="s">
        <v>626</v>
      </c>
      <c r="D34" s="4" t="s">
        <v>627</v>
      </c>
      <c r="E34" s="4" t="s">
        <v>628</v>
      </c>
      <c r="F34" s="4" t="s">
        <v>628</v>
      </c>
      <c r="G34" s="14">
        <v>60.62</v>
      </c>
      <c r="H34" s="10">
        <v>11.487541999999999</v>
      </c>
      <c r="I34" s="10">
        <v>10.889616</v>
      </c>
      <c r="J34" s="10" t="s">
        <v>534</v>
      </c>
      <c r="K34" s="15">
        <v>5.2787000000000001E-2</v>
      </c>
      <c r="L34" s="17">
        <v>114279.00539999999</v>
      </c>
      <c r="M34" s="4" t="s">
        <v>629</v>
      </c>
      <c r="N34" s="19">
        <v>5.5667710000000001</v>
      </c>
      <c r="O34" s="19">
        <v>4.1566999999999998</v>
      </c>
      <c r="P34" s="19">
        <v>5.31</v>
      </c>
      <c r="Q34" s="19">
        <v>3.5179999999999998</v>
      </c>
      <c r="R34" s="19">
        <v>7.28</v>
      </c>
      <c r="S34" s="19">
        <v>3.2063000000000001</v>
      </c>
      <c r="T34" s="19">
        <v>7.28</v>
      </c>
      <c r="U34" s="19">
        <v>2.9863</v>
      </c>
      <c r="V34" s="19">
        <v>2.5571280000000001</v>
      </c>
      <c r="W34" s="19">
        <v>2.7555999999999998</v>
      </c>
      <c r="X34" s="19">
        <v>2.5571280000000001</v>
      </c>
      <c r="Y34" s="19">
        <v>2.7555999999999998</v>
      </c>
      <c r="Z34" s="4"/>
      <c r="AA34" s="4"/>
      <c r="AB34" s="4" t="e">
        <f ca="1">_xll.ciqfunctions.udf.CIQ("^SPX", "IQ_PRICEDATE", "2/10/2014")</f>
        <v>#NAME?</v>
      </c>
      <c r="AC34" s="16">
        <v>1799.8393518810001</v>
      </c>
    </row>
    <row r="35" spans="1:29" x14ac:dyDescent="0.35">
      <c r="A35" s="2" t="s">
        <v>45</v>
      </c>
      <c r="B35" s="4" t="s">
        <v>630</v>
      </c>
      <c r="C35" s="4" t="s">
        <v>559</v>
      </c>
      <c r="D35" s="4" t="s">
        <v>560</v>
      </c>
      <c r="E35" s="4" t="s">
        <v>631</v>
      </c>
      <c r="F35" s="4" t="s">
        <v>631</v>
      </c>
      <c r="G35" s="14">
        <v>1831.73</v>
      </c>
      <c r="H35" s="10">
        <v>44.208266000000002</v>
      </c>
      <c r="I35" s="10">
        <v>145.068691</v>
      </c>
      <c r="J35" s="10">
        <v>42.375779000000001</v>
      </c>
      <c r="K35" s="15">
        <v>0</v>
      </c>
      <c r="L35" s="17">
        <v>893410.16812699998</v>
      </c>
      <c r="M35" s="4" t="s">
        <v>632</v>
      </c>
      <c r="N35" s="19">
        <v>12.626639000000001</v>
      </c>
      <c r="O35" s="19">
        <v>20.139900000000001</v>
      </c>
      <c r="P35" s="19">
        <v>6.15</v>
      </c>
      <c r="Q35" s="19">
        <v>6.0980999999999996</v>
      </c>
      <c r="R35" s="19">
        <v>4.9000000000000004</v>
      </c>
      <c r="S35" s="19">
        <v>7.1908000000000003</v>
      </c>
      <c r="T35" s="19">
        <v>4.9000000000000004</v>
      </c>
      <c r="U35" s="19">
        <v>4.3808999999999996</v>
      </c>
      <c r="V35" s="19">
        <v>-0.52164500000000003</v>
      </c>
      <c r="W35" s="19">
        <v>5.5E-2</v>
      </c>
      <c r="X35" s="19">
        <v>-0.52164500000000003</v>
      </c>
      <c r="Y35" s="19">
        <v>5.5E-2</v>
      </c>
      <c r="Z35" s="4"/>
      <c r="AA35" s="4"/>
      <c r="AB35" s="4" t="e">
        <f ca="1">_xll.ciqfunctions.udf.CIQ("^SPX", "IQ_PRICEDATE", "2/11/2014")</f>
        <v>#NAME?</v>
      </c>
      <c r="AC35" s="16">
        <v>1819.7478427199001</v>
      </c>
    </row>
    <row r="36" spans="1:29" x14ac:dyDescent="0.35">
      <c r="A36" s="2" t="s">
        <v>46</v>
      </c>
      <c r="B36" s="4" t="s">
        <v>633</v>
      </c>
      <c r="C36" s="4" t="s">
        <v>619</v>
      </c>
      <c r="D36" s="4" t="s">
        <v>619</v>
      </c>
      <c r="E36" s="4" t="s">
        <v>634</v>
      </c>
      <c r="F36" s="4" t="s">
        <v>634</v>
      </c>
      <c r="G36" s="14">
        <v>64.760000000000005</v>
      </c>
      <c r="H36" s="10">
        <v>10.078181000000001</v>
      </c>
      <c r="I36" s="10">
        <v>25.687097999999999</v>
      </c>
      <c r="J36" s="10">
        <v>2.2654390000000002</v>
      </c>
      <c r="K36" s="15">
        <v>2.9339E-2</v>
      </c>
      <c r="L36" s="17">
        <v>15804.029105</v>
      </c>
      <c r="M36" s="4" t="s">
        <v>635</v>
      </c>
      <c r="N36" s="19">
        <v>2.5211100000000002</v>
      </c>
      <c r="O36" s="19">
        <v>3.3363999999999998</v>
      </c>
      <c r="P36" s="19">
        <v>2.14</v>
      </c>
      <c r="Q36" s="19">
        <v>2.8441999999999998</v>
      </c>
      <c r="R36" s="19">
        <v>2.68</v>
      </c>
      <c r="S36" s="19">
        <v>2.73</v>
      </c>
      <c r="T36" s="19">
        <v>2.68</v>
      </c>
      <c r="U36" s="19">
        <v>2.3107000000000002</v>
      </c>
      <c r="V36" s="19">
        <v>2.4</v>
      </c>
      <c r="W36" s="19">
        <v>2.5133999999999999</v>
      </c>
      <c r="X36" s="19">
        <v>2.4</v>
      </c>
      <c r="Y36" s="19">
        <v>2.5133999999999999</v>
      </c>
      <c r="Z36" s="4"/>
      <c r="AA36" s="4"/>
      <c r="AB36" s="4" t="e">
        <f ca="1">_xll.ciqfunctions.udf.CIQ("^SPX", "IQ_PRICEDATE", "2/12/2014")</f>
        <v>#NAME?</v>
      </c>
      <c r="AC36" s="16">
        <v>1819.2642758690999</v>
      </c>
    </row>
    <row r="37" spans="1:29" x14ac:dyDescent="0.35">
      <c r="A37" s="2" t="s">
        <v>47</v>
      </c>
      <c r="B37" s="4" t="s">
        <v>636</v>
      </c>
      <c r="C37" s="4" t="s">
        <v>525</v>
      </c>
      <c r="D37" s="4" t="s">
        <v>594</v>
      </c>
      <c r="E37" s="4" t="s">
        <v>595</v>
      </c>
      <c r="F37" s="4" t="s">
        <v>595</v>
      </c>
      <c r="G37" s="14">
        <v>33.57</v>
      </c>
      <c r="H37" s="10">
        <v>5.791874</v>
      </c>
      <c r="I37" s="10">
        <v>10.928908</v>
      </c>
      <c r="J37" s="10" t="s">
        <v>534</v>
      </c>
      <c r="K37" s="15">
        <v>1.1915E-2</v>
      </c>
      <c r="L37" s="17">
        <v>15459.294381</v>
      </c>
      <c r="M37" s="4" t="s">
        <v>637</v>
      </c>
      <c r="N37" s="19">
        <v>3.0716700000000001</v>
      </c>
      <c r="O37" s="19">
        <v>4.5327000000000002</v>
      </c>
      <c r="P37" s="19">
        <v>3.9</v>
      </c>
      <c r="Q37" s="19">
        <v>4.7663000000000002</v>
      </c>
      <c r="R37" s="19">
        <v>4.8099999999999996</v>
      </c>
      <c r="S37" s="19">
        <v>4.4809000000000001</v>
      </c>
      <c r="T37" s="19">
        <v>4.8099999999999996</v>
      </c>
      <c r="U37" s="19">
        <v>7.1485000000000003</v>
      </c>
      <c r="V37" s="19">
        <v>3.9304320000000001</v>
      </c>
      <c r="W37" s="19">
        <v>8.4161000000000001</v>
      </c>
      <c r="X37" s="19">
        <v>3.9304320000000001</v>
      </c>
      <c r="Y37" s="19">
        <v>8.4161000000000001</v>
      </c>
      <c r="Z37" s="4"/>
      <c r="AA37" s="4"/>
      <c r="AB37" s="4" t="e">
        <f ca="1">_xll.ciqfunctions.udf.CIQ("^SPX", "IQ_PRICEDATE", "2/13/2014")</f>
        <v>#NAME?</v>
      </c>
      <c r="AC37" s="16">
        <v>1829.82975844</v>
      </c>
    </row>
    <row r="38" spans="1:29" x14ac:dyDescent="0.35">
      <c r="A38" s="2" t="s">
        <v>48</v>
      </c>
      <c r="B38" s="4" t="s">
        <v>638</v>
      </c>
      <c r="C38" s="4" t="s">
        <v>619</v>
      </c>
      <c r="D38" s="4" t="s">
        <v>619</v>
      </c>
      <c r="E38" s="4" t="s">
        <v>620</v>
      </c>
      <c r="F38" s="4" t="s">
        <v>620</v>
      </c>
      <c r="G38" s="14">
        <v>71.72</v>
      </c>
      <c r="H38" s="10">
        <v>11.156098</v>
      </c>
      <c r="I38" s="10">
        <v>18.342466999999999</v>
      </c>
      <c r="J38" s="10">
        <v>1.8935759999999999</v>
      </c>
      <c r="K38" s="15">
        <v>3.4578000000000005E-2</v>
      </c>
      <c r="L38" s="17">
        <v>35353.230640000002</v>
      </c>
      <c r="M38" s="4" t="s">
        <v>639</v>
      </c>
      <c r="N38" s="19">
        <v>3.9100519999999999</v>
      </c>
      <c r="O38" s="19">
        <v>3.9563999999999999</v>
      </c>
      <c r="P38" s="19">
        <v>3.88</v>
      </c>
      <c r="Q38" s="19">
        <v>3.7833000000000001</v>
      </c>
      <c r="R38" s="19">
        <v>1.248027</v>
      </c>
      <c r="S38" s="19">
        <v>3.5844999999999998</v>
      </c>
      <c r="T38" s="19">
        <v>1.248027</v>
      </c>
      <c r="U38" s="19">
        <v>3.5718000000000001</v>
      </c>
      <c r="V38" s="19">
        <v>3.24</v>
      </c>
      <c r="W38" s="19">
        <v>3.3292999999999999</v>
      </c>
      <c r="X38" s="19">
        <v>3.24</v>
      </c>
      <c r="Y38" s="19">
        <v>3.3292999999999999</v>
      </c>
      <c r="Z38" s="4"/>
      <c r="AA38" s="4"/>
      <c r="AB38" s="4" t="e">
        <f ca="1">_xll.ciqfunctions.udf.CIQ("^SPX", "IQ_PRICEDATE", "2/14/2014")</f>
        <v>#NAME?</v>
      </c>
      <c r="AC38" s="16">
        <v>1838.6327143240001</v>
      </c>
    </row>
    <row r="39" spans="1:29" x14ac:dyDescent="0.35">
      <c r="A39" s="2" t="s">
        <v>49</v>
      </c>
      <c r="B39" s="4" t="s">
        <v>640</v>
      </c>
      <c r="C39" s="4" t="s">
        <v>573</v>
      </c>
      <c r="D39" s="4" t="s">
        <v>574</v>
      </c>
      <c r="E39" s="4" t="s">
        <v>641</v>
      </c>
      <c r="F39" s="4" t="s">
        <v>641</v>
      </c>
      <c r="G39" s="14">
        <v>104.34</v>
      </c>
      <c r="H39" s="10">
        <v>0</v>
      </c>
      <c r="I39" s="10">
        <v>27.540894000000002</v>
      </c>
      <c r="J39" s="10">
        <v>4.3000540000000003</v>
      </c>
      <c r="K39" s="15">
        <v>1.3416999999999998E-2</v>
      </c>
      <c r="L39" s="17">
        <v>89842.400445000007</v>
      </c>
      <c r="M39" s="4" t="s">
        <v>642</v>
      </c>
      <c r="N39" s="19">
        <v>3.788548</v>
      </c>
      <c r="O39" s="19">
        <v>7.5248999999999997</v>
      </c>
      <c r="P39" s="19">
        <v>2.97</v>
      </c>
      <c r="Q39" s="19">
        <v>6.3056000000000001</v>
      </c>
      <c r="R39" s="19">
        <v>5.65</v>
      </c>
      <c r="S39" s="19">
        <v>5.2156000000000002</v>
      </c>
      <c r="T39" s="19">
        <v>5.65</v>
      </c>
      <c r="U39" s="19">
        <v>5.2336</v>
      </c>
      <c r="V39" s="19">
        <v>5.56</v>
      </c>
      <c r="W39" s="19">
        <v>5.9082999999999997</v>
      </c>
      <c r="X39" s="19">
        <v>5.56</v>
      </c>
      <c r="Y39" s="19">
        <v>5.9082999999999997</v>
      </c>
      <c r="Z39" s="4"/>
      <c r="AA39" s="4"/>
      <c r="AB39" s="4" t="e">
        <f ca="1">_xll.ciqfunctions.udf.CIQ("^SPX", "IQ_PRICEDATE", "2/18/2014")</f>
        <v>#NAME?</v>
      </c>
      <c r="AC39" s="16">
        <v>1840.7563614977</v>
      </c>
    </row>
    <row r="40" spans="1:29" x14ac:dyDescent="0.35">
      <c r="A40" s="2" t="s">
        <v>50</v>
      </c>
      <c r="B40" s="4" t="s">
        <v>643</v>
      </c>
      <c r="C40" s="4" t="s">
        <v>573</v>
      </c>
      <c r="D40" s="4" t="s">
        <v>579</v>
      </c>
      <c r="E40" s="4" t="s">
        <v>579</v>
      </c>
      <c r="F40" s="4" t="s">
        <v>644</v>
      </c>
      <c r="G40" s="14">
        <v>49.62</v>
      </c>
      <c r="H40" s="10">
        <v>11.805273</v>
      </c>
      <c r="I40" s="10" t="s">
        <v>534</v>
      </c>
      <c r="J40" s="10">
        <v>0.72274700000000003</v>
      </c>
      <c r="K40" s="15">
        <v>2.5795999999999999E-2</v>
      </c>
      <c r="L40" s="17">
        <v>44084.703867999997</v>
      </c>
      <c r="M40" s="4" t="s">
        <v>645</v>
      </c>
      <c r="N40" s="19">
        <v>-7.1890980000000004</v>
      </c>
      <c r="O40" s="19">
        <v>5.0500999999999996</v>
      </c>
      <c r="P40" s="19">
        <v>-6.5422880000000001</v>
      </c>
      <c r="Q40" s="19">
        <v>4.6581999999999999</v>
      </c>
      <c r="R40" s="19">
        <v>-0.7</v>
      </c>
      <c r="S40" s="19">
        <v>5.1496000000000004</v>
      </c>
      <c r="T40" s="19">
        <v>-0.7</v>
      </c>
      <c r="U40" s="19">
        <v>4.9114000000000004</v>
      </c>
      <c r="V40" s="19">
        <v>5.2399990000000001</v>
      </c>
      <c r="W40" s="19">
        <v>4.7538</v>
      </c>
      <c r="X40" s="19">
        <v>5.2399990000000001</v>
      </c>
      <c r="Y40" s="19">
        <v>4.7538</v>
      </c>
      <c r="Z40" s="4"/>
      <c r="AA40" s="4"/>
      <c r="AB40" s="4" t="e">
        <f ca="1">_xll.ciqfunctions.udf.CIQ("^SPX", "IQ_PRICEDATE", "2/19/2014")</f>
        <v>#NAME?</v>
      </c>
      <c r="AC40" s="16">
        <v>1828.7467956528999</v>
      </c>
    </row>
    <row r="41" spans="1:29" x14ac:dyDescent="0.35">
      <c r="A41" s="2" t="s">
        <v>51</v>
      </c>
      <c r="B41" s="4" t="s">
        <v>646</v>
      </c>
      <c r="C41" s="4" t="s">
        <v>601</v>
      </c>
      <c r="D41" s="4" t="s">
        <v>601</v>
      </c>
      <c r="E41" s="4" t="s">
        <v>602</v>
      </c>
      <c r="F41" s="4" t="s">
        <v>647</v>
      </c>
      <c r="G41" s="14">
        <v>146.68</v>
      </c>
      <c r="H41" s="10">
        <v>21.115278</v>
      </c>
      <c r="I41" s="10">
        <v>58.161458000000003</v>
      </c>
      <c r="J41" s="10" t="s">
        <v>534</v>
      </c>
      <c r="K41" s="15">
        <v>2.1543E-2</v>
      </c>
      <c r="L41" s="17">
        <v>64661.686307000004</v>
      </c>
      <c r="M41" s="4" t="s">
        <v>648</v>
      </c>
      <c r="N41" s="19">
        <v>2.5219450000000001</v>
      </c>
      <c r="O41" s="19">
        <v>3.5129999999999999</v>
      </c>
      <c r="P41" s="19">
        <v>2.67</v>
      </c>
      <c r="Q41" s="19">
        <v>3.3589000000000002</v>
      </c>
      <c r="R41" s="19">
        <v>1.98</v>
      </c>
      <c r="S41" s="19">
        <v>2.5825</v>
      </c>
      <c r="T41" s="19">
        <v>1.98</v>
      </c>
      <c r="U41" s="19">
        <v>2.2949999999999999</v>
      </c>
      <c r="V41" s="19">
        <v>2</v>
      </c>
      <c r="W41" s="19">
        <v>2.5792000000000002</v>
      </c>
      <c r="X41" s="19">
        <v>2</v>
      </c>
      <c r="Y41" s="19">
        <v>2.5792000000000002</v>
      </c>
      <c r="Z41" s="4"/>
      <c r="AA41" s="4"/>
      <c r="AB41" s="4" t="e">
        <f ca="1">_xll.ciqfunctions.udf.CIQ("^SPX", "IQ_PRICEDATE", "2/20/2014")</f>
        <v>#NAME?</v>
      </c>
      <c r="AC41" s="16">
        <v>1839.7822149358999</v>
      </c>
    </row>
    <row r="42" spans="1:29" x14ac:dyDescent="0.35">
      <c r="A42" s="2" t="s">
        <v>52</v>
      </c>
      <c r="B42" s="4" t="s">
        <v>649</v>
      </c>
      <c r="C42" s="4" t="s">
        <v>619</v>
      </c>
      <c r="D42" s="4" t="s">
        <v>619</v>
      </c>
      <c r="E42" s="4" t="s">
        <v>650</v>
      </c>
      <c r="F42" s="4" t="s">
        <v>650</v>
      </c>
      <c r="G42" s="14">
        <v>89.95</v>
      </c>
      <c r="H42" s="10">
        <v>14.688186999999999</v>
      </c>
      <c r="I42" s="10">
        <v>34.332061000000003</v>
      </c>
      <c r="J42" s="10">
        <v>4.0446179999999998</v>
      </c>
      <c r="K42" s="15">
        <v>2.0232999999999998E-2</v>
      </c>
      <c r="L42" s="17">
        <v>16235.273209999999</v>
      </c>
      <c r="M42" s="4" t="s">
        <v>651</v>
      </c>
      <c r="N42" s="19">
        <v>2.62</v>
      </c>
      <c r="O42" s="19">
        <v>3.3288000000000002</v>
      </c>
      <c r="P42" s="19">
        <v>2.38</v>
      </c>
      <c r="Q42" s="19">
        <v>3.1894</v>
      </c>
      <c r="R42" s="19">
        <v>2.62</v>
      </c>
      <c r="S42" s="19">
        <v>2.9403999999999999</v>
      </c>
      <c r="T42" s="19">
        <v>2.62</v>
      </c>
      <c r="U42" s="19">
        <v>2.7743000000000002</v>
      </c>
      <c r="V42" s="19">
        <v>2.39</v>
      </c>
      <c r="W42" s="19">
        <v>2.5543</v>
      </c>
      <c r="X42" s="19">
        <v>2.39</v>
      </c>
      <c r="Y42" s="19">
        <v>2.5543</v>
      </c>
      <c r="Z42" s="4"/>
      <c r="AA42" s="4"/>
      <c r="AB42" s="4" t="e">
        <f ca="1">_xll.ciqfunctions.udf.CIQ("^SPX", "IQ_PRICEDATE", "2/21/2014")</f>
        <v>#NAME?</v>
      </c>
      <c r="AC42" s="16">
        <v>1836.2461813611001</v>
      </c>
    </row>
    <row r="43" spans="1:29" x14ac:dyDescent="0.35">
      <c r="A43" s="2" t="s">
        <v>53</v>
      </c>
      <c r="B43" s="4" t="s">
        <v>652</v>
      </c>
      <c r="C43" s="4" t="s">
        <v>573</v>
      </c>
      <c r="D43" s="4" t="s">
        <v>574</v>
      </c>
      <c r="E43" s="4" t="s">
        <v>575</v>
      </c>
      <c r="F43" s="4" t="s">
        <v>576</v>
      </c>
      <c r="G43" s="14">
        <v>138.37</v>
      </c>
      <c r="H43" s="10">
        <v>5.8799390000000002</v>
      </c>
      <c r="I43" s="10">
        <v>12.130046999999999</v>
      </c>
      <c r="J43" s="10">
        <v>3.4941469999999999</v>
      </c>
      <c r="K43" s="15">
        <v>2.6017000000000002E-2</v>
      </c>
      <c r="L43" s="17">
        <v>19629.701201</v>
      </c>
      <c r="M43" s="4" t="s">
        <v>653</v>
      </c>
      <c r="N43" s="19">
        <v>11.407209999999999</v>
      </c>
      <c r="O43" s="19">
        <v>15.475300000000001</v>
      </c>
      <c r="P43" s="19">
        <v>9.44</v>
      </c>
      <c r="Q43" s="19">
        <v>12.704599999999999</v>
      </c>
      <c r="R43" s="19">
        <v>7.81</v>
      </c>
      <c r="S43" s="19">
        <v>10.0672</v>
      </c>
      <c r="T43" s="19">
        <v>7.81</v>
      </c>
      <c r="U43" s="19">
        <v>9.9716000000000005</v>
      </c>
      <c r="V43" s="19">
        <v>8.31</v>
      </c>
      <c r="W43" s="19">
        <v>9.2737999999999996</v>
      </c>
      <c r="X43" s="19">
        <v>8.31</v>
      </c>
      <c r="Y43" s="19">
        <v>9.2737999999999996</v>
      </c>
      <c r="Z43" s="4"/>
      <c r="AA43" s="4"/>
      <c r="AB43" s="4" t="e">
        <f ca="1">_xll.ciqfunctions.udf.CIQ("^SPX", "IQ_PRICEDATE", "2/24/2014")</f>
        <v>#NAME?</v>
      </c>
      <c r="AC43" s="16">
        <v>1847.6146440903001</v>
      </c>
    </row>
    <row r="44" spans="1:29" x14ac:dyDescent="0.35">
      <c r="A44" s="2" t="s">
        <v>54</v>
      </c>
      <c r="B44" s="4" t="s">
        <v>654</v>
      </c>
      <c r="C44" s="4" t="s">
        <v>530</v>
      </c>
      <c r="D44" s="4" t="s">
        <v>531</v>
      </c>
      <c r="E44" s="4" t="s">
        <v>569</v>
      </c>
      <c r="F44" s="4" t="s">
        <v>655</v>
      </c>
      <c r="G44" s="14">
        <v>93.76</v>
      </c>
      <c r="H44" s="10">
        <v>9.5782790000000002</v>
      </c>
      <c r="I44" s="10">
        <v>19.227425</v>
      </c>
      <c r="J44" s="10" t="s">
        <v>534</v>
      </c>
      <c r="K44" s="15">
        <v>1.6211E-2</v>
      </c>
      <c r="L44" s="17">
        <v>20285.598941</v>
      </c>
      <c r="M44" s="4" t="s">
        <v>656</v>
      </c>
      <c r="N44" s="19">
        <v>4.8763680000000003</v>
      </c>
      <c r="O44" s="19">
        <v>6.9241999999999999</v>
      </c>
      <c r="P44" s="19">
        <v>4.420153</v>
      </c>
      <c r="Q44" s="19">
        <v>6.0747600000000004</v>
      </c>
      <c r="R44" s="19">
        <v>5.9869690000000002</v>
      </c>
      <c r="S44" s="19">
        <v>5.7546099999999996</v>
      </c>
      <c r="T44" s="19">
        <v>5.9869690000000002</v>
      </c>
      <c r="U44" s="19">
        <v>5.8305100000000003</v>
      </c>
      <c r="V44" s="19">
        <v>0.15307399999999999</v>
      </c>
      <c r="W44" s="19">
        <v>4.4666899999999998</v>
      </c>
      <c r="X44" s="19">
        <v>0.15307399999999999</v>
      </c>
      <c r="Y44" s="19">
        <v>4.4666899999999998</v>
      </c>
      <c r="Z44" s="4"/>
      <c r="AA44" s="4"/>
      <c r="AB44" s="4" t="e">
        <f ca="1">_xll.ciqfunctions.udf.CIQ("^SPX", "IQ_PRICEDATE", "2/25/2014")</f>
        <v>#NAME?</v>
      </c>
      <c r="AC44" s="16">
        <v>1845.1199680528</v>
      </c>
    </row>
    <row r="45" spans="1:29" x14ac:dyDescent="0.35">
      <c r="A45" s="2" t="s">
        <v>55</v>
      </c>
      <c r="B45" s="4" t="s">
        <v>657</v>
      </c>
      <c r="C45" s="4" t="s">
        <v>525</v>
      </c>
      <c r="D45" s="4" t="s">
        <v>526</v>
      </c>
      <c r="E45" s="4" t="s">
        <v>658</v>
      </c>
      <c r="F45" s="4" t="s">
        <v>659</v>
      </c>
      <c r="G45" s="14">
        <v>73.31</v>
      </c>
      <c r="H45" s="10">
        <v>15.390796</v>
      </c>
      <c r="I45" s="10">
        <v>22.222995999999998</v>
      </c>
      <c r="J45" s="10" t="s">
        <v>534</v>
      </c>
      <c r="K45" s="15">
        <v>7.6380000000000007E-3</v>
      </c>
      <c r="L45" s="17">
        <v>17000.381020000001</v>
      </c>
      <c r="M45" s="4" t="s">
        <v>660</v>
      </c>
      <c r="N45" s="19">
        <v>3.298835</v>
      </c>
      <c r="O45" s="19">
        <v>3.3536000000000001</v>
      </c>
      <c r="P45" s="19">
        <v>2.94</v>
      </c>
      <c r="Q45" s="19">
        <v>2.8050999999999999</v>
      </c>
      <c r="R45" s="19">
        <v>2.19</v>
      </c>
      <c r="S45" s="19">
        <v>2.3963999999999999</v>
      </c>
      <c r="T45" s="19">
        <v>2.19</v>
      </c>
      <c r="U45" s="19">
        <v>2.6741999999999999</v>
      </c>
      <c r="V45" s="19">
        <v>2.37</v>
      </c>
      <c r="W45" s="19">
        <v>2.5880999999999998</v>
      </c>
      <c r="X45" s="19">
        <v>2.37</v>
      </c>
      <c r="Y45" s="19">
        <v>2.5880999999999998</v>
      </c>
      <c r="Z45" s="4"/>
      <c r="AA45" s="4"/>
      <c r="AB45" s="4" t="e">
        <f ca="1">_xll.ciqfunctions.udf.CIQ("^SPX", "IQ_PRICEDATE", "2/26/2014")</f>
        <v>#NAME?</v>
      </c>
      <c r="AC45" s="16">
        <v>1845.1639780911</v>
      </c>
    </row>
    <row r="46" spans="1:29" x14ac:dyDescent="0.35">
      <c r="A46" s="2" t="s">
        <v>56</v>
      </c>
      <c r="B46" s="4" t="s">
        <v>661</v>
      </c>
      <c r="C46" s="4" t="s">
        <v>530</v>
      </c>
      <c r="D46" s="4" t="s">
        <v>537</v>
      </c>
      <c r="E46" s="4" t="s">
        <v>538</v>
      </c>
      <c r="F46" s="4" t="s">
        <v>538</v>
      </c>
      <c r="G46" s="14">
        <v>202.77</v>
      </c>
      <c r="H46" s="10">
        <v>10.840305000000001</v>
      </c>
      <c r="I46" s="10">
        <v>60.741714999999999</v>
      </c>
      <c r="J46" s="10" t="s">
        <v>534</v>
      </c>
      <c r="K46" s="15">
        <v>2.6039E-2</v>
      </c>
      <c r="L46" s="17">
        <v>131247.35702600001</v>
      </c>
      <c r="M46" s="4" t="s">
        <v>662</v>
      </c>
      <c r="N46" s="19">
        <v>3.3382329999999998</v>
      </c>
      <c r="O46" s="19">
        <v>14.0382</v>
      </c>
      <c r="P46" s="19">
        <v>2.69</v>
      </c>
      <c r="Q46" s="19">
        <v>12.5274</v>
      </c>
      <c r="R46" s="19">
        <v>10.24</v>
      </c>
      <c r="S46" s="19">
        <v>11.9491</v>
      </c>
      <c r="T46" s="19">
        <v>10.24</v>
      </c>
      <c r="U46" s="19">
        <v>10.189399999999999</v>
      </c>
      <c r="V46" s="19">
        <v>6.7</v>
      </c>
      <c r="W46" s="19">
        <v>8.8605</v>
      </c>
      <c r="X46" s="19">
        <v>6.7</v>
      </c>
      <c r="Y46" s="19">
        <v>8.8605</v>
      </c>
      <c r="Z46" s="4"/>
      <c r="AA46" s="4"/>
      <c r="AB46" s="4" t="e">
        <f ca="1">_xll.ciqfunctions.udf.CIQ("^SPX", "IQ_PRICEDATE", "2/27/2014")</f>
        <v>#NAME?</v>
      </c>
      <c r="AC46" s="16">
        <v>1854.2920045507999</v>
      </c>
    </row>
    <row r="47" spans="1:29" x14ac:dyDescent="0.35">
      <c r="A47" s="2" t="s">
        <v>57</v>
      </c>
      <c r="B47" s="4" t="s">
        <v>663</v>
      </c>
      <c r="C47" s="4" t="s">
        <v>543</v>
      </c>
      <c r="D47" s="4" t="s">
        <v>664</v>
      </c>
      <c r="E47" s="4" t="s">
        <v>665</v>
      </c>
      <c r="F47" s="4" t="s">
        <v>666</v>
      </c>
      <c r="G47" s="14">
        <v>85.83</v>
      </c>
      <c r="H47" s="10">
        <v>15.702054</v>
      </c>
      <c r="I47" s="10">
        <v>37.384796999999999</v>
      </c>
      <c r="J47" s="10" t="s">
        <v>534</v>
      </c>
      <c r="K47" s="15">
        <v>1.0718E-2</v>
      </c>
      <c r="L47" s="17">
        <v>25779.260396000001</v>
      </c>
      <c r="M47" s="4" t="s">
        <v>667</v>
      </c>
      <c r="N47" s="19">
        <v>2.2958530000000001</v>
      </c>
      <c r="O47" s="19">
        <v>3.7726999999999999</v>
      </c>
      <c r="P47" s="19">
        <v>2.06</v>
      </c>
      <c r="Q47" s="19">
        <v>3.3321000000000001</v>
      </c>
      <c r="R47" s="19">
        <v>2.61</v>
      </c>
      <c r="S47" s="19">
        <v>2.9285000000000001</v>
      </c>
      <c r="T47" s="19">
        <v>2.61</v>
      </c>
      <c r="U47" s="19">
        <v>2.4822000000000002</v>
      </c>
      <c r="V47" s="19">
        <v>2.21</v>
      </c>
      <c r="W47" s="19">
        <v>2.411</v>
      </c>
      <c r="X47" s="19">
        <v>2.21</v>
      </c>
      <c r="Y47" s="19">
        <v>2.411</v>
      </c>
      <c r="Z47" s="4"/>
      <c r="AA47" s="4"/>
      <c r="AB47" s="4" t="e">
        <f ca="1">_xll.ciqfunctions.udf.CIQ("^SPX", "IQ_PRICEDATE", "2/28/2014")</f>
        <v>#NAME?</v>
      </c>
      <c r="AC47" s="16">
        <v>1859.4493719912</v>
      </c>
    </row>
    <row r="48" spans="1:29" x14ac:dyDescent="0.35">
      <c r="A48" s="2" t="s">
        <v>58</v>
      </c>
      <c r="B48" s="4" t="s">
        <v>668</v>
      </c>
      <c r="C48" s="4" t="s">
        <v>669</v>
      </c>
      <c r="D48" s="4" t="s">
        <v>669</v>
      </c>
      <c r="E48" s="4" t="s">
        <v>670</v>
      </c>
      <c r="F48" s="4" t="s">
        <v>671</v>
      </c>
      <c r="G48" s="14">
        <v>67.05</v>
      </c>
      <c r="H48" s="10">
        <v>10.743789</v>
      </c>
      <c r="I48" s="10">
        <v>85.307079999999999</v>
      </c>
      <c r="J48" s="10">
        <v>10.329324</v>
      </c>
      <c r="K48" s="15">
        <v>1.4914E-2</v>
      </c>
      <c r="L48" s="17">
        <v>34334.632974</v>
      </c>
      <c r="M48" s="4" t="s">
        <v>672</v>
      </c>
      <c r="N48" s="19">
        <v>0.78598400000000002</v>
      </c>
      <c r="O48" s="19">
        <v>4.0381</v>
      </c>
      <c r="P48" s="19">
        <v>-0.85036400000000001</v>
      </c>
      <c r="Q48" s="19">
        <v>-0.4073</v>
      </c>
      <c r="R48" s="19">
        <v>-5.8984670000000001</v>
      </c>
      <c r="S48" s="19">
        <v>-0.56389999999999996</v>
      </c>
      <c r="T48" s="19">
        <v>-5.8984670000000001</v>
      </c>
      <c r="U48" s="19">
        <v>-2.6663000000000001</v>
      </c>
      <c r="V48" s="19">
        <v>-3.47</v>
      </c>
      <c r="W48" s="19">
        <v>2.8883000000000001</v>
      </c>
      <c r="X48" s="19">
        <v>-3.47</v>
      </c>
      <c r="Y48" s="19">
        <v>2.8883000000000001</v>
      </c>
      <c r="Z48" s="4"/>
      <c r="AA48" s="4"/>
      <c r="AB48" s="4" t="e">
        <f ca="1">_xll.ciqfunctions.udf.CIQ("^SPX", "IQ_PRICEDATE", "3/3/2014")</f>
        <v>#NAME?</v>
      </c>
      <c r="AC48" s="16">
        <v>1845.7344417764</v>
      </c>
    </row>
    <row r="49" spans="1:29" x14ac:dyDescent="0.35">
      <c r="A49" s="2" t="s">
        <v>59</v>
      </c>
      <c r="B49" s="4" t="s">
        <v>673</v>
      </c>
      <c r="C49" s="4" t="s">
        <v>543</v>
      </c>
      <c r="D49" s="4" t="s">
        <v>565</v>
      </c>
      <c r="E49" s="4" t="s">
        <v>565</v>
      </c>
      <c r="F49" s="4" t="s">
        <v>566</v>
      </c>
      <c r="G49" s="14">
        <v>85.25</v>
      </c>
      <c r="H49" s="10">
        <v>13.499216000000001</v>
      </c>
      <c r="I49" s="10">
        <v>22.70299</v>
      </c>
      <c r="J49" s="10" t="s">
        <v>534</v>
      </c>
      <c r="K49" s="15">
        <v>2.2520999999999999E-2</v>
      </c>
      <c r="L49" s="17">
        <v>31684.864602000001</v>
      </c>
      <c r="M49" s="4" t="s">
        <v>674</v>
      </c>
      <c r="N49" s="19">
        <v>3.7550119999999998</v>
      </c>
      <c r="O49" s="19">
        <v>5.819</v>
      </c>
      <c r="P49" s="19">
        <v>2.0699999999999998</v>
      </c>
      <c r="Q49" s="19">
        <v>5.1731600000000002</v>
      </c>
      <c r="R49" s="19">
        <v>2.76</v>
      </c>
      <c r="S49" s="19">
        <v>3.40123</v>
      </c>
      <c r="T49" s="19">
        <v>2.76</v>
      </c>
      <c r="U49" s="19">
        <v>3.2889200000000001</v>
      </c>
      <c r="V49" s="19">
        <v>1.98</v>
      </c>
      <c r="W49" s="19">
        <v>2.8330899999999999</v>
      </c>
      <c r="X49" s="19">
        <v>1.98</v>
      </c>
      <c r="Y49" s="19">
        <v>2.8330899999999999</v>
      </c>
      <c r="Z49" s="4"/>
      <c r="AA49" s="4"/>
      <c r="AB49" s="4" t="e">
        <f ca="1">_xll.ciqfunctions.udf.CIQ("^SPX", "IQ_PRICEDATE", "3/4/2014")</f>
        <v>#NAME?</v>
      </c>
      <c r="AC49" s="16">
        <v>1873.9137272164</v>
      </c>
    </row>
    <row r="50" spans="1:29" x14ac:dyDescent="0.35">
      <c r="A50" s="2" t="s">
        <v>60</v>
      </c>
      <c r="B50" s="4" t="s">
        <v>675</v>
      </c>
      <c r="C50" s="4" t="s">
        <v>543</v>
      </c>
      <c r="D50" s="4" t="s">
        <v>544</v>
      </c>
      <c r="E50" s="4" t="s">
        <v>555</v>
      </c>
      <c r="F50" s="4" t="s">
        <v>556</v>
      </c>
      <c r="G50" s="14">
        <v>158.85</v>
      </c>
      <c r="H50" s="10">
        <v>27.055145</v>
      </c>
      <c r="I50" s="10">
        <v>45.285257999999999</v>
      </c>
      <c r="J50" s="10">
        <v>19.048786</v>
      </c>
      <c r="K50" s="15">
        <v>0</v>
      </c>
      <c r="L50" s="17">
        <v>13390.707753999999</v>
      </c>
      <c r="M50" s="4" t="s">
        <v>676</v>
      </c>
      <c r="N50" s="19">
        <v>3.5077639999999999</v>
      </c>
      <c r="O50" s="19">
        <v>5.1750999999999996</v>
      </c>
      <c r="P50" s="19">
        <v>2.98</v>
      </c>
      <c r="Q50" s="19">
        <v>4.1280999999999999</v>
      </c>
      <c r="R50" s="19">
        <v>2.99</v>
      </c>
      <c r="S50" s="19">
        <v>3.7214</v>
      </c>
      <c r="T50" s="19">
        <v>2.99</v>
      </c>
      <c r="U50" s="19">
        <v>3.5400999999999998</v>
      </c>
      <c r="V50" s="19">
        <v>2.7</v>
      </c>
      <c r="W50" s="19">
        <v>3.4318</v>
      </c>
      <c r="X50" s="19">
        <v>2.7</v>
      </c>
      <c r="Y50" s="19">
        <v>3.4318</v>
      </c>
      <c r="Z50" s="4"/>
      <c r="AA50" s="4"/>
      <c r="AB50" s="4" t="e">
        <f ca="1">_xll.ciqfunctions.udf.CIQ("^SPX", "IQ_PRICEDATE", "3/5/2014")</f>
        <v>#NAME?</v>
      </c>
      <c r="AC50" s="16">
        <v>1873.8115208239999</v>
      </c>
    </row>
    <row r="51" spans="1:29" x14ac:dyDescent="0.35">
      <c r="A51" s="2" t="s">
        <v>61</v>
      </c>
      <c r="B51" s="4" t="s">
        <v>677</v>
      </c>
      <c r="C51" s="4" t="s">
        <v>530</v>
      </c>
      <c r="D51" s="4" t="s">
        <v>531</v>
      </c>
      <c r="E51" s="4" t="s">
        <v>569</v>
      </c>
      <c r="F51" s="4" t="s">
        <v>570</v>
      </c>
      <c r="G51" s="14">
        <v>279.58</v>
      </c>
      <c r="H51" s="10">
        <v>14.451527</v>
      </c>
      <c r="I51" s="10">
        <v>17.014026000000001</v>
      </c>
      <c r="J51" s="10" t="s">
        <v>534</v>
      </c>
      <c r="K51" s="15">
        <v>1.073E-2</v>
      </c>
      <c r="L51" s="17">
        <v>72677.849295000007</v>
      </c>
      <c r="M51" s="4" t="s">
        <v>678</v>
      </c>
      <c r="N51" s="19">
        <v>16.432324000000001</v>
      </c>
      <c r="O51" s="19">
        <v>16.466000000000001</v>
      </c>
      <c r="P51" s="19">
        <v>14.35</v>
      </c>
      <c r="Q51" s="19">
        <v>12.1853</v>
      </c>
      <c r="R51" s="19">
        <v>9.2100000000000009</v>
      </c>
      <c r="S51" s="19">
        <v>11.354699999999999</v>
      </c>
      <c r="T51" s="19">
        <v>9.2100000000000009</v>
      </c>
      <c r="U51" s="19">
        <v>10.542</v>
      </c>
      <c r="V51" s="19">
        <v>8.9600000000000009</v>
      </c>
      <c r="W51" s="19">
        <v>9.2853999999999992</v>
      </c>
      <c r="X51" s="19">
        <v>8.9600000000000009</v>
      </c>
      <c r="Y51" s="19">
        <v>9.2853999999999992</v>
      </c>
      <c r="Z51" s="4"/>
      <c r="AA51" s="4"/>
      <c r="AB51" s="4" t="e">
        <f ca="1">_xll.ciqfunctions.udf.CIQ("^SPX", "IQ_PRICEDATE", "3/6/2014")</f>
        <v>#NAME?</v>
      </c>
      <c r="AC51" s="16">
        <v>1877.0258953811001</v>
      </c>
    </row>
    <row r="52" spans="1:29" x14ac:dyDescent="0.35">
      <c r="A52" s="2" t="s">
        <v>62</v>
      </c>
      <c r="B52" s="4" t="s">
        <v>679</v>
      </c>
      <c r="C52" s="4" t="s">
        <v>573</v>
      </c>
      <c r="D52" s="4" t="s">
        <v>579</v>
      </c>
      <c r="E52" s="4" t="s">
        <v>579</v>
      </c>
      <c r="F52" s="4" t="s">
        <v>680</v>
      </c>
      <c r="G52" s="14">
        <v>150.46</v>
      </c>
      <c r="H52" s="10">
        <v>18.739305999999999</v>
      </c>
      <c r="I52" s="10">
        <v>45.505878000000003</v>
      </c>
      <c r="J52" s="10" t="s">
        <v>534</v>
      </c>
      <c r="K52" s="15">
        <v>1.0633999999999999E-2</v>
      </c>
      <c r="L52" s="17">
        <v>36509.922908</v>
      </c>
      <c r="M52" s="4" t="s">
        <v>681</v>
      </c>
      <c r="N52" s="19">
        <v>3.3063859999999998</v>
      </c>
      <c r="O52" s="19">
        <v>8.5817999999999994</v>
      </c>
      <c r="P52" s="19">
        <v>1.53</v>
      </c>
      <c r="Q52" s="19">
        <v>7.5286999999999997</v>
      </c>
      <c r="R52" s="19">
        <v>4.51</v>
      </c>
      <c r="S52" s="19">
        <v>6.8296000000000001</v>
      </c>
      <c r="T52" s="19">
        <v>4.51</v>
      </c>
      <c r="U52" s="19">
        <v>6.2182000000000004</v>
      </c>
      <c r="V52" s="19">
        <v>4.6628829999999999</v>
      </c>
      <c r="W52" s="19">
        <v>5.8129</v>
      </c>
      <c r="X52" s="19">
        <v>4.6628829999999999</v>
      </c>
      <c r="Y52" s="19">
        <v>5.8129</v>
      </c>
      <c r="Z52" s="4"/>
      <c r="AA52" s="4"/>
      <c r="AB52" s="4" t="e">
        <f ca="1">_xll.ciqfunctions.udf.CIQ("^SPX", "IQ_PRICEDATE", "3/7/2014")</f>
        <v>#NAME?</v>
      </c>
      <c r="AC52" s="16">
        <v>1878.0391851899001</v>
      </c>
    </row>
    <row r="53" spans="1:29" x14ac:dyDescent="0.35">
      <c r="A53" s="2" t="s">
        <v>63</v>
      </c>
      <c r="B53" s="4" t="s">
        <v>682</v>
      </c>
      <c r="C53" s="4" t="s">
        <v>669</v>
      </c>
      <c r="D53" s="4" t="s">
        <v>669</v>
      </c>
      <c r="E53" s="4" t="s">
        <v>670</v>
      </c>
      <c r="F53" s="4" t="s">
        <v>671</v>
      </c>
      <c r="G53" s="14">
        <v>43.28</v>
      </c>
      <c r="H53" s="10">
        <v>6.2995989999999997</v>
      </c>
      <c r="I53" s="10">
        <v>19.326829</v>
      </c>
      <c r="J53" s="10">
        <v>2.166601</v>
      </c>
      <c r="K53" s="15">
        <v>2.3105000000000001E-2</v>
      </c>
      <c r="L53" s="17">
        <v>16553.992045999999</v>
      </c>
      <c r="M53" s="4" t="s">
        <v>683</v>
      </c>
      <c r="N53" s="19">
        <v>2.2393740000000002</v>
      </c>
      <c r="O53" s="19">
        <v>2.0139999999999998</v>
      </c>
      <c r="P53" s="19">
        <v>3.41</v>
      </c>
      <c r="Q53" s="19">
        <v>0.89849999999999997</v>
      </c>
      <c r="R53" s="19">
        <v>-3.6200519999999998</v>
      </c>
      <c r="S53" s="19">
        <v>1.1649</v>
      </c>
      <c r="T53" s="19">
        <v>-3.6200519999999998</v>
      </c>
      <c r="U53" s="19">
        <v>-0.7903</v>
      </c>
      <c r="V53" s="19">
        <v>-17.325520000000001</v>
      </c>
      <c r="W53" s="19">
        <v>1.9764999999999999</v>
      </c>
      <c r="X53" s="19">
        <v>-17.325520000000001</v>
      </c>
      <c r="Y53" s="19">
        <v>1.9764999999999999</v>
      </c>
      <c r="Z53" s="4"/>
      <c r="AA53" s="4"/>
      <c r="AB53" s="4" t="e">
        <f ca="1">_xll.ciqfunctions.udf.CIQ("^SPX", "IQ_PRICEDATE", "3/10/2014")</f>
        <v>#NAME?</v>
      </c>
      <c r="AC53" s="16">
        <v>1877.1738938220001</v>
      </c>
    </row>
    <row r="54" spans="1:29" x14ac:dyDescent="0.35">
      <c r="A54" s="2" t="s">
        <v>64</v>
      </c>
      <c r="B54" s="4" t="s">
        <v>684</v>
      </c>
      <c r="C54" s="4" t="s">
        <v>601</v>
      </c>
      <c r="D54" s="4" t="s">
        <v>601</v>
      </c>
      <c r="E54" s="4" t="s">
        <v>602</v>
      </c>
      <c r="F54" s="4" t="s">
        <v>685</v>
      </c>
      <c r="G54" s="14">
        <v>42.84</v>
      </c>
      <c r="H54" s="10">
        <v>18.993903</v>
      </c>
      <c r="I54" s="10">
        <v>18.426662</v>
      </c>
      <c r="J54" s="10">
        <v>4.5242969999999998</v>
      </c>
      <c r="K54" s="15">
        <v>3.5479999999999998E-2</v>
      </c>
      <c r="L54" s="17">
        <v>6740.935176</v>
      </c>
      <c r="M54" s="4" t="s">
        <v>686</v>
      </c>
      <c r="N54" s="19">
        <v>2.3248920000000002</v>
      </c>
      <c r="O54" s="19">
        <v>0.33029999999999998</v>
      </c>
      <c r="P54" s="19">
        <v>1.96</v>
      </c>
      <c r="Q54" s="19">
        <v>0.66559999999999997</v>
      </c>
      <c r="R54" s="19">
        <v>2.67</v>
      </c>
      <c r="S54" s="19">
        <v>0.29970000000000002</v>
      </c>
      <c r="T54" s="19">
        <v>2.67</v>
      </c>
      <c r="U54" s="19">
        <v>0.47310000000000002</v>
      </c>
      <c r="V54" s="19">
        <v>2.06</v>
      </c>
      <c r="W54" s="19">
        <v>0.43669999999999998</v>
      </c>
      <c r="X54" s="19">
        <v>2.06</v>
      </c>
      <c r="Y54" s="19">
        <v>0.43669999999999998</v>
      </c>
      <c r="Z54" s="4"/>
      <c r="AA54" s="4"/>
      <c r="AB54" s="4" t="e">
        <f ca="1">_xll.ciqfunctions.udf.CIQ("^SPX", "IQ_PRICEDATE", "3/11/2014")</f>
        <v>#NAME?</v>
      </c>
      <c r="AC54" s="16">
        <v>1867.6260374315</v>
      </c>
    </row>
    <row r="55" spans="1:29" x14ac:dyDescent="0.35">
      <c r="A55" s="2" t="s">
        <v>65</v>
      </c>
      <c r="B55" s="4" t="s">
        <v>687</v>
      </c>
      <c r="C55" s="4" t="s">
        <v>543</v>
      </c>
      <c r="D55" s="4" t="s">
        <v>664</v>
      </c>
      <c r="E55" s="4" t="s">
        <v>688</v>
      </c>
      <c r="F55" s="4" t="s">
        <v>688</v>
      </c>
      <c r="G55" s="14">
        <v>221.19</v>
      </c>
      <c r="H55" s="10">
        <v>14.159171000000001</v>
      </c>
      <c r="I55" s="10">
        <v>20.039470000000001</v>
      </c>
      <c r="J55" s="10">
        <v>9.3189569999999993</v>
      </c>
      <c r="K55" s="15">
        <v>1.3201000000000001E-2</v>
      </c>
      <c r="L55" s="17">
        <v>1068332.2167</v>
      </c>
      <c r="M55" s="4" t="s">
        <v>689</v>
      </c>
      <c r="N55" s="19">
        <v>11.037717000000001</v>
      </c>
      <c r="O55" s="19">
        <v>13.3803</v>
      </c>
      <c r="P55" s="19">
        <v>9.7002210000000009</v>
      </c>
      <c r="Q55" s="19">
        <v>11.456049999999999</v>
      </c>
      <c r="R55" s="19">
        <v>8.3295469999999998</v>
      </c>
      <c r="S55" s="19">
        <v>9.0141500000000008</v>
      </c>
      <c r="T55" s="19">
        <v>8.3295469999999998</v>
      </c>
      <c r="U55" s="19">
        <v>9.7505699999999997</v>
      </c>
      <c r="V55" s="19">
        <v>7.3854069999999998</v>
      </c>
      <c r="W55" s="19">
        <v>7.7707300000000004</v>
      </c>
      <c r="X55" s="19">
        <v>7.3854069999999998</v>
      </c>
      <c r="Y55" s="19">
        <v>7.7707300000000004</v>
      </c>
      <c r="Z55" s="4"/>
      <c r="AA55" s="4"/>
      <c r="AB55" s="4" t="e">
        <f ca="1">_xll.ciqfunctions.udf.CIQ("^SPX", "IQ_PRICEDATE", "3/12/2014")</f>
        <v>#NAME?</v>
      </c>
      <c r="AC55" s="16">
        <v>1868.1951226484</v>
      </c>
    </row>
    <row r="56" spans="1:29" x14ac:dyDescent="0.35">
      <c r="A56" s="2" t="s">
        <v>66</v>
      </c>
      <c r="B56" s="4" t="s">
        <v>690</v>
      </c>
      <c r="C56" s="4" t="s">
        <v>543</v>
      </c>
      <c r="D56" s="4" t="s">
        <v>565</v>
      </c>
      <c r="E56" s="4" t="s">
        <v>565</v>
      </c>
      <c r="F56" s="4" t="s">
        <v>691</v>
      </c>
      <c r="G56" s="14">
        <v>34.96</v>
      </c>
      <c r="H56" s="10">
        <v>6.7097850000000001</v>
      </c>
      <c r="I56" s="10">
        <v>10.708788999999999</v>
      </c>
      <c r="J56" s="10">
        <v>10.759346000000001</v>
      </c>
      <c r="K56" s="15">
        <v>2.2883000000000001E-2</v>
      </c>
      <c r="L56" s="17">
        <v>34365.348614000002</v>
      </c>
      <c r="M56" s="4" t="s">
        <v>692</v>
      </c>
      <c r="N56" s="19">
        <v>3.264608</v>
      </c>
      <c r="O56" s="19">
        <v>3.9666999999999999</v>
      </c>
      <c r="P56" s="19">
        <v>3.17</v>
      </c>
      <c r="Q56" s="19">
        <v>4.0048399999999997</v>
      </c>
      <c r="R56" s="19">
        <v>1.54</v>
      </c>
      <c r="S56" s="19">
        <v>2.37785</v>
      </c>
      <c r="T56" s="19">
        <v>1.54</v>
      </c>
      <c r="U56" s="19">
        <v>1.2066399999999999</v>
      </c>
      <c r="V56" s="19">
        <v>0.87</v>
      </c>
      <c r="W56" s="19">
        <v>1.30138</v>
      </c>
      <c r="X56" s="19">
        <v>0.87</v>
      </c>
      <c r="Y56" s="19">
        <v>1.30138</v>
      </c>
      <c r="Z56" s="4"/>
      <c r="AA56" s="4"/>
      <c r="AB56" s="4" t="e">
        <f ca="1">_xll.ciqfunctions.udf.CIQ("^SPX", "IQ_PRICEDATE", "3/13/2014")</f>
        <v>#NAME?</v>
      </c>
      <c r="AC56" s="16">
        <v>1846.3448121255001</v>
      </c>
    </row>
    <row r="57" spans="1:29" x14ac:dyDescent="0.35">
      <c r="A57" s="2" t="s">
        <v>67</v>
      </c>
      <c r="B57" s="4" t="s">
        <v>693</v>
      </c>
      <c r="C57" s="4" t="s">
        <v>559</v>
      </c>
      <c r="D57" s="4" t="s">
        <v>694</v>
      </c>
      <c r="E57" s="4" t="s">
        <v>695</v>
      </c>
      <c r="F57" s="4" t="s">
        <v>696</v>
      </c>
      <c r="G57" s="14">
        <v>73.98</v>
      </c>
      <c r="H57" s="10">
        <v>10.14565</v>
      </c>
      <c r="I57" s="10">
        <v>18.121883</v>
      </c>
      <c r="J57" s="10">
        <v>161.92789999999999</v>
      </c>
      <c r="K57" s="15">
        <v>1.1894999999999999E-2</v>
      </c>
      <c r="L57" s="17">
        <v>19585.316129999999</v>
      </c>
      <c r="M57" s="4" t="s">
        <v>697</v>
      </c>
      <c r="N57" s="19">
        <v>4.082357</v>
      </c>
      <c r="O57" s="19">
        <v>5.5492999999999997</v>
      </c>
      <c r="P57" s="19">
        <v>3.6982119999999998</v>
      </c>
      <c r="Q57" s="19">
        <v>5.1178999999999997</v>
      </c>
      <c r="R57" s="19">
        <v>2.9166349999999999</v>
      </c>
      <c r="S57" s="19">
        <v>6.3044000000000002</v>
      </c>
      <c r="T57" s="19">
        <v>2.9166349999999999</v>
      </c>
      <c r="U57" s="19">
        <v>5.9668999999999999</v>
      </c>
      <c r="V57" s="19">
        <v>4.2812520000000003</v>
      </c>
      <c r="W57" s="19">
        <v>5.5155000000000003</v>
      </c>
      <c r="X57" s="19">
        <v>4.2812520000000003</v>
      </c>
      <c r="Y57" s="19">
        <v>5.5155000000000003</v>
      </c>
      <c r="Z57" s="4"/>
      <c r="AA57" s="4"/>
      <c r="AB57" s="4" t="e">
        <f ca="1">_xll.ciqfunctions.udf.CIQ("^SPX", "IQ_PRICEDATE", "3/14/2014")</f>
        <v>#NAME?</v>
      </c>
      <c r="AC57" s="16">
        <v>1841.1335089520001</v>
      </c>
    </row>
    <row r="58" spans="1:29" x14ac:dyDescent="0.35">
      <c r="A58" s="2" t="s">
        <v>68</v>
      </c>
      <c r="B58" s="4" t="s">
        <v>698</v>
      </c>
      <c r="C58" s="4" t="s">
        <v>626</v>
      </c>
      <c r="D58" s="4" t="s">
        <v>627</v>
      </c>
      <c r="E58" s="4" t="s">
        <v>699</v>
      </c>
      <c r="F58" s="4" t="s">
        <v>700</v>
      </c>
      <c r="G58" s="14">
        <v>49.03</v>
      </c>
      <c r="H58" s="10">
        <v>10.862416</v>
      </c>
      <c r="I58" s="10">
        <v>14.316916000000001</v>
      </c>
      <c r="J58" s="10">
        <v>1.8424149999999999</v>
      </c>
      <c r="K58" s="15">
        <v>2.733E-2</v>
      </c>
      <c r="L58" s="17">
        <v>27443.924623999999</v>
      </c>
      <c r="M58" s="4" t="s">
        <v>701</v>
      </c>
      <c r="N58" s="19">
        <v>3.42462</v>
      </c>
      <c r="O58" s="19">
        <v>3.6072000000000002</v>
      </c>
      <c r="P58" s="19">
        <v>2.79</v>
      </c>
      <c r="Q58" s="19">
        <v>2.6318000000000001</v>
      </c>
      <c r="R58" s="19">
        <v>2.16</v>
      </c>
      <c r="S58" s="19">
        <v>2.8992</v>
      </c>
      <c r="T58" s="19">
        <v>2.16</v>
      </c>
      <c r="U58" s="19">
        <v>2.9195000000000002</v>
      </c>
      <c r="V58" s="19">
        <v>3.43</v>
      </c>
      <c r="W58" s="19">
        <v>3.5432000000000001</v>
      </c>
      <c r="X58" s="19">
        <v>3.43</v>
      </c>
      <c r="Y58" s="19">
        <v>3.5432000000000001</v>
      </c>
      <c r="Z58" s="4"/>
      <c r="AA58" s="4"/>
      <c r="AB58" s="4" t="e">
        <f ca="1">_xll.ciqfunctions.udf.CIQ("^SPX", "IQ_PRICEDATE", "3/17/2014")</f>
        <v>#NAME?</v>
      </c>
      <c r="AC58" s="16">
        <v>1858.8322294687</v>
      </c>
    </row>
    <row r="59" spans="1:29" x14ac:dyDescent="0.35">
      <c r="A59" s="2" t="s">
        <v>69</v>
      </c>
      <c r="B59" s="4" t="s">
        <v>702</v>
      </c>
      <c r="C59" s="4" t="s">
        <v>525</v>
      </c>
      <c r="D59" s="4" t="s">
        <v>526</v>
      </c>
      <c r="E59" s="4" t="s">
        <v>703</v>
      </c>
      <c r="F59" s="4" t="s">
        <v>703</v>
      </c>
      <c r="G59" s="14">
        <v>22.52</v>
      </c>
      <c r="H59" s="10">
        <v>9.0503370000000007</v>
      </c>
      <c r="I59" s="10" t="s">
        <v>534</v>
      </c>
      <c r="J59" s="10" t="s">
        <v>534</v>
      </c>
      <c r="K59" s="15">
        <v>1.0657000000000002E-2</v>
      </c>
      <c r="L59" s="17">
        <v>10876.140249</v>
      </c>
      <c r="M59" s="4" t="s">
        <v>704</v>
      </c>
      <c r="N59" s="19">
        <v>-0.83657099999999995</v>
      </c>
      <c r="O59" s="19">
        <v>1.3976</v>
      </c>
      <c r="P59" s="19">
        <v>-0.28159600000000001</v>
      </c>
      <c r="Q59" s="19">
        <v>1.3622000000000001</v>
      </c>
      <c r="R59" s="19">
        <v>-2.5821909999999999</v>
      </c>
      <c r="S59" s="19">
        <v>1.2056500000000001</v>
      </c>
      <c r="T59" s="19">
        <v>-2.5821909999999999</v>
      </c>
      <c r="U59" s="19">
        <v>0</v>
      </c>
      <c r="V59" s="19">
        <v>-0.21188599999999999</v>
      </c>
      <c r="W59" s="19">
        <v>0</v>
      </c>
      <c r="X59" s="19">
        <v>-0.21188599999999999</v>
      </c>
      <c r="Y59" s="19">
        <v>0</v>
      </c>
      <c r="Z59" s="4"/>
      <c r="AA59" s="4"/>
      <c r="AB59" s="4" t="e">
        <f ca="1">_xll.ciqfunctions.udf.CIQ("^SPX", "IQ_PRICEDATE", "3/18/2014")</f>
        <v>#NAME?</v>
      </c>
      <c r="AC59" s="16">
        <v>1872.2515034585999</v>
      </c>
    </row>
    <row r="60" spans="1:29" x14ac:dyDescent="0.35">
      <c r="A60" s="2" t="s">
        <v>70</v>
      </c>
      <c r="B60" s="4" t="s">
        <v>705</v>
      </c>
      <c r="C60" s="4" t="s">
        <v>543</v>
      </c>
      <c r="D60" s="4" t="s">
        <v>664</v>
      </c>
      <c r="E60" s="4" t="s">
        <v>706</v>
      </c>
      <c r="F60" s="4" t="s">
        <v>706</v>
      </c>
      <c r="G60" s="14">
        <v>238.95</v>
      </c>
      <c r="H60" s="10">
        <v>26.489977</v>
      </c>
      <c r="I60" s="10">
        <v>81.112485000000007</v>
      </c>
      <c r="J60" s="10">
        <v>10.390459</v>
      </c>
      <c r="K60" s="15">
        <v>0</v>
      </c>
      <c r="L60" s="17">
        <v>17879.120487</v>
      </c>
      <c r="M60" s="4" t="s">
        <v>707</v>
      </c>
      <c r="N60" s="19">
        <v>2.9459089999999999</v>
      </c>
      <c r="O60" s="19">
        <v>7.7565999999999997</v>
      </c>
      <c r="P60" s="19">
        <v>5.349253</v>
      </c>
      <c r="Q60" s="19">
        <v>5.8776999999999999</v>
      </c>
      <c r="R60" s="19">
        <v>2.499781</v>
      </c>
      <c r="S60" s="19">
        <v>3.2968000000000002</v>
      </c>
      <c r="T60" s="19">
        <v>2.499781</v>
      </c>
      <c r="U60" s="19">
        <v>2.4504000000000001</v>
      </c>
      <c r="V60" s="19">
        <v>1.291884</v>
      </c>
      <c r="W60" s="19">
        <v>1.4689000000000001</v>
      </c>
      <c r="X60" s="19">
        <v>1.291884</v>
      </c>
      <c r="Y60" s="19">
        <v>1.4689000000000001</v>
      </c>
      <c r="Z60" s="4"/>
      <c r="AA60" s="4"/>
      <c r="AB60" s="4" t="e">
        <f ca="1">_xll.ciqfunctions.udf.CIQ("^SPX", "IQ_PRICEDATE", "3/19/2014")</f>
        <v>#NAME?</v>
      </c>
      <c r="AC60" s="16">
        <v>1860.771428732</v>
      </c>
    </row>
    <row r="61" spans="1:29" x14ac:dyDescent="0.35">
      <c r="A61" s="2" t="s">
        <v>71</v>
      </c>
      <c r="B61" s="4" t="s">
        <v>708</v>
      </c>
      <c r="C61" s="4" t="s">
        <v>573</v>
      </c>
      <c r="D61" s="4" t="s">
        <v>579</v>
      </c>
      <c r="E61" s="4" t="s">
        <v>579</v>
      </c>
      <c r="F61" s="4" t="s">
        <v>680</v>
      </c>
      <c r="G61" s="14">
        <v>72.11</v>
      </c>
      <c r="H61" s="10">
        <v>15.740428</v>
      </c>
      <c r="I61" s="10">
        <v>24.028448000000001</v>
      </c>
      <c r="J61" s="10" t="s">
        <v>534</v>
      </c>
      <c r="K61" s="15">
        <v>2.2743000000000003E-2</v>
      </c>
      <c r="L61" s="17">
        <v>13168.151320000001</v>
      </c>
      <c r="M61" s="4" t="s">
        <v>709</v>
      </c>
      <c r="N61" s="19">
        <v>3.001026</v>
      </c>
      <c r="O61" s="19">
        <v>3.6972</v>
      </c>
      <c r="P61" s="19">
        <v>2.54</v>
      </c>
      <c r="Q61" s="19">
        <v>3.2663000000000002</v>
      </c>
      <c r="R61" s="19">
        <v>2.3199999999999998</v>
      </c>
      <c r="S61" s="19">
        <v>2.9754</v>
      </c>
      <c r="T61" s="19">
        <v>2.3199999999999998</v>
      </c>
      <c r="U61" s="19">
        <v>2.6560000000000001</v>
      </c>
      <c r="V61" s="19">
        <v>1.97</v>
      </c>
      <c r="W61" s="19">
        <v>2.6497999999999999</v>
      </c>
      <c r="X61" s="19">
        <v>1.97</v>
      </c>
      <c r="Y61" s="19">
        <v>2.6497999999999999</v>
      </c>
      <c r="Z61" s="4"/>
      <c r="AA61" s="4"/>
      <c r="AB61" s="4" t="e">
        <f ca="1">_xll.ciqfunctions.udf.CIQ("^SPX", "IQ_PRICEDATE", "3/20/2014")</f>
        <v>#NAME?</v>
      </c>
      <c r="AC61" s="16">
        <v>1872.0084084619</v>
      </c>
    </row>
    <row r="62" spans="1:29" x14ac:dyDescent="0.35">
      <c r="A62" s="2" t="s">
        <v>72</v>
      </c>
      <c r="B62" s="4" t="s">
        <v>710</v>
      </c>
      <c r="C62" s="4" t="s">
        <v>573</v>
      </c>
      <c r="D62" s="4" t="s">
        <v>579</v>
      </c>
      <c r="E62" s="4" t="s">
        <v>579</v>
      </c>
      <c r="F62" s="4" t="s">
        <v>644</v>
      </c>
      <c r="G62" s="14">
        <v>105.89</v>
      </c>
      <c r="H62" s="10">
        <v>14.818097</v>
      </c>
      <c r="I62" s="10">
        <v>13.824254</v>
      </c>
      <c r="J62" s="10">
        <v>2.935953</v>
      </c>
      <c r="K62" s="15">
        <v>2.1154000000000003E-2</v>
      </c>
      <c r="L62" s="17">
        <v>6616.8672390000002</v>
      </c>
      <c r="M62" s="4" t="s">
        <v>711</v>
      </c>
      <c r="N62" s="19">
        <v>7.659726</v>
      </c>
      <c r="O62" s="19">
        <v>7.9082999999999997</v>
      </c>
      <c r="P62" s="19">
        <v>9.3899989999999995</v>
      </c>
      <c r="Q62" s="19">
        <v>6.7249999999999996</v>
      </c>
      <c r="R62" s="19">
        <v>9.1300000000000008</v>
      </c>
      <c r="S62" s="19">
        <v>5.0307000000000004</v>
      </c>
      <c r="T62" s="19">
        <v>9.1300000000000008</v>
      </c>
      <c r="U62" s="19">
        <v>6.3696000000000002</v>
      </c>
      <c r="V62" s="19">
        <v>6.4399990000000003</v>
      </c>
      <c r="W62" s="19">
        <v>6.4756</v>
      </c>
      <c r="X62" s="19">
        <v>6.4399990000000003</v>
      </c>
      <c r="Y62" s="19">
        <v>6.4756</v>
      </c>
      <c r="Z62" s="4"/>
      <c r="AA62" s="4"/>
      <c r="AB62" s="4" t="e">
        <f ca="1">_xll.ciqfunctions.udf.CIQ("^SPX", "IQ_PRICEDATE", "3/21/2014")</f>
        <v>#NAME?</v>
      </c>
      <c r="AC62" s="16">
        <v>1866.5207372805</v>
      </c>
    </row>
    <row r="63" spans="1:29" x14ac:dyDescent="0.35">
      <c r="A63" s="2" t="s">
        <v>73</v>
      </c>
      <c r="B63" s="4" t="s">
        <v>712</v>
      </c>
      <c r="C63" s="4" t="s">
        <v>549</v>
      </c>
      <c r="D63" s="4" t="s">
        <v>713</v>
      </c>
      <c r="E63" s="4" t="s">
        <v>714</v>
      </c>
      <c r="F63" s="4" t="s">
        <v>715</v>
      </c>
      <c r="G63" s="14">
        <v>32.57</v>
      </c>
      <c r="H63" s="10">
        <v>9.1452080000000002</v>
      </c>
      <c r="I63" s="10">
        <v>6.364617</v>
      </c>
      <c r="J63" s="10" t="s">
        <v>534</v>
      </c>
      <c r="K63" s="15">
        <v>6.1406000000000002E-2</v>
      </c>
      <c r="L63" s="17">
        <v>236523.34</v>
      </c>
      <c r="M63" s="4" t="s">
        <v>716</v>
      </c>
      <c r="N63" s="19">
        <v>5.1173539999999997</v>
      </c>
      <c r="O63" s="19">
        <v>3.5756999999999999</v>
      </c>
      <c r="P63" s="19">
        <v>4.7651620000000001</v>
      </c>
      <c r="Q63" s="19">
        <v>2.9018000000000002</v>
      </c>
      <c r="R63" s="19">
        <v>2.0987230000000001</v>
      </c>
      <c r="S63" s="19">
        <v>2.9396</v>
      </c>
      <c r="T63" s="19">
        <v>2.0987230000000001</v>
      </c>
      <c r="U63" s="19">
        <v>2.8005</v>
      </c>
      <c r="V63" s="19">
        <v>1.236353</v>
      </c>
      <c r="W63" s="19">
        <v>2.5251000000000001</v>
      </c>
      <c r="X63" s="19">
        <v>1.236353</v>
      </c>
      <c r="Y63" s="19">
        <v>2.5251000000000001</v>
      </c>
      <c r="Z63" s="4"/>
      <c r="AA63" s="4"/>
      <c r="AB63" s="4" t="e">
        <f ca="1">_xll.ciqfunctions.udf.CIQ("^SPX", "IQ_PRICEDATE", "3/24/2014")</f>
        <v>#NAME?</v>
      </c>
      <c r="AC63" s="16">
        <v>1857.4444747878999</v>
      </c>
    </row>
    <row r="64" spans="1:29" x14ac:dyDescent="0.35">
      <c r="A64" s="2" t="s">
        <v>74</v>
      </c>
      <c r="B64" s="4" t="s">
        <v>717</v>
      </c>
      <c r="C64" s="4" t="s">
        <v>543</v>
      </c>
      <c r="D64" s="4" t="s">
        <v>544</v>
      </c>
      <c r="E64" s="4" t="s">
        <v>555</v>
      </c>
      <c r="F64" s="4" t="s">
        <v>556</v>
      </c>
      <c r="G64" s="14">
        <v>141.77000000000001</v>
      </c>
      <c r="H64" s="10" t="s">
        <v>534</v>
      </c>
      <c r="I64" s="10" t="s">
        <v>534</v>
      </c>
      <c r="J64" s="10" t="s">
        <v>534</v>
      </c>
      <c r="K64" s="15">
        <v>0</v>
      </c>
      <c r="L64" s="17">
        <v>30993.280060000001</v>
      </c>
      <c r="M64" s="4" t="s">
        <v>718</v>
      </c>
      <c r="N64" s="19">
        <v>-1.8950009999999999</v>
      </c>
      <c r="O64" s="19">
        <v>1.9783999999999999</v>
      </c>
      <c r="P64" s="19">
        <v>-2.5763630000000002</v>
      </c>
      <c r="Q64" s="19">
        <v>0.66180000000000005</v>
      </c>
      <c r="R64" s="19">
        <v>-1.9964839999999999</v>
      </c>
      <c r="S64" s="19">
        <v>-0.52749999999999997</v>
      </c>
      <c r="T64" s="19">
        <v>-1.9964839999999999</v>
      </c>
      <c r="U64" s="19">
        <v>-0.3221</v>
      </c>
      <c r="V64" s="19">
        <v>0.53063800000000005</v>
      </c>
      <c r="W64" s="19">
        <v>1.2554000000000001</v>
      </c>
      <c r="X64" s="19">
        <v>0.53063800000000005</v>
      </c>
      <c r="Y64" s="19">
        <v>1.2554000000000001</v>
      </c>
      <c r="Z64" s="4"/>
      <c r="AA64" s="4"/>
      <c r="AB64" s="4" t="e">
        <f ca="1">_xll.ciqfunctions.udf.CIQ("^SPX", "IQ_PRICEDATE", "3/25/2014")</f>
        <v>#NAME?</v>
      </c>
      <c r="AC64" s="16">
        <v>1865.6243739253</v>
      </c>
    </row>
    <row r="65" spans="1:29" x14ac:dyDescent="0.35">
      <c r="A65" s="2" t="s">
        <v>75</v>
      </c>
      <c r="B65" s="4" t="s">
        <v>719</v>
      </c>
      <c r="C65" s="4" t="s">
        <v>543</v>
      </c>
      <c r="D65" s="4" t="s">
        <v>544</v>
      </c>
      <c r="E65" s="4" t="s">
        <v>545</v>
      </c>
      <c r="F65" s="4" t="s">
        <v>616</v>
      </c>
      <c r="G65" s="14">
        <v>143.66</v>
      </c>
      <c r="H65" s="10">
        <v>21.476887999999999</v>
      </c>
      <c r="I65" s="10">
        <v>39.251365999999997</v>
      </c>
      <c r="J65" s="10">
        <v>191.19817599999999</v>
      </c>
      <c r="K65" s="15">
        <v>1.9212E-2</v>
      </c>
      <c r="L65" s="17">
        <v>62842.607558000003</v>
      </c>
      <c r="M65" s="4" t="s">
        <v>720</v>
      </c>
      <c r="N65" s="19">
        <v>3.66</v>
      </c>
      <c r="O65" s="19">
        <v>5.1756099999999998</v>
      </c>
      <c r="P65" s="19">
        <v>3.8696419999999998</v>
      </c>
      <c r="Q65" s="19">
        <v>3.9645000000000001</v>
      </c>
      <c r="R65" s="19">
        <v>3.7221359999999999</v>
      </c>
      <c r="S65" s="19">
        <v>3.6962000000000002</v>
      </c>
      <c r="T65" s="19">
        <v>3.7221359999999999</v>
      </c>
      <c r="U65" s="19">
        <v>3.3454999999999999</v>
      </c>
      <c r="V65" s="19">
        <v>2.6802760000000001</v>
      </c>
      <c r="W65" s="19">
        <v>3.0026000000000002</v>
      </c>
      <c r="X65" s="19">
        <v>2.6802760000000001</v>
      </c>
      <c r="Y65" s="19">
        <v>3.0026000000000002</v>
      </c>
      <c r="Z65" s="4"/>
      <c r="AA65" s="4"/>
      <c r="AB65" s="4" t="e">
        <f ca="1">_xll.ciqfunctions.udf.CIQ("^SPX", "IQ_PRICEDATE", "3/26/2014")</f>
        <v>#NAME?</v>
      </c>
      <c r="AC65" s="16">
        <v>1852.5611685929</v>
      </c>
    </row>
    <row r="66" spans="1:29" x14ac:dyDescent="0.35">
      <c r="A66" s="2" t="s">
        <v>76</v>
      </c>
      <c r="B66" s="4" t="s">
        <v>721</v>
      </c>
      <c r="C66" s="4" t="s">
        <v>559</v>
      </c>
      <c r="D66" s="4" t="s">
        <v>560</v>
      </c>
      <c r="E66" s="4" t="s">
        <v>561</v>
      </c>
      <c r="F66" s="4" t="s">
        <v>562</v>
      </c>
      <c r="G66" s="14">
        <v>714.71</v>
      </c>
      <c r="H66" s="10">
        <v>9.9934390000000004</v>
      </c>
      <c r="I66" s="10">
        <v>14.654705</v>
      </c>
      <c r="J66" s="10" t="s">
        <v>534</v>
      </c>
      <c r="K66" s="15">
        <v>0</v>
      </c>
      <c r="L66" s="17">
        <v>18398.06482</v>
      </c>
      <c r="M66" s="4" t="s">
        <v>722</v>
      </c>
      <c r="N66" s="19">
        <v>48.77</v>
      </c>
      <c r="O66" s="19">
        <v>57.526809999999998</v>
      </c>
      <c r="P66" s="19">
        <v>44.790261000000001</v>
      </c>
      <c r="Q66" s="19">
        <v>47.839100000000002</v>
      </c>
      <c r="R66" s="19">
        <v>41.844641000000003</v>
      </c>
      <c r="S66" s="19">
        <v>46.582099999999997</v>
      </c>
      <c r="T66" s="19">
        <v>41.844641000000003</v>
      </c>
      <c r="U66" s="19">
        <v>41.786000000000001</v>
      </c>
      <c r="V66" s="19">
        <v>32.623027999999998</v>
      </c>
      <c r="W66" s="19">
        <v>36.801200000000001</v>
      </c>
      <c r="X66" s="19">
        <v>32.623027999999998</v>
      </c>
      <c r="Y66" s="19">
        <v>36.801200000000001</v>
      </c>
      <c r="Z66" s="4"/>
      <c r="AA66" s="4"/>
      <c r="AB66" s="4" t="e">
        <f ca="1">_xll.ciqfunctions.udf.CIQ("^SPX", "IQ_PRICEDATE", "3/27/2014")</f>
        <v>#NAME?</v>
      </c>
      <c r="AC66" s="16">
        <v>1849.0426430863999</v>
      </c>
    </row>
    <row r="67" spans="1:29" x14ac:dyDescent="0.35">
      <c r="A67" s="2" t="s">
        <v>77</v>
      </c>
      <c r="B67" s="4" t="s">
        <v>723</v>
      </c>
      <c r="C67" s="4" t="s">
        <v>601</v>
      </c>
      <c r="D67" s="4" t="s">
        <v>601</v>
      </c>
      <c r="E67" s="4" t="s">
        <v>602</v>
      </c>
      <c r="F67" s="4" t="s">
        <v>685</v>
      </c>
      <c r="G67" s="14">
        <v>176</v>
      </c>
      <c r="H67" s="10">
        <v>21.987911</v>
      </c>
      <c r="I67" s="10">
        <v>27.894634</v>
      </c>
      <c r="J67" s="10">
        <v>2.3331940000000002</v>
      </c>
      <c r="K67" s="15">
        <v>3.3409000000000001E-2</v>
      </c>
      <c r="L67" s="17">
        <v>24326.496127999999</v>
      </c>
      <c r="M67" s="4" t="s">
        <v>724</v>
      </c>
      <c r="N67" s="19">
        <v>6.3094570000000001</v>
      </c>
      <c r="O67" s="19">
        <v>4.8205</v>
      </c>
      <c r="P67" s="19">
        <v>6.3517340000000004</v>
      </c>
      <c r="Q67" s="19">
        <v>4.6833</v>
      </c>
      <c r="R67" s="19">
        <v>7.522411</v>
      </c>
      <c r="S67" s="19">
        <v>4.4530000000000003</v>
      </c>
      <c r="T67" s="19">
        <v>7.522411</v>
      </c>
      <c r="U67" s="19">
        <v>4.3085000000000004</v>
      </c>
      <c r="V67" s="19">
        <v>4.9179760000000003</v>
      </c>
      <c r="W67" s="19">
        <v>3.7132999999999998</v>
      </c>
      <c r="X67" s="19">
        <v>4.9179760000000003</v>
      </c>
      <c r="Y67" s="19">
        <v>3.7132999999999998</v>
      </c>
      <c r="Z67" s="4"/>
      <c r="AA67" s="4"/>
      <c r="AB67" s="4" t="e">
        <f ca="1">_xll.ciqfunctions.udf.CIQ("^SPX", "IQ_PRICEDATE", "3/28/2014")</f>
        <v>#NAME?</v>
      </c>
      <c r="AC67" s="16">
        <v>1857.6207873610999</v>
      </c>
    </row>
    <row r="68" spans="1:29" x14ac:dyDescent="0.35">
      <c r="A68" s="2" t="s">
        <v>78</v>
      </c>
      <c r="B68" s="4" t="s">
        <v>725</v>
      </c>
      <c r="C68" s="4" t="s">
        <v>586</v>
      </c>
      <c r="D68" s="4" t="s">
        <v>586</v>
      </c>
      <c r="E68" s="4" t="s">
        <v>726</v>
      </c>
      <c r="F68" s="4" t="s">
        <v>727</v>
      </c>
      <c r="G68" s="14">
        <v>99.55</v>
      </c>
      <c r="H68" s="10">
        <v>10.900296000000001</v>
      </c>
      <c r="I68" s="10">
        <v>33.142623</v>
      </c>
      <c r="J68" s="10" t="s">
        <v>534</v>
      </c>
      <c r="K68" s="15">
        <v>2.0893999999999999E-2</v>
      </c>
      <c r="L68" s="17">
        <v>8702.4660810000005</v>
      </c>
      <c r="M68" s="4" t="s">
        <v>728</v>
      </c>
      <c r="N68" s="19">
        <v>3.0036849999999999</v>
      </c>
      <c r="O68" s="19">
        <v>6.3192000000000004</v>
      </c>
      <c r="P68" s="19">
        <v>3.13</v>
      </c>
      <c r="Q68" s="19">
        <v>5.5392999999999999</v>
      </c>
      <c r="R68" s="19">
        <v>3.54</v>
      </c>
      <c r="S68" s="19">
        <v>4.3076999999999996</v>
      </c>
      <c r="T68" s="19">
        <v>3.54</v>
      </c>
      <c r="U68" s="19">
        <v>3.6417000000000002</v>
      </c>
      <c r="V68" s="19">
        <v>2.2942740000000001</v>
      </c>
      <c r="W68" s="19">
        <v>3.3010000000000002</v>
      </c>
      <c r="X68" s="19">
        <v>2.2942740000000001</v>
      </c>
      <c r="Y68" s="19">
        <v>3.3010000000000002</v>
      </c>
      <c r="Z68" s="4"/>
      <c r="AA68" s="4"/>
      <c r="AB68" s="4" t="e">
        <f ca="1">_xll.ciqfunctions.udf.CIQ("^SPX", "IQ_PRICEDATE", "3/31/2014")</f>
        <v>#NAME?</v>
      </c>
      <c r="AC68" s="16">
        <v>1872.3351792173</v>
      </c>
    </row>
    <row r="69" spans="1:29" x14ac:dyDescent="0.35">
      <c r="A69" s="2" t="s">
        <v>79</v>
      </c>
      <c r="B69" s="4" t="s">
        <v>729</v>
      </c>
      <c r="C69" s="4" t="s">
        <v>669</v>
      </c>
      <c r="D69" s="4" t="s">
        <v>669</v>
      </c>
      <c r="E69" s="4" t="s">
        <v>730</v>
      </c>
      <c r="F69" s="4" t="s">
        <v>731</v>
      </c>
      <c r="G69" s="14">
        <v>30.79</v>
      </c>
      <c r="H69" s="10">
        <v>16.215605</v>
      </c>
      <c r="I69" s="10" t="s">
        <v>534</v>
      </c>
      <c r="J69" s="10" t="s">
        <v>534</v>
      </c>
      <c r="K69" s="15">
        <v>2.3384000000000002E-2</v>
      </c>
      <c r="L69" s="17">
        <v>12674.751071000001</v>
      </c>
      <c r="M69" s="4" t="s">
        <v>732</v>
      </c>
      <c r="N69" s="19">
        <v>-5.3901999999999999E-2</v>
      </c>
      <c r="O69" s="19">
        <v>1.0951</v>
      </c>
      <c r="P69" s="19">
        <v>-0.17096</v>
      </c>
      <c r="Q69" s="19">
        <v>0.8427</v>
      </c>
      <c r="R69" s="19">
        <v>0</v>
      </c>
      <c r="S69" s="19">
        <v>0</v>
      </c>
      <c r="T69" s="19">
        <v>0</v>
      </c>
      <c r="U69" s="19">
        <v>0</v>
      </c>
      <c r="V69" s="19">
        <v>0</v>
      </c>
      <c r="W69" s="19">
        <v>0</v>
      </c>
      <c r="X69" s="19">
        <v>0</v>
      </c>
      <c r="Y69" s="19">
        <v>0</v>
      </c>
      <c r="Z69" s="4"/>
      <c r="AA69" s="4"/>
      <c r="AB69" s="4" t="e">
        <f ca="1">_xll.ciqfunctions.udf.CIQ("^SPX", "IQ_PRICEDATE", "4/1/2014")</f>
        <v>#NAME?</v>
      </c>
      <c r="AC69" s="16">
        <v>1885.5225739334001</v>
      </c>
    </row>
    <row r="70" spans="1:29" x14ac:dyDescent="0.35">
      <c r="A70" s="2" t="s">
        <v>80</v>
      </c>
      <c r="B70" s="4" t="s">
        <v>733</v>
      </c>
      <c r="C70" s="4" t="s">
        <v>586</v>
      </c>
      <c r="D70" s="4" t="s">
        <v>586</v>
      </c>
      <c r="E70" s="4" t="s">
        <v>726</v>
      </c>
      <c r="F70" s="4" t="s">
        <v>734</v>
      </c>
      <c r="G70" s="14">
        <v>46.2</v>
      </c>
      <c r="H70" s="10">
        <v>12.136112000000001</v>
      </c>
      <c r="I70" s="10">
        <v>36.649678999999999</v>
      </c>
      <c r="J70" s="10" t="s">
        <v>534</v>
      </c>
      <c r="K70" s="15">
        <v>8.6580000000000008E-3</v>
      </c>
      <c r="L70" s="17">
        <v>15888.708251</v>
      </c>
      <c r="M70" s="4" t="s">
        <v>735</v>
      </c>
      <c r="N70" s="19">
        <v>1.2605839999999999</v>
      </c>
      <c r="O70" s="19">
        <v>2.4104000000000001</v>
      </c>
      <c r="P70" s="19">
        <v>1.05</v>
      </c>
      <c r="Q70" s="19">
        <v>2.2002999999999999</v>
      </c>
      <c r="R70" s="19">
        <v>0.81</v>
      </c>
      <c r="S70" s="19">
        <v>2.0415999999999999</v>
      </c>
      <c r="T70" s="19">
        <v>0.81</v>
      </c>
      <c r="U70" s="19">
        <v>1.7566999999999999</v>
      </c>
      <c r="V70" s="19">
        <v>1.65</v>
      </c>
      <c r="W70" s="19">
        <v>1.9826999999999999</v>
      </c>
      <c r="X70" s="19">
        <v>1.65</v>
      </c>
      <c r="Y70" s="19">
        <v>1.9826999999999999</v>
      </c>
      <c r="Z70" s="4"/>
      <c r="AA70" s="4"/>
      <c r="AB70" s="4" t="e">
        <f ca="1">_xll.ciqfunctions.udf.CIQ("^SPX", "IQ_PRICEDATE", "4/2/2014")</f>
        <v>#NAME?</v>
      </c>
      <c r="AC70" s="16">
        <v>1890.8987744302001</v>
      </c>
    </row>
    <row r="71" spans="1:29" x14ac:dyDescent="0.35">
      <c r="A71" s="2" t="s">
        <v>81</v>
      </c>
      <c r="B71" s="4" t="s">
        <v>736</v>
      </c>
      <c r="C71" s="4" t="s">
        <v>573</v>
      </c>
      <c r="D71" s="4" t="s">
        <v>737</v>
      </c>
      <c r="E71" s="4" t="s">
        <v>737</v>
      </c>
      <c r="F71" s="4" t="s">
        <v>738</v>
      </c>
      <c r="G71" s="14">
        <v>28.9</v>
      </c>
      <c r="H71" s="10">
        <v>0</v>
      </c>
      <c r="I71" s="10">
        <v>13.790528999999999</v>
      </c>
      <c r="J71" s="10">
        <v>1.667262</v>
      </c>
      <c r="K71" s="15">
        <v>2.0760999999999998E-2</v>
      </c>
      <c r="L71" s="17">
        <v>284903.50132500002</v>
      </c>
      <c r="M71" s="4" t="s">
        <v>739</v>
      </c>
      <c r="N71" s="19">
        <v>2.0956410000000001</v>
      </c>
      <c r="O71" s="19">
        <v>2.7846000000000002</v>
      </c>
      <c r="P71" s="19">
        <v>1.5590390000000001</v>
      </c>
      <c r="Q71" s="19">
        <v>2.0701999999999998</v>
      </c>
      <c r="R71" s="19">
        <v>1.4882120000000001</v>
      </c>
      <c r="S71" s="19">
        <v>1.585</v>
      </c>
      <c r="T71" s="19">
        <v>1.4882120000000001</v>
      </c>
      <c r="U71" s="19">
        <v>1.4852000000000001</v>
      </c>
      <c r="V71" s="19">
        <v>0.42</v>
      </c>
      <c r="W71" s="19">
        <v>1.4008</v>
      </c>
      <c r="X71" s="19">
        <v>0.42</v>
      </c>
      <c r="Y71" s="19">
        <v>1.4008</v>
      </c>
      <c r="Z71" s="4"/>
      <c r="AA71" s="4"/>
      <c r="AB71" s="4" t="e">
        <f ca="1">_xll.ciqfunctions.udf.CIQ("^SPX", "IQ_PRICEDATE", "4/3/2014")</f>
        <v>#NAME?</v>
      </c>
      <c r="AC71" s="16">
        <v>1888.7704803894001</v>
      </c>
    </row>
    <row r="72" spans="1:29" x14ac:dyDescent="0.35">
      <c r="A72" s="2" t="s">
        <v>82</v>
      </c>
      <c r="B72" s="4" t="s">
        <v>740</v>
      </c>
      <c r="C72" s="4" t="s">
        <v>530</v>
      </c>
      <c r="D72" s="4" t="s">
        <v>531</v>
      </c>
      <c r="E72" s="4" t="s">
        <v>532</v>
      </c>
      <c r="F72" s="4" t="s">
        <v>533</v>
      </c>
      <c r="G72" s="14">
        <v>72.44</v>
      </c>
      <c r="H72" s="10">
        <v>16.729575000000001</v>
      </c>
      <c r="I72" s="10">
        <v>43.768250000000002</v>
      </c>
      <c r="J72" s="10">
        <v>8.6702689999999993</v>
      </c>
      <c r="K72" s="15">
        <v>1.0490999999999999E-2</v>
      </c>
      <c r="L72" s="17">
        <v>38702.232154999998</v>
      </c>
      <c r="M72" s="4" t="s">
        <v>741</v>
      </c>
      <c r="N72" s="19">
        <v>1.655081</v>
      </c>
      <c r="O72" s="19">
        <v>3.0848</v>
      </c>
      <c r="P72" s="19">
        <v>1.3</v>
      </c>
      <c r="Q72" s="19">
        <v>2.5802999999999998</v>
      </c>
      <c r="R72" s="19">
        <v>9.01</v>
      </c>
      <c r="S72" s="19">
        <v>2.0653000000000001</v>
      </c>
      <c r="T72" s="19">
        <v>9.01</v>
      </c>
      <c r="U72" s="19">
        <v>1.3563000000000001</v>
      </c>
      <c r="V72" s="19">
        <v>0.83</v>
      </c>
      <c r="W72" s="19">
        <v>4.6683000000000003</v>
      </c>
      <c r="X72" s="19">
        <v>0.83</v>
      </c>
      <c r="Y72" s="19">
        <v>4.6683000000000003</v>
      </c>
      <c r="Z72" s="4"/>
      <c r="AA72" s="4"/>
      <c r="AB72" s="4" t="e">
        <f ca="1">_xll.ciqfunctions.udf.CIQ("^SPX", "IQ_PRICEDATE", "4/4/2014")</f>
        <v>#NAME?</v>
      </c>
      <c r="AC72" s="16">
        <v>1865.093413869</v>
      </c>
    </row>
    <row r="73" spans="1:29" x14ac:dyDescent="0.35">
      <c r="A73" s="2" t="s">
        <v>83</v>
      </c>
      <c r="B73" s="4" t="s">
        <v>742</v>
      </c>
      <c r="C73" s="4" t="s">
        <v>573</v>
      </c>
      <c r="D73" s="4" t="s">
        <v>737</v>
      </c>
      <c r="E73" s="4" t="s">
        <v>737</v>
      </c>
      <c r="F73" s="4" t="s">
        <v>743</v>
      </c>
      <c r="G73" s="14">
        <v>47.71</v>
      </c>
      <c r="H73" s="10">
        <v>0</v>
      </c>
      <c r="I73" s="10">
        <v>13.868186</v>
      </c>
      <c r="J73" s="10">
        <v>2.2443569999999999</v>
      </c>
      <c r="K73" s="15">
        <v>3.3954999999999999E-2</v>
      </c>
      <c r="L73" s="17">
        <v>36948.860502000003</v>
      </c>
      <c r="M73" s="4" t="s">
        <v>744</v>
      </c>
      <c r="N73" s="19">
        <v>3.440248</v>
      </c>
      <c r="O73" s="19">
        <v>4.1311999999999998</v>
      </c>
      <c r="P73" s="19">
        <v>2.74</v>
      </c>
      <c r="Q73" s="19">
        <v>3.3536999999999999</v>
      </c>
      <c r="R73" s="19">
        <v>2.77</v>
      </c>
      <c r="S73" s="19">
        <v>3.0568</v>
      </c>
      <c r="T73" s="19">
        <v>2.77</v>
      </c>
      <c r="U73" s="19">
        <v>3.0432000000000001</v>
      </c>
      <c r="V73" s="19">
        <v>2.72</v>
      </c>
      <c r="W73" s="19">
        <v>2.9737</v>
      </c>
      <c r="X73" s="19">
        <v>2.72</v>
      </c>
      <c r="Y73" s="19">
        <v>2.9737</v>
      </c>
      <c r="Z73" s="4"/>
      <c r="AA73" s="4"/>
      <c r="AB73" s="4" t="e">
        <f ca="1">_xll.ciqfunctions.udf.CIQ("^SPX", "IQ_PRICEDATE", "4/7/2014")</f>
        <v>#NAME?</v>
      </c>
      <c r="AC73" s="16">
        <v>1845.0353750807999</v>
      </c>
    </row>
    <row r="74" spans="1:29" x14ac:dyDescent="0.35">
      <c r="A74" s="2" t="s">
        <v>84</v>
      </c>
      <c r="B74" s="4" t="s">
        <v>745</v>
      </c>
      <c r="C74" s="4" t="s">
        <v>530</v>
      </c>
      <c r="D74" s="4" t="s">
        <v>531</v>
      </c>
      <c r="E74" s="4" t="s">
        <v>532</v>
      </c>
      <c r="F74" s="4" t="s">
        <v>533</v>
      </c>
      <c r="G74" s="14">
        <v>244.98</v>
      </c>
      <c r="H74" s="10">
        <v>20.324798999999999</v>
      </c>
      <c r="I74" s="10">
        <v>100.458826</v>
      </c>
      <c r="J74" s="10" t="s">
        <v>534</v>
      </c>
      <c r="K74" s="15">
        <v>1.2244999999999999E-2</v>
      </c>
      <c r="L74" s="17">
        <v>65547.724359</v>
      </c>
      <c r="M74" s="4" t="s">
        <v>746</v>
      </c>
      <c r="N74" s="19">
        <v>2.4386109999999999</v>
      </c>
      <c r="O74" s="19">
        <v>12.128399999999999</v>
      </c>
      <c r="P74" s="19">
        <v>1.287857</v>
      </c>
      <c r="Q74" s="19">
        <v>10.95617</v>
      </c>
      <c r="R74" s="19">
        <v>6.0084809999999997</v>
      </c>
      <c r="S74" s="19">
        <v>9.4920399999999994</v>
      </c>
      <c r="T74" s="19">
        <v>6.0084809999999997</v>
      </c>
      <c r="U74" s="19">
        <v>8.4030100000000001</v>
      </c>
      <c r="V74" s="19">
        <v>5.8210879999999996</v>
      </c>
      <c r="W74" s="19">
        <v>6.8008100000000002</v>
      </c>
      <c r="X74" s="19">
        <v>5.8210879999999996</v>
      </c>
      <c r="Y74" s="19">
        <v>6.8008100000000002</v>
      </c>
      <c r="Z74" s="4"/>
      <c r="AA74" s="4"/>
      <c r="AB74" s="4" t="e">
        <f ca="1">_xll.ciqfunctions.udf.CIQ("^SPX", "IQ_PRICEDATE", "4/8/2014")</f>
        <v>#NAME?</v>
      </c>
      <c r="AC74" s="16">
        <v>1851.9568565739</v>
      </c>
    </row>
    <row r="75" spans="1:29" x14ac:dyDescent="0.35">
      <c r="A75" s="2" t="s">
        <v>85</v>
      </c>
      <c r="B75" s="4" t="s">
        <v>747</v>
      </c>
      <c r="C75" s="4" t="s">
        <v>573</v>
      </c>
      <c r="D75" s="4" t="s">
        <v>574</v>
      </c>
      <c r="E75" s="4" t="s">
        <v>748</v>
      </c>
      <c r="F75" s="4" t="s">
        <v>749</v>
      </c>
      <c r="G75" s="14">
        <v>210.52</v>
      </c>
      <c r="H75" s="10">
        <v>13.176541</v>
      </c>
      <c r="I75" s="10">
        <v>0</v>
      </c>
      <c r="J75" s="10">
        <v>0</v>
      </c>
      <c r="K75" s="15">
        <v>0</v>
      </c>
      <c r="L75" s="17">
        <v>522541.546638</v>
      </c>
      <c r="M75" s="4" t="s">
        <v>750</v>
      </c>
      <c r="N75" s="19">
        <v>28872.225612999999</v>
      </c>
      <c r="O75" s="19">
        <v>9.8932000000000002</v>
      </c>
      <c r="P75" s="19">
        <v>27325.544276000001</v>
      </c>
      <c r="Q75" s="19">
        <v>7.9211999999999998</v>
      </c>
      <c r="R75" s="19">
        <v>14645.102339999999</v>
      </c>
      <c r="S75" s="19">
        <v>8.2537000000000003</v>
      </c>
      <c r="T75" s="19">
        <v>14645.102339999999</v>
      </c>
      <c r="U75" s="19">
        <v>7.9124999999999996</v>
      </c>
      <c r="V75" s="19">
        <v>12091.592350999999</v>
      </c>
      <c r="W75" s="19">
        <v>7.3375000000000004</v>
      </c>
      <c r="X75" s="19">
        <v>12091.592350999999</v>
      </c>
      <c r="Y75" s="19">
        <v>7.3375000000000004</v>
      </c>
      <c r="Z75" s="4"/>
      <c r="AA75" s="4"/>
      <c r="AB75" s="4" t="e">
        <f ca="1">_xll.ciqfunctions.udf.CIQ("^SPX", "IQ_PRICEDATE", "4/9/2014")</f>
        <v>#NAME?</v>
      </c>
      <c r="AC75" s="16">
        <v>1872.1787969918</v>
      </c>
    </row>
    <row r="76" spans="1:29" x14ac:dyDescent="0.35">
      <c r="A76" s="2" t="s">
        <v>86</v>
      </c>
      <c r="B76" s="4" t="s">
        <v>751</v>
      </c>
      <c r="C76" s="4" t="s">
        <v>559</v>
      </c>
      <c r="D76" s="4" t="s">
        <v>560</v>
      </c>
      <c r="E76" s="4" t="s">
        <v>561</v>
      </c>
      <c r="F76" s="4" t="s">
        <v>752</v>
      </c>
      <c r="G76" s="14">
        <v>73.83</v>
      </c>
      <c r="H76" s="10">
        <v>6.8990669999999996</v>
      </c>
      <c r="I76" s="10">
        <v>20.536394000000001</v>
      </c>
      <c r="J76" s="10">
        <v>7.4287570000000001</v>
      </c>
      <c r="K76" s="15">
        <v>2.4380000000000002E-2</v>
      </c>
      <c r="L76" s="17">
        <v>20270.584286000001</v>
      </c>
      <c r="M76" s="4" t="s">
        <v>753</v>
      </c>
      <c r="N76" s="19">
        <v>3.595081</v>
      </c>
      <c r="O76" s="19">
        <v>5.2553000000000001</v>
      </c>
      <c r="P76" s="19">
        <v>3.9762970000000002</v>
      </c>
      <c r="Q76" s="19">
        <v>4.218</v>
      </c>
      <c r="R76" s="19">
        <v>3.2797740000000002</v>
      </c>
      <c r="S76" s="19">
        <v>3.395</v>
      </c>
      <c r="T76" s="19">
        <v>3.2797740000000002</v>
      </c>
      <c r="U76" s="19">
        <v>2.7639</v>
      </c>
      <c r="V76" s="19">
        <v>2.9402910000000002</v>
      </c>
      <c r="W76" s="19">
        <v>2.5731000000000002</v>
      </c>
      <c r="X76" s="19">
        <v>2.9402910000000002</v>
      </c>
      <c r="Y76" s="19">
        <v>2.5731000000000002</v>
      </c>
      <c r="Z76" s="4"/>
      <c r="AA76" s="4"/>
      <c r="AB76" s="4" t="e">
        <f ca="1">_xll.ciqfunctions.udf.CIQ("^SPX", "IQ_PRICEDATE", "4/10/2014")</f>
        <v>#NAME?</v>
      </c>
      <c r="AC76" s="16">
        <v>1833.0779771555999</v>
      </c>
    </row>
    <row r="77" spans="1:29" x14ac:dyDescent="0.35">
      <c r="A77" s="2" t="s">
        <v>87</v>
      </c>
      <c r="B77" s="4" t="s">
        <v>754</v>
      </c>
      <c r="C77" s="4" t="s">
        <v>530</v>
      </c>
      <c r="D77" s="4" t="s">
        <v>537</v>
      </c>
      <c r="E77" s="4" t="s">
        <v>538</v>
      </c>
      <c r="F77" s="4" t="s">
        <v>538</v>
      </c>
      <c r="G77" s="14">
        <v>338.23</v>
      </c>
      <c r="H77" s="10">
        <v>10.526857</v>
      </c>
      <c r="I77" s="10">
        <v>24.015906999999999</v>
      </c>
      <c r="J77" s="10">
        <v>19.868200000000002</v>
      </c>
      <c r="K77" s="15">
        <v>0</v>
      </c>
      <c r="L77" s="17">
        <v>68134.015155999994</v>
      </c>
      <c r="M77" s="4" t="s">
        <v>755</v>
      </c>
      <c r="N77" s="19">
        <v>14.083582</v>
      </c>
      <c r="O77" s="19">
        <v>27.034800000000001</v>
      </c>
      <c r="P77" s="19">
        <v>11.92</v>
      </c>
      <c r="Q77" s="19">
        <v>23.4514</v>
      </c>
      <c r="R77" s="19">
        <v>16.93</v>
      </c>
      <c r="S77" s="19">
        <v>20.423400000000001</v>
      </c>
      <c r="T77" s="19">
        <v>16.93</v>
      </c>
      <c r="U77" s="19">
        <v>17.5108</v>
      </c>
      <c r="V77" s="19">
        <v>12.37</v>
      </c>
      <c r="W77" s="19">
        <v>15.878500000000001</v>
      </c>
      <c r="X77" s="19">
        <v>12.37</v>
      </c>
      <c r="Y77" s="19">
        <v>15.878500000000001</v>
      </c>
      <c r="Z77" s="4"/>
      <c r="AA77" s="4"/>
      <c r="AB77" s="4" t="e">
        <f ca="1">_xll.ciqfunctions.udf.CIQ("^SPX", "IQ_PRICEDATE", "4/11/2014")</f>
        <v>#NAME?</v>
      </c>
      <c r="AC77" s="16">
        <v>1815.6850871536001</v>
      </c>
    </row>
    <row r="78" spans="1:29" x14ac:dyDescent="0.35">
      <c r="A78" s="2" t="s">
        <v>88</v>
      </c>
      <c r="B78" s="4" t="s">
        <v>756</v>
      </c>
      <c r="C78" s="4" t="s">
        <v>573</v>
      </c>
      <c r="D78" s="4" t="s">
        <v>574</v>
      </c>
      <c r="E78" s="4" t="s">
        <v>575</v>
      </c>
      <c r="F78" s="4" t="s">
        <v>576</v>
      </c>
      <c r="G78" s="14">
        <v>411.85</v>
      </c>
      <c r="H78" s="10">
        <v>10.503163000000001</v>
      </c>
      <c r="I78" s="10">
        <v>11.781677999999999</v>
      </c>
      <c r="J78" s="10">
        <v>42.775889999999997</v>
      </c>
      <c r="K78" s="15">
        <v>3.0398999999999999E-2</v>
      </c>
      <c r="L78" s="17">
        <v>65815.427312999993</v>
      </c>
      <c r="M78" s="4" t="s">
        <v>757</v>
      </c>
      <c r="N78" s="19">
        <v>34.95682</v>
      </c>
      <c r="O78" s="19">
        <v>28.341999999999999</v>
      </c>
      <c r="P78" s="19">
        <v>30.229998999999999</v>
      </c>
      <c r="Q78" s="19">
        <v>24.3644</v>
      </c>
      <c r="R78" s="19">
        <v>19.039999000000002</v>
      </c>
      <c r="S78" s="19">
        <v>21.220500000000001</v>
      </c>
      <c r="T78" s="19">
        <v>19.039999000000002</v>
      </c>
      <c r="U78" s="19">
        <v>20.105899999999998</v>
      </c>
      <c r="V78" s="19">
        <v>19.249998999999999</v>
      </c>
      <c r="W78" s="19">
        <v>19.6983</v>
      </c>
      <c r="X78" s="19">
        <v>19.249998999999999</v>
      </c>
      <c r="Y78" s="19">
        <v>19.6983</v>
      </c>
      <c r="Z78" s="4"/>
      <c r="AA78" s="4"/>
      <c r="AB78" s="4" t="e">
        <f ca="1">_xll.ciqfunctions.udf.CIQ("^SPX", "IQ_PRICEDATE", "4/14/2014")</f>
        <v>#NAME?</v>
      </c>
      <c r="AC78" s="16">
        <v>1830.6099712215</v>
      </c>
    </row>
    <row r="79" spans="1:29" x14ac:dyDescent="0.35">
      <c r="A79" s="2" t="s">
        <v>89</v>
      </c>
      <c r="B79" s="4" t="s">
        <v>758</v>
      </c>
      <c r="C79" s="4" t="s">
        <v>559</v>
      </c>
      <c r="D79" s="4" t="s">
        <v>560</v>
      </c>
      <c r="E79" s="4" t="s">
        <v>631</v>
      </c>
      <c r="F79" s="4" t="s">
        <v>631</v>
      </c>
      <c r="G79" s="14">
        <v>1850.51</v>
      </c>
      <c r="H79" s="10">
        <v>16.342027999999999</v>
      </c>
      <c r="I79" s="10">
        <v>33.222943000000001</v>
      </c>
      <c r="J79" s="10">
        <v>16.318456999999999</v>
      </c>
      <c r="K79" s="15">
        <v>0</v>
      </c>
      <c r="L79" s="17">
        <v>87847.458832999997</v>
      </c>
      <c r="M79" s="4" t="s">
        <v>759</v>
      </c>
      <c r="N79" s="19">
        <v>55.699759999999998</v>
      </c>
      <c r="O79" s="19">
        <v>93.3322</v>
      </c>
      <c r="P79" s="19">
        <v>46.86</v>
      </c>
      <c r="Q79" s="19">
        <v>80.751900000000006</v>
      </c>
      <c r="R79" s="19">
        <v>42.65</v>
      </c>
      <c r="S79" s="19">
        <v>75.648700000000005</v>
      </c>
      <c r="T79" s="19">
        <v>42.65</v>
      </c>
      <c r="U79" s="19">
        <v>65.969300000000004</v>
      </c>
      <c r="V79" s="19">
        <v>45.67</v>
      </c>
      <c r="W79" s="19">
        <v>59.284100000000002</v>
      </c>
      <c r="X79" s="19">
        <v>45.67</v>
      </c>
      <c r="Y79" s="19">
        <v>59.284100000000002</v>
      </c>
      <c r="Z79" s="4"/>
      <c r="AA79" s="4"/>
      <c r="AB79" s="4" t="e">
        <f ca="1">_xll.ciqfunctions.udf.CIQ("^SPX", "IQ_PRICEDATE", "4/15/2014")</f>
        <v>#NAME?</v>
      </c>
      <c r="AC79" s="16">
        <v>1842.9812684377</v>
      </c>
    </row>
    <row r="80" spans="1:29" x14ac:dyDescent="0.35">
      <c r="A80" s="2" t="s">
        <v>90</v>
      </c>
      <c r="B80" s="4" t="s">
        <v>760</v>
      </c>
      <c r="C80" s="4" t="s">
        <v>559</v>
      </c>
      <c r="D80" s="4" t="s">
        <v>694</v>
      </c>
      <c r="E80" s="4" t="s">
        <v>695</v>
      </c>
      <c r="F80" s="4" t="s">
        <v>696</v>
      </c>
      <c r="G80" s="14">
        <v>37.9</v>
      </c>
      <c r="H80" s="10">
        <v>5.4776449999999999</v>
      </c>
      <c r="I80" s="10">
        <v>14.90521</v>
      </c>
      <c r="J80" s="10">
        <v>4.8259889999999999</v>
      </c>
      <c r="K80" s="15">
        <v>1.7940999999999999E-2</v>
      </c>
      <c r="L80" s="17">
        <v>7916.0707460000003</v>
      </c>
      <c r="M80" s="4" t="s">
        <v>761</v>
      </c>
      <c r="N80" s="19">
        <v>2.542735</v>
      </c>
      <c r="O80" s="19">
        <v>4.5087999999999999</v>
      </c>
      <c r="P80" s="19">
        <v>2.08</v>
      </c>
      <c r="Q80" s="19">
        <v>4.1189999999999998</v>
      </c>
      <c r="R80" s="19">
        <v>0.55000000000000004</v>
      </c>
      <c r="S80" s="19">
        <v>3.3852000000000002</v>
      </c>
      <c r="T80" s="19">
        <v>0.55000000000000004</v>
      </c>
      <c r="U80" s="19">
        <v>3.2254</v>
      </c>
      <c r="V80" s="19">
        <v>2.86</v>
      </c>
      <c r="W80" s="19">
        <v>3.5762999999999998</v>
      </c>
      <c r="X80" s="19">
        <v>2.86</v>
      </c>
      <c r="Y80" s="19">
        <v>3.5762999999999998</v>
      </c>
      <c r="Z80" s="4"/>
      <c r="AA80" s="4"/>
      <c r="AB80" s="4" t="e">
        <f ca="1">_xll.ciqfunctions.udf.CIQ("^SPX", "IQ_PRICEDATE", "4/16/2014")</f>
        <v>#NAME?</v>
      </c>
      <c r="AC80" s="16">
        <v>1862.3119970058001</v>
      </c>
    </row>
    <row r="81" spans="1:29" x14ac:dyDescent="0.35">
      <c r="A81" s="2" t="s">
        <v>91</v>
      </c>
      <c r="B81" s="4" t="s">
        <v>762</v>
      </c>
      <c r="C81" s="4" t="s">
        <v>601</v>
      </c>
      <c r="D81" s="4" t="s">
        <v>601</v>
      </c>
      <c r="E81" s="4" t="s">
        <v>602</v>
      </c>
      <c r="F81" s="4" t="s">
        <v>603</v>
      </c>
      <c r="G81" s="14">
        <v>117.52</v>
      </c>
      <c r="H81" s="10">
        <v>20.020022000000001</v>
      </c>
      <c r="I81" s="10">
        <v>34.561849000000002</v>
      </c>
      <c r="J81" s="10">
        <v>3.1875900000000001</v>
      </c>
      <c r="K81" s="15">
        <v>3.2334000000000002E-2</v>
      </c>
      <c r="L81" s="17">
        <v>18147.415601000001</v>
      </c>
      <c r="M81" s="4" t="s">
        <v>763</v>
      </c>
      <c r="N81" s="19">
        <v>3.4002810000000001</v>
      </c>
      <c r="O81" s="19">
        <v>2.8677000000000001</v>
      </c>
      <c r="P81" s="19">
        <v>2.93</v>
      </c>
      <c r="Q81" s="19">
        <v>2.8548</v>
      </c>
      <c r="R81" s="19">
        <v>3.26</v>
      </c>
      <c r="S81" s="19">
        <v>2.0867</v>
      </c>
      <c r="T81" s="19">
        <v>3.26</v>
      </c>
      <c r="U81" s="19">
        <v>1.9963</v>
      </c>
      <c r="V81" s="19">
        <v>2.829145</v>
      </c>
      <c r="W81" s="19">
        <v>1.458</v>
      </c>
      <c r="X81" s="19">
        <v>2.829145</v>
      </c>
      <c r="Y81" s="19">
        <v>1.458</v>
      </c>
      <c r="Z81" s="4"/>
      <c r="AA81" s="4"/>
      <c r="AB81" s="4" t="e">
        <f ca="1">_xll.ciqfunctions.udf.CIQ("^SPX", "IQ_PRICEDATE", "4/17/2014")</f>
        <v>#NAME?</v>
      </c>
      <c r="AC81" s="16">
        <v>1864.8513770633001</v>
      </c>
    </row>
    <row r="82" spans="1:29" x14ac:dyDescent="0.35">
      <c r="A82" s="2" t="s">
        <v>92</v>
      </c>
      <c r="B82" s="4" t="s">
        <v>764</v>
      </c>
      <c r="C82" s="4" t="s">
        <v>530</v>
      </c>
      <c r="D82" s="4" t="s">
        <v>531</v>
      </c>
      <c r="E82" s="4" t="s">
        <v>532</v>
      </c>
      <c r="F82" s="4" t="s">
        <v>533</v>
      </c>
      <c r="G82" s="14">
        <v>38</v>
      </c>
      <c r="H82" s="10">
        <v>22.884535</v>
      </c>
      <c r="I82" s="10">
        <v>100.32817799999999</v>
      </c>
      <c r="J82" s="10" t="s">
        <v>534</v>
      </c>
      <c r="K82" s="15">
        <v>0</v>
      </c>
      <c r="L82" s="17">
        <v>52551.141525999999</v>
      </c>
      <c r="M82" s="4" t="s">
        <v>765</v>
      </c>
      <c r="N82" s="19">
        <v>0.37875700000000001</v>
      </c>
      <c r="O82" s="19">
        <v>1.4548000000000001</v>
      </c>
      <c r="P82" s="19">
        <v>7.5906000000000001E-2</v>
      </c>
      <c r="Q82" s="19">
        <v>1.337</v>
      </c>
      <c r="R82" s="19">
        <v>0.25</v>
      </c>
      <c r="S82" s="19">
        <v>1.2065999999999999</v>
      </c>
      <c r="T82" s="19">
        <v>0.25</v>
      </c>
      <c r="U82" s="19">
        <v>1.0217000000000001</v>
      </c>
      <c r="V82" s="19">
        <v>-0.09</v>
      </c>
      <c r="W82" s="19">
        <v>0.87619999999999998</v>
      </c>
      <c r="X82" s="19">
        <v>-0.09</v>
      </c>
      <c r="Y82" s="19">
        <v>0.87619999999999998</v>
      </c>
      <c r="Z82" s="4"/>
      <c r="AA82" s="4"/>
      <c r="AB82" s="4" t="e">
        <f ca="1">_xll.ciqfunctions.udf.CIQ("^SPX", "IQ_PRICEDATE", "4/21/2014")</f>
        <v>#NAME?</v>
      </c>
      <c r="AC82" s="16">
        <v>1871.8875618069001</v>
      </c>
    </row>
    <row r="83" spans="1:29" x14ac:dyDescent="0.35">
      <c r="A83" s="2" t="s">
        <v>93</v>
      </c>
      <c r="B83" s="4" t="s">
        <v>766</v>
      </c>
      <c r="C83" s="4" t="s">
        <v>573</v>
      </c>
      <c r="D83" s="4" t="s">
        <v>579</v>
      </c>
      <c r="E83" s="4" t="s">
        <v>579</v>
      </c>
      <c r="F83" s="4" t="s">
        <v>580</v>
      </c>
      <c r="G83" s="14">
        <v>44.06</v>
      </c>
      <c r="H83" s="10" t="s">
        <v>534</v>
      </c>
      <c r="I83" s="10" t="s">
        <v>534</v>
      </c>
      <c r="J83" s="10">
        <v>0.39279500000000001</v>
      </c>
      <c r="K83" s="15">
        <v>0</v>
      </c>
      <c r="L83" s="17">
        <v>5277.6243519999998</v>
      </c>
      <c r="M83" s="4" t="s">
        <v>767</v>
      </c>
      <c r="N83" s="19">
        <v>-4.8559669999999997</v>
      </c>
      <c r="O83" s="19">
        <v>8.5884</v>
      </c>
      <c r="P83" s="19">
        <v>-3.155967</v>
      </c>
      <c r="Q83" s="19">
        <v>8.6027000000000005</v>
      </c>
      <c r="R83" s="19">
        <v>-24.538062</v>
      </c>
      <c r="S83" s="19">
        <v>0</v>
      </c>
      <c r="T83" s="19">
        <v>-24.538062</v>
      </c>
      <c r="U83" s="19">
        <v>0</v>
      </c>
      <c r="V83" s="19">
        <v>0</v>
      </c>
      <c r="W83" s="19">
        <v>0</v>
      </c>
      <c r="X83" s="19">
        <v>0</v>
      </c>
      <c r="Y83" s="19">
        <v>0</v>
      </c>
      <c r="Z83" s="4"/>
      <c r="AA83" s="4"/>
      <c r="AB83" s="4" t="e">
        <f ca="1">_xll.ciqfunctions.udf.CIQ("^SPX", "IQ_PRICEDATE", "4/22/2014")</f>
        <v>#NAME?</v>
      </c>
      <c r="AC83" s="16">
        <v>1879.5510464813999</v>
      </c>
    </row>
    <row r="84" spans="1:29" x14ac:dyDescent="0.35">
      <c r="A84" s="2" t="s">
        <v>94</v>
      </c>
      <c r="B84" s="4" t="s">
        <v>768</v>
      </c>
      <c r="C84" s="4" t="s">
        <v>530</v>
      </c>
      <c r="D84" s="4" t="s">
        <v>537</v>
      </c>
      <c r="E84" s="4" t="s">
        <v>613</v>
      </c>
      <c r="F84" s="4" t="s">
        <v>613</v>
      </c>
      <c r="G84" s="14">
        <v>58.9</v>
      </c>
      <c r="H84" s="10">
        <v>16.096806000000001</v>
      </c>
      <c r="I84" s="10">
        <v>262.17978599999998</v>
      </c>
      <c r="J84" s="10">
        <v>21.152635</v>
      </c>
      <c r="K84" s="15">
        <v>2.7164000000000001E-2</v>
      </c>
      <c r="L84" s="17">
        <v>96117.549939999997</v>
      </c>
      <c r="M84" s="4" t="s">
        <v>769</v>
      </c>
      <c r="N84" s="19">
        <v>0.22465499999999999</v>
      </c>
      <c r="O84" s="19">
        <v>3.8197000000000001</v>
      </c>
      <c r="P84" s="19">
        <v>0.61</v>
      </c>
      <c r="Q84" s="19">
        <v>3.0831</v>
      </c>
      <c r="R84" s="19">
        <v>2.65</v>
      </c>
      <c r="S84" s="19">
        <v>2.9203000000000001</v>
      </c>
      <c r="T84" s="19">
        <v>2.65</v>
      </c>
      <c r="U84" s="19">
        <v>2.0779000000000001</v>
      </c>
      <c r="V84" s="19">
        <v>1.2</v>
      </c>
      <c r="W84" s="19">
        <v>1.8321000000000001</v>
      </c>
      <c r="X84" s="19">
        <v>1.2</v>
      </c>
      <c r="Y84" s="19">
        <v>1.8321000000000001</v>
      </c>
      <c r="Z84" s="4"/>
      <c r="AA84" s="4"/>
      <c r="AB84" s="4" t="e">
        <f ca="1">_xll.ciqfunctions.udf.CIQ("^SPX", "IQ_PRICEDATE", "4/23/2014")</f>
        <v>#NAME?</v>
      </c>
      <c r="AC84" s="16">
        <v>1875.3877070323001</v>
      </c>
    </row>
    <row r="85" spans="1:29" x14ac:dyDescent="0.35">
      <c r="A85" s="2" t="s">
        <v>95</v>
      </c>
      <c r="B85" s="4" t="s">
        <v>770</v>
      </c>
      <c r="C85" s="4" t="s">
        <v>543</v>
      </c>
      <c r="D85" s="4" t="s">
        <v>565</v>
      </c>
      <c r="E85" s="4" t="s">
        <v>565</v>
      </c>
      <c r="F85" s="4" t="s">
        <v>566</v>
      </c>
      <c r="G85" s="14">
        <v>237.17</v>
      </c>
      <c r="H85" s="10">
        <v>12.161959</v>
      </c>
      <c r="I85" s="10">
        <v>8.5225469999999994</v>
      </c>
      <c r="J85" s="10" t="s">
        <v>534</v>
      </c>
      <c r="K85" s="15">
        <v>2.9513999999999999E-2</v>
      </c>
      <c r="L85" s="17">
        <v>98057.166882999998</v>
      </c>
      <c r="M85" s="4" t="s">
        <v>771</v>
      </c>
      <c r="N85" s="19">
        <v>27.828533</v>
      </c>
      <c r="O85" s="19">
        <v>21.167400000000001</v>
      </c>
      <c r="P85" s="19">
        <v>4.03</v>
      </c>
      <c r="Q85" s="19">
        <v>0</v>
      </c>
      <c r="R85" s="19">
        <v>-4.5665789999999999</v>
      </c>
      <c r="S85" s="19">
        <v>0</v>
      </c>
      <c r="T85" s="19">
        <v>-4.5665789999999999</v>
      </c>
      <c r="U85" s="19">
        <v>0</v>
      </c>
      <c r="V85" s="19">
        <v>1.1599999999999999</v>
      </c>
      <c r="W85" s="19">
        <v>0</v>
      </c>
      <c r="X85" s="19">
        <v>1.1599999999999999</v>
      </c>
      <c r="Y85" s="19">
        <v>0</v>
      </c>
      <c r="Z85" s="4"/>
      <c r="AA85" s="4"/>
      <c r="AB85" s="4" t="e">
        <f ca="1">_xll.ciqfunctions.udf.CIQ("^SPX", "IQ_PRICEDATE", "4/24/2014")</f>
        <v>#NAME?</v>
      </c>
      <c r="AC85" s="16">
        <v>1878.610508557</v>
      </c>
    </row>
    <row r="86" spans="1:29" x14ac:dyDescent="0.35">
      <c r="A86" s="2" t="s">
        <v>96</v>
      </c>
      <c r="B86" s="4" t="s">
        <v>772</v>
      </c>
      <c r="C86" s="4" t="s">
        <v>543</v>
      </c>
      <c r="D86" s="4" t="s">
        <v>544</v>
      </c>
      <c r="E86" s="4" t="s">
        <v>545</v>
      </c>
      <c r="F86" s="4" t="s">
        <v>616</v>
      </c>
      <c r="G86" s="14">
        <v>118.81</v>
      </c>
      <c r="H86" s="10">
        <v>18.167111999999999</v>
      </c>
      <c r="I86" s="10">
        <v>33.373595000000002</v>
      </c>
      <c r="J86" s="10" t="s">
        <v>534</v>
      </c>
      <c r="K86" s="15">
        <v>1.6327999999999999E-2</v>
      </c>
      <c r="L86" s="17">
        <v>13820.592259999999</v>
      </c>
      <c r="M86" s="4" t="s">
        <v>773</v>
      </c>
      <c r="N86" s="19">
        <v>3.56</v>
      </c>
      <c r="O86" s="19">
        <v>4.66167</v>
      </c>
      <c r="P86" s="19">
        <v>3.119675</v>
      </c>
      <c r="Q86" s="19">
        <v>3.7469999999999999</v>
      </c>
      <c r="R86" s="19">
        <v>2.4420839999999999</v>
      </c>
      <c r="S86" s="19">
        <v>3.2098</v>
      </c>
      <c r="T86" s="19">
        <v>2.4420839999999999</v>
      </c>
      <c r="U86" s="19">
        <v>2.8180999999999998</v>
      </c>
      <c r="V86" s="19">
        <v>2.0777489999999998</v>
      </c>
      <c r="W86" s="19">
        <v>2.5493000000000001</v>
      </c>
      <c r="X86" s="19">
        <v>2.0777489999999998</v>
      </c>
      <c r="Y86" s="19">
        <v>2.5493000000000001</v>
      </c>
      <c r="Z86" s="4"/>
      <c r="AA86" s="4"/>
      <c r="AB86" s="4" t="e">
        <f ca="1">_xll.ciqfunctions.udf.CIQ("^SPX", "IQ_PRICEDATE", "4/25/2014")</f>
        <v>#NAME?</v>
      </c>
      <c r="AC86" s="16">
        <v>1863.4006714401</v>
      </c>
    </row>
    <row r="87" spans="1:29" x14ac:dyDescent="0.35">
      <c r="A87" s="2" t="s">
        <v>97</v>
      </c>
      <c r="B87" s="4" t="s">
        <v>774</v>
      </c>
      <c r="C87" s="4" t="s">
        <v>626</v>
      </c>
      <c r="D87" s="4" t="s">
        <v>627</v>
      </c>
      <c r="E87" s="4" t="s">
        <v>775</v>
      </c>
      <c r="F87" s="4" t="s">
        <v>776</v>
      </c>
      <c r="G87" s="14">
        <v>47.9</v>
      </c>
      <c r="H87" s="10">
        <v>22.599243000000001</v>
      </c>
      <c r="I87" s="10">
        <v>31.513468</v>
      </c>
      <c r="J87" s="10" t="s">
        <v>534</v>
      </c>
      <c r="K87" s="15">
        <v>1.3193999999999999E-2</v>
      </c>
      <c r="L87" s="17">
        <v>23081.351655999999</v>
      </c>
      <c r="M87" s="4" t="s">
        <v>777</v>
      </c>
      <c r="N87" s="19">
        <v>1.5199849999999999</v>
      </c>
      <c r="O87" s="19">
        <v>1.7033</v>
      </c>
      <c r="P87" s="19">
        <v>1.5397130000000001</v>
      </c>
      <c r="Q87" s="19">
        <v>1.6486000000000001</v>
      </c>
      <c r="R87" s="19">
        <v>2.1137489999999999</v>
      </c>
      <c r="S87" s="19">
        <v>1.4413</v>
      </c>
      <c r="T87" s="19">
        <v>2.1137489999999999</v>
      </c>
      <c r="U87" s="19">
        <v>1.4343999999999999</v>
      </c>
      <c r="V87" s="19">
        <v>1.2437910000000001</v>
      </c>
      <c r="W87" s="19">
        <v>1.3714999999999999</v>
      </c>
      <c r="X87" s="19">
        <v>1.2437910000000001</v>
      </c>
      <c r="Y87" s="19">
        <v>1.3714999999999999</v>
      </c>
      <c r="Z87" s="4"/>
      <c r="AA87" s="4"/>
      <c r="AB87" s="4" t="e">
        <f ca="1">_xll.ciqfunctions.udf.CIQ("^SPX", "IQ_PRICEDATE", "4/28/2014")</f>
        <v>#NAME?</v>
      </c>
      <c r="AC87" s="16">
        <v>1869.4252355353999</v>
      </c>
    </row>
    <row r="88" spans="1:29" x14ac:dyDescent="0.35">
      <c r="A88" s="2" t="s">
        <v>98</v>
      </c>
      <c r="B88" s="4" t="s">
        <v>778</v>
      </c>
      <c r="C88" s="4" t="s">
        <v>525</v>
      </c>
      <c r="D88" s="4" t="s">
        <v>594</v>
      </c>
      <c r="E88" s="4" t="s">
        <v>779</v>
      </c>
      <c r="F88" s="4" t="s">
        <v>779</v>
      </c>
      <c r="G88" s="14">
        <v>93.68</v>
      </c>
      <c r="H88" s="10">
        <v>15.520675000000001</v>
      </c>
      <c r="I88" s="10">
        <v>23.070698</v>
      </c>
      <c r="J88" s="10">
        <v>106.42648699999999</v>
      </c>
      <c r="K88" s="15">
        <v>1.9640999999999999E-2</v>
      </c>
      <c r="L88" s="17">
        <v>12978.848666</v>
      </c>
      <c r="M88" s="4" t="s">
        <v>780</v>
      </c>
      <c r="N88" s="19">
        <v>4.060562</v>
      </c>
      <c r="O88" s="19">
        <v>4.6940999999999997</v>
      </c>
      <c r="P88" s="19">
        <v>3.57</v>
      </c>
      <c r="Q88" s="19">
        <v>3.5849000000000002</v>
      </c>
      <c r="R88" s="19">
        <v>3.59</v>
      </c>
      <c r="S88" s="19">
        <v>3.6333000000000002</v>
      </c>
      <c r="T88" s="19">
        <v>3.59</v>
      </c>
      <c r="U88" s="19">
        <v>3.6848000000000001</v>
      </c>
      <c r="V88" s="19">
        <v>3.05</v>
      </c>
      <c r="W88" s="19">
        <v>3.3041999999999998</v>
      </c>
      <c r="X88" s="19">
        <v>3.05</v>
      </c>
      <c r="Y88" s="19">
        <v>3.3041999999999998</v>
      </c>
      <c r="Z88" s="4"/>
      <c r="AA88" s="4"/>
      <c r="AB88" s="4" t="e">
        <f ca="1">_xll.ciqfunctions.udf.CIQ("^SPX", "IQ_PRICEDATE", "4/29/2014")</f>
        <v>#NAME?</v>
      </c>
      <c r="AC88" s="16">
        <v>1878.3300711029999</v>
      </c>
    </row>
    <row r="89" spans="1:29" x14ac:dyDescent="0.35">
      <c r="A89" s="2" t="s">
        <v>99</v>
      </c>
      <c r="B89" s="4" t="s">
        <v>781</v>
      </c>
      <c r="C89" s="4" t="s">
        <v>543</v>
      </c>
      <c r="D89" s="4" t="s">
        <v>544</v>
      </c>
      <c r="E89" s="4" t="s">
        <v>555</v>
      </c>
      <c r="F89" s="4" t="s">
        <v>782</v>
      </c>
      <c r="G89" s="14">
        <v>43.98</v>
      </c>
      <c r="H89" s="10">
        <v>14.339661</v>
      </c>
      <c r="I89" s="10">
        <v>39.706865999999998</v>
      </c>
      <c r="J89" s="10" t="s">
        <v>534</v>
      </c>
      <c r="K89" s="15">
        <v>2.3192000000000001E-2</v>
      </c>
      <c r="L89" s="17">
        <v>18390.935578000001</v>
      </c>
      <c r="M89" s="4" t="s">
        <v>783</v>
      </c>
      <c r="N89" s="19">
        <v>1.1076170000000001</v>
      </c>
      <c r="O89" s="19">
        <v>2.8094000000000001</v>
      </c>
      <c r="P89" s="19">
        <v>1.0120769999999999</v>
      </c>
      <c r="Q89" s="19">
        <v>2.4868999999999999</v>
      </c>
      <c r="R89" s="19">
        <v>1.878744</v>
      </c>
      <c r="S89" s="19">
        <v>2.5095999999999998</v>
      </c>
      <c r="T89" s="19">
        <v>1.878744</v>
      </c>
      <c r="U89" s="19">
        <v>2.4708999999999999</v>
      </c>
      <c r="V89" s="19">
        <v>1.7158370000000001</v>
      </c>
      <c r="W89" s="19">
        <v>2.4104000000000001</v>
      </c>
      <c r="X89" s="19">
        <v>1.7158370000000001</v>
      </c>
      <c r="Y89" s="19">
        <v>2.4104000000000001</v>
      </c>
      <c r="Z89" s="4"/>
      <c r="AA89" s="4"/>
      <c r="AB89" s="4" t="e">
        <f ca="1">_xll.ciqfunctions.udf.CIQ("^SPX", "IQ_PRICEDATE", "4/30/2014")</f>
        <v>#NAME?</v>
      </c>
      <c r="AC89" s="16">
        <v>1883.9501304206001</v>
      </c>
    </row>
    <row r="90" spans="1:29" x14ac:dyDescent="0.35">
      <c r="A90" s="2" t="s">
        <v>100</v>
      </c>
      <c r="B90" s="4" t="s">
        <v>784</v>
      </c>
      <c r="C90" s="4" t="s">
        <v>669</v>
      </c>
      <c r="D90" s="4" t="s">
        <v>669</v>
      </c>
      <c r="E90" s="4" t="s">
        <v>670</v>
      </c>
      <c r="F90" s="4" t="s">
        <v>671</v>
      </c>
      <c r="G90" s="14">
        <v>23.8</v>
      </c>
      <c r="H90" s="10">
        <v>14.452731</v>
      </c>
      <c r="I90" s="10">
        <v>82.235421000000002</v>
      </c>
      <c r="J90" s="10">
        <v>4.8742570000000001</v>
      </c>
      <c r="K90" s="15">
        <v>1.0083999999999999E-2</v>
      </c>
      <c r="L90" s="17">
        <v>10500.021739</v>
      </c>
      <c r="M90" s="4" t="s">
        <v>785</v>
      </c>
      <c r="N90" s="19">
        <v>0.28941299999999998</v>
      </c>
      <c r="O90" s="19">
        <v>1.4618</v>
      </c>
      <c r="P90" s="19">
        <v>0.21648700000000001</v>
      </c>
      <c r="Q90" s="19">
        <v>0.84609999999999996</v>
      </c>
      <c r="R90" s="19">
        <v>-0.913049</v>
      </c>
      <c r="S90" s="19">
        <v>0.32229999999999998</v>
      </c>
      <c r="T90" s="19">
        <v>-0.913049</v>
      </c>
      <c r="U90" s="19">
        <v>-0.10050000000000001</v>
      </c>
      <c r="V90" s="19">
        <v>0.25</v>
      </c>
      <c r="W90" s="19">
        <v>0.85319999999999996</v>
      </c>
      <c r="X90" s="19">
        <v>0.25</v>
      </c>
      <c r="Y90" s="19">
        <v>0.85319999999999996</v>
      </c>
      <c r="Z90" s="4"/>
      <c r="AA90" s="4"/>
      <c r="AB90" s="4" t="e">
        <f ca="1">_xll.ciqfunctions.udf.CIQ("^SPX", "IQ_PRICEDATE", "5/1/2014")</f>
        <v>#NAME?</v>
      </c>
      <c r="AC90" s="16">
        <v>1883.6834685870001</v>
      </c>
    </row>
    <row r="91" spans="1:29" x14ac:dyDescent="0.35">
      <c r="A91" s="2" t="s">
        <v>101</v>
      </c>
      <c r="B91" s="4" t="s">
        <v>786</v>
      </c>
      <c r="C91" s="4" t="s">
        <v>543</v>
      </c>
      <c r="D91" s="4" t="s">
        <v>544</v>
      </c>
      <c r="E91" s="4" t="s">
        <v>555</v>
      </c>
      <c r="F91" s="4" t="s">
        <v>556</v>
      </c>
      <c r="G91" s="14">
        <v>40.4</v>
      </c>
      <c r="H91" s="10">
        <v>24.092434999999998</v>
      </c>
      <c r="I91" s="10">
        <v>52.391258000000001</v>
      </c>
      <c r="J91" s="10">
        <v>41.808138999999997</v>
      </c>
      <c r="K91" s="15">
        <v>0</v>
      </c>
      <c r="L91" s="17">
        <v>11425.4432</v>
      </c>
      <c r="M91" s="4" t="s">
        <v>787</v>
      </c>
      <c r="N91" s="19">
        <v>0.77112099999999995</v>
      </c>
      <c r="O91" s="19">
        <v>1.7259</v>
      </c>
      <c r="P91" s="19">
        <v>0.73</v>
      </c>
      <c r="Q91" s="19">
        <v>1.4874000000000001</v>
      </c>
      <c r="R91" s="19">
        <v>0.7</v>
      </c>
      <c r="S91" s="19">
        <v>1.3187</v>
      </c>
      <c r="T91" s="19">
        <v>0.7</v>
      </c>
      <c r="U91" s="19">
        <v>1.1363000000000001</v>
      </c>
      <c r="V91" s="19">
        <v>0.43928200000000001</v>
      </c>
      <c r="W91" s="19">
        <v>1.0418000000000001</v>
      </c>
      <c r="X91" s="19">
        <v>0.43928200000000001</v>
      </c>
      <c r="Y91" s="19">
        <v>1.0418000000000001</v>
      </c>
      <c r="Z91" s="4"/>
      <c r="AA91" s="4"/>
      <c r="AB91" s="4" t="e">
        <f ca="1">_xll.ciqfunctions.udf.CIQ("^SPX", "IQ_PRICEDATE", "5/2/2014")</f>
        <v>#NAME?</v>
      </c>
      <c r="AC91" s="16">
        <v>1881.1381375353999</v>
      </c>
    </row>
    <row r="92" spans="1:29" x14ac:dyDescent="0.35">
      <c r="A92" s="2" t="s">
        <v>102</v>
      </c>
      <c r="B92" s="4" t="s">
        <v>788</v>
      </c>
      <c r="C92" s="4" t="s">
        <v>626</v>
      </c>
      <c r="D92" s="4" t="s">
        <v>627</v>
      </c>
      <c r="E92" s="4" t="s">
        <v>699</v>
      </c>
      <c r="F92" s="4" t="s">
        <v>789</v>
      </c>
      <c r="G92" s="14">
        <v>36.32</v>
      </c>
      <c r="H92" s="10">
        <v>10.58963</v>
      </c>
      <c r="I92" s="10">
        <v>42.232557999999997</v>
      </c>
      <c r="J92" s="10" t="s">
        <v>534</v>
      </c>
      <c r="K92" s="15">
        <v>3.8545999999999997E-2</v>
      </c>
      <c r="L92" s="17">
        <v>10919.830604999999</v>
      </c>
      <c r="M92" s="4" t="s">
        <v>790</v>
      </c>
      <c r="N92" s="19">
        <v>0.86</v>
      </c>
      <c r="O92" s="19">
        <v>2.4372699999999998</v>
      </c>
      <c r="P92" s="19">
        <v>2.85459</v>
      </c>
      <c r="Q92" s="19">
        <v>2.9523000000000001</v>
      </c>
      <c r="R92" s="19">
        <v>2.1284049999999999</v>
      </c>
      <c r="S92" s="19">
        <v>3.1292</v>
      </c>
      <c r="T92" s="19">
        <v>2.1284049999999999</v>
      </c>
      <c r="U92" s="19">
        <v>2.8235000000000001</v>
      </c>
      <c r="V92" s="19">
        <v>2.5402049999999998</v>
      </c>
      <c r="W92" s="19">
        <v>2.4777999999999998</v>
      </c>
      <c r="X92" s="19">
        <v>2.5402049999999998</v>
      </c>
      <c r="Y92" s="19">
        <v>2.4777999999999998</v>
      </c>
      <c r="Z92" s="4"/>
      <c r="AA92" s="4"/>
      <c r="AB92" s="4" t="e">
        <f ca="1">_xll.ciqfunctions.udf.CIQ("^SPX", "IQ_PRICEDATE", "5/5/2014")</f>
        <v>#NAME?</v>
      </c>
      <c r="AC92" s="16">
        <v>1884.6557347001001</v>
      </c>
    </row>
    <row r="93" spans="1:29" x14ac:dyDescent="0.35">
      <c r="A93" s="2" t="s">
        <v>103</v>
      </c>
      <c r="B93" s="4" t="s">
        <v>791</v>
      </c>
      <c r="C93" s="4" t="s">
        <v>573</v>
      </c>
      <c r="D93" s="4" t="s">
        <v>574</v>
      </c>
      <c r="E93" s="4" t="s">
        <v>641</v>
      </c>
      <c r="F93" s="4" t="s">
        <v>641</v>
      </c>
      <c r="G93" s="14">
        <v>91.48</v>
      </c>
      <c r="H93" s="10">
        <v>0</v>
      </c>
      <c r="I93" s="10">
        <v>13.784369999999999</v>
      </c>
      <c r="J93" s="10">
        <v>1.4454560000000001</v>
      </c>
      <c r="K93" s="15">
        <v>1.7490000000000002E-2</v>
      </c>
      <c r="L93" s="17">
        <v>43766.776400000002</v>
      </c>
      <c r="M93" s="4" t="s">
        <v>792</v>
      </c>
      <c r="N93" s="19">
        <v>6.6365020000000001</v>
      </c>
      <c r="O93" s="19">
        <v>10.9521</v>
      </c>
      <c r="P93" s="19">
        <v>3.76</v>
      </c>
      <c r="Q93" s="19">
        <v>8.5507000000000009</v>
      </c>
      <c r="R93" s="19">
        <v>6.93</v>
      </c>
      <c r="S93" s="19">
        <v>7.8623000000000003</v>
      </c>
      <c r="T93" s="19">
        <v>6.93</v>
      </c>
      <c r="U93" s="19">
        <v>7.6513999999999998</v>
      </c>
      <c r="V93" s="19">
        <v>7.58</v>
      </c>
      <c r="W93" s="19">
        <v>7.6684999999999999</v>
      </c>
      <c r="X93" s="19">
        <v>7.58</v>
      </c>
      <c r="Y93" s="19">
        <v>7.6684999999999999</v>
      </c>
      <c r="Z93" s="4"/>
      <c r="AA93" s="4"/>
      <c r="AB93" s="4" t="e">
        <f ca="1">_xll.ciqfunctions.udf.CIQ("^SPX", "IQ_PRICEDATE", "5/6/2014")</f>
        <v>#NAME?</v>
      </c>
      <c r="AC93" s="16">
        <v>1867.7191073542999</v>
      </c>
    </row>
    <row r="94" spans="1:29" x14ac:dyDescent="0.35">
      <c r="A94" s="2" t="s">
        <v>104</v>
      </c>
      <c r="B94" s="4" t="s">
        <v>793</v>
      </c>
      <c r="C94" s="4" t="s">
        <v>530</v>
      </c>
      <c r="D94" s="4" t="s">
        <v>531</v>
      </c>
      <c r="E94" s="4" t="s">
        <v>569</v>
      </c>
      <c r="F94" s="4" t="s">
        <v>655</v>
      </c>
      <c r="G94" s="14">
        <v>53.52</v>
      </c>
      <c r="H94" s="10">
        <v>7.7523270000000002</v>
      </c>
      <c r="I94" s="10">
        <v>66.074073999999996</v>
      </c>
      <c r="J94" s="10" t="s">
        <v>534</v>
      </c>
      <c r="K94" s="15">
        <v>3.5596999999999997E-2</v>
      </c>
      <c r="L94" s="17">
        <v>16048.772070000001</v>
      </c>
      <c r="M94" s="4" t="s">
        <v>794</v>
      </c>
      <c r="N94" s="19">
        <v>0.81</v>
      </c>
      <c r="O94" s="19">
        <v>5.0192600000000001</v>
      </c>
      <c r="P94" s="19">
        <v>5.735188</v>
      </c>
      <c r="Q94" s="19">
        <v>5.1148999999999996</v>
      </c>
      <c r="R94" s="19">
        <v>4.1525109999999996</v>
      </c>
      <c r="S94" s="19">
        <v>5.609</v>
      </c>
      <c r="T94" s="19">
        <v>4.1525109999999996</v>
      </c>
      <c r="U94" s="19">
        <v>5.3914999999999997</v>
      </c>
      <c r="V94" s="19">
        <v>3.239296</v>
      </c>
      <c r="W94" s="19">
        <v>4.4118000000000004</v>
      </c>
      <c r="X94" s="19">
        <v>3.239296</v>
      </c>
      <c r="Y94" s="19">
        <v>4.4118000000000004</v>
      </c>
      <c r="Z94" s="4"/>
      <c r="AA94" s="4"/>
      <c r="AB94" s="4" t="e">
        <f ca="1">_xll.ciqfunctions.udf.CIQ("^SPX", "IQ_PRICEDATE", "5/7/2014")</f>
        <v>#NAME?</v>
      </c>
      <c r="AC94" s="16">
        <v>1878.2077180358999</v>
      </c>
    </row>
    <row r="95" spans="1:29" x14ac:dyDescent="0.35">
      <c r="A95" s="2" t="s">
        <v>105</v>
      </c>
      <c r="B95" s="4" t="s">
        <v>795</v>
      </c>
      <c r="C95" s="4" t="s">
        <v>559</v>
      </c>
      <c r="D95" s="4" t="s">
        <v>560</v>
      </c>
      <c r="E95" s="4" t="s">
        <v>561</v>
      </c>
      <c r="F95" s="4" t="s">
        <v>562</v>
      </c>
      <c r="G95" s="14">
        <v>69.92</v>
      </c>
      <c r="H95" s="10">
        <v>19.832695999999999</v>
      </c>
      <c r="I95" s="10">
        <v>17.3401</v>
      </c>
      <c r="J95" s="10">
        <v>3.5197690000000001</v>
      </c>
      <c r="K95" s="15">
        <v>0</v>
      </c>
      <c r="L95" s="17">
        <v>12209.517311</v>
      </c>
      <c r="M95" s="4" t="s">
        <v>796</v>
      </c>
      <c r="N95" s="19">
        <v>4.0322719999999999</v>
      </c>
      <c r="O95" s="19">
        <v>4.8364000000000003</v>
      </c>
      <c r="P95" s="19">
        <v>3.7372429999999999</v>
      </c>
      <c r="Q95" s="19">
        <v>4.0983999999999998</v>
      </c>
      <c r="R95" s="19">
        <v>3.1556299999999999</v>
      </c>
      <c r="S95" s="19">
        <v>3.5223</v>
      </c>
      <c r="T95" s="19">
        <v>3.1556299999999999</v>
      </c>
      <c r="U95" s="19">
        <v>3.2806999999999999</v>
      </c>
      <c r="V95" s="19">
        <v>2.484111</v>
      </c>
      <c r="W95" s="19">
        <v>2.8491</v>
      </c>
      <c r="X95" s="19">
        <v>2.484111</v>
      </c>
      <c r="Y95" s="19">
        <v>2.8491</v>
      </c>
      <c r="Z95" s="4"/>
      <c r="AA95" s="4"/>
      <c r="AB95" s="4" t="e">
        <f ca="1">_xll.ciqfunctions.udf.CIQ("^SPX", "IQ_PRICEDATE", "5/8/2014")</f>
        <v>#NAME?</v>
      </c>
      <c r="AC95" s="16">
        <v>1875.6291590243</v>
      </c>
    </row>
    <row r="96" spans="1:29" x14ac:dyDescent="0.35">
      <c r="A96" s="2" t="s">
        <v>106</v>
      </c>
      <c r="B96" s="4" t="s">
        <v>797</v>
      </c>
      <c r="C96" s="4" t="s">
        <v>559</v>
      </c>
      <c r="D96" s="4" t="s">
        <v>798</v>
      </c>
      <c r="E96" s="4" t="s">
        <v>799</v>
      </c>
      <c r="F96" s="4" t="s">
        <v>800</v>
      </c>
      <c r="G96" s="14">
        <v>59</v>
      </c>
      <c r="H96" s="10">
        <v>9.2766710000000003</v>
      </c>
      <c r="I96" s="10">
        <v>13.211574000000001</v>
      </c>
      <c r="J96" s="10">
        <v>2.0123760000000002</v>
      </c>
      <c r="K96" s="15">
        <v>3.3898000000000005E-2</v>
      </c>
      <c r="L96" s="17">
        <v>41204.667092000003</v>
      </c>
      <c r="M96" s="4" t="s">
        <v>801</v>
      </c>
      <c r="N96" s="19">
        <v>4.4657809999999998</v>
      </c>
      <c r="O96" s="19">
        <v>4.5016999999999996</v>
      </c>
      <c r="P96" s="19">
        <v>3.59</v>
      </c>
      <c r="Q96" s="19">
        <v>4.2590700000000004</v>
      </c>
      <c r="R96" s="19">
        <v>3.72</v>
      </c>
      <c r="S96" s="19">
        <v>3.5720100000000001</v>
      </c>
      <c r="T96" s="19">
        <v>3.72</v>
      </c>
      <c r="U96" s="19">
        <v>3.3593199999999999</v>
      </c>
      <c r="V96" s="19">
        <v>1.56</v>
      </c>
      <c r="W96" s="19">
        <v>2.5376300000000001</v>
      </c>
      <c r="X96" s="19">
        <v>1.56</v>
      </c>
      <c r="Y96" s="19">
        <v>2.5376300000000001</v>
      </c>
      <c r="Z96" s="4"/>
      <c r="AA96" s="4"/>
      <c r="AB96" s="4" t="e">
        <f ca="1">_xll.ciqfunctions.udf.CIQ("^SPX", "IQ_PRICEDATE", "5/9/2014")</f>
        <v>#NAME?</v>
      </c>
      <c r="AC96" s="16">
        <v>1878.4756878404</v>
      </c>
    </row>
    <row r="97" spans="1:29" x14ac:dyDescent="0.35">
      <c r="A97" s="2" t="s">
        <v>107</v>
      </c>
      <c r="B97" s="4" t="s">
        <v>802</v>
      </c>
      <c r="C97" s="4" t="s">
        <v>525</v>
      </c>
      <c r="D97" s="4" t="s">
        <v>526</v>
      </c>
      <c r="E97" s="4" t="s">
        <v>803</v>
      </c>
      <c r="F97" s="4" t="s">
        <v>804</v>
      </c>
      <c r="G97" s="14">
        <v>141.34</v>
      </c>
      <c r="H97" s="10">
        <v>10.774259000000001</v>
      </c>
      <c r="I97" s="10">
        <v>27.305671</v>
      </c>
      <c r="J97" s="10">
        <v>12.744948000000001</v>
      </c>
      <c r="K97" s="15">
        <v>2.4338000000000002E-2</v>
      </c>
      <c r="L97" s="17">
        <v>84001.950339999996</v>
      </c>
      <c r="M97" s="4" t="s">
        <v>805</v>
      </c>
      <c r="N97" s="19">
        <v>5.1762139999999999</v>
      </c>
      <c r="O97" s="19">
        <v>12.0632</v>
      </c>
      <c r="P97" s="19">
        <v>1.26</v>
      </c>
      <c r="Q97" s="19">
        <v>7.7234999999999996</v>
      </c>
      <c r="R97" s="19">
        <v>-0.11466700000000001</v>
      </c>
      <c r="S97" s="19">
        <v>3.0388000000000002</v>
      </c>
      <c r="T97" s="19">
        <v>-0.11466700000000001</v>
      </c>
      <c r="U97" s="19">
        <v>3.3948</v>
      </c>
      <c r="V97" s="19">
        <v>3.9</v>
      </c>
      <c r="W97" s="19">
        <v>6.7378</v>
      </c>
      <c r="X97" s="19">
        <v>3.9</v>
      </c>
      <c r="Y97" s="19">
        <v>6.7378</v>
      </c>
      <c r="Z97" s="4"/>
      <c r="AA97" s="4"/>
      <c r="AB97" s="4" t="e">
        <f ca="1">_xll.ciqfunctions.udf.CIQ("^SPX", "IQ_PRICEDATE", "5/12/2014")</f>
        <v>#NAME?</v>
      </c>
      <c r="AC97" s="16">
        <v>1896.6543225495</v>
      </c>
    </row>
    <row r="98" spans="1:29" x14ac:dyDescent="0.35">
      <c r="A98" s="2" t="s">
        <v>108</v>
      </c>
      <c r="B98" s="4" t="s">
        <v>806</v>
      </c>
      <c r="C98" s="4" t="s">
        <v>573</v>
      </c>
      <c r="D98" s="4" t="s">
        <v>574</v>
      </c>
      <c r="E98" s="4" t="s">
        <v>575</v>
      </c>
      <c r="F98" s="4" t="s">
        <v>807</v>
      </c>
      <c r="G98" s="14">
        <v>102.64</v>
      </c>
      <c r="H98" s="10">
        <v>15.851008999999999</v>
      </c>
      <c r="I98" s="10">
        <v>22.533776</v>
      </c>
      <c r="J98" s="10" t="s">
        <v>534</v>
      </c>
      <c r="K98" s="15">
        <v>1.2081E-2</v>
      </c>
      <c r="L98" s="17">
        <v>11477.076499999999</v>
      </c>
      <c r="M98" s="4" t="s">
        <v>808</v>
      </c>
      <c r="N98" s="19">
        <v>4.5549400000000002</v>
      </c>
      <c r="O98" s="19">
        <v>4.5174000000000003</v>
      </c>
      <c r="P98" s="19">
        <v>3.69</v>
      </c>
      <c r="Q98" s="19">
        <v>3.8010000000000002</v>
      </c>
      <c r="R98" s="19">
        <v>2.27</v>
      </c>
      <c r="S98" s="19">
        <v>2.4192999999999998</v>
      </c>
      <c r="T98" s="19">
        <v>2.27</v>
      </c>
      <c r="U98" s="19">
        <v>2.5352000000000001</v>
      </c>
      <c r="V98" s="19">
        <v>2.2058399999999998</v>
      </c>
      <c r="W98" s="19">
        <v>2.5146000000000002</v>
      </c>
      <c r="X98" s="19">
        <v>2.2058399999999998</v>
      </c>
      <c r="Y98" s="19">
        <v>2.5146000000000002</v>
      </c>
      <c r="Z98" s="4"/>
      <c r="AA98" s="4"/>
      <c r="AB98" s="4" t="e">
        <f ca="1">_xll.ciqfunctions.udf.CIQ("^SPX", "IQ_PRICEDATE", "5/13/2014")</f>
        <v>#NAME?</v>
      </c>
      <c r="AC98" s="16">
        <v>1897.4458157632</v>
      </c>
    </row>
    <row r="99" spans="1:29" x14ac:dyDescent="0.35">
      <c r="A99" s="2" t="s">
        <v>109</v>
      </c>
      <c r="B99" s="4" t="s">
        <v>809</v>
      </c>
      <c r="C99" s="4" t="s">
        <v>601</v>
      </c>
      <c r="D99" s="4" t="s">
        <v>601</v>
      </c>
      <c r="E99" s="4" t="s">
        <v>810</v>
      </c>
      <c r="F99" s="4" t="s">
        <v>811</v>
      </c>
      <c r="G99" s="14">
        <v>39.659999999999997</v>
      </c>
      <c r="H99" s="10">
        <v>9.3254260000000002</v>
      </c>
      <c r="I99" s="10">
        <v>18.618659999999998</v>
      </c>
      <c r="J99" s="10" t="s">
        <v>534</v>
      </c>
      <c r="K99" s="15">
        <v>0</v>
      </c>
      <c r="L99" s="17">
        <v>13169.513559999999</v>
      </c>
      <c r="M99" s="4" t="s">
        <v>812</v>
      </c>
      <c r="N99" s="19">
        <v>2.1301209999999999</v>
      </c>
      <c r="O99" s="19">
        <v>3.2469000000000001</v>
      </c>
      <c r="P99" s="19">
        <v>2.0299999999999998</v>
      </c>
      <c r="Q99" s="19">
        <v>2.6916000000000002</v>
      </c>
      <c r="R99" s="19">
        <v>1.689999</v>
      </c>
      <c r="S99" s="19">
        <v>2.2982</v>
      </c>
      <c r="T99" s="19">
        <v>1.689999</v>
      </c>
      <c r="U99" s="19">
        <v>2.2416999999999998</v>
      </c>
      <c r="V99" s="19">
        <v>1.449999</v>
      </c>
      <c r="W99" s="19">
        <v>1.8380000000000001</v>
      </c>
      <c r="X99" s="19">
        <v>1.449999</v>
      </c>
      <c r="Y99" s="19">
        <v>1.8380000000000001</v>
      </c>
      <c r="Z99" s="4"/>
      <c r="AA99" s="4"/>
      <c r="AB99" s="4" t="e">
        <f ca="1">_xll.ciqfunctions.udf.CIQ("^SPX", "IQ_PRICEDATE", "5/14/2014")</f>
        <v>#NAME?</v>
      </c>
      <c r="AC99" s="16">
        <v>1888.5257205712001</v>
      </c>
    </row>
    <row r="100" spans="1:29" x14ac:dyDescent="0.35">
      <c r="A100" s="2" t="s">
        <v>110</v>
      </c>
      <c r="B100" s="4" t="s">
        <v>813</v>
      </c>
      <c r="C100" s="4" t="s">
        <v>549</v>
      </c>
      <c r="D100" s="4" t="s">
        <v>550</v>
      </c>
      <c r="E100" s="4" t="s">
        <v>814</v>
      </c>
      <c r="F100" s="4" t="s">
        <v>815</v>
      </c>
      <c r="G100" s="14">
        <v>55.86</v>
      </c>
      <c r="H100" s="10">
        <v>9.9723369999999996</v>
      </c>
      <c r="I100" s="10">
        <v>15.968147999999999</v>
      </c>
      <c r="J100" s="10" t="s">
        <v>534</v>
      </c>
      <c r="K100" s="15">
        <v>1.2888999999999999E-2</v>
      </c>
      <c r="L100" s="17">
        <v>21017.076614000001</v>
      </c>
      <c r="M100" s="4" t="s">
        <v>816</v>
      </c>
      <c r="N100" s="19">
        <v>3.4982139999999999</v>
      </c>
      <c r="O100" s="19">
        <v>5.7276999999999996</v>
      </c>
      <c r="P100" s="19">
        <v>3.22</v>
      </c>
      <c r="Q100" s="19">
        <v>4.7521000000000004</v>
      </c>
      <c r="R100" s="19">
        <v>3.46</v>
      </c>
      <c r="S100" s="19">
        <v>4.3316999999999997</v>
      </c>
      <c r="T100" s="19">
        <v>3.46</v>
      </c>
      <c r="U100" s="19">
        <v>3.7648000000000001</v>
      </c>
      <c r="V100" s="19">
        <v>2.0499999999999998</v>
      </c>
      <c r="W100" s="19">
        <v>3.4969999999999999</v>
      </c>
      <c r="X100" s="19">
        <v>2.0499999999999998</v>
      </c>
      <c r="Y100" s="19">
        <v>3.4969999999999999</v>
      </c>
      <c r="Z100" s="4"/>
      <c r="AA100" s="4"/>
      <c r="AB100" s="4" t="e">
        <f ca="1">_xll.ciqfunctions.udf.CIQ("^SPX", "IQ_PRICEDATE", "5/15/2014")</f>
        <v>#NAME?</v>
      </c>
      <c r="AC100" s="16">
        <v>1870.8486363597001</v>
      </c>
    </row>
    <row r="101" spans="1:29" x14ac:dyDescent="0.35">
      <c r="A101" s="2" t="s">
        <v>111</v>
      </c>
      <c r="B101" s="4" t="s">
        <v>817</v>
      </c>
      <c r="C101" s="4" t="s">
        <v>530</v>
      </c>
      <c r="D101" s="4" t="s">
        <v>537</v>
      </c>
      <c r="E101" s="4" t="s">
        <v>538</v>
      </c>
      <c r="F101" s="4" t="s">
        <v>538</v>
      </c>
      <c r="G101" s="14">
        <v>84.28</v>
      </c>
      <c r="H101" s="10">
        <v>15.243911000000001</v>
      </c>
      <c r="I101" s="10">
        <v>23.439433000000001</v>
      </c>
      <c r="J101" s="10" t="s">
        <v>534</v>
      </c>
      <c r="K101" s="15">
        <v>0</v>
      </c>
      <c r="L101" s="17">
        <v>59279.434482999997</v>
      </c>
      <c r="M101" s="4" t="s">
        <v>818</v>
      </c>
      <c r="N101" s="19">
        <v>3.59565</v>
      </c>
      <c r="O101" s="19">
        <v>9.6285000000000007</v>
      </c>
      <c r="P101" s="19">
        <v>3.64</v>
      </c>
      <c r="Q101" s="19">
        <v>8.2898999999999994</v>
      </c>
      <c r="R101" s="19">
        <v>2.4900000000000002</v>
      </c>
      <c r="S101" s="19">
        <v>6.7851999999999997</v>
      </c>
      <c r="T101" s="19">
        <v>2.4900000000000002</v>
      </c>
      <c r="U101" s="19">
        <v>5.4412000000000003</v>
      </c>
      <c r="V101" s="19">
        <v>2.39</v>
      </c>
      <c r="W101" s="19">
        <v>4.4302000000000001</v>
      </c>
      <c r="X101" s="19">
        <v>2.39</v>
      </c>
      <c r="Y101" s="19">
        <v>4.4302000000000001</v>
      </c>
      <c r="Z101" s="4"/>
      <c r="AA101" s="4"/>
      <c r="AB101" s="4" t="e">
        <f ca="1">_xll.ciqfunctions.udf.CIQ("^SPX", "IQ_PRICEDATE", "5/16/2014")</f>
        <v>#NAME?</v>
      </c>
      <c r="AC101" s="16">
        <v>1877.8552731881</v>
      </c>
    </row>
    <row r="102" spans="1:29" x14ac:dyDescent="0.35">
      <c r="A102" s="2" t="s">
        <v>112</v>
      </c>
      <c r="B102" s="4" t="s">
        <v>819</v>
      </c>
      <c r="C102" s="4" t="s">
        <v>530</v>
      </c>
      <c r="D102" s="4" t="s">
        <v>531</v>
      </c>
      <c r="E102" s="4" t="s">
        <v>569</v>
      </c>
      <c r="F102" s="4" t="s">
        <v>570</v>
      </c>
      <c r="G102" s="14">
        <v>145.36000000000001</v>
      </c>
      <c r="H102" s="10">
        <v>13.104380000000001</v>
      </c>
      <c r="I102" s="10">
        <v>24.729672000000001</v>
      </c>
      <c r="J102" s="10">
        <v>7.9284350000000003</v>
      </c>
      <c r="K102" s="15">
        <v>0</v>
      </c>
      <c r="L102" s="17">
        <v>29836.109697</v>
      </c>
      <c r="M102" s="4" t="s">
        <v>820</v>
      </c>
      <c r="N102" s="19">
        <v>5.8779589999999997</v>
      </c>
      <c r="O102" s="19">
        <v>7.8372000000000002</v>
      </c>
      <c r="P102" s="19">
        <v>4.6900000000000004</v>
      </c>
      <c r="Q102" s="19">
        <v>5.3230000000000004</v>
      </c>
      <c r="R102" s="19">
        <v>3.41</v>
      </c>
      <c r="S102" s="19">
        <v>4.6642999999999999</v>
      </c>
      <c r="T102" s="19">
        <v>3.41</v>
      </c>
      <c r="U102" s="19">
        <v>3.5289000000000001</v>
      </c>
      <c r="V102" s="19">
        <v>2.23</v>
      </c>
      <c r="W102" s="19">
        <v>2.6775000000000002</v>
      </c>
      <c r="X102" s="19">
        <v>2.23</v>
      </c>
      <c r="Y102" s="19">
        <v>2.6775000000000002</v>
      </c>
      <c r="Z102" s="4"/>
      <c r="AA102" s="4"/>
      <c r="AB102" s="4" t="e">
        <f ca="1">_xll.ciqfunctions.udf.CIQ("^SPX", "IQ_PRICEDATE", "5/19/2014")</f>
        <v>#NAME?</v>
      </c>
      <c r="AC102" s="16">
        <v>1885.0848808167</v>
      </c>
    </row>
    <row r="103" spans="1:29" x14ac:dyDescent="0.35">
      <c r="A103" s="2" t="s">
        <v>113</v>
      </c>
      <c r="B103" s="4" t="s">
        <v>821</v>
      </c>
      <c r="C103" s="4" t="s">
        <v>619</v>
      </c>
      <c r="D103" s="4" t="s">
        <v>619</v>
      </c>
      <c r="E103" s="4" t="s">
        <v>634</v>
      </c>
      <c r="F103" s="4" t="s">
        <v>634</v>
      </c>
      <c r="G103" s="14">
        <v>27.56</v>
      </c>
      <c r="H103" s="10">
        <v>8.565016</v>
      </c>
      <c r="I103" s="10">
        <v>7.6807949999999998</v>
      </c>
      <c r="J103" s="10">
        <v>3.1851780000000001</v>
      </c>
      <c r="K103" s="15">
        <v>4.0274999999999998E-2</v>
      </c>
      <c r="L103" s="17">
        <v>13812.765533</v>
      </c>
      <c r="M103" s="4" t="s">
        <v>822</v>
      </c>
      <c r="N103" s="19">
        <v>3.5881699999999999</v>
      </c>
      <c r="O103" s="19">
        <v>1.6241000000000001</v>
      </c>
      <c r="P103" s="19">
        <v>4.13</v>
      </c>
      <c r="Q103" s="19">
        <v>1.4000999999999999</v>
      </c>
      <c r="R103" s="19">
        <v>1</v>
      </c>
      <c r="S103" s="19">
        <v>1.2421</v>
      </c>
      <c r="T103" s="19">
        <v>1</v>
      </c>
      <c r="U103" s="19">
        <v>1.0885</v>
      </c>
      <c r="V103" s="19">
        <v>1.42</v>
      </c>
      <c r="W103" s="19">
        <v>1.1583000000000001</v>
      </c>
      <c r="X103" s="19">
        <v>1.42</v>
      </c>
      <c r="Y103" s="19">
        <v>1.1583000000000001</v>
      </c>
      <c r="Z103" s="4"/>
      <c r="AA103" s="4"/>
      <c r="AB103" s="4" t="e">
        <f ca="1">_xll.ciqfunctions.udf.CIQ("^SPX", "IQ_PRICEDATE", "5/20/2014")</f>
        <v>#NAME?</v>
      </c>
      <c r="AC103" s="16">
        <v>1872.834226359</v>
      </c>
    </row>
    <row r="104" spans="1:29" x14ac:dyDescent="0.35">
      <c r="A104" s="2" t="s">
        <v>114</v>
      </c>
      <c r="B104" s="4" t="s">
        <v>823</v>
      </c>
      <c r="C104" s="4" t="s">
        <v>549</v>
      </c>
      <c r="D104" s="4" t="s">
        <v>713</v>
      </c>
      <c r="E104" s="4" t="s">
        <v>714</v>
      </c>
      <c r="F104" s="4" t="s">
        <v>824</v>
      </c>
      <c r="G104" s="14">
        <v>21.15</v>
      </c>
      <c r="H104" s="10">
        <v>7.876487</v>
      </c>
      <c r="I104" s="10">
        <v>11.669796</v>
      </c>
      <c r="J104" s="10" t="s">
        <v>534</v>
      </c>
      <c r="K104" s="15">
        <v>0.102127</v>
      </c>
      <c r="L104" s="17">
        <v>22844.607350999999</v>
      </c>
      <c r="M104" s="4" t="s">
        <v>825</v>
      </c>
      <c r="N104" s="19">
        <v>1.812371</v>
      </c>
      <c r="O104" s="19">
        <v>1.1889000000000001</v>
      </c>
      <c r="P104" s="19">
        <v>2.21</v>
      </c>
      <c r="Q104" s="19">
        <v>1.4044000000000001</v>
      </c>
      <c r="R104" s="19">
        <v>1.1599999999999999</v>
      </c>
      <c r="S104" s="19">
        <v>2.2555000000000001</v>
      </c>
      <c r="T104" s="19">
        <v>1.1599999999999999</v>
      </c>
      <c r="U104" s="19">
        <v>2.4289999999999998</v>
      </c>
      <c r="V104" s="19">
        <v>1.358114</v>
      </c>
      <c r="W104" s="19">
        <v>2.5156999999999998</v>
      </c>
      <c r="X104" s="19">
        <v>1.358114</v>
      </c>
      <c r="Y104" s="19">
        <v>2.5156999999999998</v>
      </c>
      <c r="Z104" s="4"/>
      <c r="AA104" s="4"/>
      <c r="AB104" s="4" t="e">
        <f ca="1">_xll.ciqfunctions.udf.CIQ("^SPX", "IQ_PRICEDATE", "5/21/2014")</f>
        <v>#NAME?</v>
      </c>
      <c r="AC104" s="16">
        <v>1888.0302964502</v>
      </c>
    </row>
    <row r="105" spans="1:29" x14ac:dyDescent="0.35">
      <c r="A105" s="2" t="s">
        <v>115</v>
      </c>
      <c r="B105" s="4" t="s">
        <v>826</v>
      </c>
      <c r="C105" s="4" t="s">
        <v>530</v>
      </c>
      <c r="D105" s="4" t="s">
        <v>531</v>
      </c>
      <c r="E105" s="4" t="s">
        <v>827</v>
      </c>
      <c r="F105" s="4" t="s">
        <v>827</v>
      </c>
      <c r="G105" s="14">
        <v>64.23</v>
      </c>
      <c r="H105" s="10">
        <v>16.017620000000001</v>
      </c>
      <c r="I105" s="10">
        <v>25.674551000000001</v>
      </c>
      <c r="J105" s="10">
        <v>7.7621149999999997</v>
      </c>
      <c r="K105" s="15">
        <v>0</v>
      </c>
      <c r="L105" s="17">
        <v>21131.950749</v>
      </c>
      <c r="M105" s="4" t="s">
        <v>828</v>
      </c>
      <c r="N105" s="19">
        <v>2.5016989999999999</v>
      </c>
      <c r="O105" s="19">
        <v>2.6396000000000002</v>
      </c>
      <c r="P105" s="19">
        <v>2.57</v>
      </c>
      <c r="Q105" s="19">
        <v>2.5301999999999998</v>
      </c>
      <c r="R105" s="19">
        <v>1.85</v>
      </c>
      <c r="S105" s="19">
        <v>2.4882</v>
      </c>
      <c r="T105" s="19">
        <v>1.85</v>
      </c>
      <c r="U105" s="19">
        <v>2.286</v>
      </c>
      <c r="V105" s="19">
        <v>1.24926</v>
      </c>
      <c r="W105" s="19">
        <v>1.94</v>
      </c>
      <c r="X105" s="19">
        <v>1.24926</v>
      </c>
      <c r="Y105" s="19">
        <v>1.94</v>
      </c>
      <c r="Z105" s="4"/>
      <c r="AA105" s="4"/>
      <c r="AB105" s="4" t="e">
        <f ca="1">_xll.ciqfunctions.udf.CIQ("^SPX", "IQ_PRICEDATE", "5/22/2014")</f>
        <v>#NAME?</v>
      </c>
      <c r="AC105" s="16">
        <v>1892.4936293646999</v>
      </c>
    </row>
    <row r="106" spans="1:29" x14ac:dyDescent="0.35">
      <c r="A106" s="2" t="s">
        <v>116</v>
      </c>
      <c r="B106" s="4" t="s">
        <v>829</v>
      </c>
      <c r="C106" s="4" t="s">
        <v>586</v>
      </c>
      <c r="D106" s="4" t="s">
        <v>586</v>
      </c>
      <c r="E106" s="4" t="s">
        <v>587</v>
      </c>
      <c r="F106" s="4" t="s">
        <v>830</v>
      </c>
      <c r="G106" s="14">
        <v>51.5</v>
      </c>
      <c r="H106" s="10">
        <v>13.435985000000001</v>
      </c>
      <c r="I106" s="10">
        <v>20.480450999999999</v>
      </c>
      <c r="J106" s="10">
        <v>11.226429</v>
      </c>
      <c r="K106" s="15">
        <v>2.3300000000000001E-2</v>
      </c>
      <c r="L106" s="17">
        <v>12023.636145</v>
      </c>
      <c r="M106" s="4" t="s">
        <v>831</v>
      </c>
      <c r="N106" s="19">
        <v>2.5145930000000001</v>
      </c>
      <c r="O106" s="19">
        <v>2.0055000000000001</v>
      </c>
      <c r="P106" s="19">
        <v>1.53</v>
      </c>
      <c r="Q106" s="19">
        <v>0.20280000000000001</v>
      </c>
      <c r="R106" s="19">
        <v>-1.19</v>
      </c>
      <c r="S106" s="19">
        <v>0.26919999999999999</v>
      </c>
      <c r="T106" s="19">
        <v>-1.19</v>
      </c>
      <c r="U106" s="19">
        <v>4.0796000000000001</v>
      </c>
      <c r="V106" s="19">
        <v>5.42</v>
      </c>
      <c r="W106" s="19">
        <v>4.0696000000000003</v>
      </c>
      <c r="X106" s="19">
        <v>5.42</v>
      </c>
      <c r="Y106" s="19">
        <v>4.0696000000000003</v>
      </c>
      <c r="Z106" s="4"/>
      <c r="AA106" s="4"/>
      <c r="AB106" s="4" t="e">
        <f ca="1">_xll.ciqfunctions.udf.CIQ("^SPX", "IQ_PRICEDATE", "5/23/2014")</f>
        <v>#NAME?</v>
      </c>
      <c r="AC106" s="16">
        <v>1900.5332285925999</v>
      </c>
    </row>
    <row r="107" spans="1:29" x14ac:dyDescent="0.35">
      <c r="A107" s="2" t="s">
        <v>117</v>
      </c>
      <c r="B107" s="4" t="s">
        <v>832</v>
      </c>
      <c r="C107" s="4" t="s">
        <v>549</v>
      </c>
      <c r="D107" s="4" t="s">
        <v>550</v>
      </c>
      <c r="E107" s="4" t="s">
        <v>814</v>
      </c>
      <c r="F107" s="4" t="s">
        <v>833</v>
      </c>
      <c r="G107" s="14">
        <v>319.83</v>
      </c>
      <c r="H107" s="10">
        <v>9.9014389999999999</v>
      </c>
      <c r="I107" s="10">
        <v>8.7660979999999995</v>
      </c>
      <c r="J107" s="10" t="s">
        <v>534</v>
      </c>
      <c r="K107" s="15">
        <v>0</v>
      </c>
      <c r="L107" s="17">
        <v>74157.041372000007</v>
      </c>
      <c r="M107" s="4" t="s">
        <v>834</v>
      </c>
      <c r="N107" s="19">
        <v>36.484875000000002</v>
      </c>
      <c r="O107" s="19">
        <v>5.9424999999999999</v>
      </c>
      <c r="P107" s="19">
        <v>34.087850000000003</v>
      </c>
      <c r="Q107" s="19">
        <v>3.9973999999999998</v>
      </c>
      <c r="R107" s="19">
        <v>15.946066</v>
      </c>
      <c r="S107" s="19">
        <v>4.7812999999999999</v>
      </c>
      <c r="T107" s="19">
        <v>15.946066</v>
      </c>
      <c r="U107" s="19">
        <v>0</v>
      </c>
      <c r="V107" s="19">
        <v>-1.879999</v>
      </c>
      <c r="W107" s="19">
        <v>0</v>
      </c>
      <c r="X107" s="19">
        <v>-1.879999</v>
      </c>
      <c r="Y107" s="19">
        <v>0</v>
      </c>
      <c r="Z107" s="4"/>
      <c r="AA107" s="4"/>
      <c r="AB107" s="4" t="e">
        <f ca="1">_xll.ciqfunctions.udf.CIQ("^SPX", "IQ_PRICEDATE", "5/27/2014")</f>
        <v>#NAME?</v>
      </c>
      <c r="AC107" s="16">
        <v>1911.9106246526001</v>
      </c>
    </row>
    <row r="108" spans="1:29" x14ac:dyDescent="0.35">
      <c r="A108" s="2" t="s">
        <v>118</v>
      </c>
      <c r="B108" s="4" t="s">
        <v>835</v>
      </c>
      <c r="C108" s="4" t="s">
        <v>669</v>
      </c>
      <c r="D108" s="4" t="s">
        <v>669</v>
      </c>
      <c r="E108" s="4" t="s">
        <v>670</v>
      </c>
      <c r="F108" s="4" t="s">
        <v>836</v>
      </c>
      <c r="G108" s="14">
        <v>117.29</v>
      </c>
      <c r="H108" s="10">
        <v>8.180911</v>
      </c>
      <c r="I108" s="10">
        <v>18.462710000000001</v>
      </c>
      <c r="J108" s="10">
        <v>1.5218370000000001</v>
      </c>
      <c r="K108" s="15">
        <v>3.8195E-2</v>
      </c>
      <c r="L108" s="17">
        <v>224744.89335900001</v>
      </c>
      <c r="M108" s="4" t="s">
        <v>837</v>
      </c>
      <c r="N108" s="19">
        <v>6.352805</v>
      </c>
      <c r="O108" s="19">
        <v>9.1348000000000003</v>
      </c>
      <c r="P108" s="19">
        <v>4.8499999999999996</v>
      </c>
      <c r="Q108" s="19">
        <v>5.5984999999999996</v>
      </c>
      <c r="R108" s="19">
        <v>-0.27</v>
      </c>
      <c r="S108" s="19">
        <v>3.8411</v>
      </c>
      <c r="T108" s="19">
        <v>-0.27</v>
      </c>
      <c r="U108" s="19">
        <v>3.4708999999999999</v>
      </c>
      <c r="V108" s="19">
        <v>10.14</v>
      </c>
      <c r="W108" s="19">
        <v>6.7920999999999996</v>
      </c>
      <c r="X108" s="19">
        <v>10.14</v>
      </c>
      <c r="Y108" s="19">
        <v>6.7920999999999996</v>
      </c>
      <c r="Z108" s="4"/>
      <c r="AA108" s="4"/>
      <c r="AB108" s="4" t="e">
        <f ca="1">_xll.ciqfunctions.udf.CIQ("^SPX", "IQ_PRICEDATE", "5/28/2014")</f>
        <v>#NAME?</v>
      </c>
      <c r="AC108" s="16">
        <v>1909.7819247730999</v>
      </c>
    </row>
    <row r="109" spans="1:29" x14ac:dyDescent="0.35">
      <c r="A109" s="2" t="s">
        <v>119</v>
      </c>
      <c r="B109" s="4" t="s">
        <v>838</v>
      </c>
      <c r="C109" s="4" t="s">
        <v>559</v>
      </c>
      <c r="D109" s="4" t="s">
        <v>798</v>
      </c>
      <c r="E109" s="4" t="s">
        <v>799</v>
      </c>
      <c r="F109" s="4" t="s">
        <v>839</v>
      </c>
      <c r="G109" s="14">
        <v>429.85</v>
      </c>
      <c r="H109" s="10">
        <v>21.943809000000002</v>
      </c>
      <c r="I109" s="10">
        <v>71.232399999999998</v>
      </c>
      <c r="J109" s="10">
        <v>8.725835</v>
      </c>
      <c r="K109" s="15">
        <v>0</v>
      </c>
      <c r="L109" s="17">
        <v>11951.594534</v>
      </c>
      <c r="M109" s="4" t="s">
        <v>840</v>
      </c>
      <c r="N109" s="19">
        <v>6.0344730000000002</v>
      </c>
      <c r="O109" s="19">
        <v>10.248100000000001</v>
      </c>
      <c r="P109" s="19">
        <v>6.17</v>
      </c>
      <c r="Q109" s="19">
        <v>8.5454000000000008</v>
      </c>
      <c r="R109" s="19">
        <v>0.77</v>
      </c>
      <c r="S109" s="19">
        <v>7.6215000000000002</v>
      </c>
      <c r="T109" s="19">
        <v>0.77</v>
      </c>
      <c r="U109" s="19">
        <v>14.9651</v>
      </c>
      <c r="V109" s="19">
        <v>14.13</v>
      </c>
      <c r="W109" s="19">
        <v>16.701000000000001</v>
      </c>
      <c r="X109" s="19">
        <v>14.13</v>
      </c>
      <c r="Y109" s="19">
        <v>16.701000000000001</v>
      </c>
      <c r="Z109" s="4"/>
      <c r="AA109" s="4"/>
      <c r="AB109" s="4" t="e">
        <f ca="1">_xll.ciqfunctions.udf.CIQ("^SPX", "IQ_PRICEDATE", "5/29/2014")</f>
        <v>#NAME?</v>
      </c>
      <c r="AC109" s="16">
        <v>1920.0268444223</v>
      </c>
    </row>
    <row r="110" spans="1:29" x14ac:dyDescent="0.35">
      <c r="A110" s="2" t="s">
        <v>120</v>
      </c>
      <c r="B110" s="4" t="s">
        <v>841</v>
      </c>
      <c r="C110" s="4" t="s">
        <v>573</v>
      </c>
      <c r="D110" s="4" t="s">
        <v>579</v>
      </c>
      <c r="E110" s="4" t="s">
        <v>579</v>
      </c>
      <c r="F110" s="4" t="s">
        <v>842</v>
      </c>
      <c r="G110" s="14">
        <v>127.13</v>
      </c>
      <c r="H110" s="10">
        <v>15.337028</v>
      </c>
      <c r="I110" s="10">
        <v>15.554173</v>
      </c>
      <c r="J110" s="10">
        <v>2.0171510000000001</v>
      </c>
      <c r="K110" s="15">
        <v>2.2968000000000002E-2</v>
      </c>
      <c r="L110" s="17">
        <v>58616.60828</v>
      </c>
      <c r="M110" s="4" t="s">
        <v>843</v>
      </c>
      <c r="N110" s="19">
        <v>8.1733689999999992</v>
      </c>
      <c r="O110" s="19">
        <v>10.541700000000001</v>
      </c>
      <c r="P110" s="19">
        <v>8.1899990000000003</v>
      </c>
      <c r="Q110" s="19">
        <v>10.3453</v>
      </c>
      <c r="R110" s="19">
        <v>8.869999</v>
      </c>
      <c r="S110" s="19">
        <v>10.172700000000001</v>
      </c>
      <c r="T110" s="19">
        <v>8.869999</v>
      </c>
      <c r="U110" s="19">
        <v>9.4906000000000006</v>
      </c>
      <c r="V110" s="19">
        <v>8.42</v>
      </c>
      <c r="W110" s="19">
        <v>9.2250999999999994</v>
      </c>
      <c r="X110" s="19">
        <v>8.42</v>
      </c>
      <c r="Y110" s="19">
        <v>9.2250999999999994</v>
      </c>
      <c r="Z110" s="4"/>
      <c r="AA110" s="4"/>
      <c r="AB110" s="4" t="e">
        <f ca="1">_xll.ciqfunctions.udf.CIQ("^SPX", "IQ_PRICEDATE", "5/30/2014")</f>
        <v>#NAME?</v>
      </c>
      <c r="AC110" s="16">
        <v>1923.5726606584001</v>
      </c>
    </row>
    <row r="111" spans="1:29" x14ac:dyDescent="0.35">
      <c r="A111" s="2" t="s">
        <v>121</v>
      </c>
      <c r="B111" s="4" t="s">
        <v>844</v>
      </c>
      <c r="C111" s="4" t="s">
        <v>626</v>
      </c>
      <c r="D111" s="4" t="s">
        <v>845</v>
      </c>
      <c r="E111" s="4" t="s">
        <v>846</v>
      </c>
      <c r="F111" s="4" t="s">
        <v>846</v>
      </c>
      <c r="G111" s="14">
        <v>58.51</v>
      </c>
      <c r="H111" s="10">
        <v>17.282603999999999</v>
      </c>
      <c r="I111" s="10">
        <v>18.015260000000001</v>
      </c>
      <c r="J111" s="10" t="s">
        <v>534</v>
      </c>
      <c r="K111" s="15">
        <v>1.4869E-2</v>
      </c>
      <c r="L111" s="17">
        <v>14358.819563999999</v>
      </c>
      <c r="M111" s="4" t="s">
        <v>847</v>
      </c>
      <c r="N111" s="19">
        <v>3.2478020000000001</v>
      </c>
      <c r="O111" s="19">
        <v>2.3222</v>
      </c>
      <c r="P111" s="19">
        <v>2.9</v>
      </c>
      <c r="Q111" s="19">
        <v>2.0617999999999999</v>
      </c>
      <c r="R111" s="19">
        <v>1.75</v>
      </c>
      <c r="S111" s="19">
        <v>1.8452999999999999</v>
      </c>
      <c r="T111" s="19">
        <v>1.75</v>
      </c>
      <c r="U111" s="19">
        <v>1.7171000000000001</v>
      </c>
      <c r="V111" s="19">
        <v>1.51</v>
      </c>
      <c r="W111" s="19">
        <v>1.6175999999999999</v>
      </c>
      <c r="X111" s="19">
        <v>1.51</v>
      </c>
      <c r="Y111" s="19">
        <v>1.6175999999999999</v>
      </c>
      <c r="Z111" s="4"/>
      <c r="AA111" s="4"/>
      <c r="AB111" s="4" t="e">
        <f ca="1">_xll.ciqfunctions.udf.CIQ("^SPX", "IQ_PRICEDATE", "6/2/2014")</f>
        <v>#NAME?</v>
      </c>
      <c r="AC111" s="16">
        <v>1924.9653923408</v>
      </c>
    </row>
    <row r="112" spans="1:29" x14ac:dyDescent="0.35">
      <c r="A112" s="2" t="s">
        <v>122</v>
      </c>
      <c r="B112" s="4" t="s">
        <v>848</v>
      </c>
      <c r="C112" s="4" t="s">
        <v>530</v>
      </c>
      <c r="D112" s="4" t="s">
        <v>531</v>
      </c>
      <c r="E112" s="4" t="s">
        <v>569</v>
      </c>
      <c r="F112" s="4" t="s">
        <v>570</v>
      </c>
      <c r="G112" s="14">
        <v>211.2</v>
      </c>
      <c r="H112" s="10">
        <v>10.692087000000001</v>
      </c>
      <c r="I112" s="10">
        <v>20.594889999999999</v>
      </c>
      <c r="J112" s="10">
        <v>5.9753179999999997</v>
      </c>
      <c r="K112" s="15">
        <v>1.8900000000000001E-4</v>
      </c>
      <c r="L112" s="17">
        <v>51398.599085000002</v>
      </c>
      <c r="M112" s="4" t="s">
        <v>849</v>
      </c>
      <c r="N112" s="19">
        <v>10.254970999999999</v>
      </c>
      <c r="O112" s="19">
        <v>14.3537</v>
      </c>
      <c r="P112" s="19">
        <v>8.77</v>
      </c>
      <c r="Q112" s="19">
        <v>10.8766</v>
      </c>
      <c r="R112" s="19">
        <v>7.19</v>
      </c>
      <c r="S112" s="19">
        <v>9.0960999999999999</v>
      </c>
      <c r="T112" s="19">
        <v>7.19</v>
      </c>
      <c r="U112" s="19">
        <v>9.0611999999999995</v>
      </c>
      <c r="V112" s="19">
        <v>7.83</v>
      </c>
      <c r="W112" s="19">
        <v>7.9344999999999999</v>
      </c>
      <c r="X112" s="19">
        <v>7.83</v>
      </c>
      <c r="Y112" s="19">
        <v>7.9344999999999999</v>
      </c>
      <c r="Z112" s="4"/>
      <c r="AA112" s="4"/>
      <c r="AB112" s="4" t="e">
        <f ca="1">_xll.ciqfunctions.udf.CIQ("^SPX", "IQ_PRICEDATE", "6/3/2014")</f>
        <v>#NAME?</v>
      </c>
      <c r="AC112" s="16">
        <v>1924.2447476350001</v>
      </c>
    </row>
    <row r="113" spans="1:29" x14ac:dyDescent="0.35">
      <c r="A113" s="2" t="s">
        <v>123</v>
      </c>
      <c r="B113" s="4" t="s">
        <v>850</v>
      </c>
      <c r="C113" s="4" t="s">
        <v>669</v>
      </c>
      <c r="D113" s="4" t="s">
        <v>669</v>
      </c>
      <c r="E113" s="4" t="s">
        <v>670</v>
      </c>
      <c r="F113" s="4" t="s">
        <v>671</v>
      </c>
      <c r="G113" s="14">
        <v>92.25</v>
      </c>
      <c r="H113" s="10">
        <v>7.5562699999999996</v>
      </c>
      <c r="I113" s="10">
        <v>14.790518</v>
      </c>
      <c r="J113" s="10">
        <v>3.8152659999999998</v>
      </c>
      <c r="K113" s="15">
        <v>7.8040000000000002E-3</v>
      </c>
      <c r="L113" s="17">
        <v>8796.5978269999996</v>
      </c>
      <c r="M113" s="4" t="s">
        <v>851</v>
      </c>
      <c r="N113" s="19">
        <v>6.2371040000000004</v>
      </c>
      <c r="O113" s="19">
        <v>7.1073000000000004</v>
      </c>
      <c r="P113" s="19">
        <v>5.1950180000000001</v>
      </c>
      <c r="Q113" s="19">
        <v>5.6308999999999996</v>
      </c>
      <c r="R113" s="19">
        <v>-4.38</v>
      </c>
      <c r="S113" s="19">
        <v>3.3431000000000002</v>
      </c>
      <c r="T113" s="19">
        <v>-4.38</v>
      </c>
      <c r="U113" s="19">
        <v>2.5700000000000001E-2</v>
      </c>
      <c r="V113" s="19">
        <v>6.0154290000000001</v>
      </c>
      <c r="W113" s="19">
        <v>3.4388000000000001</v>
      </c>
      <c r="X113" s="19">
        <v>6.0154290000000001</v>
      </c>
      <c r="Y113" s="19">
        <v>3.4388000000000001</v>
      </c>
      <c r="Z113" s="4"/>
      <c r="AA113" s="4"/>
      <c r="AB113" s="4" t="e">
        <f ca="1">_xll.ciqfunctions.udf.CIQ("^SPX", "IQ_PRICEDATE", "6/4/2014")</f>
        <v>#NAME?</v>
      </c>
      <c r="AC113" s="16">
        <v>1927.8750457919</v>
      </c>
    </row>
    <row r="114" spans="1:29" x14ac:dyDescent="0.35">
      <c r="A114" s="2" t="s">
        <v>124</v>
      </c>
      <c r="B114" s="4" t="s">
        <v>852</v>
      </c>
      <c r="C114" s="4" t="s">
        <v>573</v>
      </c>
      <c r="D114" s="4" t="s">
        <v>579</v>
      </c>
      <c r="E114" s="4" t="s">
        <v>579</v>
      </c>
      <c r="F114" s="4" t="s">
        <v>842</v>
      </c>
      <c r="G114" s="14">
        <v>75.75</v>
      </c>
      <c r="H114" s="10">
        <v>19.431715000000001</v>
      </c>
      <c r="I114" s="10">
        <v>13.499415000000001</v>
      </c>
      <c r="J114" s="10">
        <v>1.5559559999999999</v>
      </c>
      <c r="K114" s="15">
        <v>2.7986E-2</v>
      </c>
      <c r="L114" s="17">
        <v>12320.910286</v>
      </c>
      <c r="M114" s="4" t="s">
        <v>853</v>
      </c>
      <c r="N114" s="19">
        <v>5.6113540000000004</v>
      </c>
      <c r="O114" s="19">
        <v>3.1537000000000002</v>
      </c>
      <c r="P114" s="19">
        <v>6.29</v>
      </c>
      <c r="Q114" s="19">
        <v>3.0217000000000001</v>
      </c>
      <c r="R114" s="19">
        <v>3.55</v>
      </c>
      <c r="S114" s="19">
        <v>2.8711000000000002</v>
      </c>
      <c r="T114" s="19">
        <v>3.55</v>
      </c>
      <c r="U114" s="19">
        <v>2.669</v>
      </c>
      <c r="V114" s="19">
        <v>3.18</v>
      </c>
      <c r="W114" s="19">
        <v>2.6869999999999998</v>
      </c>
      <c r="X114" s="19">
        <v>3.18</v>
      </c>
      <c r="Y114" s="19">
        <v>2.6869999999999998</v>
      </c>
      <c r="Z114" s="4"/>
      <c r="AA114" s="4"/>
      <c r="AB114" s="4" t="e">
        <f ca="1">_xll.ciqfunctions.udf.CIQ("^SPX", "IQ_PRICEDATE", "6/5/2014")</f>
        <v>#NAME?</v>
      </c>
      <c r="AC114" s="16">
        <v>1940.4579108554001</v>
      </c>
    </row>
    <row r="115" spans="1:29" x14ac:dyDescent="0.35">
      <c r="A115" s="2" t="s">
        <v>125</v>
      </c>
      <c r="B115" s="4" t="s">
        <v>854</v>
      </c>
      <c r="C115" s="4" t="s">
        <v>525</v>
      </c>
      <c r="D115" s="4" t="s">
        <v>855</v>
      </c>
      <c r="E115" s="4" t="s">
        <v>856</v>
      </c>
      <c r="F115" s="4" t="s">
        <v>857</v>
      </c>
      <c r="G115" s="14">
        <v>186.2</v>
      </c>
      <c r="H115" s="10">
        <v>17.053842</v>
      </c>
      <c r="I115" s="10">
        <v>24.941884000000002</v>
      </c>
      <c r="J115" s="10" t="s">
        <v>534</v>
      </c>
      <c r="K115" s="15">
        <v>8.6999999999999994E-3</v>
      </c>
      <c r="L115" s="17">
        <v>20239.729965999999</v>
      </c>
      <c r="M115" s="4" t="s">
        <v>858</v>
      </c>
      <c r="N115" s="19">
        <v>7.4653539999999996</v>
      </c>
      <c r="O115" s="19">
        <v>7.2948000000000004</v>
      </c>
      <c r="P115" s="19">
        <v>4.5051899999999998</v>
      </c>
      <c r="Q115" s="19">
        <v>6.0221</v>
      </c>
      <c r="R115" s="19">
        <v>4.4190209999999999</v>
      </c>
      <c r="S115" s="19">
        <v>4.6477000000000004</v>
      </c>
      <c r="T115" s="19">
        <v>4.4190209999999999</v>
      </c>
      <c r="U115" s="19">
        <v>4.1696999999999997</v>
      </c>
      <c r="V115" s="19">
        <v>3.481042</v>
      </c>
      <c r="W115" s="19">
        <v>3.4535999999999998</v>
      </c>
      <c r="X115" s="19">
        <v>3.481042</v>
      </c>
      <c r="Y115" s="19">
        <v>3.4535999999999998</v>
      </c>
      <c r="Z115" s="4"/>
      <c r="AA115" s="4"/>
      <c r="AB115" s="4" t="e">
        <f ca="1">_xll.ciqfunctions.udf.CIQ("^SPX", "IQ_PRICEDATE", "6/6/2014")</f>
        <v>#NAME?</v>
      </c>
      <c r="AC115" s="16">
        <v>1949.4407261495001</v>
      </c>
    </row>
    <row r="116" spans="1:29" x14ac:dyDescent="0.35">
      <c r="A116" s="2" t="s">
        <v>126</v>
      </c>
      <c r="B116" s="4" t="s">
        <v>859</v>
      </c>
      <c r="C116" s="4" t="s">
        <v>543</v>
      </c>
      <c r="D116" s="4" t="s">
        <v>664</v>
      </c>
      <c r="E116" s="4" t="s">
        <v>706</v>
      </c>
      <c r="F116" s="4" t="s">
        <v>706</v>
      </c>
      <c r="G116" s="14">
        <v>45.94</v>
      </c>
      <c r="H116" s="10">
        <v>12.831654</v>
      </c>
      <c r="I116" s="10" t="s">
        <v>534</v>
      </c>
      <c r="J116" s="10">
        <v>23.694078999999999</v>
      </c>
      <c r="K116" s="15">
        <v>2.8732999999999998E-2</v>
      </c>
      <c r="L116" s="17">
        <v>210007.09020800001</v>
      </c>
      <c r="M116" s="4" t="s">
        <v>860</v>
      </c>
      <c r="N116" s="19">
        <v>0.02</v>
      </c>
      <c r="O116" s="19">
        <v>2.9945499999999998</v>
      </c>
      <c r="P116" s="19">
        <v>1.920067</v>
      </c>
      <c r="Q116" s="19">
        <v>2.4861</v>
      </c>
      <c r="R116" s="19">
        <v>2.0904799999999999</v>
      </c>
      <c r="S116" s="19">
        <v>2.3752</v>
      </c>
      <c r="T116" s="19">
        <v>2.0904799999999999</v>
      </c>
      <c r="U116" s="19">
        <v>2.2746</v>
      </c>
      <c r="V116" s="19">
        <v>1.470348</v>
      </c>
      <c r="W116" s="19">
        <v>2.1516000000000002</v>
      </c>
      <c r="X116" s="19">
        <v>1.470348</v>
      </c>
      <c r="Y116" s="19">
        <v>2.1516000000000002</v>
      </c>
      <c r="Z116" s="4"/>
      <c r="AA116" s="4"/>
      <c r="AB116" s="4" t="e">
        <f ca="1">_xll.ciqfunctions.udf.CIQ("^SPX", "IQ_PRICEDATE", "6/9/2014")</f>
        <v>#NAME?</v>
      </c>
      <c r="AC116" s="16">
        <v>1951.2725755604999</v>
      </c>
    </row>
    <row r="117" spans="1:29" x14ac:dyDescent="0.35">
      <c r="A117" s="2" t="s">
        <v>127</v>
      </c>
      <c r="B117" s="4" t="s">
        <v>861</v>
      </c>
      <c r="C117" s="4" t="s">
        <v>573</v>
      </c>
      <c r="D117" s="4" t="s">
        <v>737</v>
      </c>
      <c r="E117" s="4" t="s">
        <v>737</v>
      </c>
      <c r="F117" s="4" t="s">
        <v>738</v>
      </c>
      <c r="G117" s="14">
        <v>69.84</v>
      </c>
      <c r="H117" s="10">
        <v>0</v>
      </c>
      <c r="I117" s="10" t="s">
        <v>534</v>
      </c>
      <c r="J117" s="10">
        <v>1.1281369999999999</v>
      </c>
      <c r="K117" s="15">
        <v>2.5773000000000001E-2</v>
      </c>
      <c r="L117" s="17">
        <v>170556.264</v>
      </c>
      <c r="M117" s="4" t="s">
        <v>862</v>
      </c>
      <c r="N117" s="19">
        <v>-2.4616829999999998</v>
      </c>
      <c r="O117" s="19">
        <v>7.3517999999999999</v>
      </c>
      <c r="P117" s="19">
        <v>-2.9412630000000002</v>
      </c>
      <c r="Q117" s="19">
        <v>5.7472000000000003</v>
      </c>
      <c r="R117" s="19">
        <v>4.74</v>
      </c>
      <c r="S117" s="19">
        <v>5.0576999999999996</v>
      </c>
      <c r="T117" s="19">
        <v>4.74</v>
      </c>
      <c r="U117" s="19">
        <v>5.5250000000000004</v>
      </c>
      <c r="V117" s="19">
        <v>2.2031610000000001</v>
      </c>
      <c r="W117" s="19">
        <v>5.2234999999999996</v>
      </c>
      <c r="X117" s="19">
        <v>2.2031610000000001</v>
      </c>
      <c r="Y117" s="19">
        <v>5.2234999999999996</v>
      </c>
      <c r="Z117" s="4"/>
      <c r="AA117" s="4"/>
      <c r="AB117" s="4" t="e">
        <f ca="1">_xll.ciqfunctions.udf.CIQ("^SPX", "IQ_PRICEDATE", "6/10/2014")</f>
        <v>#NAME?</v>
      </c>
      <c r="AC117" s="16">
        <v>1950.7944545133</v>
      </c>
    </row>
    <row r="118" spans="1:29" x14ac:dyDescent="0.35">
      <c r="A118" s="2" t="s">
        <v>128</v>
      </c>
      <c r="B118" s="4" t="s">
        <v>863</v>
      </c>
      <c r="C118" s="4" t="s">
        <v>573</v>
      </c>
      <c r="D118" s="4" t="s">
        <v>737</v>
      </c>
      <c r="E118" s="4" t="s">
        <v>737</v>
      </c>
      <c r="F118" s="4" t="s">
        <v>743</v>
      </c>
      <c r="G118" s="14">
        <v>35.89</v>
      </c>
      <c r="H118" s="10">
        <v>0</v>
      </c>
      <c r="I118" s="10">
        <v>9.7722610000000003</v>
      </c>
      <c r="J118" s="10">
        <v>1.3325709999999999</v>
      </c>
      <c r="K118" s="15">
        <v>3.0091E-2</v>
      </c>
      <c r="L118" s="17">
        <v>17081.717766999998</v>
      </c>
      <c r="M118" s="4" t="s">
        <v>864</v>
      </c>
      <c r="N118" s="19">
        <v>3.6726399999999999</v>
      </c>
      <c r="O118" s="19">
        <v>3.6179000000000001</v>
      </c>
      <c r="P118" s="19">
        <v>3.25</v>
      </c>
      <c r="Q118" s="19">
        <v>2.7635000000000001</v>
      </c>
      <c r="R118" s="19">
        <v>1.9699990000000001</v>
      </c>
      <c r="S118" s="19">
        <v>2.1251000000000002</v>
      </c>
      <c r="T118" s="19">
        <v>1.9699990000000001</v>
      </c>
      <c r="U118" s="19">
        <v>1.788</v>
      </c>
      <c r="V118" s="19">
        <v>1.55</v>
      </c>
      <c r="W118" s="19">
        <v>1.538</v>
      </c>
      <c r="X118" s="19">
        <v>1.55</v>
      </c>
      <c r="Y118" s="19">
        <v>1.538</v>
      </c>
      <c r="Z118" s="4"/>
      <c r="AA118" s="4"/>
      <c r="AB118" s="4" t="e">
        <f ca="1">_xll.ciqfunctions.udf.CIQ("^SPX", "IQ_PRICEDATE", "6/11/2014")</f>
        <v>#NAME?</v>
      </c>
      <c r="AC118" s="16">
        <v>1943.8902085838999</v>
      </c>
    </row>
    <row r="119" spans="1:29" x14ac:dyDescent="0.35">
      <c r="A119" s="2" t="s">
        <v>129</v>
      </c>
      <c r="B119" s="4" t="s">
        <v>865</v>
      </c>
      <c r="C119" s="4" t="s">
        <v>543</v>
      </c>
      <c r="D119" s="4" t="s">
        <v>544</v>
      </c>
      <c r="E119" s="4" t="s">
        <v>555</v>
      </c>
      <c r="F119" s="4" t="s">
        <v>556</v>
      </c>
      <c r="G119" s="14">
        <v>105.12</v>
      </c>
      <c r="H119" s="10">
        <v>16.721952000000002</v>
      </c>
      <c r="I119" s="10">
        <v>169.00267199999999</v>
      </c>
      <c r="J119" s="10" t="s">
        <v>534</v>
      </c>
      <c r="K119" s="15">
        <v>0</v>
      </c>
      <c r="L119" s="17">
        <v>14260.415843999999</v>
      </c>
      <c r="M119" s="4" t="s">
        <v>866</v>
      </c>
      <c r="N119" s="19">
        <v>0.62200200000000005</v>
      </c>
      <c r="O119" s="19">
        <v>5.6304999999999996</v>
      </c>
      <c r="P119" s="19">
        <v>0.14000000000000001</v>
      </c>
      <c r="Q119" s="19">
        <v>4.8891999999999998</v>
      </c>
      <c r="R119" s="19">
        <v>2.99</v>
      </c>
      <c r="S119" s="19">
        <v>5.2575000000000003</v>
      </c>
      <c r="T119" s="19">
        <v>2.99</v>
      </c>
      <c r="U119" s="19">
        <v>4.3033999999999999</v>
      </c>
      <c r="V119" s="19">
        <v>1.47</v>
      </c>
      <c r="W119" s="19">
        <v>3.5560999999999998</v>
      </c>
      <c r="X119" s="19">
        <v>1.47</v>
      </c>
      <c r="Y119" s="19">
        <v>3.5560999999999998</v>
      </c>
      <c r="Z119" s="4"/>
      <c r="AA119" s="4"/>
      <c r="AB119" s="4" t="e">
        <f ca="1">_xll.ciqfunctions.udf.CIQ("^SPX", "IQ_PRICEDATE", "6/12/2014")</f>
        <v>#NAME?</v>
      </c>
      <c r="AC119" s="16">
        <v>1930.1146012465999</v>
      </c>
    </row>
    <row r="120" spans="1:29" x14ac:dyDescent="0.35">
      <c r="A120" s="2" t="s">
        <v>130</v>
      </c>
      <c r="B120" s="4" t="s">
        <v>867</v>
      </c>
      <c r="C120" s="4" t="s">
        <v>573</v>
      </c>
      <c r="D120" s="4" t="s">
        <v>574</v>
      </c>
      <c r="E120" s="4" t="s">
        <v>575</v>
      </c>
      <c r="F120" s="4" t="s">
        <v>807</v>
      </c>
      <c r="G120" s="14">
        <v>181.32</v>
      </c>
      <c r="H120" s="10">
        <v>22.435179000000002</v>
      </c>
      <c r="I120" s="10">
        <v>13.99994</v>
      </c>
      <c r="J120" s="10" t="s">
        <v>534</v>
      </c>
      <c r="K120" s="15">
        <v>3.4744999999999998E-2</v>
      </c>
      <c r="L120" s="17">
        <v>61759.392326000001</v>
      </c>
      <c r="M120" s="4" t="s">
        <v>868</v>
      </c>
      <c r="N120" s="19">
        <v>12.951484000000001</v>
      </c>
      <c r="O120" s="19">
        <v>6.6123000000000003</v>
      </c>
      <c r="P120" s="19">
        <v>11.94</v>
      </c>
      <c r="Q120" s="19">
        <v>5.1109999999999998</v>
      </c>
      <c r="R120" s="19">
        <v>4.53</v>
      </c>
      <c r="S120" s="19">
        <v>4.6337000000000002</v>
      </c>
      <c r="T120" s="19">
        <v>4.53</v>
      </c>
      <c r="U120" s="19">
        <v>4.1345999999999998</v>
      </c>
      <c r="V120" s="19">
        <v>3.35</v>
      </c>
      <c r="W120" s="19">
        <v>3.7172000000000001</v>
      </c>
      <c r="X120" s="19">
        <v>3.35</v>
      </c>
      <c r="Y120" s="19">
        <v>3.7172000000000001</v>
      </c>
      <c r="Z120" s="4"/>
      <c r="AA120" s="4"/>
      <c r="AB120" s="4" t="e">
        <f ca="1">_xll.ciqfunctions.udf.CIQ("^SPX", "IQ_PRICEDATE", "6/13/2014")</f>
        <v>#NAME?</v>
      </c>
      <c r="AC120" s="16">
        <v>1936.1593523250999</v>
      </c>
    </row>
    <row r="121" spans="1:29" x14ac:dyDescent="0.35">
      <c r="A121" s="2" t="s">
        <v>131</v>
      </c>
      <c r="B121" s="4" t="s">
        <v>869</v>
      </c>
      <c r="C121" s="4" t="s">
        <v>619</v>
      </c>
      <c r="D121" s="4" t="s">
        <v>619</v>
      </c>
      <c r="E121" s="4" t="s">
        <v>634</v>
      </c>
      <c r="F121" s="4" t="s">
        <v>634</v>
      </c>
      <c r="G121" s="14">
        <v>49.87</v>
      </c>
      <c r="H121" s="10">
        <v>11.172008999999999</v>
      </c>
      <c r="I121" s="10">
        <v>25.554976</v>
      </c>
      <c r="J121" s="10">
        <v>3.0229409999999999</v>
      </c>
      <c r="K121" s="15">
        <v>2.8673999999999998E-2</v>
      </c>
      <c r="L121" s="17">
        <v>14125.433686</v>
      </c>
      <c r="M121" s="4" t="s">
        <v>870</v>
      </c>
      <c r="N121" s="19">
        <v>1.951479</v>
      </c>
      <c r="O121" s="19">
        <v>2.2949000000000002</v>
      </c>
      <c r="P121" s="19">
        <v>1.64</v>
      </c>
      <c r="Q121" s="19">
        <v>2.327</v>
      </c>
      <c r="R121" s="19">
        <v>1.98</v>
      </c>
      <c r="S121" s="19">
        <v>1.9267000000000001</v>
      </c>
      <c r="T121" s="19">
        <v>1.98</v>
      </c>
      <c r="U121" s="19">
        <v>2.0087000000000002</v>
      </c>
      <c r="V121" s="19">
        <v>1.74</v>
      </c>
      <c r="W121" s="19">
        <v>1.9068000000000001</v>
      </c>
      <c r="X121" s="19">
        <v>1.74</v>
      </c>
      <c r="Y121" s="19">
        <v>1.9068000000000001</v>
      </c>
      <c r="Z121" s="4"/>
      <c r="AA121" s="4"/>
      <c r="AB121" s="4" t="e">
        <f ca="1">_xll.ciqfunctions.udf.CIQ("^SPX", "IQ_PRICEDATE", "6/16/2014")</f>
        <v>#NAME?</v>
      </c>
      <c r="AC121" s="16">
        <v>1937.7839112977999</v>
      </c>
    </row>
    <row r="122" spans="1:29" x14ac:dyDescent="0.35">
      <c r="A122" s="2" t="s">
        <v>132</v>
      </c>
      <c r="B122" s="4" t="s">
        <v>871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14">
        <v>73.989999999999995</v>
      </c>
      <c r="H122" s="10">
        <v>12.299906</v>
      </c>
      <c r="I122" s="10">
        <v>29.942094000000001</v>
      </c>
      <c r="J122" s="10">
        <v>6.5497860000000001</v>
      </c>
      <c r="K122" s="15">
        <v>1.0811999999999999E-2</v>
      </c>
      <c r="L122" s="17">
        <v>42931.501378000001</v>
      </c>
      <c r="M122" s="4" t="s">
        <v>872</v>
      </c>
      <c r="N122" s="19">
        <v>2.4711029999999998</v>
      </c>
      <c r="O122" s="19">
        <v>4.7278000000000002</v>
      </c>
      <c r="P122" s="19">
        <v>2.5299999999999998</v>
      </c>
      <c r="Q122" s="19">
        <v>4.1723999999999997</v>
      </c>
      <c r="R122" s="19">
        <v>2.5499999999999998</v>
      </c>
      <c r="S122" s="19">
        <v>3.5716999999999999</v>
      </c>
      <c r="T122" s="19">
        <v>2.5499999999999998</v>
      </c>
      <c r="U122" s="19">
        <v>3.3288000000000002</v>
      </c>
      <c r="V122" s="19">
        <v>2.35</v>
      </c>
      <c r="W122" s="19">
        <v>2.8256000000000001</v>
      </c>
      <c r="X122" s="19">
        <v>2.35</v>
      </c>
      <c r="Y122" s="19">
        <v>2.8256000000000001</v>
      </c>
      <c r="Z122" s="4"/>
      <c r="AA122" s="4"/>
      <c r="AB122" s="4" t="e">
        <f ca="1">_xll.ciqfunctions.udf.CIQ("^SPX", "IQ_PRICEDATE", "6/17/2014")</f>
        <v>#NAME?</v>
      </c>
      <c r="AC122" s="16">
        <v>1941.9916494408999</v>
      </c>
    </row>
    <row r="123" spans="1:29" x14ac:dyDescent="0.35">
      <c r="A123" s="2" t="s">
        <v>133</v>
      </c>
      <c r="B123" s="4" t="s">
        <v>873</v>
      </c>
      <c r="C123" s="4" t="s">
        <v>626</v>
      </c>
      <c r="D123" s="4" t="s">
        <v>845</v>
      </c>
      <c r="E123" s="4" t="s">
        <v>846</v>
      </c>
      <c r="F123" s="4" t="s">
        <v>846</v>
      </c>
      <c r="G123" s="14">
        <v>63.13</v>
      </c>
      <c r="H123" s="10">
        <v>13.737043</v>
      </c>
      <c r="I123" s="10">
        <v>25.444243</v>
      </c>
      <c r="J123" s="10" t="s">
        <v>534</v>
      </c>
      <c r="K123" s="15">
        <v>2.6435E-2</v>
      </c>
      <c r="L123" s="17">
        <v>55144.794131000002</v>
      </c>
      <c r="M123" s="4" t="s">
        <v>874</v>
      </c>
      <c r="N123" s="19">
        <v>2.4976180000000001</v>
      </c>
      <c r="O123" s="19">
        <v>3.0533000000000001</v>
      </c>
      <c r="P123" s="19">
        <v>2.2799999999999998</v>
      </c>
      <c r="Q123" s="19">
        <v>3.0268999999999999</v>
      </c>
      <c r="R123" s="19">
        <v>2.72</v>
      </c>
      <c r="S123" s="19">
        <v>2.9862000000000002</v>
      </c>
      <c r="T123" s="19">
        <v>2.72</v>
      </c>
      <c r="U123" s="19">
        <v>2.8849</v>
      </c>
      <c r="V123" s="19">
        <v>2.36</v>
      </c>
      <c r="W123" s="19">
        <v>3.0089999999999999</v>
      </c>
      <c r="X123" s="19">
        <v>2.36</v>
      </c>
      <c r="Y123" s="19">
        <v>3.0089999999999999</v>
      </c>
      <c r="Z123" s="4"/>
      <c r="AA123" s="4"/>
      <c r="AB123" s="4" t="e">
        <f ca="1">_xll.ciqfunctions.udf.CIQ("^SPX", "IQ_PRICEDATE", "6/18/2014")</f>
        <v>#NAME?</v>
      </c>
      <c r="AC123" s="16">
        <v>1956.9841140414001</v>
      </c>
    </row>
    <row r="124" spans="1:29" x14ac:dyDescent="0.35">
      <c r="A124" s="2" t="s">
        <v>134</v>
      </c>
      <c r="B124" s="4" t="s">
        <v>875</v>
      </c>
      <c r="C124" s="4" t="s">
        <v>549</v>
      </c>
      <c r="D124" s="4" t="s">
        <v>550</v>
      </c>
      <c r="E124" s="4" t="s">
        <v>814</v>
      </c>
      <c r="F124" s="4" t="s">
        <v>833</v>
      </c>
      <c r="G124" s="14">
        <v>36.4</v>
      </c>
      <c r="H124" s="10">
        <v>8.0111139999999992</v>
      </c>
      <c r="I124" s="10">
        <v>7.1537319999999998</v>
      </c>
      <c r="J124" s="10" t="s">
        <v>534</v>
      </c>
      <c r="K124" s="15">
        <v>2.0878999999999998E-2</v>
      </c>
      <c r="L124" s="17">
        <v>166782.37510500001</v>
      </c>
      <c r="M124" s="4" t="s">
        <v>876</v>
      </c>
      <c r="N124" s="19">
        <v>5.0882529999999999</v>
      </c>
      <c r="O124" s="19">
        <v>2.5960000000000001</v>
      </c>
      <c r="P124" s="19">
        <v>4.75</v>
      </c>
      <c r="Q124" s="19">
        <v>2.1341999999999999</v>
      </c>
      <c r="R124" s="19">
        <v>1.78</v>
      </c>
      <c r="S124" s="19">
        <v>1.827</v>
      </c>
      <c r="T124" s="19">
        <v>1.78</v>
      </c>
      <c r="U124" s="19">
        <v>1.7591000000000001</v>
      </c>
      <c r="V124" s="19">
        <v>1.6</v>
      </c>
      <c r="W124" s="19">
        <v>1.5855999999999999</v>
      </c>
      <c r="X124" s="19">
        <v>1.6</v>
      </c>
      <c r="Y124" s="19">
        <v>1.5855999999999999</v>
      </c>
      <c r="Z124" s="4"/>
      <c r="AA124" s="4"/>
      <c r="AB124" s="4" t="e">
        <f ca="1">_xll.ciqfunctions.udf.CIQ("^SPX", "IQ_PRICEDATE", "6/19/2014")</f>
        <v>#NAME?</v>
      </c>
      <c r="AC124" s="16">
        <v>1959.4843523509001</v>
      </c>
    </row>
    <row r="125" spans="1:29" x14ac:dyDescent="0.35">
      <c r="A125" s="2" t="s">
        <v>135</v>
      </c>
      <c r="B125" s="4" t="s">
        <v>877</v>
      </c>
      <c r="C125" s="4" t="s">
        <v>573</v>
      </c>
      <c r="D125" s="4" t="s">
        <v>737</v>
      </c>
      <c r="E125" s="4" t="s">
        <v>737</v>
      </c>
      <c r="F125" s="4" t="s">
        <v>743</v>
      </c>
      <c r="G125" s="14">
        <v>85.08</v>
      </c>
      <c r="H125" s="10">
        <v>0</v>
      </c>
      <c r="I125" s="10">
        <v>14.323591</v>
      </c>
      <c r="J125" s="10">
        <v>1.975959</v>
      </c>
      <c r="K125" s="15">
        <v>2.8208E-2</v>
      </c>
      <c r="L125" s="17">
        <v>14118.22846</v>
      </c>
      <c r="M125" s="4" t="s">
        <v>878</v>
      </c>
      <c r="N125" s="19">
        <v>5.939851</v>
      </c>
      <c r="O125" s="19">
        <v>7.4924999999999997</v>
      </c>
      <c r="P125" s="19">
        <v>4.1399999999999997</v>
      </c>
      <c r="Q125" s="19">
        <v>5.2862999999999998</v>
      </c>
      <c r="R125" s="19">
        <v>2.68</v>
      </c>
      <c r="S125" s="19">
        <v>3.9453</v>
      </c>
      <c r="T125" s="19">
        <v>2.68</v>
      </c>
      <c r="U125" s="19">
        <v>2.9983</v>
      </c>
      <c r="V125" s="19">
        <v>3.16</v>
      </c>
      <c r="W125" s="19">
        <v>3.1105999999999998</v>
      </c>
      <c r="X125" s="19">
        <v>3.16</v>
      </c>
      <c r="Y125" s="19">
        <v>3.1105999999999998</v>
      </c>
      <c r="Z125" s="4"/>
      <c r="AA125" s="4"/>
      <c r="AB125" s="4" t="e">
        <f ca="1">_xll.ciqfunctions.udf.CIQ("^SPX", "IQ_PRICEDATE", "6/20/2014")</f>
        <v>#NAME?</v>
      </c>
      <c r="AC125" s="16">
        <v>1962.8734464996</v>
      </c>
    </row>
    <row r="126" spans="1:29" x14ac:dyDescent="0.35">
      <c r="A126" s="2" t="s">
        <v>136</v>
      </c>
      <c r="B126" s="4" t="s">
        <v>879</v>
      </c>
      <c r="C126" s="4" t="s">
        <v>626</v>
      </c>
      <c r="D126" s="4" t="s">
        <v>627</v>
      </c>
      <c r="E126" s="4" t="s">
        <v>699</v>
      </c>
      <c r="F126" s="4" t="s">
        <v>789</v>
      </c>
      <c r="G126" s="14">
        <v>35.299999999999997</v>
      </c>
      <c r="H126" s="10">
        <v>11.613946</v>
      </c>
      <c r="I126" s="10">
        <v>17.249796</v>
      </c>
      <c r="J126" s="10" t="s">
        <v>534</v>
      </c>
      <c r="K126" s="15">
        <v>2.4079000000000003E-2</v>
      </c>
      <c r="L126" s="17">
        <v>14408.123683</v>
      </c>
      <c r="M126" s="4" t="s">
        <v>880</v>
      </c>
      <c r="N126" s="19">
        <v>2.0464009999999999</v>
      </c>
      <c r="O126" s="19">
        <v>2.2486000000000002</v>
      </c>
      <c r="P126" s="19">
        <v>1.6588560000000001</v>
      </c>
      <c r="Q126" s="19">
        <v>1.9602999999999999</v>
      </c>
      <c r="R126" s="19">
        <v>0.34010099999999999</v>
      </c>
      <c r="S126" s="19">
        <v>1.8038000000000001</v>
      </c>
      <c r="T126" s="19">
        <v>0.34010099999999999</v>
      </c>
      <c r="U126" s="19">
        <v>2.3411</v>
      </c>
      <c r="V126" s="19">
        <v>0.29288700000000001</v>
      </c>
      <c r="W126" s="19">
        <v>2.4066000000000001</v>
      </c>
      <c r="X126" s="19">
        <v>0.29288700000000001</v>
      </c>
      <c r="Y126" s="19">
        <v>2.4066000000000001</v>
      </c>
      <c r="Z126" s="4"/>
      <c r="AA126" s="4"/>
      <c r="AB126" s="4" t="e">
        <f ca="1">_xll.ciqfunctions.udf.CIQ("^SPX", "IQ_PRICEDATE", "6/23/2014")</f>
        <v>#NAME?</v>
      </c>
      <c r="AC126" s="16">
        <v>1962.6107536819</v>
      </c>
    </row>
    <row r="127" spans="1:29" x14ac:dyDescent="0.35">
      <c r="A127" s="2" t="s">
        <v>137</v>
      </c>
      <c r="B127" s="4" t="s">
        <v>881</v>
      </c>
      <c r="C127" s="4" t="s">
        <v>669</v>
      </c>
      <c r="D127" s="4" t="s">
        <v>669</v>
      </c>
      <c r="E127" s="4" t="s">
        <v>670</v>
      </c>
      <c r="F127" s="4" t="s">
        <v>671</v>
      </c>
      <c r="G127" s="14">
        <v>150.44999999999999</v>
      </c>
      <c r="H127" s="10">
        <v>21.944783999999999</v>
      </c>
      <c r="I127" s="10">
        <v>19.981642000000001</v>
      </c>
      <c r="J127" s="10">
        <v>2.258543</v>
      </c>
      <c r="K127" s="15">
        <v>0</v>
      </c>
      <c r="L127" s="17">
        <v>29964.77866</v>
      </c>
      <c r="M127" s="4" t="s">
        <v>882</v>
      </c>
      <c r="N127" s="19">
        <v>7.5294109999999996</v>
      </c>
      <c r="O127" s="19">
        <v>5.1081000000000003</v>
      </c>
      <c r="P127" s="19">
        <v>6.41</v>
      </c>
      <c r="Q127" s="19">
        <v>2.1577999999999999</v>
      </c>
      <c r="R127" s="19">
        <v>-10.85</v>
      </c>
      <c r="S127" s="19">
        <v>-0.1091</v>
      </c>
      <c r="T127" s="19">
        <v>-10.85</v>
      </c>
      <c r="U127" s="19">
        <v>0.61660000000000004</v>
      </c>
      <c r="V127" s="19">
        <v>4.876938</v>
      </c>
      <c r="W127" s="19">
        <v>2.9695</v>
      </c>
      <c r="X127" s="19">
        <v>4.876938</v>
      </c>
      <c r="Y127" s="19">
        <v>2.9695</v>
      </c>
      <c r="Z127" s="4"/>
      <c r="AA127" s="4"/>
      <c r="AB127" s="4" t="e">
        <f ca="1">_xll.ciqfunctions.udf.CIQ("^SPX", "IQ_PRICEDATE", "6/24/2014")</f>
        <v>#NAME?</v>
      </c>
      <c r="AC127" s="16">
        <v>1949.9824017625001</v>
      </c>
    </row>
    <row r="128" spans="1:29" x14ac:dyDescent="0.35">
      <c r="A128" s="2" t="s">
        <v>138</v>
      </c>
      <c r="B128" s="4" t="s">
        <v>883</v>
      </c>
      <c r="C128" s="4" t="s">
        <v>669</v>
      </c>
      <c r="D128" s="4" t="s">
        <v>669</v>
      </c>
      <c r="E128" s="4" t="s">
        <v>670</v>
      </c>
      <c r="F128" s="4" t="s">
        <v>671</v>
      </c>
      <c r="G128" s="14">
        <v>72.48</v>
      </c>
      <c r="H128" s="10">
        <v>7.4660320000000002</v>
      </c>
      <c r="I128" s="10">
        <v>19.133102000000001</v>
      </c>
      <c r="J128" s="10">
        <v>2.7133769999999999</v>
      </c>
      <c r="K128" s="15">
        <v>1.6832E-2</v>
      </c>
      <c r="L128" s="17">
        <v>84228.667923999994</v>
      </c>
      <c r="M128" s="4" t="s">
        <v>884</v>
      </c>
      <c r="N128" s="19">
        <v>3.7881990000000001</v>
      </c>
      <c r="O128" s="19">
        <v>5.0327999999999999</v>
      </c>
      <c r="P128" s="19">
        <v>-0.70022300000000004</v>
      </c>
      <c r="Q128" s="19">
        <v>1.5112000000000001</v>
      </c>
      <c r="R128" s="19">
        <v>-2.91</v>
      </c>
      <c r="S128" s="19">
        <v>-0.65049999999999997</v>
      </c>
      <c r="T128" s="19">
        <v>-2.91</v>
      </c>
      <c r="U128" s="19">
        <v>-0.83240000000000003</v>
      </c>
      <c r="V128" s="19">
        <v>4.5999999999999996</v>
      </c>
      <c r="W128" s="19">
        <v>3.4333</v>
      </c>
      <c r="X128" s="19">
        <v>4.5999999999999996</v>
      </c>
      <c r="Y128" s="19">
        <v>3.4333</v>
      </c>
      <c r="Z128" s="4"/>
      <c r="AA128" s="4"/>
      <c r="AB128" s="4" t="e">
        <f ca="1">_xll.ciqfunctions.udf.CIQ("^SPX", "IQ_PRICEDATE", "6/25/2014")</f>
        <v>#NAME?</v>
      </c>
      <c r="AC128" s="16">
        <v>1959.5311112085001</v>
      </c>
    </row>
    <row r="129" spans="1:29" x14ac:dyDescent="0.35">
      <c r="A129" s="2" t="s">
        <v>139</v>
      </c>
      <c r="B129" s="4" t="s">
        <v>885</v>
      </c>
      <c r="C129" s="4" t="s">
        <v>619</v>
      </c>
      <c r="D129" s="4" t="s">
        <v>619</v>
      </c>
      <c r="E129" s="4" t="s">
        <v>634</v>
      </c>
      <c r="F129" s="4" t="s">
        <v>634</v>
      </c>
      <c r="G129" s="14">
        <v>76.11</v>
      </c>
      <c r="H129" s="10">
        <v>10.453811</v>
      </c>
      <c r="I129" s="10">
        <v>15.011653000000001</v>
      </c>
      <c r="J129" s="10">
        <v>1.56829</v>
      </c>
      <c r="K129" s="15">
        <v>3.7576999999999999E-2</v>
      </c>
      <c r="L129" s="17">
        <v>23678.048492999998</v>
      </c>
      <c r="M129" s="4" t="s">
        <v>886</v>
      </c>
      <c r="N129" s="19">
        <v>5.0700609999999999</v>
      </c>
      <c r="O129" s="19">
        <v>4.4249999999999998</v>
      </c>
      <c r="P129" s="19">
        <v>4.9400000000000004</v>
      </c>
      <c r="Q129" s="19">
        <v>4.2163000000000004</v>
      </c>
      <c r="R129" s="19">
        <v>4.12</v>
      </c>
      <c r="S129" s="19">
        <v>4.0926999999999998</v>
      </c>
      <c r="T129" s="19">
        <v>4.12</v>
      </c>
      <c r="U129" s="19">
        <v>4.0667</v>
      </c>
      <c r="V129" s="19">
        <v>3.71</v>
      </c>
      <c r="W129" s="19">
        <v>3.8935</v>
      </c>
      <c r="X129" s="19">
        <v>3.71</v>
      </c>
      <c r="Y129" s="19">
        <v>3.8935</v>
      </c>
      <c r="Z129" s="4"/>
      <c r="AA129" s="4"/>
      <c r="AB129" s="4" t="e">
        <f ca="1">_xll.ciqfunctions.udf.CIQ("^SPX", "IQ_PRICEDATE", "6/26/2014")</f>
        <v>#NAME?</v>
      </c>
      <c r="AC129" s="16">
        <v>1957.2197789147001</v>
      </c>
    </row>
    <row r="130" spans="1:29" x14ac:dyDescent="0.35">
      <c r="A130" s="2" t="s">
        <v>140</v>
      </c>
      <c r="B130" s="4" t="s">
        <v>887</v>
      </c>
      <c r="C130" s="4" t="s">
        <v>626</v>
      </c>
      <c r="D130" s="4" t="s">
        <v>627</v>
      </c>
      <c r="E130" s="4" t="s">
        <v>775</v>
      </c>
      <c r="F130" s="4" t="s">
        <v>776</v>
      </c>
      <c r="G130" s="14">
        <v>227.2</v>
      </c>
      <c r="H130" s="10">
        <v>11.984292</v>
      </c>
      <c r="I130" s="10">
        <v>13.603726</v>
      </c>
      <c r="J130" s="10" t="s">
        <v>534</v>
      </c>
      <c r="K130" s="15">
        <v>1.3028E-2</v>
      </c>
      <c r="L130" s="17">
        <v>43070.365850000002</v>
      </c>
      <c r="M130" s="4" t="s">
        <v>888</v>
      </c>
      <c r="N130" s="19">
        <v>16.701305999999999</v>
      </c>
      <c r="O130" s="19">
        <v>9.9064999999999994</v>
      </c>
      <c r="P130" s="19">
        <v>9.1704439999999998</v>
      </c>
      <c r="Q130" s="19">
        <v>8.7951999999999995</v>
      </c>
      <c r="R130" s="19">
        <v>6.4615049999999998</v>
      </c>
      <c r="S130" s="19">
        <v>7.1273</v>
      </c>
      <c r="T130" s="19">
        <v>6.4615049999999998</v>
      </c>
      <c r="U130" s="19">
        <v>5.4321000000000002</v>
      </c>
      <c r="V130" s="19">
        <v>3.8944220000000001</v>
      </c>
      <c r="W130" s="19">
        <v>4.5663999999999998</v>
      </c>
      <c r="X130" s="19">
        <v>3.8944220000000001</v>
      </c>
      <c r="Y130" s="19">
        <v>4.5663999999999998</v>
      </c>
      <c r="Z130" s="4"/>
      <c r="AA130" s="4"/>
      <c r="AB130" s="4" t="e">
        <f ca="1">_xll.ciqfunctions.udf.CIQ("^SPX", "IQ_PRICEDATE", "6/27/2014")</f>
        <v>#NAME?</v>
      </c>
      <c r="AC130" s="16">
        <v>1960.9605158347999</v>
      </c>
    </row>
    <row r="131" spans="1:29" x14ac:dyDescent="0.35">
      <c r="A131" s="2" t="s">
        <v>141</v>
      </c>
      <c r="B131" s="4" t="s">
        <v>889</v>
      </c>
      <c r="C131" s="4" t="s">
        <v>525</v>
      </c>
      <c r="D131" s="4" t="s">
        <v>855</v>
      </c>
      <c r="E131" s="4" t="s">
        <v>856</v>
      </c>
      <c r="F131" s="4" t="s">
        <v>857</v>
      </c>
      <c r="G131" s="14">
        <v>50.99</v>
      </c>
      <c r="H131" s="10">
        <v>16.596482999999999</v>
      </c>
      <c r="I131" s="10">
        <v>29.473987999999999</v>
      </c>
      <c r="J131" s="10">
        <v>10.243567000000001</v>
      </c>
      <c r="K131" s="15">
        <v>0</v>
      </c>
      <c r="L131" s="17">
        <v>11927.386528000001</v>
      </c>
      <c r="M131" s="4" t="s">
        <v>890</v>
      </c>
      <c r="N131" s="19">
        <v>1.73</v>
      </c>
      <c r="O131" s="19">
        <v>2.1323099999999999</v>
      </c>
      <c r="P131" s="19">
        <v>1.278816</v>
      </c>
      <c r="Q131" s="19">
        <v>1.6492</v>
      </c>
      <c r="R131" s="19">
        <v>1.6050340000000001</v>
      </c>
      <c r="S131" s="19">
        <v>1.2623</v>
      </c>
      <c r="T131" s="19">
        <v>1.6050340000000001</v>
      </c>
      <c r="U131" s="19">
        <v>0.97319999999999995</v>
      </c>
      <c r="V131" s="19">
        <v>0.71996300000000002</v>
      </c>
      <c r="W131" s="19">
        <v>0.88519999999999999</v>
      </c>
      <c r="X131" s="19">
        <v>0.71996300000000002</v>
      </c>
      <c r="Y131" s="19">
        <v>0.88519999999999999</v>
      </c>
      <c r="Z131" s="4"/>
      <c r="AA131" s="4"/>
      <c r="AB131" s="4" t="e">
        <f ca="1">_xll.ciqfunctions.udf.CIQ("^SPX", "IQ_PRICEDATE", "6/30/2014")</f>
        <v>#NAME?</v>
      </c>
      <c r="AC131" s="16">
        <v>1960.2312403638</v>
      </c>
    </row>
    <row r="132" spans="1:29" x14ac:dyDescent="0.35">
      <c r="A132" s="2" t="s">
        <v>142</v>
      </c>
      <c r="B132" s="4" t="s">
        <v>891</v>
      </c>
      <c r="C132" s="4" t="s">
        <v>543</v>
      </c>
      <c r="D132" s="4" t="s">
        <v>664</v>
      </c>
      <c r="E132" s="4" t="s">
        <v>665</v>
      </c>
      <c r="F132" s="4" t="s">
        <v>666</v>
      </c>
      <c r="G132" s="14">
        <v>32.39</v>
      </c>
      <c r="H132" s="10">
        <v>10.17916</v>
      </c>
      <c r="I132" s="10" t="s">
        <v>534</v>
      </c>
      <c r="J132" s="10">
        <v>3.1468120000000002</v>
      </c>
      <c r="K132" s="15">
        <v>2.2229000000000002E-2</v>
      </c>
      <c r="L132" s="17">
        <v>26236.386011999999</v>
      </c>
      <c r="M132" s="4" t="s">
        <v>892</v>
      </c>
      <c r="N132" s="19">
        <v>-1.189378</v>
      </c>
      <c r="O132" s="19">
        <v>1.9618</v>
      </c>
      <c r="P132" s="19">
        <v>-0.66480399999999995</v>
      </c>
      <c r="Q132" s="19">
        <v>1.7302999999999999</v>
      </c>
      <c r="R132" s="19">
        <v>3.229895</v>
      </c>
      <c r="S132" s="19">
        <v>1.6541999999999999</v>
      </c>
      <c r="T132" s="19">
        <v>3.229895</v>
      </c>
      <c r="U132" s="19">
        <v>1.3842000000000001</v>
      </c>
      <c r="V132" s="19">
        <v>1.732305</v>
      </c>
      <c r="W132" s="19">
        <v>1.5363</v>
      </c>
      <c r="X132" s="19">
        <v>1.732305</v>
      </c>
      <c r="Y132" s="19">
        <v>1.5363</v>
      </c>
      <c r="Z132" s="4"/>
      <c r="AA132" s="4"/>
      <c r="AB132" s="4" t="e">
        <f ca="1">_xll.ciqfunctions.udf.CIQ("^SPX", "IQ_PRICEDATE", "7/1/2014")</f>
        <v>#NAME?</v>
      </c>
      <c r="AC132" s="16">
        <v>1973.3185916340999</v>
      </c>
    </row>
    <row r="133" spans="1:29" x14ac:dyDescent="0.35">
      <c r="A133" s="2" t="s">
        <v>143</v>
      </c>
      <c r="B133" s="4" t="s">
        <v>893</v>
      </c>
      <c r="C133" s="4" t="s">
        <v>626</v>
      </c>
      <c r="D133" s="4" t="s">
        <v>894</v>
      </c>
      <c r="E133" s="4" t="s">
        <v>894</v>
      </c>
      <c r="F133" s="4" t="s">
        <v>895</v>
      </c>
      <c r="G133" s="14">
        <v>228.49</v>
      </c>
      <c r="H133" s="10">
        <v>17.118725999999999</v>
      </c>
      <c r="I133" s="10">
        <v>32.227080000000001</v>
      </c>
      <c r="J133" s="10">
        <v>7.8226269999999998</v>
      </c>
      <c r="K133" s="15">
        <v>9.9780000000000008E-3</v>
      </c>
      <c r="L133" s="17">
        <v>100121.80461000001</v>
      </c>
      <c r="M133" s="4" t="s">
        <v>896</v>
      </c>
      <c r="N133" s="19">
        <v>7.09</v>
      </c>
      <c r="O133" s="19">
        <v>7.73529</v>
      </c>
      <c r="P133" s="19">
        <v>6.2897129999999999</v>
      </c>
      <c r="Q133" s="19">
        <v>6.6566000000000001</v>
      </c>
      <c r="R133" s="19">
        <v>5.4802949999999999</v>
      </c>
      <c r="S133" s="19">
        <v>6.0366999999999997</v>
      </c>
      <c r="T133" s="19">
        <v>5.4802949999999999</v>
      </c>
      <c r="U133" s="19">
        <v>5.6771000000000003</v>
      </c>
      <c r="V133" s="19">
        <v>4.8100149999999999</v>
      </c>
      <c r="W133" s="19">
        <v>5.2817999999999996</v>
      </c>
      <c r="X133" s="19">
        <v>4.8100149999999999</v>
      </c>
      <c r="Y133" s="19">
        <v>5.2817999999999996</v>
      </c>
      <c r="Z133" s="4"/>
      <c r="AA133" s="4"/>
      <c r="AB133" s="4" t="e">
        <f ca="1">_xll.ciqfunctions.udf.CIQ("^SPX", "IQ_PRICEDATE", "7/2/2014")</f>
        <v>#NAME?</v>
      </c>
      <c r="AC133" s="16">
        <v>1974.6180479468001</v>
      </c>
    </row>
    <row r="134" spans="1:29" x14ac:dyDescent="0.35">
      <c r="A134" s="2" t="s">
        <v>144</v>
      </c>
      <c r="B134" s="4" t="s">
        <v>897</v>
      </c>
      <c r="C134" s="4" t="s">
        <v>626</v>
      </c>
      <c r="D134" s="4" t="s">
        <v>845</v>
      </c>
      <c r="E134" s="4" t="s">
        <v>898</v>
      </c>
      <c r="F134" s="4" t="s">
        <v>898</v>
      </c>
      <c r="G134" s="14">
        <v>11.21</v>
      </c>
      <c r="H134" s="10">
        <v>11.760125</v>
      </c>
      <c r="I134" s="10" t="s">
        <v>534</v>
      </c>
      <c r="J134" s="10" t="s">
        <v>534</v>
      </c>
      <c r="K134" s="15">
        <v>4.4603000000000004E-2</v>
      </c>
      <c r="L134" s="17">
        <v>8416.5130869999994</v>
      </c>
      <c r="M134" s="4" t="s">
        <v>899</v>
      </c>
      <c r="N134" s="19">
        <v>-0.23</v>
      </c>
      <c r="O134" s="19">
        <v>0.74741000000000002</v>
      </c>
      <c r="P134" s="19">
        <v>-0.51250200000000001</v>
      </c>
      <c r="Q134" s="19">
        <v>0.73409999999999997</v>
      </c>
      <c r="R134" s="19">
        <v>-2.5048000000000001E-2</v>
      </c>
      <c r="S134" s="19">
        <v>0.96250000000000002</v>
      </c>
      <c r="T134" s="19">
        <v>-2.5048000000000001E-2</v>
      </c>
      <c r="U134" s="19">
        <v>0.9214</v>
      </c>
      <c r="V134" s="19">
        <v>-0.386963</v>
      </c>
      <c r="W134" s="19">
        <v>0.88639999999999997</v>
      </c>
      <c r="X134" s="19">
        <v>-0.386963</v>
      </c>
      <c r="Y134" s="19">
        <v>0.88639999999999997</v>
      </c>
      <c r="Z134" s="4"/>
      <c r="AA134" s="4"/>
      <c r="AB134" s="4" t="e">
        <f ca="1">_xll.ciqfunctions.udf.CIQ("^SPX", "IQ_PRICEDATE", "7/3/2014")</f>
        <v>#NAME?</v>
      </c>
      <c r="AC134" s="16">
        <v>1985.4371180636999</v>
      </c>
    </row>
    <row r="135" spans="1:29" x14ac:dyDescent="0.35">
      <c r="A135" s="2" t="s">
        <v>145</v>
      </c>
      <c r="B135" s="4" t="s">
        <v>900</v>
      </c>
      <c r="C135" s="4" t="s">
        <v>601</v>
      </c>
      <c r="D135" s="4" t="s">
        <v>601</v>
      </c>
      <c r="E135" s="4" t="s">
        <v>602</v>
      </c>
      <c r="F135" s="4" t="s">
        <v>647</v>
      </c>
      <c r="G135" s="14">
        <v>106.79</v>
      </c>
      <c r="H135" s="10">
        <v>21.127037999999999</v>
      </c>
      <c r="I135" s="10">
        <v>99.061058000000003</v>
      </c>
      <c r="J135" s="10" t="s">
        <v>534</v>
      </c>
      <c r="K135" s="15">
        <v>3.9329000000000003E-2</v>
      </c>
      <c r="L135" s="17">
        <v>44300.758901000001</v>
      </c>
      <c r="M135" s="4" t="s">
        <v>901</v>
      </c>
      <c r="N135" s="19">
        <v>1.078022</v>
      </c>
      <c r="O135" s="19">
        <v>1.4679</v>
      </c>
      <c r="P135" s="19">
        <v>1.01</v>
      </c>
      <c r="Q135" s="19">
        <v>1.083</v>
      </c>
      <c r="R135" s="19">
        <v>0.95</v>
      </c>
      <c r="S135" s="19">
        <v>1.1644000000000001</v>
      </c>
      <c r="T135" s="19">
        <v>0.95</v>
      </c>
      <c r="U135" s="19">
        <v>1.2323999999999999</v>
      </c>
      <c r="V135" s="19">
        <v>0.88258700000000001</v>
      </c>
      <c r="W135" s="19">
        <v>1.2907</v>
      </c>
      <c r="X135" s="19">
        <v>0.88258700000000001</v>
      </c>
      <c r="Y135" s="19">
        <v>1.2907</v>
      </c>
      <c r="Z135" s="4"/>
      <c r="AA135" s="4"/>
      <c r="AB135" s="4" t="e">
        <f ca="1">_xll.ciqfunctions.udf.CIQ("^SPX", "IQ_PRICEDATE", "7/7/2014")</f>
        <v>#NAME?</v>
      </c>
      <c r="AC135" s="16">
        <v>1977.6508625317999</v>
      </c>
    </row>
    <row r="136" spans="1:29" x14ac:dyDescent="0.35">
      <c r="A136" s="2" t="s">
        <v>146</v>
      </c>
      <c r="B136" s="4" t="s">
        <v>902</v>
      </c>
      <c r="C136" s="4" t="s">
        <v>525</v>
      </c>
      <c r="D136" s="4" t="s">
        <v>594</v>
      </c>
      <c r="E136" s="4" t="s">
        <v>903</v>
      </c>
      <c r="F136" s="4" t="s">
        <v>904</v>
      </c>
      <c r="G136" s="14">
        <v>70.709999999999994</v>
      </c>
      <c r="H136" s="10">
        <v>11.6145</v>
      </c>
      <c r="I136" s="10">
        <v>9.3922609999999995</v>
      </c>
      <c r="J136" s="10">
        <v>4.3522819999999998</v>
      </c>
      <c r="K136" s="15">
        <v>1.2444999999999999E-2</v>
      </c>
      <c r="L136" s="17">
        <v>59708.963726000002</v>
      </c>
      <c r="M136" s="4" t="s">
        <v>905</v>
      </c>
      <c r="N136" s="19">
        <v>7.5285380000000002</v>
      </c>
      <c r="O136" s="19">
        <v>3.8658999999999999</v>
      </c>
      <c r="P136" s="19">
        <v>5.99</v>
      </c>
      <c r="Q136" s="19">
        <v>2.5162</v>
      </c>
      <c r="R136" s="19">
        <v>1.80887</v>
      </c>
      <c r="S136" s="19">
        <v>1.9392</v>
      </c>
      <c r="T136" s="19">
        <v>1.80887</v>
      </c>
      <c r="U136" s="19">
        <v>1.9983</v>
      </c>
      <c r="V136" s="19">
        <v>1.92</v>
      </c>
      <c r="W136" s="19">
        <v>2.1070000000000002</v>
      </c>
      <c r="X136" s="19">
        <v>1.92</v>
      </c>
      <c r="Y136" s="19">
        <v>2.1070000000000002</v>
      </c>
      <c r="Z136" s="4"/>
      <c r="AA136" s="4"/>
      <c r="AB136" s="4" t="e">
        <f ca="1">_xll.ciqfunctions.udf.CIQ("^SPX", "IQ_PRICEDATE", "7/8/2014")</f>
        <v>#NAME?</v>
      </c>
      <c r="AC136" s="16">
        <v>1963.7114770538999</v>
      </c>
    </row>
    <row r="137" spans="1:29" x14ac:dyDescent="0.35">
      <c r="A137" s="2" t="s">
        <v>147</v>
      </c>
      <c r="B137" s="4" t="s">
        <v>906</v>
      </c>
      <c r="C137" s="4" t="s">
        <v>525</v>
      </c>
      <c r="D137" s="4" t="s">
        <v>526</v>
      </c>
      <c r="E137" s="4" t="s">
        <v>803</v>
      </c>
      <c r="F137" s="4" t="s">
        <v>804</v>
      </c>
      <c r="G137" s="14">
        <v>146.19</v>
      </c>
      <c r="H137" s="10">
        <v>8.2986369999999994</v>
      </c>
      <c r="I137" s="10">
        <v>23.113306000000001</v>
      </c>
      <c r="J137" s="10">
        <v>4.5075250000000002</v>
      </c>
      <c r="K137" s="15">
        <v>3.1192000000000001E-2</v>
      </c>
      <c r="L137" s="17">
        <v>23801.193899999998</v>
      </c>
      <c r="M137" s="4" t="s">
        <v>907</v>
      </c>
      <c r="N137" s="19">
        <v>6.3249279999999999</v>
      </c>
      <c r="O137" s="19">
        <v>14.9735</v>
      </c>
      <c r="P137" s="19">
        <v>5.9699989999999996</v>
      </c>
      <c r="Q137" s="19">
        <v>11.3878</v>
      </c>
      <c r="R137" s="19">
        <v>8.23</v>
      </c>
      <c r="S137" s="19">
        <v>7.9602000000000004</v>
      </c>
      <c r="T137" s="19">
        <v>8.23</v>
      </c>
      <c r="U137" s="19">
        <v>8.3613</v>
      </c>
      <c r="V137" s="19">
        <v>9.02</v>
      </c>
      <c r="W137" s="19">
        <v>10.5555</v>
      </c>
      <c r="X137" s="19">
        <v>9.02</v>
      </c>
      <c r="Y137" s="19">
        <v>10.5555</v>
      </c>
      <c r="Z137" s="4"/>
      <c r="AA137" s="4"/>
      <c r="AB137" s="4" t="e">
        <f ca="1">_xll.ciqfunctions.udf.CIQ("^SPX", "IQ_PRICEDATE", "7/9/2014")</f>
        <v>#NAME?</v>
      </c>
      <c r="AC137" s="16">
        <v>1972.8330923594999</v>
      </c>
    </row>
    <row r="138" spans="1:29" x14ac:dyDescent="0.35">
      <c r="A138" s="2" t="s">
        <v>148</v>
      </c>
      <c r="B138" s="4" t="s">
        <v>908</v>
      </c>
      <c r="C138" s="4" t="s">
        <v>530</v>
      </c>
      <c r="D138" s="4" t="s">
        <v>531</v>
      </c>
      <c r="E138" s="4" t="s">
        <v>569</v>
      </c>
      <c r="F138" s="4" t="s">
        <v>909</v>
      </c>
      <c r="G138" s="14">
        <v>74.36</v>
      </c>
      <c r="H138" s="10">
        <v>7.6016019999999997</v>
      </c>
      <c r="I138" s="10">
        <v>25.309519000000002</v>
      </c>
      <c r="J138" s="10" t="s">
        <v>534</v>
      </c>
      <c r="K138" s="15">
        <v>2.6896E-2</v>
      </c>
      <c r="L138" s="17">
        <v>75703.223052999994</v>
      </c>
      <c r="M138" s="4" t="s">
        <v>910</v>
      </c>
      <c r="N138" s="19">
        <v>2.9380250000000001</v>
      </c>
      <c r="O138" s="19">
        <v>7.1859000000000002</v>
      </c>
      <c r="P138" s="19">
        <v>6.45</v>
      </c>
      <c r="Q138" s="19">
        <v>6.1665999999999999</v>
      </c>
      <c r="R138" s="19">
        <v>4.91</v>
      </c>
      <c r="S138" s="19">
        <v>5.7864000000000004</v>
      </c>
      <c r="T138" s="19">
        <v>4.91</v>
      </c>
      <c r="U138" s="19">
        <v>5.5949999999999998</v>
      </c>
      <c r="V138" s="19">
        <v>3.96</v>
      </c>
      <c r="W138" s="19">
        <v>4.899</v>
      </c>
      <c r="X138" s="19">
        <v>3.96</v>
      </c>
      <c r="Y138" s="19">
        <v>4.899</v>
      </c>
      <c r="Z138" s="4"/>
      <c r="AA138" s="4"/>
      <c r="AB138" s="4" t="e">
        <f ca="1">_xll.ciqfunctions.udf.CIQ("^SPX", "IQ_PRICEDATE", "7/10/2014")</f>
        <v>#NAME?</v>
      </c>
      <c r="AC138" s="16">
        <v>1964.6766176333001</v>
      </c>
    </row>
    <row r="139" spans="1:29" x14ac:dyDescent="0.35">
      <c r="A139" s="2" t="s">
        <v>149</v>
      </c>
      <c r="B139" s="4" t="s">
        <v>911</v>
      </c>
      <c r="C139" s="4" t="s">
        <v>559</v>
      </c>
      <c r="D139" s="4" t="s">
        <v>912</v>
      </c>
      <c r="E139" s="4" t="s">
        <v>913</v>
      </c>
      <c r="F139" s="4" t="s">
        <v>914</v>
      </c>
      <c r="G139" s="14">
        <v>37.78</v>
      </c>
      <c r="H139" s="10">
        <v>8.130979</v>
      </c>
      <c r="I139" s="10">
        <v>11.080049000000001</v>
      </c>
      <c r="J139" s="10">
        <v>1.677972</v>
      </c>
      <c r="K139" s="15">
        <v>1.3233999999999999E-2</v>
      </c>
      <c r="L139" s="17">
        <v>14220.299212</v>
      </c>
      <c r="M139" s="4" t="s">
        <v>915</v>
      </c>
      <c r="N139" s="19">
        <v>3.409732</v>
      </c>
      <c r="O139" s="19">
        <v>4.4203999999999999</v>
      </c>
      <c r="P139" s="19">
        <v>2.6772079999999998</v>
      </c>
      <c r="Q139" s="19">
        <v>3.2790699999999999</v>
      </c>
      <c r="R139" s="19">
        <v>2.4886949999999999</v>
      </c>
      <c r="S139" s="19">
        <v>2.67048</v>
      </c>
      <c r="T139" s="19">
        <v>2.4886949999999999</v>
      </c>
      <c r="U139" s="19">
        <v>2.3214000000000001</v>
      </c>
      <c r="V139" s="19">
        <v>1.5333889999999999</v>
      </c>
      <c r="W139" s="19">
        <v>1.84293</v>
      </c>
      <c r="X139" s="19">
        <v>1.5333889999999999</v>
      </c>
      <c r="Y139" s="19">
        <v>1.84293</v>
      </c>
      <c r="Z139" s="4"/>
      <c r="AA139" s="4"/>
      <c r="AB139" s="4" t="e">
        <f ca="1">_xll.ciqfunctions.udf.CIQ("^SPX", "IQ_PRICEDATE", "7/11/2014")</f>
        <v>#NAME?</v>
      </c>
      <c r="AC139" s="16">
        <v>1967.5691612269</v>
      </c>
    </row>
    <row r="140" spans="1:29" x14ac:dyDescent="0.35">
      <c r="A140" s="2" t="s">
        <v>150</v>
      </c>
      <c r="B140" s="4" t="s">
        <v>916</v>
      </c>
      <c r="C140" s="4" t="s">
        <v>530</v>
      </c>
      <c r="D140" s="4" t="s">
        <v>531</v>
      </c>
      <c r="E140" s="4" t="s">
        <v>532</v>
      </c>
      <c r="F140" s="4" t="s">
        <v>533</v>
      </c>
      <c r="G140" s="14">
        <v>104.96</v>
      </c>
      <c r="H140" s="10">
        <v>17.27495</v>
      </c>
      <c r="I140" s="10">
        <v>26.980429999999998</v>
      </c>
      <c r="J140" s="10" t="s">
        <v>534</v>
      </c>
      <c r="K140" s="15">
        <v>6.097E-3</v>
      </c>
      <c r="L140" s="17">
        <v>73446.268320999996</v>
      </c>
      <c r="M140" s="4" t="s">
        <v>917</v>
      </c>
      <c r="N140" s="19">
        <v>3.8902269999999999</v>
      </c>
      <c r="O140" s="19">
        <v>4.6703999999999999</v>
      </c>
      <c r="P140" s="19">
        <v>3.5007779999999999</v>
      </c>
      <c r="Q140" s="19">
        <v>4.2243000000000004</v>
      </c>
      <c r="R140" s="19">
        <v>3.0797370000000002</v>
      </c>
      <c r="S140" s="19">
        <v>3.8018999999999998</v>
      </c>
      <c r="T140" s="19">
        <v>3.0797370000000002</v>
      </c>
      <c r="U140" s="19">
        <v>4.7882999999999996</v>
      </c>
      <c r="V140" s="19">
        <v>2.2929750000000002</v>
      </c>
      <c r="W140" s="19">
        <v>4.0403000000000002</v>
      </c>
      <c r="X140" s="19">
        <v>2.2929750000000002</v>
      </c>
      <c r="Y140" s="19">
        <v>4.0403000000000002</v>
      </c>
      <c r="Z140" s="4"/>
      <c r="AA140" s="4"/>
      <c r="AB140" s="4" t="e">
        <f ca="1">_xll.ciqfunctions.udf.CIQ("^SPX", "IQ_PRICEDATE", "7/14/2014")</f>
        <v>#NAME?</v>
      </c>
      <c r="AC140" s="16">
        <v>1977.0993235454</v>
      </c>
    </row>
    <row r="141" spans="1:29" x14ac:dyDescent="0.35">
      <c r="A141" s="2" t="s">
        <v>151</v>
      </c>
      <c r="B141" s="4" t="s">
        <v>918</v>
      </c>
      <c r="C141" s="4" t="s">
        <v>559</v>
      </c>
      <c r="D141" s="4" t="s">
        <v>798</v>
      </c>
      <c r="E141" s="4" t="s">
        <v>799</v>
      </c>
      <c r="F141" s="4" t="s">
        <v>839</v>
      </c>
      <c r="G141" s="14">
        <v>109.94</v>
      </c>
      <c r="H141" s="10">
        <v>13.100484</v>
      </c>
      <c r="I141" s="10">
        <v>21.209614999999999</v>
      </c>
      <c r="J141" s="10">
        <v>96.977331000000007</v>
      </c>
      <c r="K141" s="15">
        <v>2.7286999999999999E-2</v>
      </c>
      <c r="L141" s="17">
        <v>13644.703533</v>
      </c>
      <c r="M141" s="4" t="s">
        <v>919</v>
      </c>
      <c r="N141" s="19">
        <v>5.1834980000000002</v>
      </c>
      <c r="O141" s="19">
        <v>5.6837</v>
      </c>
      <c r="P141" s="19">
        <v>3.9699439999999999</v>
      </c>
      <c r="Q141" s="19">
        <v>4.7085999999999997</v>
      </c>
      <c r="R141" s="19">
        <v>3.448197</v>
      </c>
      <c r="S141" s="19">
        <v>4.0773000000000001</v>
      </c>
      <c r="T141" s="19">
        <v>3.448197</v>
      </c>
      <c r="U141" s="19">
        <v>3.5392999999999999</v>
      </c>
      <c r="V141" s="19">
        <v>0.647281</v>
      </c>
      <c r="W141" s="19">
        <v>2.5777000000000001</v>
      </c>
      <c r="X141" s="19">
        <v>0.647281</v>
      </c>
      <c r="Y141" s="19">
        <v>2.5777000000000001</v>
      </c>
      <c r="Z141" s="4"/>
      <c r="AA141" s="4"/>
      <c r="AB141" s="4" t="e">
        <f ca="1">_xll.ciqfunctions.udf.CIQ("^SPX", "IQ_PRICEDATE", "7/15/2014")</f>
        <v>#NAME?</v>
      </c>
      <c r="AC141" s="16">
        <v>1973.2820561929</v>
      </c>
    </row>
    <row r="142" spans="1:29" x14ac:dyDescent="0.35">
      <c r="A142" s="2" t="s">
        <v>152</v>
      </c>
      <c r="B142" s="4" t="s">
        <v>920</v>
      </c>
      <c r="C142" s="4" t="s">
        <v>530</v>
      </c>
      <c r="D142" s="4" t="s">
        <v>531</v>
      </c>
      <c r="E142" s="4" t="s">
        <v>569</v>
      </c>
      <c r="F142" s="4" t="s">
        <v>909</v>
      </c>
      <c r="G142" s="14">
        <v>68.36</v>
      </c>
      <c r="H142" s="10">
        <v>9.4707399999999993</v>
      </c>
      <c r="I142" s="10">
        <v>17.875937</v>
      </c>
      <c r="J142" s="10" t="s">
        <v>534</v>
      </c>
      <c r="K142" s="15">
        <v>0</v>
      </c>
      <c r="L142" s="17">
        <v>11409.284</v>
      </c>
      <c r="M142" s="4" t="s">
        <v>921</v>
      </c>
      <c r="N142" s="19">
        <v>3.8241350000000001</v>
      </c>
      <c r="O142" s="19">
        <v>4.2111000000000001</v>
      </c>
      <c r="P142" s="19">
        <v>4.7523299999999997</v>
      </c>
      <c r="Q142" s="19">
        <v>3.5078</v>
      </c>
      <c r="R142" s="19">
        <v>5.0623680000000002</v>
      </c>
      <c r="S142" s="19">
        <v>3.6593</v>
      </c>
      <c r="T142" s="19">
        <v>5.0623680000000002</v>
      </c>
      <c r="U142" s="19">
        <v>3.9411999999999998</v>
      </c>
      <c r="V142" s="19">
        <v>3.33</v>
      </c>
      <c r="W142" s="19">
        <v>3.6556999999999999</v>
      </c>
      <c r="X142" s="19">
        <v>3.33</v>
      </c>
      <c r="Y142" s="19">
        <v>3.6556999999999999</v>
      </c>
      <c r="Z142" s="4"/>
      <c r="AA142" s="4"/>
      <c r="AB142" s="4" t="e">
        <f ca="1">_xll.ciqfunctions.udf.CIQ("^SPX", "IQ_PRICEDATE", "7/16/2014")</f>
        <v>#NAME?</v>
      </c>
      <c r="AC142" s="16">
        <v>1981.5672192156001</v>
      </c>
    </row>
    <row r="143" spans="1:29" x14ac:dyDescent="0.35">
      <c r="A143" s="2" t="s">
        <v>153</v>
      </c>
      <c r="B143" s="4" t="s">
        <v>922</v>
      </c>
      <c r="C143" s="4" t="s">
        <v>525</v>
      </c>
      <c r="D143" s="4" t="s">
        <v>526</v>
      </c>
      <c r="E143" s="4" t="s">
        <v>803</v>
      </c>
      <c r="F143" s="4" t="s">
        <v>923</v>
      </c>
      <c r="G143" s="14">
        <v>151.63999999999999</v>
      </c>
      <c r="H143" s="10">
        <v>16.285527999999999</v>
      </c>
      <c r="I143" s="10">
        <v>23.726424999999999</v>
      </c>
      <c r="J143" s="10">
        <v>8.5143249999999995</v>
      </c>
      <c r="K143" s="15">
        <v>1.8201000000000002E-2</v>
      </c>
      <c r="L143" s="17">
        <v>48778.573027999999</v>
      </c>
      <c r="M143" s="4" t="s">
        <v>924</v>
      </c>
      <c r="N143" s="19">
        <v>6.3911860000000003</v>
      </c>
      <c r="O143" s="19">
        <v>11.091900000000001</v>
      </c>
      <c r="P143" s="19">
        <v>6.68</v>
      </c>
      <c r="Q143" s="19">
        <v>8.0858899999999991</v>
      </c>
      <c r="R143" s="19">
        <v>4.8099999999999996</v>
      </c>
      <c r="S143" s="19">
        <v>4.4488899999999996</v>
      </c>
      <c r="T143" s="19">
        <v>4.8099999999999996</v>
      </c>
      <c r="U143" s="19">
        <v>4.2333299999999996</v>
      </c>
      <c r="V143" s="19">
        <v>8.6300000000000008</v>
      </c>
      <c r="W143" s="19">
        <v>5.5261899999999997</v>
      </c>
      <c r="X143" s="19">
        <v>8.6300000000000008</v>
      </c>
      <c r="Y143" s="19">
        <v>5.5261899999999997</v>
      </c>
      <c r="Z143" s="4"/>
      <c r="AA143" s="4"/>
      <c r="AB143" s="4" t="e">
        <f ca="1">_xll.ciqfunctions.udf.CIQ("^SPX", "IQ_PRICEDATE", "7/17/2014")</f>
        <v>#NAME?</v>
      </c>
      <c r="AC143" s="16">
        <v>1958.1194331985</v>
      </c>
    </row>
    <row r="144" spans="1:29" x14ac:dyDescent="0.35">
      <c r="A144" s="2" t="s">
        <v>154</v>
      </c>
      <c r="B144" s="4" t="s">
        <v>925</v>
      </c>
      <c r="C144" s="4" t="s">
        <v>525</v>
      </c>
      <c r="D144" s="4" t="s">
        <v>594</v>
      </c>
      <c r="E144" s="4" t="s">
        <v>595</v>
      </c>
      <c r="F144" s="4" t="s">
        <v>595</v>
      </c>
      <c r="G144" s="14">
        <v>54.3</v>
      </c>
      <c r="H144" s="10">
        <v>6.0119920000000002</v>
      </c>
      <c r="I144" s="10">
        <v>10.695319</v>
      </c>
      <c r="J144" s="10" t="s">
        <v>534</v>
      </c>
      <c r="K144" s="15">
        <v>2.5781999999999999E-2</v>
      </c>
      <c r="L144" s="17">
        <v>37088.012497999996</v>
      </c>
      <c r="M144" s="4" t="s">
        <v>926</v>
      </c>
      <c r="N144" s="19">
        <v>5.0769869999999999</v>
      </c>
      <c r="O144" s="19">
        <v>5.9714</v>
      </c>
      <c r="P144" s="19">
        <v>4.95</v>
      </c>
      <c r="Q144" s="19">
        <v>5.1833</v>
      </c>
      <c r="R144" s="19">
        <v>5.79</v>
      </c>
      <c r="S144" s="19">
        <v>4.9169</v>
      </c>
      <c r="T144" s="19">
        <v>5.79</v>
      </c>
      <c r="U144" s="19">
        <v>6.2106000000000003</v>
      </c>
      <c r="V144" s="19">
        <v>0.78</v>
      </c>
      <c r="W144" s="19">
        <v>4.3926999999999996</v>
      </c>
      <c r="X144" s="19">
        <v>0.78</v>
      </c>
      <c r="Y144" s="19">
        <v>4.3926999999999996</v>
      </c>
      <c r="Z144" s="4"/>
      <c r="AA144" s="4"/>
      <c r="AB144" s="4" t="e">
        <f ca="1">_xll.ciqfunctions.udf.CIQ("^SPX", "IQ_PRICEDATE", "7/18/2014")</f>
        <v>#NAME?</v>
      </c>
      <c r="AC144" s="16">
        <v>1978.2183536964001</v>
      </c>
    </row>
    <row r="145" spans="1:29" x14ac:dyDescent="0.35">
      <c r="A145" s="2" t="s">
        <v>155</v>
      </c>
      <c r="B145" s="4" t="s">
        <v>927</v>
      </c>
      <c r="C145" s="4" t="s">
        <v>530</v>
      </c>
      <c r="D145" s="4" t="s">
        <v>531</v>
      </c>
      <c r="E145" s="4" t="s">
        <v>532</v>
      </c>
      <c r="F145" s="4" t="s">
        <v>608</v>
      </c>
      <c r="G145" s="14">
        <v>37.07</v>
      </c>
      <c r="H145" s="10">
        <v>11.934528999999999</v>
      </c>
      <c r="I145" s="10" t="s">
        <v>534</v>
      </c>
      <c r="J145" s="10" t="s">
        <v>534</v>
      </c>
      <c r="K145" s="15">
        <v>9.4409999999999997E-3</v>
      </c>
      <c r="L145" s="17">
        <v>8242.3244790000008</v>
      </c>
      <c r="M145" s="4" t="s">
        <v>928</v>
      </c>
      <c r="N145" s="19">
        <v>-7.0338539999999998</v>
      </c>
      <c r="O145" s="19">
        <v>2.1023999999999998</v>
      </c>
      <c r="P145" s="19">
        <v>-6.76</v>
      </c>
      <c r="Q145" s="19">
        <v>2.8889999999999998</v>
      </c>
      <c r="R145" s="19">
        <v>1.94</v>
      </c>
      <c r="S145" s="19">
        <v>2.9278</v>
      </c>
      <c r="T145" s="19">
        <v>1.94</v>
      </c>
      <c r="U145" s="19">
        <v>2.7517999999999998</v>
      </c>
      <c r="V145" s="19">
        <v>2.2400000000000002</v>
      </c>
      <c r="W145" s="19">
        <v>2.6354000000000002</v>
      </c>
      <c r="X145" s="19">
        <v>2.2400000000000002</v>
      </c>
      <c r="Y145" s="19">
        <v>2.6354000000000002</v>
      </c>
      <c r="Z145" s="4"/>
      <c r="AA145" s="4"/>
      <c r="AB145" s="4" t="e">
        <f ca="1">_xll.ciqfunctions.udf.CIQ("^SPX", "IQ_PRICEDATE", "7/21/2014")</f>
        <v>#NAME?</v>
      </c>
      <c r="AC145" s="16">
        <v>1973.6278558585</v>
      </c>
    </row>
    <row r="146" spans="1:29" x14ac:dyDescent="0.35">
      <c r="A146" s="2" t="s">
        <v>156</v>
      </c>
      <c r="B146" s="4" t="s">
        <v>929</v>
      </c>
      <c r="C146" s="4" t="s">
        <v>669</v>
      </c>
      <c r="D146" s="4" t="s">
        <v>669</v>
      </c>
      <c r="E146" s="4" t="s">
        <v>670</v>
      </c>
      <c r="F146" s="4" t="s">
        <v>671</v>
      </c>
      <c r="G146" s="14">
        <v>36</v>
      </c>
      <c r="H146" s="10">
        <v>9.4382180000000009</v>
      </c>
      <c r="I146" s="10" t="s">
        <v>534</v>
      </c>
      <c r="J146" s="10">
        <v>2.5821830000000001</v>
      </c>
      <c r="K146" s="15">
        <v>8.8880000000000001E-3</v>
      </c>
      <c r="L146" s="17">
        <v>18316.8</v>
      </c>
      <c r="M146" s="4" t="s">
        <v>930</v>
      </c>
      <c r="N146" s="19">
        <v>-0.78151999999999999</v>
      </c>
      <c r="O146" s="19">
        <v>2.3226</v>
      </c>
      <c r="P146" s="19">
        <v>1.7</v>
      </c>
      <c r="Q146" s="19">
        <v>2.3673999999999999</v>
      </c>
      <c r="R146" s="19">
        <v>-2.09</v>
      </c>
      <c r="S146" s="19">
        <v>1.2303999999999999</v>
      </c>
      <c r="T146" s="19">
        <v>-2.09</v>
      </c>
      <c r="U146" s="19">
        <v>0.6623</v>
      </c>
      <c r="V146" s="19">
        <v>3.91</v>
      </c>
      <c r="W146" s="19">
        <v>4.4607999999999999</v>
      </c>
      <c r="X146" s="19">
        <v>3.91</v>
      </c>
      <c r="Y146" s="19">
        <v>4.4607999999999999</v>
      </c>
      <c r="Z146" s="4"/>
      <c r="AA146" s="4"/>
      <c r="AB146" s="4" t="e">
        <f ca="1">_xll.ciqfunctions.udf.CIQ("^SPX", "IQ_PRICEDATE", "7/22/2014")</f>
        <v>#NAME?</v>
      </c>
      <c r="AC146" s="16">
        <v>1983.5281525706</v>
      </c>
    </row>
    <row r="147" spans="1:29" x14ac:dyDescent="0.35">
      <c r="A147" s="2" t="s">
        <v>157</v>
      </c>
      <c r="B147" s="4" t="s">
        <v>931</v>
      </c>
      <c r="C147" s="4" t="s">
        <v>601</v>
      </c>
      <c r="D147" s="4" t="s">
        <v>601</v>
      </c>
      <c r="E147" s="4" t="s">
        <v>602</v>
      </c>
      <c r="F147" s="4" t="s">
        <v>647</v>
      </c>
      <c r="G147" s="14">
        <v>110.93</v>
      </c>
      <c r="H147" s="10">
        <v>21.229939000000002</v>
      </c>
      <c r="I147" s="10">
        <v>109.680627</v>
      </c>
      <c r="J147" s="10">
        <v>7.973274</v>
      </c>
      <c r="K147" s="15">
        <v>3.6419E-2</v>
      </c>
      <c r="L147" s="17">
        <v>22868.219499999999</v>
      </c>
      <c r="M147" s="4" t="s">
        <v>932</v>
      </c>
      <c r="N147" s="19">
        <v>1.0113909999999999</v>
      </c>
      <c r="O147" s="19">
        <v>1.3041</v>
      </c>
      <c r="P147" s="19">
        <v>0.98999899999999996</v>
      </c>
      <c r="Q147" s="19">
        <v>1.6814</v>
      </c>
      <c r="R147" s="19">
        <v>2.2000000000000002</v>
      </c>
      <c r="S147" s="19">
        <v>1.4057999999999999</v>
      </c>
      <c r="T147" s="19">
        <v>2.2000000000000002</v>
      </c>
      <c r="U147" s="19">
        <v>1.1819999999999999</v>
      </c>
      <c r="V147" s="19">
        <v>0.99</v>
      </c>
      <c r="W147" s="19">
        <v>1.0226</v>
      </c>
      <c r="X147" s="19">
        <v>0.99</v>
      </c>
      <c r="Y147" s="19">
        <v>1.0226</v>
      </c>
      <c r="Z147" s="4"/>
      <c r="AA147" s="4"/>
      <c r="AB147" s="4" t="e">
        <f ca="1">_xll.ciqfunctions.udf.CIQ("^SPX", "IQ_PRICEDATE", "7/23/2014")</f>
        <v>#NAME?</v>
      </c>
      <c r="AC147" s="16">
        <v>1987.0051750061</v>
      </c>
    </row>
    <row r="148" spans="1:29" x14ac:dyDescent="0.35">
      <c r="A148" s="2" t="s">
        <v>158</v>
      </c>
      <c r="B148" s="4" t="s">
        <v>933</v>
      </c>
      <c r="C148" s="4" t="s">
        <v>573</v>
      </c>
      <c r="D148" s="4" t="s">
        <v>574</v>
      </c>
      <c r="E148" s="4" t="s">
        <v>641</v>
      </c>
      <c r="F148" s="4" t="s">
        <v>641</v>
      </c>
      <c r="G148" s="14">
        <v>75.89</v>
      </c>
      <c r="H148" s="10">
        <v>0</v>
      </c>
      <c r="I148" s="10">
        <v>12.084429</v>
      </c>
      <c r="J148" s="10">
        <v>2.6338300000000001</v>
      </c>
      <c r="K148" s="15">
        <v>2.1082999999999998E-2</v>
      </c>
      <c r="L148" s="17">
        <v>26004.33611</v>
      </c>
      <c r="M148" s="4" t="s">
        <v>934</v>
      </c>
      <c r="N148" s="19">
        <v>6.2799820000000004</v>
      </c>
      <c r="O148" s="19">
        <v>8.2516999999999996</v>
      </c>
      <c r="P148" s="19">
        <v>5.42</v>
      </c>
      <c r="Q148" s="19">
        <v>6.4844999999999997</v>
      </c>
      <c r="R148" s="19">
        <v>5.77</v>
      </c>
      <c r="S148" s="19">
        <v>6.0126999999999997</v>
      </c>
      <c r="T148" s="19">
        <v>5.77</v>
      </c>
      <c r="U148" s="19">
        <v>5.5625</v>
      </c>
      <c r="V148" s="19">
        <v>4.9000000000000004</v>
      </c>
      <c r="W148" s="19">
        <v>5.3948</v>
      </c>
      <c r="X148" s="19">
        <v>4.9000000000000004</v>
      </c>
      <c r="Y148" s="19">
        <v>5.3948</v>
      </c>
      <c r="Z148" s="4"/>
      <c r="AA148" s="4"/>
      <c r="AB148" s="4" t="e">
        <f ca="1">_xll.ciqfunctions.udf.CIQ("^SPX", "IQ_PRICEDATE", "7/24/2014")</f>
        <v>#NAME?</v>
      </c>
      <c r="AC148" s="16">
        <v>1987.980474964</v>
      </c>
    </row>
    <row r="149" spans="1:29" x14ac:dyDescent="0.35">
      <c r="A149" s="2" t="s">
        <v>159</v>
      </c>
      <c r="B149" s="4" t="s">
        <v>935</v>
      </c>
      <c r="C149" s="4" t="s">
        <v>549</v>
      </c>
      <c r="D149" s="4" t="s">
        <v>550</v>
      </c>
      <c r="E149" s="4" t="s">
        <v>814</v>
      </c>
      <c r="F149" s="4" t="s">
        <v>815</v>
      </c>
      <c r="G149" s="14">
        <v>33.049999999999997</v>
      </c>
      <c r="H149" s="10">
        <v>15.319791</v>
      </c>
      <c r="I149" s="10" t="s">
        <v>534</v>
      </c>
      <c r="J149" s="10" t="s">
        <v>534</v>
      </c>
      <c r="K149" s="15">
        <v>0</v>
      </c>
      <c r="L149" s="17">
        <v>22389.863355000001</v>
      </c>
      <c r="M149" s="4" t="s">
        <v>936</v>
      </c>
      <c r="N149" s="19">
        <v>-1.2573890000000001</v>
      </c>
      <c r="O149" s="19">
        <v>3.1124000000000001</v>
      </c>
      <c r="P149" s="19">
        <v>-0.59177599999999997</v>
      </c>
      <c r="Q149" s="19">
        <v>2.2099000000000002</v>
      </c>
      <c r="R149" s="19">
        <v>1.601494</v>
      </c>
      <c r="S149" s="19">
        <v>2.2747000000000002</v>
      </c>
      <c r="T149" s="19">
        <v>1.601494</v>
      </c>
      <c r="U149" s="19">
        <v>2.0402999999999998</v>
      </c>
      <c r="V149" s="19">
        <v>1.472186</v>
      </c>
      <c r="W149" s="19">
        <v>1.9071</v>
      </c>
      <c r="X149" s="19">
        <v>1.472186</v>
      </c>
      <c r="Y149" s="19">
        <v>1.9071</v>
      </c>
      <c r="Z149" s="4"/>
      <c r="AA149" s="4"/>
      <c r="AB149" s="4" t="e">
        <f ca="1">_xll.ciqfunctions.udf.CIQ("^SPX", "IQ_PRICEDATE", "7/25/2014")</f>
        <v>#NAME?</v>
      </c>
      <c r="AC149" s="16">
        <v>1978.3388878225001</v>
      </c>
    </row>
    <row r="150" spans="1:29" x14ac:dyDescent="0.35">
      <c r="A150" s="2" t="s">
        <v>160</v>
      </c>
      <c r="B150" s="4" t="s">
        <v>935</v>
      </c>
      <c r="C150" s="4" t="s">
        <v>549</v>
      </c>
      <c r="D150" s="4" t="s">
        <v>550</v>
      </c>
      <c r="E150" s="4" t="s">
        <v>814</v>
      </c>
      <c r="F150" s="4" t="s">
        <v>815</v>
      </c>
      <c r="G150" s="14">
        <v>30.1</v>
      </c>
      <c r="H150" s="10">
        <v>15.319791</v>
      </c>
      <c r="I150" s="10">
        <v>0</v>
      </c>
      <c r="J150" s="10">
        <v>0</v>
      </c>
      <c r="K150" s="15">
        <v>0</v>
      </c>
      <c r="L150" s="17">
        <v>22389.863355000001</v>
      </c>
      <c r="M150" s="4" t="s">
        <v>936</v>
      </c>
      <c r="N150" s="19">
        <v>-1.2573890000000001</v>
      </c>
      <c r="O150" s="19">
        <v>3.1095999999999999</v>
      </c>
      <c r="P150" s="19">
        <v>-0.59177599999999997</v>
      </c>
      <c r="Q150" s="19">
        <v>2.2099000000000002</v>
      </c>
      <c r="R150" s="19">
        <v>1.601494</v>
      </c>
      <c r="S150" s="19">
        <v>2.2747000000000002</v>
      </c>
      <c r="T150" s="19">
        <v>1.601494</v>
      </c>
      <c r="U150" s="19">
        <v>2.0402999999999998</v>
      </c>
      <c r="V150" s="19">
        <v>1.472186</v>
      </c>
      <c r="W150" s="19">
        <v>1.905</v>
      </c>
      <c r="X150" s="19">
        <v>1.472186</v>
      </c>
      <c r="Y150" s="19">
        <v>1.905</v>
      </c>
      <c r="Z150" s="4"/>
      <c r="AA150" s="4"/>
      <c r="AB150" s="4" t="e">
        <f ca="1">_xll.ciqfunctions.udf.CIQ("^SPX", "IQ_PRICEDATE", "7/28/2014")</f>
        <v>#NAME?</v>
      </c>
      <c r="AC150" s="16">
        <v>1978.9113478934</v>
      </c>
    </row>
    <row r="151" spans="1:29" x14ac:dyDescent="0.35">
      <c r="A151" s="2" t="s">
        <v>161</v>
      </c>
      <c r="B151" s="4" t="s">
        <v>937</v>
      </c>
      <c r="C151" s="4" t="s">
        <v>549</v>
      </c>
      <c r="D151" s="4" t="s">
        <v>550</v>
      </c>
      <c r="E151" s="4" t="s">
        <v>814</v>
      </c>
      <c r="F151" s="4" t="s">
        <v>833</v>
      </c>
      <c r="G151" s="14">
        <v>34.44</v>
      </c>
      <c r="H151" s="10">
        <v>11.009216</v>
      </c>
      <c r="I151" s="10">
        <v>7.2768759999999997</v>
      </c>
      <c r="J151" s="10" t="s">
        <v>534</v>
      </c>
      <c r="K151" s="15">
        <v>0</v>
      </c>
      <c r="L151" s="17">
        <v>16101.261406</v>
      </c>
      <c r="M151" s="4" t="s">
        <v>938</v>
      </c>
      <c r="N151" s="19">
        <v>4.7328000000000001</v>
      </c>
      <c r="O151" s="19">
        <v>2.6312000000000002</v>
      </c>
      <c r="P151" s="19">
        <v>4.0733509999999997</v>
      </c>
      <c r="Q151" s="19">
        <v>2.1316999999999999</v>
      </c>
      <c r="R151" s="19">
        <v>3.150709</v>
      </c>
      <c r="S151" s="19">
        <v>2.7755000000000001</v>
      </c>
      <c r="T151" s="19">
        <v>3.150709</v>
      </c>
      <c r="U151" s="19">
        <v>1.4694</v>
      </c>
      <c r="V151" s="19">
        <v>2.04</v>
      </c>
      <c r="W151" s="19">
        <v>1.7709999999999999</v>
      </c>
      <c r="X151" s="19">
        <v>2.04</v>
      </c>
      <c r="Y151" s="19">
        <v>1.7709999999999999</v>
      </c>
      <c r="Z151" s="4"/>
      <c r="AA151" s="4"/>
      <c r="AB151" s="4" t="e">
        <f ca="1">_xll.ciqfunctions.udf.CIQ("^SPX", "IQ_PRICEDATE", "7/29/2014")</f>
        <v>#NAME?</v>
      </c>
      <c r="AC151" s="16">
        <v>1969.9523243767001</v>
      </c>
    </row>
    <row r="152" spans="1:29" x14ac:dyDescent="0.35">
      <c r="A152" s="2" t="s">
        <v>162</v>
      </c>
      <c r="B152" s="4" t="s">
        <v>939</v>
      </c>
      <c r="C152" s="4" t="s">
        <v>559</v>
      </c>
      <c r="D152" s="4" t="s">
        <v>560</v>
      </c>
      <c r="E152" s="4" t="s">
        <v>940</v>
      </c>
      <c r="F152" s="4" t="s">
        <v>941</v>
      </c>
      <c r="G152" s="14">
        <v>109.77</v>
      </c>
      <c r="H152" s="10">
        <v>12.601635</v>
      </c>
      <c r="I152" s="10">
        <v>17.066841</v>
      </c>
      <c r="J152" s="10">
        <v>34.698382000000002</v>
      </c>
      <c r="K152" s="15">
        <v>1.0567E-2</v>
      </c>
      <c r="L152" s="17">
        <v>29147.711198000001</v>
      </c>
      <c r="M152" s="4" t="s">
        <v>942</v>
      </c>
      <c r="N152" s="19">
        <v>6.4317700000000002</v>
      </c>
      <c r="O152" s="19">
        <v>6.4134000000000002</v>
      </c>
      <c r="P152" s="19">
        <v>4.5134610000000004</v>
      </c>
      <c r="Q152" s="19">
        <v>4.8853999999999997</v>
      </c>
      <c r="R152" s="19">
        <v>4.2629200000000003</v>
      </c>
      <c r="S152" s="19">
        <v>4.6322000000000001</v>
      </c>
      <c r="T152" s="19">
        <v>4.2629200000000003</v>
      </c>
      <c r="U152" s="19">
        <v>4.327</v>
      </c>
      <c r="V152" s="19">
        <v>3.3419159999999999</v>
      </c>
      <c r="W152" s="19">
        <v>3.8633999999999999</v>
      </c>
      <c r="X152" s="19">
        <v>3.3419159999999999</v>
      </c>
      <c r="Y152" s="19">
        <v>3.8633999999999999</v>
      </c>
      <c r="Z152" s="4"/>
      <c r="AA152" s="4"/>
      <c r="AB152" s="4" t="e">
        <f ca="1">_xll.ciqfunctions.udf.CIQ("^SPX", "IQ_PRICEDATE", "7/30/2014")</f>
        <v>#NAME?</v>
      </c>
      <c r="AC152" s="16">
        <v>1970.0681100864999</v>
      </c>
    </row>
    <row r="153" spans="1:29" x14ac:dyDescent="0.35">
      <c r="A153" s="2" t="s">
        <v>163</v>
      </c>
      <c r="B153" s="4" t="s">
        <v>943</v>
      </c>
      <c r="C153" s="4" t="s">
        <v>559</v>
      </c>
      <c r="D153" s="4" t="s">
        <v>560</v>
      </c>
      <c r="E153" s="4" t="s">
        <v>940</v>
      </c>
      <c r="F153" s="4" t="s">
        <v>941</v>
      </c>
      <c r="G153" s="14">
        <v>85.3</v>
      </c>
      <c r="H153" s="10">
        <v>9.3989650000000005</v>
      </c>
      <c r="I153" s="10">
        <v>11.86074</v>
      </c>
      <c r="J153" s="10" t="s">
        <v>534</v>
      </c>
      <c r="K153" s="15">
        <v>0</v>
      </c>
      <c r="L153" s="17">
        <v>20291.883676000001</v>
      </c>
      <c r="M153" s="4" t="s">
        <v>944</v>
      </c>
      <c r="N153" s="19">
        <v>7.1917939999999998</v>
      </c>
      <c r="O153" s="19">
        <v>5.7887000000000004</v>
      </c>
      <c r="P153" s="19">
        <v>4.1888069999999997</v>
      </c>
      <c r="Q153" s="19">
        <v>5.2915999999999999</v>
      </c>
      <c r="R153" s="19">
        <v>3.4005070000000002</v>
      </c>
      <c r="S153" s="19">
        <v>4.2846000000000002</v>
      </c>
      <c r="T153" s="19">
        <v>3.4005070000000002</v>
      </c>
      <c r="U153" s="19">
        <v>3.4607000000000001</v>
      </c>
      <c r="V153" s="19">
        <v>2.9125510000000001</v>
      </c>
      <c r="W153" s="19">
        <v>3.3856999999999999</v>
      </c>
      <c r="X153" s="19">
        <v>2.9125510000000001</v>
      </c>
      <c r="Y153" s="19">
        <v>3.3856999999999999</v>
      </c>
      <c r="Z153" s="4"/>
      <c r="AA153" s="4"/>
      <c r="AB153" s="4" t="e">
        <f ca="1">_xll.ciqfunctions.udf.CIQ("^SPX", "IQ_PRICEDATE", "7/31/2014")</f>
        <v>#NAME?</v>
      </c>
      <c r="AC153" s="16">
        <v>1930.6738707454999</v>
      </c>
    </row>
    <row r="154" spans="1:29" x14ac:dyDescent="0.35">
      <c r="A154" s="2" t="s">
        <v>164</v>
      </c>
      <c r="B154" s="4" t="s">
        <v>945</v>
      </c>
      <c r="C154" s="4" t="s">
        <v>619</v>
      </c>
      <c r="D154" s="4" t="s">
        <v>619</v>
      </c>
      <c r="E154" s="4" t="s">
        <v>634</v>
      </c>
      <c r="F154" s="4" t="s">
        <v>634</v>
      </c>
      <c r="G154" s="14">
        <v>72.3</v>
      </c>
      <c r="H154" s="10">
        <v>13.939857999999999</v>
      </c>
      <c r="I154" s="10">
        <v>16.009725</v>
      </c>
      <c r="J154" s="10">
        <v>4.0555960000000004</v>
      </c>
      <c r="K154" s="15">
        <v>4.6196000000000001E-2</v>
      </c>
      <c r="L154" s="17">
        <v>47267.258012999999</v>
      </c>
      <c r="M154" s="4" t="s">
        <v>946</v>
      </c>
      <c r="N154" s="19">
        <v>4.5160049999999998</v>
      </c>
      <c r="O154" s="19">
        <v>4.0656999999999996</v>
      </c>
      <c r="P154" s="19">
        <v>4.715408</v>
      </c>
      <c r="Q154" s="19">
        <v>4.0162000000000004</v>
      </c>
      <c r="R154" s="19">
        <v>3.44</v>
      </c>
      <c r="S154" s="19">
        <v>3.8892000000000002</v>
      </c>
      <c r="T154" s="19">
        <v>3.44</v>
      </c>
      <c r="U154" s="19">
        <v>3.76</v>
      </c>
      <c r="V154" s="19">
        <v>2.2400000000000002</v>
      </c>
      <c r="W154" s="19">
        <v>3.6734</v>
      </c>
      <c r="X154" s="19">
        <v>2.2400000000000002</v>
      </c>
      <c r="Y154" s="19">
        <v>3.6734</v>
      </c>
      <c r="Z154" s="4"/>
      <c r="AA154" s="4"/>
      <c r="AB154" s="4" t="e">
        <f ca="1">_xll.ciqfunctions.udf.CIQ("^SPX", "IQ_PRICEDATE", "8/1/2014")</f>
        <v>#NAME?</v>
      </c>
      <c r="AC154" s="16">
        <v>1925.1518001969</v>
      </c>
    </row>
    <row r="155" spans="1:29" x14ac:dyDescent="0.35">
      <c r="A155" s="2" t="s">
        <v>165</v>
      </c>
      <c r="B155" s="4" t="s">
        <v>947</v>
      </c>
      <c r="C155" s="4" t="s">
        <v>525</v>
      </c>
      <c r="D155" s="4" t="s">
        <v>526</v>
      </c>
      <c r="E155" s="4" t="s">
        <v>803</v>
      </c>
      <c r="F155" s="4" t="s">
        <v>948</v>
      </c>
      <c r="G155" s="14">
        <v>82.23</v>
      </c>
      <c r="H155" s="10">
        <v>10.735773999999999</v>
      </c>
      <c r="I155" s="10">
        <v>16.318162999999998</v>
      </c>
      <c r="J155" s="10" t="s">
        <v>534</v>
      </c>
      <c r="K155" s="15">
        <v>2.3349000000000002E-2</v>
      </c>
      <c r="L155" s="17">
        <v>12145.668755000001</v>
      </c>
      <c r="M155" s="4" t="s">
        <v>949</v>
      </c>
      <c r="N155" s="19">
        <v>5.0391700000000004</v>
      </c>
      <c r="O155" s="19">
        <v>5.2138999999999998</v>
      </c>
      <c r="P155" s="19">
        <v>5.15</v>
      </c>
      <c r="Q155" s="19">
        <v>4.3601000000000001</v>
      </c>
      <c r="R155" s="19">
        <v>3.25</v>
      </c>
      <c r="S155" s="19">
        <v>3.4489000000000001</v>
      </c>
      <c r="T155" s="19">
        <v>3.25</v>
      </c>
      <c r="U155" s="19">
        <v>3.7324999999999999</v>
      </c>
      <c r="V155" s="19">
        <v>4.6100000000000003</v>
      </c>
      <c r="W155" s="19">
        <v>4.9080000000000004</v>
      </c>
      <c r="X155" s="19">
        <v>4.6100000000000003</v>
      </c>
      <c r="Y155" s="19">
        <v>4.9080000000000004</v>
      </c>
      <c r="Z155" s="4"/>
      <c r="AA155" s="4"/>
      <c r="AB155" s="4" t="e">
        <f ca="1">_xll.ciqfunctions.udf.CIQ("^SPX", "IQ_PRICEDATE", "8/4/2014")</f>
        <v>#NAME?</v>
      </c>
      <c r="AC155" s="16">
        <v>1938.9861642804001</v>
      </c>
    </row>
    <row r="156" spans="1:29" x14ac:dyDescent="0.35">
      <c r="A156" s="2" t="s">
        <v>166</v>
      </c>
      <c r="B156" s="4" t="s">
        <v>950</v>
      </c>
      <c r="C156" s="4" t="s">
        <v>586</v>
      </c>
      <c r="D156" s="4" t="s">
        <v>586</v>
      </c>
      <c r="E156" s="4" t="s">
        <v>587</v>
      </c>
      <c r="F156" s="4" t="s">
        <v>951</v>
      </c>
      <c r="G156" s="14">
        <v>59.57</v>
      </c>
      <c r="H156" s="10">
        <v>9.7027640000000002</v>
      </c>
      <c r="I156" s="10">
        <v>58.49877</v>
      </c>
      <c r="J156" s="10">
        <v>20.342451000000001</v>
      </c>
      <c r="K156" s="15">
        <v>2.5516E-2</v>
      </c>
      <c r="L156" s="17">
        <v>137450.44044400001</v>
      </c>
      <c r="M156" s="4" t="s">
        <v>952</v>
      </c>
      <c r="N156" s="19">
        <v>1.0183120000000001</v>
      </c>
      <c r="O156" s="19">
        <v>4.4066999999999998</v>
      </c>
      <c r="P156" s="19">
        <v>0.95</v>
      </c>
      <c r="Q156" s="19">
        <v>3.8010999999999999</v>
      </c>
      <c r="R156" s="19">
        <v>3.52</v>
      </c>
      <c r="S156" s="19">
        <v>0</v>
      </c>
      <c r="T156" s="19">
        <v>3.52</v>
      </c>
      <c r="U156" s="19">
        <v>0</v>
      </c>
      <c r="V156" s="19">
        <v>2.87</v>
      </c>
      <c r="W156" s="19">
        <v>0</v>
      </c>
      <c r="X156" s="19">
        <v>2.87</v>
      </c>
      <c r="Y156" s="19">
        <v>0</v>
      </c>
      <c r="Z156" s="4"/>
      <c r="AA156" s="4"/>
      <c r="AB156" s="4" t="e">
        <f ca="1">_xll.ciqfunctions.udf.CIQ("^SPX", "IQ_PRICEDATE", "8/5/2014")</f>
        <v>#NAME?</v>
      </c>
      <c r="AC156" s="16">
        <v>1920.2111643633</v>
      </c>
    </row>
    <row r="157" spans="1:29" x14ac:dyDescent="0.35">
      <c r="A157" s="2" t="s">
        <v>167</v>
      </c>
      <c r="B157" s="4" t="s">
        <v>953</v>
      </c>
      <c r="C157" s="4" t="s">
        <v>619</v>
      </c>
      <c r="D157" s="4" t="s">
        <v>619</v>
      </c>
      <c r="E157" s="4" t="s">
        <v>634</v>
      </c>
      <c r="F157" s="4" t="s">
        <v>634</v>
      </c>
      <c r="G157" s="14">
        <v>111.29</v>
      </c>
      <c r="H157" s="10">
        <v>12.954603000000001</v>
      </c>
      <c r="I157" s="10">
        <v>17.387701</v>
      </c>
      <c r="J157" s="10">
        <v>3.024289</v>
      </c>
      <c r="K157" s="15">
        <v>3.1718000000000003E-2</v>
      </c>
      <c r="L157" s="17">
        <v>20229.46976</v>
      </c>
      <c r="M157" s="4" t="s">
        <v>954</v>
      </c>
      <c r="N157" s="19">
        <v>6.4005010000000002</v>
      </c>
      <c r="O157" s="19">
        <v>5.9055999999999997</v>
      </c>
      <c r="P157" s="19">
        <v>6.32</v>
      </c>
      <c r="Q157" s="19">
        <v>5.4972000000000003</v>
      </c>
      <c r="R157" s="19">
        <v>4.83</v>
      </c>
      <c r="S157" s="19">
        <v>5.1742999999999997</v>
      </c>
      <c r="T157" s="19">
        <v>4.83</v>
      </c>
      <c r="U157" s="19">
        <v>5.2446000000000002</v>
      </c>
      <c r="V157" s="19">
        <v>5.0999999999999996</v>
      </c>
      <c r="W157" s="19">
        <v>4.8289999999999997</v>
      </c>
      <c r="X157" s="19">
        <v>5.0999999999999996</v>
      </c>
      <c r="Y157" s="19">
        <v>4.8289999999999997</v>
      </c>
      <c r="Z157" s="4"/>
      <c r="AA157" s="4"/>
      <c r="AB157" s="4" t="e">
        <f ca="1">_xll.ciqfunctions.udf.CIQ("^SPX", "IQ_PRICEDATE", "8/6/2014")</f>
        <v>#NAME?</v>
      </c>
      <c r="AC157" s="16">
        <v>1920.2360031712999</v>
      </c>
    </row>
    <row r="158" spans="1:29" x14ac:dyDescent="0.35">
      <c r="A158" s="2" t="s">
        <v>168</v>
      </c>
      <c r="B158" s="4" t="s">
        <v>955</v>
      </c>
      <c r="C158" s="4" t="s">
        <v>619</v>
      </c>
      <c r="D158" s="4" t="s">
        <v>619</v>
      </c>
      <c r="E158" s="4" t="s">
        <v>620</v>
      </c>
      <c r="F158" s="4" t="s">
        <v>620</v>
      </c>
      <c r="G158" s="14">
        <v>80.77</v>
      </c>
      <c r="H158" s="10">
        <v>10.986605000000001</v>
      </c>
      <c r="I158" s="10">
        <v>20.366824000000001</v>
      </c>
      <c r="J158" s="10">
        <v>2.4883489999999999</v>
      </c>
      <c r="K158" s="15">
        <v>4.5932000000000001E-2</v>
      </c>
      <c r="L158" s="17">
        <v>57536.891057000001</v>
      </c>
      <c r="M158" s="4" t="s">
        <v>956</v>
      </c>
      <c r="N158" s="19">
        <v>3.9657629999999999</v>
      </c>
      <c r="O158" s="19">
        <v>4.8086000000000002</v>
      </c>
      <c r="P158" s="19">
        <v>4.37</v>
      </c>
      <c r="Q158" s="19">
        <v>4.6947999999999999</v>
      </c>
      <c r="R158" s="19">
        <v>3.71</v>
      </c>
      <c r="S158" s="19">
        <v>4.6501000000000001</v>
      </c>
      <c r="T158" s="19">
        <v>3.71</v>
      </c>
      <c r="U158" s="19">
        <v>4.5971000000000002</v>
      </c>
      <c r="V158" s="19">
        <v>3.577086</v>
      </c>
      <c r="W158" s="19">
        <v>4.6863999999999999</v>
      </c>
      <c r="X158" s="19">
        <v>3.577086</v>
      </c>
      <c r="Y158" s="19">
        <v>4.6863999999999999</v>
      </c>
      <c r="Z158" s="4"/>
      <c r="AA158" s="4"/>
      <c r="AB158" s="4" t="e">
        <f ca="1">_xll.ciqfunctions.udf.CIQ("^SPX", "IQ_PRICEDATE", "8/7/2014")</f>
        <v>#NAME?</v>
      </c>
      <c r="AC158" s="16">
        <v>1909.5707789905</v>
      </c>
    </row>
    <row r="159" spans="1:29" x14ac:dyDescent="0.35">
      <c r="A159" s="2" t="s">
        <v>169</v>
      </c>
      <c r="B159" s="4" t="s">
        <v>957</v>
      </c>
      <c r="C159" s="4" t="s">
        <v>601</v>
      </c>
      <c r="D159" s="4" t="s">
        <v>601</v>
      </c>
      <c r="E159" s="4" t="s">
        <v>602</v>
      </c>
      <c r="F159" s="4" t="s">
        <v>958</v>
      </c>
      <c r="G159" s="14">
        <v>27.43</v>
      </c>
      <c r="H159" s="10">
        <v>27.522023999999998</v>
      </c>
      <c r="I159" s="10">
        <v>27.700271000000001</v>
      </c>
      <c r="J159" s="10">
        <v>2.1021519999999998</v>
      </c>
      <c r="K159" s="15">
        <v>2.9165E-2</v>
      </c>
      <c r="L159" s="17">
        <v>9799.9187330000004</v>
      </c>
      <c r="M159" s="4" t="s">
        <v>959</v>
      </c>
      <c r="N159" s="19">
        <v>0.99024299999999998</v>
      </c>
      <c r="O159" s="19">
        <v>0.43330000000000002</v>
      </c>
      <c r="P159" s="19">
        <v>0.74966100000000002</v>
      </c>
      <c r="Q159" s="19">
        <v>0.39989999999999998</v>
      </c>
      <c r="R159" s="19">
        <v>0.83560599999999996</v>
      </c>
      <c r="S159" s="19">
        <v>0.30209999999999998</v>
      </c>
      <c r="T159" s="19">
        <v>0.83560599999999996</v>
      </c>
      <c r="U159" s="19">
        <v>0.19550000000000001</v>
      </c>
      <c r="V159" s="19">
        <v>0.51057600000000003</v>
      </c>
      <c r="W159" s="19">
        <v>5.9799999999999999E-2</v>
      </c>
      <c r="X159" s="19">
        <v>0.51057600000000003</v>
      </c>
      <c r="Y159" s="19">
        <v>5.9799999999999999E-2</v>
      </c>
      <c r="Z159" s="4"/>
      <c r="AA159" s="4"/>
      <c r="AB159" s="4" t="e">
        <f ca="1">_xll.ciqfunctions.udf.CIQ("^SPX", "IQ_PRICEDATE", "8/8/2014")</f>
        <v>#NAME?</v>
      </c>
      <c r="AC159" s="16">
        <v>1931.5931512780001</v>
      </c>
    </row>
    <row r="160" spans="1:29" x14ac:dyDescent="0.35">
      <c r="A160" s="2" t="s">
        <v>170</v>
      </c>
      <c r="B160" s="4" t="s">
        <v>960</v>
      </c>
      <c r="C160" s="4" t="s">
        <v>543</v>
      </c>
      <c r="D160" s="4" t="s">
        <v>544</v>
      </c>
      <c r="E160" s="4" t="s">
        <v>545</v>
      </c>
      <c r="F160" s="4" t="s">
        <v>546</v>
      </c>
      <c r="G160" s="14">
        <v>89.47</v>
      </c>
      <c r="H160" s="10">
        <v>5.5289520000000003</v>
      </c>
      <c r="I160" s="10">
        <v>13.785764</v>
      </c>
      <c r="J160" s="10" t="s">
        <v>534</v>
      </c>
      <c r="K160" s="15">
        <v>8.4939999999999998E-3</v>
      </c>
      <c r="L160" s="17">
        <v>25155.450513</v>
      </c>
      <c r="M160" s="4" t="s">
        <v>961</v>
      </c>
      <c r="N160" s="19">
        <v>6.4900279999999997</v>
      </c>
      <c r="O160" s="19">
        <v>8.3515999999999995</v>
      </c>
      <c r="P160" s="19">
        <v>3.9199169999999999</v>
      </c>
      <c r="Q160" s="19">
        <v>8.0617000000000001</v>
      </c>
      <c r="R160" s="19">
        <v>-0.59858800000000001</v>
      </c>
      <c r="S160" s="19">
        <v>0</v>
      </c>
      <c r="T160" s="19">
        <v>-0.59858800000000001</v>
      </c>
      <c r="U160" s="19">
        <v>0</v>
      </c>
      <c r="V160" s="19">
        <v>4.3897409999999999</v>
      </c>
      <c r="W160" s="19">
        <v>0</v>
      </c>
      <c r="X160" s="19">
        <v>4.3897409999999999</v>
      </c>
      <c r="Y160" s="19">
        <v>0</v>
      </c>
      <c r="Z160" s="4"/>
      <c r="AA160" s="4"/>
      <c r="AB160" s="4" t="e">
        <f ca="1">_xll.ciqfunctions.udf.CIQ("^SPX", "IQ_PRICEDATE", "8/11/2014")</f>
        <v>#NAME?</v>
      </c>
      <c r="AC160" s="16">
        <v>1936.9155999371001</v>
      </c>
    </row>
    <row r="161" spans="1:29" x14ac:dyDescent="0.35">
      <c r="A161" s="2" t="s">
        <v>171</v>
      </c>
      <c r="B161" s="4" t="s">
        <v>962</v>
      </c>
      <c r="C161" s="4" t="s">
        <v>573</v>
      </c>
      <c r="D161" s="4" t="s">
        <v>574</v>
      </c>
      <c r="E161" s="4" t="s">
        <v>575</v>
      </c>
      <c r="F161" s="4" t="s">
        <v>963</v>
      </c>
      <c r="G161" s="14">
        <v>50.57</v>
      </c>
      <c r="H161" s="10">
        <v>0</v>
      </c>
      <c r="I161" s="10">
        <v>18.130347</v>
      </c>
      <c r="J161" s="10">
        <v>4.0110700000000001</v>
      </c>
      <c r="K161" s="15">
        <v>0</v>
      </c>
      <c r="L161" s="17">
        <v>13128.831690000001</v>
      </c>
      <c r="M161" s="4" t="s">
        <v>964</v>
      </c>
      <c r="N161" s="19">
        <v>2.7892459999999999</v>
      </c>
      <c r="O161" s="19">
        <v>3.7160000000000002</v>
      </c>
      <c r="P161" s="19">
        <v>2.15</v>
      </c>
      <c r="Q161" s="19">
        <v>2.4701</v>
      </c>
      <c r="R161" s="19">
        <v>1.98</v>
      </c>
      <c r="S161" s="19">
        <v>1.7403</v>
      </c>
      <c r="T161" s="19">
        <v>1.98</v>
      </c>
      <c r="U161" s="19">
        <v>1.4527000000000001</v>
      </c>
      <c r="V161" s="19">
        <v>1</v>
      </c>
      <c r="W161" s="19">
        <v>1.0808</v>
      </c>
      <c r="X161" s="19">
        <v>1</v>
      </c>
      <c r="Y161" s="19">
        <v>1.0808</v>
      </c>
      <c r="Z161" s="4"/>
      <c r="AA161" s="4"/>
      <c r="AB161" s="4" t="e">
        <f ca="1">_xll.ciqfunctions.udf.CIQ("^SPX", "IQ_PRICEDATE", "8/12/2014")</f>
        <v>#NAME?</v>
      </c>
      <c r="AC161" s="16">
        <v>1933.7466377295</v>
      </c>
    </row>
    <row r="162" spans="1:29" x14ac:dyDescent="0.35">
      <c r="A162" s="2" t="s">
        <v>172</v>
      </c>
      <c r="B162" s="4" t="s">
        <v>965</v>
      </c>
      <c r="C162" s="4" t="s">
        <v>586</v>
      </c>
      <c r="D162" s="4" t="s">
        <v>586</v>
      </c>
      <c r="E162" s="4" t="s">
        <v>587</v>
      </c>
      <c r="F162" s="4" t="s">
        <v>951</v>
      </c>
      <c r="G162" s="14">
        <v>83.33</v>
      </c>
      <c r="H162" s="10">
        <v>7.8055570000000003</v>
      </c>
      <c r="I162" s="10">
        <v>8.3477999999999994</v>
      </c>
      <c r="J162" s="10" t="s">
        <v>534</v>
      </c>
      <c r="K162" s="15">
        <v>2.6880999999999999E-2</v>
      </c>
      <c r="L162" s="17">
        <v>11772.866233000001</v>
      </c>
      <c r="M162" s="4" t="s">
        <v>966</v>
      </c>
      <c r="N162" s="19">
        <v>9.9822699999999998</v>
      </c>
      <c r="O162" s="19">
        <v>8.8890999999999991</v>
      </c>
      <c r="P162" s="19">
        <v>9.4700000000000006</v>
      </c>
      <c r="Q162" s="19">
        <v>7.6932999999999998</v>
      </c>
      <c r="R162" s="19">
        <v>5.75</v>
      </c>
      <c r="S162" s="19">
        <v>7.2042999999999999</v>
      </c>
      <c r="T162" s="19">
        <v>5.75</v>
      </c>
      <c r="U162" s="19">
        <v>7.4515000000000002</v>
      </c>
      <c r="V162" s="19">
        <v>4.95</v>
      </c>
      <c r="W162" s="19">
        <v>7.5366</v>
      </c>
      <c r="X162" s="19">
        <v>4.95</v>
      </c>
      <c r="Y162" s="19">
        <v>7.5366</v>
      </c>
      <c r="Z162" s="4"/>
      <c r="AA162" s="4"/>
      <c r="AB162" s="4" t="e">
        <f ca="1">_xll.ciqfunctions.udf.CIQ("^SPX", "IQ_PRICEDATE", "8/13/2014")</f>
        <v>#NAME?</v>
      </c>
      <c r="AC162" s="16">
        <v>1946.7220009985001</v>
      </c>
    </row>
    <row r="163" spans="1:29" x14ac:dyDescent="0.35">
      <c r="A163" s="2" t="s">
        <v>173</v>
      </c>
      <c r="B163" s="4" t="s">
        <v>967</v>
      </c>
      <c r="C163" s="4" t="s">
        <v>525</v>
      </c>
      <c r="D163" s="4" t="s">
        <v>526</v>
      </c>
      <c r="E163" s="4" t="s">
        <v>658</v>
      </c>
      <c r="F163" s="4" t="s">
        <v>659</v>
      </c>
      <c r="G163" s="14">
        <v>79.81</v>
      </c>
      <c r="H163" s="10">
        <v>11.446998000000001</v>
      </c>
      <c r="I163" s="10">
        <v>11.246233</v>
      </c>
      <c r="J163" s="10" t="s">
        <v>534</v>
      </c>
      <c r="K163" s="15">
        <v>3.3077999999999996E-2</v>
      </c>
      <c r="L163" s="17">
        <v>34581.673000000003</v>
      </c>
      <c r="M163" s="4" t="s">
        <v>968</v>
      </c>
      <c r="N163" s="19">
        <v>7.0965980000000002</v>
      </c>
      <c r="O163" s="19">
        <v>5.6635999999999997</v>
      </c>
      <c r="P163" s="19">
        <v>6.68</v>
      </c>
      <c r="Q163" s="19">
        <v>4.9957000000000003</v>
      </c>
      <c r="R163" s="19">
        <v>4.2</v>
      </c>
      <c r="S163" s="19">
        <v>4.2914000000000003</v>
      </c>
      <c r="T163" s="19">
        <v>4.2</v>
      </c>
      <c r="U163" s="19">
        <v>4.2538</v>
      </c>
      <c r="V163" s="19">
        <v>3.76</v>
      </c>
      <c r="W163" s="19">
        <v>4.9215</v>
      </c>
      <c r="X163" s="19">
        <v>3.76</v>
      </c>
      <c r="Y163" s="19">
        <v>4.9215</v>
      </c>
      <c r="Z163" s="4"/>
      <c r="AA163" s="4"/>
      <c r="AB163" s="4" t="e">
        <f ca="1">_xll.ciqfunctions.udf.CIQ("^SPX", "IQ_PRICEDATE", "8/14/2014")</f>
        <v>#NAME?</v>
      </c>
      <c r="AC163" s="16">
        <v>1955.1824066605</v>
      </c>
    </row>
    <row r="164" spans="1:29" x14ac:dyDescent="0.35">
      <c r="A164" s="2" t="s">
        <v>174</v>
      </c>
      <c r="B164" s="4" t="s">
        <v>969</v>
      </c>
      <c r="C164" s="4" t="s">
        <v>559</v>
      </c>
      <c r="D164" s="4" t="s">
        <v>560</v>
      </c>
      <c r="E164" s="4" t="s">
        <v>631</v>
      </c>
      <c r="F164" s="4" t="s">
        <v>631</v>
      </c>
      <c r="G164" s="14">
        <v>32.020000000000003</v>
      </c>
      <c r="H164" s="10">
        <v>12.302358</v>
      </c>
      <c r="I164" s="10" t="s">
        <v>534</v>
      </c>
      <c r="J164" s="10">
        <v>17.361722</v>
      </c>
      <c r="K164" s="15">
        <v>0</v>
      </c>
      <c r="L164" s="17">
        <v>31685.378543999999</v>
      </c>
      <c r="M164" s="4" t="s">
        <v>970</v>
      </c>
      <c r="N164" s="19">
        <v>-1.0063439999999999</v>
      </c>
      <c r="O164" s="19">
        <v>2.4251</v>
      </c>
      <c r="P164" s="19">
        <v>-0.95112699999999994</v>
      </c>
      <c r="Q164" s="19">
        <v>2.1625000000000001</v>
      </c>
      <c r="R164" s="19">
        <v>6.37</v>
      </c>
      <c r="S164" s="19">
        <v>2.0257999999999998</v>
      </c>
      <c r="T164" s="19">
        <v>6.37</v>
      </c>
      <c r="U164" s="19">
        <v>1.9221999999999999</v>
      </c>
      <c r="V164" s="19">
        <v>-0.69144600000000001</v>
      </c>
      <c r="W164" s="19">
        <v>3.1837</v>
      </c>
      <c r="X164" s="19">
        <v>-0.69144600000000001</v>
      </c>
      <c r="Y164" s="19">
        <v>3.1837</v>
      </c>
      <c r="Z164" s="4"/>
      <c r="AA164" s="4"/>
      <c r="AB164" s="4" t="e">
        <f ca="1">_xll.ciqfunctions.udf.CIQ("^SPX", "IQ_PRICEDATE", "8/15/2014")</f>
        <v>#NAME?</v>
      </c>
      <c r="AC164" s="16">
        <v>1955.0626293536</v>
      </c>
    </row>
    <row r="165" spans="1:29" x14ac:dyDescent="0.35">
      <c r="A165" s="2" t="s">
        <v>175</v>
      </c>
      <c r="B165" s="4" t="s">
        <v>971</v>
      </c>
      <c r="C165" s="4" t="s">
        <v>586</v>
      </c>
      <c r="D165" s="4" t="s">
        <v>586</v>
      </c>
      <c r="E165" s="4" t="s">
        <v>587</v>
      </c>
      <c r="F165" s="4" t="s">
        <v>598</v>
      </c>
      <c r="G165" s="14">
        <v>148.52000000000001</v>
      </c>
      <c r="H165" s="10">
        <v>16.581890000000001</v>
      </c>
      <c r="I165" s="10">
        <v>27.950265999999999</v>
      </c>
      <c r="J165" s="10" t="s">
        <v>534</v>
      </c>
      <c r="K165" s="15">
        <v>1.1042000000000001E-2</v>
      </c>
      <c r="L165" s="17">
        <v>42907.971879999997</v>
      </c>
      <c r="M165" s="4" t="s">
        <v>972</v>
      </c>
      <c r="N165" s="19">
        <v>5.3137239999999997</v>
      </c>
      <c r="O165" s="19">
        <v>5.7054</v>
      </c>
      <c r="P165" s="19">
        <v>5.13</v>
      </c>
      <c r="Q165" s="19">
        <v>5.1037999999999997</v>
      </c>
      <c r="R165" s="19">
        <v>4.1399999999999997</v>
      </c>
      <c r="S165" s="19">
        <v>4.7667999999999999</v>
      </c>
      <c r="T165" s="19">
        <v>4.1399999999999997</v>
      </c>
      <c r="U165" s="19">
        <v>4.7922000000000002</v>
      </c>
      <c r="V165" s="19">
        <v>3.93</v>
      </c>
      <c r="W165" s="19">
        <v>4.6219000000000001</v>
      </c>
      <c r="X165" s="19">
        <v>3.93</v>
      </c>
      <c r="Y165" s="19">
        <v>4.6219000000000001</v>
      </c>
      <c r="Z165" s="4"/>
      <c r="AA165" s="4"/>
      <c r="AB165" s="4" t="e">
        <f ca="1">_xll.ciqfunctions.udf.CIQ("^SPX", "IQ_PRICEDATE", "8/18/2014")</f>
        <v>#NAME?</v>
      </c>
      <c r="AC165" s="16">
        <v>1971.7400377105</v>
      </c>
    </row>
    <row r="166" spans="1:29" x14ac:dyDescent="0.35">
      <c r="A166" s="2" t="s">
        <v>176</v>
      </c>
      <c r="B166" s="4" t="s">
        <v>973</v>
      </c>
      <c r="C166" s="4" t="s">
        <v>619</v>
      </c>
      <c r="D166" s="4" t="s">
        <v>619</v>
      </c>
      <c r="E166" s="4" t="s">
        <v>620</v>
      </c>
      <c r="F166" s="4" t="s">
        <v>620</v>
      </c>
      <c r="G166" s="14">
        <v>69.58</v>
      </c>
      <c r="H166" s="10">
        <v>9.8519109999999994</v>
      </c>
      <c r="I166" s="10">
        <v>54.643993000000002</v>
      </c>
      <c r="J166" s="10">
        <v>1.924606</v>
      </c>
      <c r="K166" s="15">
        <v>3.4780000000000005E-2</v>
      </c>
      <c r="L166" s="17">
        <v>22669.943713000001</v>
      </c>
      <c r="M166" s="4" t="s">
        <v>974</v>
      </c>
      <c r="N166" s="19">
        <v>1.273333</v>
      </c>
      <c r="O166" s="19">
        <v>4.3735999999999997</v>
      </c>
      <c r="P166" s="19">
        <v>1.72</v>
      </c>
      <c r="Q166" s="19">
        <v>4.4199000000000002</v>
      </c>
      <c r="R166" s="19">
        <v>3.9393929999999999</v>
      </c>
      <c r="S166" s="19">
        <v>4.1204000000000001</v>
      </c>
      <c r="T166" s="19">
        <v>3.9393929999999999</v>
      </c>
      <c r="U166" s="19">
        <v>3.6566000000000001</v>
      </c>
      <c r="V166" s="19">
        <v>4.3373860000000004</v>
      </c>
      <c r="W166" s="19">
        <v>3.7683</v>
      </c>
      <c r="X166" s="19">
        <v>4.3373860000000004</v>
      </c>
      <c r="Y166" s="19">
        <v>3.7683</v>
      </c>
      <c r="Z166" s="4"/>
      <c r="AA166" s="4"/>
      <c r="AB166" s="4" t="e">
        <f ca="1">_xll.ciqfunctions.udf.CIQ("^SPX", "IQ_PRICEDATE", "8/19/2014")</f>
        <v>#NAME?</v>
      </c>
      <c r="AC166" s="16">
        <v>1981.6009829652</v>
      </c>
    </row>
    <row r="167" spans="1:29" x14ac:dyDescent="0.35">
      <c r="A167" s="2" t="s">
        <v>177</v>
      </c>
      <c r="B167" s="4" t="s">
        <v>975</v>
      </c>
      <c r="C167" s="4" t="s">
        <v>530</v>
      </c>
      <c r="D167" s="4" t="s">
        <v>531</v>
      </c>
      <c r="E167" s="4" t="s">
        <v>532</v>
      </c>
      <c r="F167" s="4" t="s">
        <v>533</v>
      </c>
      <c r="G167" s="14">
        <v>148.63</v>
      </c>
      <c r="H167" s="10">
        <v>28.791409999999999</v>
      </c>
      <c r="I167" s="10">
        <v>48.815831000000003</v>
      </c>
      <c r="J167" s="10">
        <v>19.684348</v>
      </c>
      <c r="K167" s="15">
        <v>0</v>
      </c>
      <c r="L167" s="17">
        <v>31121.037909999999</v>
      </c>
      <c r="M167" s="4" t="s">
        <v>976</v>
      </c>
      <c r="N167" s="19">
        <v>3.0447090000000001</v>
      </c>
      <c r="O167" s="19">
        <v>4.8441000000000001</v>
      </c>
      <c r="P167" s="19">
        <v>2.7</v>
      </c>
      <c r="Q167" s="19">
        <v>4.0354000000000001</v>
      </c>
      <c r="R167" s="19">
        <v>2.61</v>
      </c>
      <c r="S167" s="19">
        <v>3.2158000000000002</v>
      </c>
      <c r="T167" s="19">
        <v>2.61</v>
      </c>
      <c r="U167" s="19">
        <v>2.3344</v>
      </c>
      <c r="V167" s="19">
        <v>3.74</v>
      </c>
      <c r="W167" s="19">
        <v>1.9337</v>
      </c>
      <c r="X167" s="19">
        <v>3.74</v>
      </c>
      <c r="Y167" s="19">
        <v>1.9337</v>
      </c>
      <c r="Z167" s="4"/>
      <c r="AA167" s="4"/>
      <c r="AB167" s="4" t="e">
        <f ca="1">_xll.ciqfunctions.udf.CIQ("^SPX", "IQ_PRICEDATE", "8/20/2014")</f>
        <v>#NAME?</v>
      </c>
      <c r="AC167" s="16">
        <v>1986.5059612120999</v>
      </c>
    </row>
    <row r="168" spans="1:29" x14ac:dyDescent="0.35">
      <c r="A168" s="2" t="s">
        <v>178</v>
      </c>
      <c r="B168" s="4" t="s">
        <v>977</v>
      </c>
      <c r="C168" s="4" t="s">
        <v>549</v>
      </c>
      <c r="D168" s="4" t="s">
        <v>550</v>
      </c>
      <c r="E168" s="4" t="s">
        <v>551</v>
      </c>
      <c r="F168" s="4" t="s">
        <v>552</v>
      </c>
      <c r="G168" s="14">
        <v>108.79</v>
      </c>
      <c r="H168" s="10">
        <v>25.780193000000001</v>
      </c>
      <c r="I168" s="10">
        <v>48.946077000000002</v>
      </c>
      <c r="J168" s="10">
        <v>10.156397</v>
      </c>
      <c r="K168" s="15">
        <v>0</v>
      </c>
      <c r="L168" s="17">
        <v>33161.178505000003</v>
      </c>
      <c r="M168" s="4" t="s">
        <v>978</v>
      </c>
      <c r="N168" s="19">
        <v>2.2226499999999998</v>
      </c>
      <c r="O168" s="19">
        <v>4.9043000000000001</v>
      </c>
      <c r="P168" s="19">
        <v>3.2063999999999999</v>
      </c>
      <c r="Q168" s="19">
        <v>4.4755000000000003</v>
      </c>
      <c r="R168" s="19">
        <v>4.1187959999999997</v>
      </c>
      <c r="S168" s="19">
        <v>4.0602999999999998</v>
      </c>
      <c r="T168" s="19">
        <v>4.1187959999999997</v>
      </c>
      <c r="U168" s="19">
        <v>3.3176999999999999</v>
      </c>
      <c r="V168" s="19">
        <v>2.5926659999999999</v>
      </c>
      <c r="W168" s="19">
        <v>2.0335999999999999</v>
      </c>
      <c r="X168" s="19">
        <v>2.5926659999999999</v>
      </c>
      <c r="Y168" s="19">
        <v>2.0335999999999999</v>
      </c>
      <c r="Z168" s="4"/>
      <c r="AA168" s="4"/>
      <c r="AB168" s="4" t="e">
        <f ca="1">_xll.ciqfunctions.udf.CIQ("^SPX", "IQ_PRICEDATE", "8/21/2014")</f>
        <v>#NAME?</v>
      </c>
      <c r="AC168" s="16">
        <v>1992.3660382058999</v>
      </c>
    </row>
    <row r="169" spans="1:29" x14ac:dyDescent="0.35">
      <c r="A169" s="2" t="s">
        <v>179</v>
      </c>
      <c r="B169" s="4" t="s">
        <v>979</v>
      </c>
      <c r="C169" s="4" t="s">
        <v>530</v>
      </c>
      <c r="D169" s="4" t="s">
        <v>537</v>
      </c>
      <c r="E169" s="4" t="s">
        <v>613</v>
      </c>
      <c r="F169" s="4" t="s">
        <v>613</v>
      </c>
      <c r="G169" s="14">
        <v>113.59</v>
      </c>
      <c r="H169" s="10">
        <v>16.094757999999999</v>
      </c>
      <c r="I169" s="10" t="s">
        <v>534</v>
      </c>
      <c r="J169" s="10">
        <v>33.918964000000003</v>
      </c>
      <c r="K169" s="15">
        <v>1.9807999999999999E-2</v>
      </c>
      <c r="L169" s="17">
        <v>113306.331693</v>
      </c>
      <c r="M169" s="4" t="s">
        <v>980</v>
      </c>
      <c r="N169" s="19">
        <v>-0.137736</v>
      </c>
      <c r="O169" s="19">
        <v>5.5380000000000003</v>
      </c>
      <c r="P169" s="19">
        <v>-0.19400700000000001</v>
      </c>
      <c r="Q169" s="19">
        <v>4.5490000000000004</v>
      </c>
      <c r="R169" s="19">
        <v>2.58</v>
      </c>
      <c r="S169" s="19">
        <v>3.9485999999999999</v>
      </c>
      <c r="T169" s="19">
        <v>2.58</v>
      </c>
      <c r="U169" s="19">
        <v>3.448</v>
      </c>
      <c r="V169" s="19">
        <v>2.23</v>
      </c>
      <c r="W169" s="19">
        <v>3.0585</v>
      </c>
      <c r="X169" s="19">
        <v>2.23</v>
      </c>
      <c r="Y169" s="19">
        <v>3.0585</v>
      </c>
      <c r="Z169" s="4"/>
      <c r="AA169" s="4"/>
      <c r="AB169" s="4" t="e">
        <f ca="1">_xll.ciqfunctions.udf.CIQ("^SPX", "IQ_PRICEDATE", "8/22/2014")</f>
        <v>#NAME?</v>
      </c>
      <c r="AC169" s="16">
        <v>1988.4024349268</v>
      </c>
    </row>
    <row r="170" spans="1:29" x14ac:dyDescent="0.35">
      <c r="A170" s="2" t="s">
        <v>180</v>
      </c>
      <c r="B170" s="4" t="s">
        <v>981</v>
      </c>
      <c r="C170" s="4" t="s">
        <v>525</v>
      </c>
      <c r="D170" s="4" t="s">
        <v>526</v>
      </c>
      <c r="E170" s="4" t="s">
        <v>658</v>
      </c>
      <c r="F170" s="4" t="s">
        <v>659</v>
      </c>
      <c r="G170" s="14">
        <v>74</v>
      </c>
      <c r="H170" s="10">
        <v>13.781332000000001</v>
      </c>
      <c r="I170" s="10">
        <v>22.696148999999998</v>
      </c>
      <c r="J170" s="10">
        <v>91.002887999999999</v>
      </c>
      <c r="K170" s="15">
        <v>2.6216E-2</v>
      </c>
      <c r="L170" s="17">
        <v>46506.450773999997</v>
      </c>
      <c r="M170" s="4" t="s">
        <v>982</v>
      </c>
      <c r="N170" s="19">
        <v>3.2604649999999999</v>
      </c>
      <c r="O170" s="19">
        <v>3.5472999999999999</v>
      </c>
      <c r="P170" s="19">
        <v>2.5902910000000001</v>
      </c>
      <c r="Q170" s="19">
        <v>2.95017</v>
      </c>
      <c r="R170" s="19">
        <v>2.5518689999999999</v>
      </c>
      <c r="S170" s="19">
        <v>2.40157</v>
      </c>
      <c r="T170" s="19">
        <v>2.5518689999999999</v>
      </c>
      <c r="U170" s="19">
        <v>3.0723799999999999</v>
      </c>
      <c r="V170" s="19">
        <v>3.131192</v>
      </c>
      <c r="W170" s="19">
        <v>3.9719000000000002</v>
      </c>
      <c r="X170" s="19">
        <v>3.131192</v>
      </c>
      <c r="Y170" s="19">
        <v>3.9719000000000002</v>
      </c>
      <c r="Z170" s="4"/>
      <c r="AA170" s="4"/>
      <c r="AB170" s="4" t="e">
        <f ca="1">_xll.ciqfunctions.udf.CIQ("^SPX", "IQ_PRICEDATE", "8/25/2014")</f>
        <v>#NAME?</v>
      </c>
      <c r="AC170" s="16">
        <v>1997.9218098548999</v>
      </c>
    </row>
    <row r="171" spans="1:29" x14ac:dyDescent="0.35">
      <c r="A171" s="2" t="s">
        <v>181</v>
      </c>
      <c r="B171" s="4" t="s">
        <v>983</v>
      </c>
      <c r="C171" s="4" t="s">
        <v>619</v>
      </c>
      <c r="D171" s="4" t="s">
        <v>619</v>
      </c>
      <c r="E171" s="4" t="s">
        <v>620</v>
      </c>
      <c r="F171" s="4" t="s">
        <v>620</v>
      </c>
      <c r="G171" s="14">
        <v>82.63</v>
      </c>
      <c r="H171" s="10">
        <v>9.4988519999999994</v>
      </c>
      <c r="I171" s="10">
        <v>50.475062999999999</v>
      </c>
      <c r="J171" s="10">
        <v>1.954523</v>
      </c>
      <c r="K171" s="15">
        <v>4.3083000000000003E-2</v>
      </c>
      <c r="L171" s="17">
        <v>14944.051294000001</v>
      </c>
      <c r="M171" s="4" t="s">
        <v>984</v>
      </c>
      <c r="N171" s="19">
        <v>1.637046</v>
      </c>
      <c r="O171" s="19">
        <v>6.2205000000000004</v>
      </c>
      <c r="P171" s="19">
        <v>2.2799990000000001</v>
      </c>
      <c r="Q171" s="19">
        <v>5.3472</v>
      </c>
      <c r="R171" s="19">
        <v>-3.2625190000000002</v>
      </c>
      <c r="S171" s="19">
        <v>4.5500999999999996</v>
      </c>
      <c r="T171" s="19">
        <v>-3.2625190000000002</v>
      </c>
      <c r="U171" s="19">
        <v>5.7759</v>
      </c>
      <c r="V171" s="19">
        <v>5.22</v>
      </c>
      <c r="W171" s="19">
        <v>5.6532999999999998</v>
      </c>
      <c r="X171" s="19">
        <v>5.22</v>
      </c>
      <c r="Y171" s="19">
        <v>5.6532999999999998</v>
      </c>
      <c r="Z171" s="4"/>
      <c r="AA171" s="4"/>
      <c r="AB171" s="4" t="e">
        <f ca="1">_xll.ciqfunctions.udf.CIQ("^SPX", "IQ_PRICEDATE", "8/26/2014")</f>
        <v>#NAME?</v>
      </c>
      <c r="AC171" s="16">
        <v>2000.0200490082</v>
      </c>
    </row>
    <row r="172" spans="1:29" x14ac:dyDescent="0.35">
      <c r="A172" s="2" t="s">
        <v>182</v>
      </c>
      <c r="B172" s="4" t="s">
        <v>985</v>
      </c>
      <c r="C172" s="4" t="s">
        <v>669</v>
      </c>
      <c r="D172" s="4" t="s">
        <v>669</v>
      </c>
      <c r="E172" s="4" t="s">
        <v>670</v>
      </c>
      <c r="F172" s="4" t="s">
        <v>671</v>
      </c>
      <c r="G172" s="14">
        <v>120.14</v>
      </c>
      <c r="H172" s="10">
        <v>11.950936</v>
      </c>
      <c r="I172" s="10">
        <v>18.020153000000001</v>
      </c>
      <c r="J172" s="10">
        <v>3.987047</v>
      </c>
      <c r="K172" s="15">
        <v>7.3240000000000006E-3</v>
      </c>
      <c r="L172" s="17">
        <v>69585.182190000007</v>
      </c>
      <c r="M172" s="4" t="s">
        <v>986</v>
      </c>
      <c r="N172" s="19">
        <v>6.6669799999999997</v>
      </c>
      <c r="O172" s="19">
        <v>6.6513</v>
      </c>
      <c r="P172" s="19">
        <v>4.46</v>
      </c>
      <c r="Q172" s="19">
        <v>1.89</v>
      </c>
      <c r="R172" s="19">
        <v>-1.981781</v>
      </c>
      <c r="S172" s="19">
        <v>7.17E-2</v>
      </c>
      <c r="T172" s="19">
        <v>-1.981781</v>
      </c>
      <c r="U172" s="19">
        <v>-0.29499999999999998</v>
      </c>
      <c r="V172" s="19">
        <v>5.32</v>
      </c>
      <c r="W172" s="19">
        <v>3.0949</v>
      </c>
      <c r="X172" s="19">
        <v>5.32</v>
      </c>
      <c r="Y172" s="19">
        <v>3.0949</v>
      </c>
      <c r="Z172" s="4"/>
      <c r="AA172" s="4"/>
      <c r="AB172" s="4" t="e">
        <f ca="1">_xll.ciqfunctions.udf.CIQ("^SPX", "IQ_PRICEDATE", "8/27/2014")</f>
        <v>#NAME?</v>
      </c>
      <c r="AC172" s="16">
        <v>2000.1177053447</v>
      </c>
    </row>
    <row r="173" spans="1:29" x14ac:dyDescent="0.35">
      <c r="A173" s="2" t="s">
        <v>183</v>
      </c>
      <c r="B173" s="4" t="s">
        <v>987</v>
      </c>
      <c r="C173" s="4" t="s">
        <v>669</v>
      </c>
      <c r="D173" s="4" t="s">
        <v>669</v>
      </c>
      <c r="E173" s="4" t="s">
        <v>670</v>
      </c>
      <c r="F173" s="4" t="s">
        <v>671</v>
      </c>
      <c r="G173" s="14">
        <v>47.36</v>
      </c>
      <c r="H173" s="10">
        <v>8.3941149999999993</v>
      </c>
      <c r="I173" s="10" t="s">
        <v>534</v>
      </c>
      <c r="J173" s="10">
        <v>1.393189</v>
      </c>
      <c r="K173" s="15">
        <v>2.5330000000000001E-3</v>
      </c>
      <c r="L173" s="17">
        <v>12518.71616</v>
      </c>
      <c r="M173" s="4" t="s">
        <v>988</v>
      </c>
      <c r="N173" s="19">
        <v>-1.1355040000000001</v>
      </c>
      <c r="O173" s="19">
        <v>2.0722</v>
      </c>
      <c r="P173" s="19">
        <v>8.0399999999999991</v>
      </c>
      <c r="Q173" s="19">
        <v>1.4916</v>
      </c>
      <c r="R173" s="19">
        <v>-2.7128299999999999</v>
      </c>
      <c r="S173" s="19">
        <v>0.21540000000000001</v>
      </c>
      <c r="T173" s="19">
        <v>-2.7128299999999999</v>
      </c>
      <c r="U173" s="19">
        <v>-0.4002</v>
      </c>
      <c r="V173" s="19">
        <v>2.5299999999999998</v>
      </c>
      <c r="W173" s="19">
        <v>2.6046</v>
      </c>
      <c r="X173" s="19">
        <v>2.5299999999999998</v>
      </c>
      <c r="Y173" s="19">
        <v>2.6046</v>
      </c>
      <c r="Z173" s="4"/>
      <c r="AA173" s="4"/>
      <c r="AB173" s="4" t="e">
        <f ca="1">_xll.ciqfunctions.udf.CIQ("^SPX", "IQ_PRICEDATE", "8/28/2014")</f>
        <v>#NAME?</v>
      </c>
      <c r="AC173" s="16">
        <v>1996.740450988</v>
      </c>
    </row>
    <row r="174" spans="1:29" x14ac:dyDescent="0.35">
      <c r="A174" s="2" t="s">
        <v>184</v>
      </c>
      <c r="B174" s="4" t="s">
        <v>989</v>
      </c>
      <c r="C174" s="4" t="s">
        <v>525</v>
      </c>
      <c r="D174" s="4" t="s">
        <v>855</v>
      </c>
      <c r="E174" s="4" t="s">
        <v>990</v>
      </c>
      <c r="F174" s="4" t="s">
        <v>991</v>
      </c>
      <c r="G174" s="14">
        <v>124.27</v>
      </c>
      <c r="H174" s="10">
        <v>17.628937000000001</v>
      </c>
      <c r="I174" s="10">
        <v>29.884326999999999</v>
      </c>
      <c r="J174" s="10" t="s">
        <v>534</v>
      </c>
      <c r="K174" s="15">
        <v>1.2553000000000002E-2</v>
      </c>
      <c r="L174" s="17">
        <v>14963.620117</v>
      </c>
      <c r="M174" s="4" t="s">
        <v>992</v>
      </c>
      <c r="N174" s="19">
        <v>4.1583670000000001</v>
      </c>
      <c r="O174" s="19">
        <v>5.9768999999999997</v>
      </c>
      <c r="P174" s="19">
        <v>4.83</v>
      </c>
      <c r="Q174" s="19">
        <v>5.7621000000000002</v>
      </c>
      <c r="R174" s="19">
        <v>4.04</v>
      </c>
      <c r="S174" s="19">
        <v>5.8643999999999998</v>
      </c>
      <c r="T174" s="19">
        <v>4.04</v>
      </c>
      <c r="U174" s="19">
        <v>4.8018999999999998</v>
      </c>
      <c r="V174" s="19">
        <v>2.97</v>
      </c>
      <c r="W174" s="19">
        <v>4.1630000000000003</v>
      </c>
      <c r="X174" s="19">
        <v>2.97</v>
      </c>
      <c r="Y174" s="19">
        <v>4.1630000000000003</v>
      </c>
      <c r="Z174" s="4"/>
      <c r="AA174" s="4"/>
      <c r="AB174" s="4" t="e">
        <f ca="1">_xll.ciqfunctions.udf.CIQ("^SPX", "IQ_PRICEDATE", "8/29/2014")</f>
        <v>#NAME?</v>
      </c>
      <c r="AC174" s="16">
        <v>2003.3676954513001</v>
      </c>
    </row>
    <row r="175" spans="1:29" x14ac:dyDescent="0.35">
      <c r="A175" s="2" t="s">
        <v>185</v>
      </c>
      <c r="B175" s="4" t="s">
        <v>993</v>
      </c>
      <c r="C175" s="4" t="s">
        <v>601</v>
      </c>
      <c r="D175" s="4" t="s">
        <v>601</v>
      </c>
      <c r="E175" s="4" t="s">
        <v>602</v>
      </c>
      <c r="F175" s="4" t="s">
        <v>647</v>
      </c>
      <c r="G175" s="14">
        <v>410.44</v>
      </c>
      <c r="H175" s="10">
        <v>20.167192</v>
      </c>
      <c r="I175" s="10">
        <v>118.416842</v>
      </c>
      <c r="J175" s="10" t="s">
        <v>534</v>
      </c>
      <c r="K175" s="15">
        <v>2.222E-2</v>
      </c>
      <c r="L175" s="17">
        <v>32633.279116999998</v>
      </c>
      <c r="M175" s="4" t="s">
        <v>994</v>
      </c>
      <c r="N175" s="19">
        <v>3.4660609999999998</v>
      </c>
      <c r="O175" s="19">
        <v>5.2591000000000001</v>
      </c>
      <c r="P175" s="19">
        <v>3</v>
      </c>
      <c r="Q175" s="19">
        <v>5.9145000000000003</v>
      </c>
      <c r="R175" s="19">
        <v>1.62</v>
      </c>
      <c r="S175" s="19">
        <v>4.3853999999999997</v>
      </c>
      <c r="T175" s="19">
        <v>1.62</v>
      </c>
      <c r="U175" s="19">
        <v>5.8022</v>
      </c>
      <c r="V175" s="19">
        <v>-4.9570650000000001</v>
      </c>
      <c r="W175" s="19">
        <v>5.0716999999999999</v>
      </c>
      <c r="X175" s="19">
        <v>-4.9570650000000001</v>
      </c>
      <c r="Y175" s="19">
        <v>5.0716999999999999</v>
      </c>
      <c r="Z175" s="4"/>
      <c r="AA175" s="4"/>
      <c r="AB175" s="4" t="e">
        <f ca="1">_xll.ciqfunctions.udf.CIQ("^SPX", "IQ_PRICEDATE", "9/2/2014")</f>
        <v>#NAME?</v>
      </c>
      <c r="AC175" s="16">
        <v>2002.2844031136001</v>
      </c>
    </row>
    <row r="176" spans="1:29" x14ac:dyDescent="0.35">
      <c r="A176" s="2" t="s">
        <v>186</v>
      </c>
      <c r="B176" s="4" t="s">
        <v>995</v>
      </c>
      <c r="C176" s="4" t="s">
        <v>601</v>
      </c>
      <c r="D176" s="4" t="s">
        <v>601</v>
      </c>
      <c r="E176" s="4" t="s">
        <v>602</v>
      </c>
      <c r="F176" s="4" t="s">
        <v>685</v>
      </c>
      <c r="G176" s="14">
        <v>64.069999999999993</v>
      </c>
      <c r="H176" s="10">
        <v>20.299168999999999</v>
      </c>
      <c r="I176" s="10">
        <v>40.351301999999997</v>
      </c>
      <c r="J176" s="10">
        <v>2.3589289999999998</v>
      </c>
      <c r="K176" s="15">
        <v>3.3713E-2</v>
      </c>
      <c r="L176" s="17">
        <v>23595.826138</v>
      </c>
      <c r="M176" s="4" t="s">
        <v>996</v>
      </c>
      <c r="N176" s="19">
        <v>1.5878049999999999</v>
      </c>
      <c r="O176" s="19">
        <v>1.5105999999999999</v>
      </c>
      <c r="P176" s="19">
        <v>1.6279140000000001</v>
      </c>
      <c r="Q176" s="19">
        <v>1.3</v>
      </c>
      <c r="R176" s="19">
        <v>11.675807000000001</v>
      </c>
      <c r="S176" s="19">
        <v>1.2935000000000001</v>
      </c>
      <c r="T176" s="19">
        <v>11.675807000000001</v>
      </c>
      <c r="U176" s="19">
        <v>1.4645999999999999</v>
      </c>
      <c r="V176" s="19">
        <v>1.721873</v>
      </c>
      <c r="W176" s="19">
        <v>1.1733</v>
      </c>
      <c r="X176" s="19">
        <v>1.721873</v>
      </c>
      <c r="Y176" s="19">
        <v>1.1733</v>
      </c>
      <c r="Z176" s="4"/>
      <c r="AA176" s="4"/>
      <c r="AB176" s="4" t="e">
        <f ca="1">_xll.ciqfunctions.udf.CIQ("^SPX", "IQ_PRICEDATE", "9/3/2014")</f>
        <v>#NAME?</v>
      </c>
      <c r="AC176" s="16">
        <v>2000.7236315149</v>
      </c>
    </row>
    <row r="177" spans="1:29" x14ac:dyDescent="0.35">
      <c r="A177" s="2" t="s">
        <v>187</v>
      </c>
      <c r="B177" s="4" t="s">
        <v>997</v>
      </c>
      <c r="C177" s="4" t="s">
        <v>601</v>
      </c>
      <c r="D177" s="4" t="s">
        <v>601</v>
      </c>
      <c r="E177" s="4" t="s">
        <v>602</v>
      </c>
      <c r="F177" s="4" t="s">
        <v>685</v>
      </c>
      <c r="G177" s="14">
        <v>242.8</v>
      </c>
      <c r="H177" s="10">
        <v>22.115749000000001</v>
      </c>
      <c r="I177" s="10">
        <v>42.851011</v>
      </c>
      <c r="J177" s="10">
        <v>2.5238239999999998</v>
      </c>
      <c r="K177" s="15">
        <v>3.0641999999999999E-2</v>
      </c>
      <c r="L177" s="17">
        <v>16036.964523000001</v>
      </c>
      <c r="M177" s="4" t="s">
        <v>998</v>
      </c>
      <c r="N177" s="19">
        <v>5.6661440000000001</v>
      </c>
      <c r="O177" s="19">
        <v>5.0091000000000001</v>
      </c>
      <c r="P177" s="19">
        <v>6.5699990000000001</v>
      </c>
      <c r="Q177" s="19">
        <v>4.6839000000000004</v>
      </c>
      <c r="R177" s="19">
        <v>6.2699990000000003</v>
      </c>
      <c r="S177" s="19">
        <v>4.2704000000000004</v>
      </c>
      <c r="T177" s="19">
        <v>6.2699990000000003</v>
      </c>
      <c r="U177" s="19">
        <v>2.9306999999999999</v>
      </c>
      <c r="V177" s="19">
        <v>2.06</v>
      </c>
      <c r="W177" s="19">
        <v>2.1476000000000002</v>
      </c>
      <c r="X177" s="19">
        <v>2.06</v>
      </c>
      <c r="Y177" s="19">
        <v>2.1476000000000002</v>
      </c>
      <c r="Z177" s="4"/>
      <c r="AA177" s="4"/>
      <c r="AB177" s="4" t="e">
        <f ca="1">_xll.ciqfunctions.udf.CIQ("^SPX", "IQ_PRICEDATE", "9/4/2014")</f>
        <v>#NAME?</v>
      </c>
      <c r="AC177" s="16">
        <v>1997.6509320497</v>
      </c>
    </row>
    <row r="178" spans="1:29" x14ac:dyDescent="0.35">
      <c r="A178" s="2" t="s">
        <v>188</v>
      </c>
      <c r="B178" s="4" t="s">
        <v>999</v>
      </c>
      <c r="C178" s="4" t="s">
        <v>573</v>
      </c>
      <c r="D178" s="4" t="s">
        <v>579</v>
      </c>
      <c r="E178" s="4" t="s">
        <v>579</v>
      </c>
      <c r="F178" s="4" t="s">
        <v>1000</v>
      </c>
      <c r="G178" s="14">
        <v>216.01</v>
      </c>
      <c r="H178" s="10">
        <v>0</v>
      </c>
      <c r="I178" s="10">
        <v>42.051177000000003</v>
      </c>
      <c r="J178" s="10">
        <v>1.0709660000000001</v>
      </c>
      <c r="K178" s="15">
        <v>2.4072E-2</v>
      </c>
      <c r="L178" s="17">
        <v>8825.1840260000008</v>
      </c>
      <c r="M178" s="4" t="s">
        <v>1001</v>
      </c>
      <c r="N178" s="19">
        <v>5.1368359999999997</v>
      </c>
      <c r="O178" s="19">
        <v>23.686399999999999</v>
      </c>
      <c r="P178" s="19">
        <v>11.36</v>
      </c>
      <c r="Q178" s="19">
        <v>19.404699999999998</v>
      </c>
      <c r="R178" s="19">
        <v>23.68</v>
      </c>
      <c r="S178" s="19">
        <v>16.449300000000001</v>
      </c>
      <c r="T178" s="19">
        <v>23.68</v>
      </c>
      <c r="U178" s="19">
        <v>18.015499999999999</v>
      </c>
      <c r="V178" s="19">
        <v>25.91</v>
      </c>
      <c r="W178" s="19">
        <v>17.809699999999999</v>
      </c>
      <c r="X178" s="19">
        <v>25.91</v>
      </c>
      <c r="Y178" s="19">
        <v>17.809699999999999</v>
      </c>
      <c r="Z178" s="4"/>
      <c r="AA178" s="4"/>
      <c r="AB178" s="4" t="e">
        <f ca="1">_xll.ciqfunctions.udf.CIQ("^SPX", "IQ_PRICEDATE", "9/5/2014")</f>
        <v>#NAME?</v>
      </c>
      <c r="AC178" s="16">
        <v>2007.7119082391</v>
      </c>
    </row>
    <row r="179" spans="1:29" x14ac:dyDescent="0.35">
      <c r="A179" s="2" t="s">
        <v>189</v>
      </c>
      <c r="B179" s="4" t="s">
        <v>1002</v>
      </c>
      <c r="C179" s="4" t="s">
        <v>619</v>
      </c>
      <c r="D179" s="4" t="s">
        <v>619</v>
      </c>
      <c r="E179" s="4" t="s">
        <v>620</v>
      </c>
      <c r="F179" s="4" t="s">
        <v>620</v>
      </c>
      <c r="G179" s="14">
        <v>56.01</v>
      </c>
      <c r="H179" s="10">
        <v>20.242328000000001</v>
      </c>
      <c r="I179" s="10">
        <v>24.079768000000001</v>
      </c>
      <c r="J179" s="10">
        <v>1.76854</v>
      </c>
      <c r="K179" s="15">
        <v>2.8565999999999998E-2</v>
      </c>
      <c r="L179" s="17">
        <v>15217.236422</v>
      </c>
      <c r="M179" s="4" t="s">
        <v>1003</v>
      </c>
      <c r="N179" s="19">
        <v>2.3260190000000001</v>
      </c>
      <c r="O179" s="19">
        <v>2.7218</v>
      </c>
      <c r="P179" s="19">
        <v>2.2696000000000001</v>
      </c>
      <c r="Q179" s="19">
        <v>0</v>
      </c>
      <c r="R179" s="19">
        <v>2.4300000000000002</v>
      </c>
      <c r="S179" s="19">
        <v>0</v>
      </c>
      <c r="T179" s="19">
        <v>2.4300000000000002</v>
      </c>
      <c r="U179" s="19">
        <v>0</v>
      </c>
      <c r="V179" s="19">
        <v>2.35</v>
      </c>
      <c r="W179" s="19">
        <v>0</v>
      </c>
      <c r="X179" s="19">
        <v>2.35</v>
      </c>
      <c r="Y179" s="19">
        <v>0</v>
      </c>
      <c r="Z179" s="4"/>
      <c r="AA179" s="4"/>
      <c r="AB179" s="4" t="e">
        <f ca="1">_xll.ciqfunctions.udf.CIQ("^SPX", "IQ_PRICEDATE", "9/8/2014")</f>
        <v>#NAME?</v>
      </c>
      <c r="AC179" s="16">
        <v>2001.5407326029001</v>
      </c>
    </row>
    <row r="180" spans="1:29" x14ac:dyDescent="0.35">
      <c r="A180" s="2" t="s">
        <v>190</v>
      </c>
      <c r="B180" s="4" t="s">
        <v>1004</v>
      </c>
      <c r="C180" s="4" t="s">
        <v>619</v>
      </c>
      <c r="D180" s="4" t="s">
        <v>619</v>
      </c>
      <c r="E180" s="4" t="s">
        <v>620</v>
      </c>
      <c r="F180" s="4" t="s">
        <v>620</v>
      </c>
      <c r="G180" s="14">
        <v>62.49</v>
      </c>
      <c r="H180" s="10">
        <v>12.843249999999999</v>
      </c>
      <c r="I180" s="10">
        <v>19.650980000000001</v>
      </c>
      <c r="J180" s="10">
        <v>2.8925380000000001</v>
      </c>
      <c r="K180" s="15">
        <v>3.2325E-2</v>
      </c>
      <c r="L180" s="17">
        <v>19802.194142</v>
      </c>
      <c r="M180" s="4" t="s">
        <v>1005</v>
      </c>
      <c r="N180" s="19">
        <v>3.1799940000000002</v>
      </c>
      <c r="O180" s="19">
        <v>3.3603000000000001</v>
      </c>
      <c r="P180" s="19">
        <v>3.11</v>
      </c>
      <c r="Q180" s="19">
        <v>3.3008000000000002</v>
      </c>
      <c r="R180" s="19">
        <v>2.9599989999999998</v>
      </c>
      <c r="S180" s="19">
        <v>3.1556000000000002</v>
      </c>
      <c r="T180" s="19">
        <v>2.9599989999999998</v>
      </c>
      <c r="U180" s="19">
        <v>2.9214000000000002</v>
      </c>
      <c r="V180" s="19">
        <v>2.5799989999999999</v>
      </c>
      <c r="W180" s="19">
        <v>2.8431000000000002</v>
      </c>
      <c r="X180" s="19">
        <v>2.5799989999999999</v>
      </c>
      <c r="Y180" s="19">
        <v>2.8431000000000002</v>
      </c>
      <c r="Z180" s="4"/>
      <c r="AA180" s="4"/>
      <c r="AB180" s="4" t="e">
        <f ca="1">_xll.ciqfunctions.udf.CIQ("^SPX", "IQ_PRICEDATE", "9/9/2014")</f>
        <v>#NAME?</v>
      </c>
      <c r="AC180" s="16">
        <v>1988.4448927521</v>
      </c>
    </row>
    <row r="181" spans="1:29" x14ac:dyDescent="0.35">
      <c r="A181" s="2" t="s">
        <v>191</v>
      </c>
      <c r="B181" s="4" t="s">
        <v>1006</v>
      </c>
      <c r="C181" s="4" t="s">
        <v>619</v>
      </c>
      <c r="D181" s="4" t="s">
        <v>619</v>
      </c>
      <c r="E181" s="4" t="s">
        <v>620</v>
      </c>
      <c r="F181" s="4" t="s">
        <v>620</v>
      </c>
      <c r="G181" s="14">
        <v>42.99</v>
      </c>
      <c r="H181" s="10">
        <v>7.7756040000000004</v>
      </c>
      <c r="I181" s="10">
        <v>10.939911</v>
      </c>
      <c r="J181" s="10">
        <v>1.741938</v>
      </c>
      <c r="K181" s="15">
        <v>3.2099999999999997E-2</v>
      </c>
      <c r="L181" s="17">
        <v>41524.329076000002</v>
      </c>
      <c r="M181" s="4" t="s">
        <v>1007</v>
      </c>
      <c r="N181" s="19">
        <v>3.9296479999999998</v>
      </c>
      <c r="O181" s="19">
        <v>3.0278</v>
      </c>
      <c r="P181" s="19">
        <v>3.97</v>
      </c>
      <c r="Q181" s="19">
        <v>2.9451000000000001</v>
      </c>
      <c r="R181" s="19">
        <v>1.22</v>
      </c>
      <c r="S181" s="19">
        <v>2.5779000000000001</v>
      </c>
      <c r="T181" s="19">
        <v>1.22</v>
      </c>
      <c r="U181" s="19">
        <v>2.3527</v>
      </c>
      <c r="V181" s="19">
        <v>1.88</v>
      </c>
      <c r="W181" s="19">
        <v>2.4390000000000001</v>
      </c>
      <c r="X181" s="19">
        <v>1.88</v>
      </c>
      <c r="Y181" s="19">
        <v>2.4390000000000001</v>
      </c>
      <c r="Z181" s="4"/>
      <c r="AA181" s="4"/>
      <c r="AB181" s="4" t="e">
        <f ca="1">_xll.ciqfunctions.udf.CIQ("^SPX", "IQ_PRICEDATE", "9/10/2014")</f>
        <v>#NAME?</v>
      </c>
      <c r="AC181" s="16">
        <v>1995.6923062226001</v>
      </c>
    </row>
    <row r="182" spans="1:29" x14ac:dyDescent="0.35">
      <c r="A182" s="2" t="s">
        <v>192</v>
      </c>
      <c r="B182" s="4" t="s">
        <v>1008</v>
      </c>
      <c r="C182" s="4" t="s">
        <v>559</v>
      </c>
      <c r="D182" s="4" t="s">
        <v>560</v>
      </c>
      <c r="E182" s="4" t="s">
        <v>631</v>
      </c>
      <c r="F182" s="4" t="s">
        <v>631</v>
      </c>
      <c r="G182" s="14">
        <v>120.55</v>
      </c>
      <c r="H182" s="10">
        <v>16.656531999999999</v>
      </c>
      <c r="I182" s="10">
        <v>69.460890000000006</v>
      </c>
      <c r="J182" s="10" t="s">
        <v>534</v>
      </c>
      <c r="K182" s="15">
        <v>1.0618000000000001E-2</v>
      </c>
      <c r="L182" s="17">
        <v>18016.330587</v>
      </c>
      <c r="M182" s="4" t="s">
        <v>1009</v>
      </c>
      <c r="N182" s="19">
        <v>1.735509</v>
      </c>
      <c r="O182" s="19">
        <v>5.5917000000000003</v>
      </c>
      <c r="P182" s="19">
        <v>2.42</v>
      </c>
      <c r="Q182" s="19">
        <v>5.1760999999999999</v>
      </c>
      <c r="R182" s="19">
        <v>1.82</v>
      </c>
      <c r="S182" s="19">
        <v>6.0576999999999996</v>
      </c>
      <c r="T182" s="19">
        <v>1.82</v>
      </c>
      <c r="U182" s="19">
        <v>5.4242999999999997</v>
      </c>
      <c r="V182" s="19">
        <v>2.99</v>
      </c>
      <c r="W182" s="19">
        <v>4.4554</v>
      </c>
      <c r="X182" s="19">
        <v>2.99</v>
      </c>
      <c r="Y182" s="19">
        <v>4.4554</v>
      </c>
      <c r="Z182" s="4"/>
      <c r="AA182" s="4"/>
      <c r="AB182" s="4" t="e">
        <f ca="1">_xll.ciqfunctions.udf.CIQ("^SPX", "IQ_PRICEDATE", "9/11/2014")</f>
        <v>#NAME?</v>
      </c>
      <c r="AC182" s="16">
        <v>1997.4459678967</v>
      </c>
    </row>
    <row r="183" spans="1:29" x14ac:dyDescent="0.35">
      <c r="A183" s="2" t="s">
        <v>193</v>
      </c>
      <c r="B183" s="4" t="s">
        <v>1010</v>
      </c>
      <c r="C183" s="4" t="s">
        <v>525</v>
      </c>
      <c r="D183" s="4" t="s">
        <v>594</v>
      </c>
      <c r="E183" s="4" t="s">
        <v>779</v>
      </c>
      <c r="F183" s="4" t="s">
        <v>779</v>
      </c>
      <c r="G183" s="14">
        <v>68.8</v>
      </c>
      <c r="H183" s="10">
        <v>13.531746</v>
      </c>
      <c r="I183" s="10">
        <v>22.041786999999999</v>
      </c>
      <c r="J183" s="10">
        <v>6.3460190000000001</v>
      </c>
      <c r="K183" s="15">
        <v>1.3081000000000001E-2</v>
      </c>
      <c r="L183" s="17">
        <v>11994.282469</v>
      </c>
      <c r="M183" s="4" t="s">
        <v>1011</v>
      </c>
      <c r="N183" s="19">
        <v>3.1213440000000001</v>
      </c>
      <c r="O183" s="19">
        <v>3.1850999999999998</v>
      </c>
      <c r="P183" s="19">
        <v>2.69</v>
      </c>
      <c r="Q183" s="19">
        <v>2.5196000000000001</v>
      </c>
      <c r="R183" s="19">
        <v>2.36</v>
      </c>
      <c r="S183" s="19">
        <v>2.4504999999999999</v>
      </c>
      <c r="T183" s="19">
        <v>2.36</v>
      </c>
      <c r="U183" s="19">
        <v>2.4470000000000001</v>
      </c>
      <c r="V183" s="19">
        <v>1.92</v>
      </c>
      <c r="W183" s="19">
        <v>2.0312999999999999</v>
      </c>
      <c r="X183" s="19">
        <v>1.92</v>
      </c>
      <c r="Y183" s="19">
        <v>2.0312999999999999</v>
      </c>
      <c r="Z183" s="4"/>
      <c r="AA183" s="4"/>
      <c r="AB183" s="4" t="e">
        <f ca="1">_xll.ciqfunctions.udf.CIQ("^SPX", "IQ_PRICEDATE", "9/12/2014")</f>
        <v>#NAME?</v>
      </c>
      <c r="AC183" s="16">
        <v>1985.5362909214</v>
      </c>
    </row>
    <row r="184" spans="1:29" x14ac:dyDescent="0.35">
      <c r="A184" s="2" t="s">
        <v>194</v>
      </c>
      <c r="B184" s="4" t="s">
        <v>1012</v>
      </c>
      <c r="C184" s="4" t="s">
        <v>530</v>
      </c>
      <c r="D184" s="4" t="s">
        <v>531</v>
      </c>
      <c r="E184" s="4" t="s">
        <v>569</v>
      </c>
      <c r="F184" s="4" t="s">
        <v>909</v>
      </c>
      <c r="G184" s="14">
        <v>95.77</v>
      </c>
      <c r="H184" s="10">
        <v>9.1142730000000007</v>
      </c>
      <c r="I184" s="10">
        <v>11.664173</v>
      </c>
      <c r="J184" s="10" t="s">
        <v>534</v>
      </c>
      <c r="K184" s="15">
        <v>0</v>
      </c>
      <c r="L184" s="17">
        <v>53834.2958</v>
      </c>
      <c r="M184" s="4" t="s">
        <v>1013</v>
      </c>
      <c r="N184" s="19">
        <v>8.2106119999999994</v>
      </c>
      <c r="O184" s="19">
        <v>9.2988</v>
      </c>
      <c r="P184" s="19">
        <v>7.74</v>
      </c>
      <c r="Q184" s="19">
        <v>7.5823</v>
      </c>
      <c r="R184" s="19">
        <v>5.39</v>
      </c>
      <c r="S184" s="19">
        <v>6.8129</v>
      </c>
      <c r="T184" s="19">
        <v>5.39</v>
      </c>
      <c r="U184" s="19">
        <v>5.9778000000000002</v>
      </c>
      <c r="V184" s="19">
        <v>2.64</v>
      </c>
      <c r="W184" s="19">
        <v>5.3201999999999998</v>
      </c>
      <c r="X184" s="19">
        <v>2.64</v>
      </c>
      <c r="Y184" s="19">
        <v>5.3201999999999998</v>
      </c>
      <c r="Z184" s="4"/>
      <c r="AA184" s="4"/>
      <c r="AB184" s="4" t="e">
        <f ca="1">_xll.ciqfunctions.udf.CIQ("^SPX", "IQ_PRICEDATE", "9/15/2014")</f>
        <v>#NAME?</v>
      </c>
      <c r="AC184" s="16">
        <v>1984.1323104619</v>
      </c>
    </row>
    <row r="185" spans="1:29" x14ac:dyDescent="0.35">
      <c r="A185" s="2" t="s">
        <v>195</v>
      </c>
      <c r="B185" s="4" t="s">
        <v>1014</v>
      </c>
      <c r="C185" s="4" t="s">
        <v>601</v>
      </c>
      <c r="D185" s="4" t="s">
        <v>601</v>
      </c>
      <c r="E185" s="4" t="s">
        <v>602</v>
      </c>
      <c r="F185" s="4" t="s">
        <v>647</v>
      </c>
      <c r="G185" s="14">
        <v>86.06</v>
      </c>
      <c r="H185" s="10">
        <v>20.517057999999999</v>
      </c>
      <c r="I185" s="10">
        <v>22.209793999999999</v>
      </c>
      <c r="J185" s="10">
        <v>4.6355079999999997</v>
      </c>
      <c r="K185" s="15">
        <v>3.9972000000000001E-2</v>
      </c>
      <c r="L185" s="17">
        <v>10886.770726000001</v>
      </c>
      <c r="M185" s="4" t="s">
        <v>1015</v>
      </c>
      <c r="N185" s="19">
        <v>3.8748670000000001</v>
      </c>
      <c r="O185" s="19">
        <v>2.9083000000000001</v>
      </c>
      <c r="P185" s="19">
        <v>3.7643330000000002</v>
      </c>
      <c r="Q185" s="19">
        <v>2.8325999999999998</v>
      </c>
      <c r="R185" s="19">
        <v>2.9069669999999999</v>
      </c>
      <c r="S185" s="19">
        <v>2.3908999999999998</v>
      </c>
      <c r="T185" s="19">
        <v>2.9069669999999999</v>
      </c>
      <c r="U185" s="19">
        <v>1.633</v>
      </c>
      <c r="V185" s="19">
        <v>1.5304770000000001</v>
      </c>
      <c r="W185" s="19">
        <v>1.9904999999999999</v>
      </c>
      <c r="X185" s="19">
        <v>1.5304770000000001</v>
      </c>
      <c r="Y185" s="19">
        <v>1.9904999999999999</v>
      </c>
      <c r="Z185" s="4"/>
      <c r="AA185" s="4"/>
      <c r="AB185" s="4" t="e">
        <f ca="1">_xll.ciqfunctions.udf.CIQ("^SPX", "IQ_PRICEDATE", "9/16/2014")</f>
        <v>#NAME?</v>
      </c>
      <c r="AC185" s="16">
        <v>1998.9814103547001</v>
      </c>
    </row>
    <row r="186" spans="1:29" x14ac:dyDescent="0.35">
      <c r="A186" s="2" t="s">
        <v>196</v>
      </c>
      <c r="B186" s="4" t="s">
        <v>1016</v>
      </c>
      <c r="C186" s="4" t="s">
        <v>669</v>
      </c>
      <c r="D186" s="4" t="s">
        <v>669</v>
      </c>
      <c r="E186" s="4" t="s">
        <v>670</v>
      </c>
      <c r="F186" s="4" t="s">
        <v>836</v>
      </c>
      <c r="G186" s="14">
        <v>81.5</v>
      </c>
      <c r="H186" s="10">
        <v>9.1280590000000004</v>
      </c>
      <c r="I186" s="10">
        <v>16.610835000000002</v>
      </c>
      <c r="J186" s="10">
        <v>1.8430280000000001</v>
      </c>
      <c r="K186" s="15">
        <v>4.0244999999999996E-2</v>
      </c>
      <c r="L186" s="17">
        <v>345055.54336200003</v>
      </c>
      <c r="M186" s="4" t="s">
        <v>1017</v>
      </c>
      <c r="N186" s="19">
        <v>4.9064360000000002</v>
      </c>
      <c r="O186" s="19">
        <v>5.3441999999999998</v>
      </c>
      <c r="P186" s="19">
        <v>4.63</v>
      </c>
      <c r="Q186" s="19">
        <v>4.1340000000000003</v>
      </c>
      <c r="R186" s="19">
        <v>1.8769450000000001</v>
      </c>
      <c r="S186" s="19">
        <v>4.0216000000000003</v>
      </c>
      <c r="T186" s="19">
        <v>1.8769450000000001</v>
      </c>
      <c r="U186" s="19">
        <v>3.4946000000000002</v>
      </c>
      <c r="V186" s="19">
        <v>7.5945809999999998</v>
      </c>
      <c r="W186" s="19">
        <v>5.2165999999999997</v>
      </c>
      <c r="X186" s="19">
        <v>7.5945809999999998</v>
      </c>
      <c r="Y186" s="19">
        <v>5.2165999999999997</v>
      </c>
      <c r="Z186" s="4"/>
      <c r="AA186" s="4"/>
      <c r="AB186" s="4" t="e">
        <f ca="1">_xll.ciqfunctions.udf.CIQ("^SPX", "IQ_PRICEDATE", "9/17/2014")</f>
        <v>#NAME?</v>
      </c>
      <c r="AC186" s="16">
        <v>2001.5651818327999</v>
      </c>
    </row>
    <row r="187" spans="1:29" x14ac:dyDescent="0.35">
      <c r="A187" s="2" t="s">
        <v>197</v>
      </c>
      <c r="B187" s="4" t="s">
        <v>1018</v>
      </c>
      <c r="C187" s="4" t="s">
        <v>543</v>
      </c>
      <c r="D187" s="4" t="s">
        <v>664</v>
      </c>
      <c r="E187" s="4" t="s">
        <v>706</v>
      </c>
      <c r="F187" s="4" t="s">
        <v>706</v>
      </c>
      <c r="G187" s="14">
        <v>170.54</v>
      </c>
      <c r="H187" s="10">
        <v>14.283758000000001</v>
      </c>
      <c r="I187" s="10">
        <v>23.367546000000001</v>
      </c>
      <c r="J187" s="10">
        <v>14.608107</v>
      </c>
      <c r="K187" s="15">
        <v>0</v>
      </c>
      <c r="L187" s="17">
        <v>10371.956803999999</v>
      </c>
      <c r="M187" s="4" t="s">
        <v>1019</v>
      </c>
      <c r="N187" s="19">
        <v>7.2981559999999996</v>
      </c>
      <c r="O187" s="19">
        <v>10.2645</v>
      </c>
      <c r="P187" s="19">
        <v>6.4796259999999997</v>
      </c>
      <c r="Q187" s="19">
        <v>8.6733399999999996</v>
      </c>
      <c r="R187" s="19">
        <v>5.5410490000000001</v>
      </c>
      <c r="S187" s="19">
        <v>8.2807499999999994</v>
      </c>
      <c r="T187" s="19">
        <v>5.5410490000000001</v>
      </c>
      <c r="U187" s="19">
        <v>7.0302199999999999</v>
      </c>
      <c r="V187" s="19">
        <v>4.4324199999999996</v>
      </c>
      <c r="W187" s="19">
        <v>6.3712600000000004</v>
      </c>
      <c r="X187" s="19">
        <v>4.4324199999999996</v>
      </c>
      <c r="Y187" s="19">
        <v>6.3712600000000004</v>
      </c>
      <c r="Z187" s="4"/>
      <c r="AA187" s="4"/>
      <c r="AB187" s="4" t="e">
        <f ca="1">_xll.ciqfunctions.udf.CIQ("^SPX", "IQ_PRICEDATE", "9/18/2014")</f>
        <v>#NAME?</v>
      </c>
      <c r="AC187" s="16">
        <v>2011.3638145702</v>
      </c>
    </row>
    <row r="188" spans="1:29" x14ac:dyDescent="0.35">
      <c r="A188" s="2" t="s">
        <v>198</v>
      </c>
      <c r="B188" s="4" t="s">
        <v>1020</v>
      </c>
      <c r="C188" s="4" t="s">
        <v>549</v>
      </c>
      <c r="D188" s="4" t="s">
        <v>550</v>
      </c>
      <c r="E188" s="4" t="s">
        <v>623</v>
      </c>
      <c r="F188" s="4" t="s">
        <v>623</v>
      </c>
      <c r="G188" s="14">
        <v>159.41999999999999</v>
      </c>
      <c r="H188" s="10">
        <v>15.261631</v>
      </c>
      <c r="I188" s="10">
        <v>24.667964000000001</v>
      </c>
      <c r="J188" s="10">
        <v>7.7399519999999997</v>
      </c>
      <c r="K188" s="15">
        <v>0</v>
      </c>
      <c r="L188" s="17">
        <v>460280.39941499999</v>
      </c>
      <c r="M188" s="4" t="s">
        <v>1021</v>
      </c>
      <c r="N188" s="19">
        <v>6.4626330000000003</v>
      </c>
      <c r="O188" s="19">
        <v>7.3093000000000004</v>
      </c>
      <c r="P188" s="19">
        <v>5.3903920000000003</v>
      </c>
      <c r="Q188" s="19">
        <v>6.3734999999999999</v>
      </c>
      <c r="R188" s="19">
        <v>3.492991</v>
      </c>
      <c r="S188" s="19">
        <v>4.9748999999999999</v>
      </c>
      <c r="T188" s="19">
        <v>3.492991</v>
      </c>
      <c r="U188" s="19">
        <v>2.6558999999999999</v>
      </c>
      <c r="V188" s="19">
        <v>1.1036029999999999</v>
      </c>
      <c r="W188" s="19">
        <v>1.8602000000000001</v>
      </c>
      <c r="X188" s="19">
        <v>1.1036029999999999</v>
      </c>
      <c r="Y188" s="19">
        <v>1.8602000000000001</v>
      </c>
      <c r="Z188" s="4"/>
      <c r="AA188" s="4"/>
      <c r="AB188" s="4" t="e">
        <f ca="1">_xll.ciqfunctions.udf.CIQ("^SPX", "IQ_PRICEDATE", "9/19/2014")</f>
        <v>#NAME?</v>
      </c>
      <c r="AC188" s="16">
        <v>2010.3967236043</v>
      </c>
    </row>
    <row r="189" spans="1:29" x14ac:dyDescent="0.35">
      <c r="A189" s="2" t="s">
        <v>199</v>
      </c>
      <c r="B189" s="4" t="s">
        <v>1022</v>
      </c>
      <c r="C189" s="4" t="s">
        <v>525</v>
      </c>
      <c r="D189" s="4" t="s">
        <v>526</v>
      </c>
      <c r="E189" s="4" t="s">
        <v>1023</v>
      </c>
      <c r="F189" s="4" t="s">
        <v>1023</v>
      </c>
      <c r="G189" s="14">
        <v>52.65</v>
      </c>
      <c r="H189" s="10">
        <v>13.934405999999999</v>
      </c>
      <c r="I189" s="10">
        <v>20.566711000000002</v>
      </c>
      <c r="J189" s="10">
        <v>6.5268309999999996</v>
      </c>
      <c r="K189" s="15">
        <v>3.0388999999999999E-2</v>
      </c>
      <c r="L189" s="17">
        <v>15113.530938</v>
      </c>
      <c r="M189" s="4" t="s">
        <v>1024</v>
      </c>
      <c r="N189" s="19">
        <v>2.5599620000000001</v>
      </c>
      <c r="O189" s="19">
        <v>2.7456999999999998</v>
      </c>
      <c r="P189" s="19">
        <v>2.0076329999999998</v>
      </c>
      <c r="Q189" s="19">
        <v>2.0848</v>
      </c>
      <c r="R189" s="19">
        <v>1.7286250000000001</v>
      </c>
      <c r="S189" s="19">
        <v>1.7639</v>
      </c>
      <c r="T189" s="19">
        <v>1.7286250000000001</v>
      </c>
      <c r="U189" s="19">
        <v>1.8460000000000001</v>
      </c>
      <c r="V189" s="19">
        <v>1.659999</v>
      </c>
      <c r="W189" s="19">
        <v>1.8540000000000001</v>
      </c>
      <c r="X189" s="19">
        <v>1.659999</v>
      </c>
      <c r="Y189" s="19">
        <v>1.8540000000000001</v>
      </c>
      <c r="Z189" s="4"/>
      <c r="AA189" s="4"/>
      <c r="AB189" s="4" t="e">
        <f ca="1">_xll.ciqfunctions.udf.CIQ("^SPX", "IQ_PRICEDATE", "9/22/2014")</f>
        <v>#NAME?</v>
      </c>
      <c r="AC189" s="16">
        <v>1994.2887580788999</v>
      </c>
    </row>
    <row r="190" spans="1:29" x14ac:dyDescent="0.35">
      <c r="A190" s="2" t="s">
        <v>200</v>
      </c>
      <c r="B190" s="4" t="s">
        <v>1025</v>
      </c>
      <c r="C190" s="4" t="s">
        <v>601</v>
      </c>
      <c r="D190" s="4" t="s">
        <v>601</v>
      </c>
      <c r="E190" s="4" t="s">
        <v>602</v>
      </c>
      <c r="F190" s="4" t="s">
        <v>1026</v>
      </c>
      <c r="G190" s="14">
        <v>122</v>
      </c>
      <c r="H190" s="10">
        <v>22.317208000000001</v>
      </c>
      <c r="I190" s="10">
        <v>32.213168000000003</v>
      </c>
      <c r="J190" s="10">
        <v>4.2561939999999998</v>
      </c>
      <c r="K190" s="15">
        <v>3.2786000000000003E-2</v>
      </c>
      <c r="L190" s="17">
        <v>8965.9389659999997</v>
      </c>
      <c r="M190" s="4" t="s">
        <v>1027</v>
      </c>
      <c r="N190" s="19">
        <v>3.7872710000000001</v>
      </c>
      <c r="O190" s="19">
        <v>3.3325</v>
      </c>
      <c r="P190" s="19">
        <v>3.97</v>
      </c>
      <c r="Q190" s="19">
        <v>3.1652999999999998</v>
      </c>
      <c r="R190" s="19">
        <v>3.5</v>
      </c>
      <c r="S190" s="19">
        <v>3.2105000000000001</v>
      </c>
      <c r="T190" s="19">
        <v>3.5</v>
      </c>
      <c r="U190" s="19">
        <v>3.1619999999999999</v>
      </c>
      <c r="V190" s="19">
        <v>2.41</v>
      </c>
      <c r="W190" s="19">
        <v>3.1360000000000001</v>
      </c>
      <c r="X190" s="19">
        <v>2.41</v>
      </c>
      <c r="Y190" s="19">
        <v>3.1360000000000001</v>
      </c>
      <c r="Z190" s="4"/>
      <c r="AA190" s="4"/>
      <c r="AB190" s="4" t="e">
        <f ca="1">_xll.ciqfunctions.udf.CIQ("^SPX", "IQ_PRICEDATE", "9/23/2014")</f>
        <v>#NAME?</v>
      </c>
      <c r="AC190" s="16">
        <v>1982.7654266515999</v>
      </c>
    </row>
    <row r="191" spans="1:29" x14ac:dyDescent="0.35">
      <c r="A191" s="2" t="s">
        <v>201</v>
      </c>
      <c r="B191" s="4" t="s">
        <v>1028</v>
      </c>
      <c r="C191" s="4" t="s">
        <v>525</v>
      </c>
      <c r="D191" s="4" t="s">
        <v>594</v>
      </c>
      <c r="E191" s="4" t="s">
        <v>779</v>
      </c>
      <c r="F191" s="4" t="s">
        <v>779</v>
      </c>
      <c r="G191" s="14">
        <v>223.46</v>
      </c>
      <c r="H191" s="10">
        <v>8.630198</v>
      </c>
      <c r="I191" s="10">
        <v>12.614414999999999</v>
      </c>
      <c r="J191" s="10">
        <v>4.7858619999999998</v>
      </c>
      <c r="K191" s="15">
        <v>1.1635E-2</v>
      </c>
      <c r="L191" s="17">
        <v>58885.253405000003</v>
      </c>
      <c r="M191" s="4" t="s">
        <v>1029</v>
      </c>
      <c r="N191" s="19">
        <v>17.714653999999999</v>
      </c>
      <c r="O191" s="19">
        <v>18.309899999999999</v>
      </c>
      <c r="P191" s="19">
        <v>10.857047</v>
      </c>
      <c r="Q191" s="19">
        <v>14.5974</v>
      </c>
      <c r="R191" s="19">
        <v>6.8045949999999999</v>
      </c>
      <c r="S191" s="19">
        <v>12.7448</v>
      </c>
      <c r="T191" s="19">
        <v>6.8045949999999999</v>
      </c>
      <c r="U191" s="19">
        <v>11.2727</v>
      </c>
      <c r="V191" s="19">
        <v>8.9849230000000002</v>
      </c>
      <c r="W191" s="19">
        <v>10.058999999999999</v>
      </c>
      <c r="X191" s="19">
        <v>8.9849230000000002</v>
      </c>
      <c r="Y191" s="19">
        <v>10.058999999999999</v>
      </c>
      <c r="Z191" s="4"/>
      <c r="AA191" s="4"/>
      <c r="AB191" s="4" t="e">
        <f ca="1">_xll.ciqfunctions.udf.CIQ("^SPX", "IQ_PRICEDATE", "9/24/2014")</f>
        <v>#NAME?</v>
      </c>
      <c r="AC191" s="16">
        <v>1998.3021538749999</v>
      </c>
    </row>
    <row r="192" spans="1:29" x14ac:dyDescent="0.35">
      <c r="A192" s="2" t="s">
        <v>202</v>
      </c>
      <c r="B192" s="4" t="s">
        <v>1030</v>
      </c>
      <c r="C192" s="4" t="s">
        <v>543</v>
      </c>
      <c r="D192" s="4" t="s">
        <v>544</v>
      </c>
      <c r="E192" s="4" t="s">
        <v>545</v>
      </c>
      <c r="F192" s="4" t="s">
        <v>616</v>
      </c>
      <c r="G192" s="14">
        <v>104.87</v>
      </c>
      <c r="H192" s="10">
        <v>16.803070999999999</v>
      </c>
      <c r="I192" s="10">
        <v>24.400873000000001</v>
      </c>
      <c r="J192" s="10" t="s">
        <v>534</v>
      </c>
      <c r="K192" s="15">
        <v>1.2204999999999999E-2</v>
      </c>
      <c r="L192" s="17">
        <v>34483.424081999998</v>
      </c>
      <c r="M192" s="4" t="s">
        <v>1031</v>
      </c>
      <c r="N192" s="19">
        <v>4.2977970000000001</v>
      </c>
      <c r="O192" s="19">
        <v>5.5087999999999999</v>
      </c>
      <c r="P192" s="19">
        <v>3.93</v>
      </c>
      <c r="Q192" s="19">
        <v>4.7202999999999999</v>
      </c>
      <c r="R192" s="19">
        <v>1.72</v>
      </c>
      <c r="S192" s="19">
        <v>4.1878000000000002</v>
      </c>
      <c r="T192" s="19">
        <v>1.72</v>
      </c>
      <c r="U192" s="19">
        <v>3.6000999999999999</v>
      </c>
      <c r="V192" s="19">
        <v>2.39</v>
      </c>
      <c r="W192" s="19">
        <v>3.3702999999999999</v>
      </c>
      <c r="X192" s="19">
        <v>2.39</v>
      </c>
      <c r="Y192" s="19">
        <v>3.3702999999999999</v>
      </c>
      <c r="Z192" s="4"/>
      <c r="AA192" s="4"/>
      <c r="AB192" s="4" t="e">
        <f ca="1">_xll.ciqfunctions.udf.CIQ("^SPX", "IQ_PRICEDATE", "9/25/2014")</f>
        <v>#NAME?</v>
      </c>
      <c r="AC192" s="16">
        <v>1965.9897033397999</v>
      </c>
    </row>
    <row r="193" spans="1:29" x14ac:dyDescent="0.35">
      <c r="A193" s="2" t="s">
        <v>203</v>
      </c>
      <c r="B193" s="4" t="s">
        <v>1032</v>
      </c>
      <c r="C193" s="4" t="s">
        <v>573</v>
      </c>
      <c r="D193" s="4" t="s">
        <v>737</v>
      </c>
      <c r="E193" s="4" t="s">
        <v>737</v>
      </c>
      <c r="F193" s="4" t="s">
        <v>743</v>
      </c>
      <c r="G193" s="14">
        <v>27.03</v>
      </c>
      <c r="H193" s="10">
        <v>0</v>
      </c>
      <c r="I193" s="10">
        <v>7.1141519999999998</v>
      </c>
      <c r="J193" s="10">
        <v>1.4772110000000001</v>
      </c>
      <c r="K193" s="15">
        <v>2.6637000000000001E-2</v>
      </c>
      <c r="L193" s="17">
        <v>18011.1702</v>
      </c>
      <c r="M193" s="4" t="s">
        <v>1033</v>
      </c>
      <c r="N193" s="19">
        <v>3.7994690000000002</v>
      </c>
      <c r="O193" s="19">
        <v>2.5295999999999998</v>
      </c>
      <c r="P193" s="19">
        <v>2.8311380000000002</v>
      </c>
      <c r="Q193" s="19">
        <v>1.9758</v>
      </c>
      <c r="R193" s="19">
        <v>1.929999</v>
      </c>
      <c r="S193" s="19">
        <v>1.7267999999999999</v>
      </c>
      <c r="T193" s="19">
        <v>1.929999</v>
      </c>
      <c r="U193" s="19">
        <v>1.6577999999999999</v>
      </c>
      <c r="V193" s="19">
        <v>1.66</v>
      </c>
      <c r="W193" s="19">
        <v>1.7027000000000001</v>
      </c>
      <c r="X193" s="19">
        <v>1.66</v>
      </c>
      <c r="Y193" s="19">
        <v>1.7027000000000001</v>
      </c>
      <c r="Z193" s="4"/>
      <c r="AA193" s="4"/>
      <c r="AB193" s="4" t="e">
        <f ca="1">_xll.ciqfunctions.udf.CIQ("^SPX", "IQ_PRICEDATE", "9/26/2014")</f>
        <v>#NAME?</v>
      </c>
      <c r="AC193" s="16">
        <v>1982.8459381288999</v>
      </c>
    </row>
    <row r="194" spans="1:29" x14ac:dyDescent="0.35">
      <c r="A194" s="2" t="s">
        <v>204</v>
      </c>
      <c r="B194" s="4" t="s">
        <v>1034</v>
      </c>
      <c r="C194" s="4" t="s">
        <v>619</v>
      </c>
      <c r="D194" s="4" t="s">
        <v>619</v>
      </c>
      <c r="E194" s="4" t="s">
        <v>620</v>
      </c>
      <c r="F194" s="4" t="s">
        <v>620</v>
      </c>
      <c r="G194" s="14">
        <v>37.92</v>
      </c>
      <c r="H194" s="10">
        <v>8.8599890000000006</v>
      </c>
      <c r="I194" s="10" t="s">
        <v>534</v>
      </c>
      <c r="J194" s="10">
        <v>9.4358120000000003</v>
      </c>
      <c r="K194" s="15">
        <v>3.7974000000000001E-2</v>
      </c>
      <c r="L194" s="17">
        <v>18429.935242</v>
      </c>
      <c r="M194" s="4" t="s">
        <v>1035</v>
      </c>
      <c r="N194" s="19">
        <v>-4.4685459999999999</v>
      </c>
      <c r="O194" s="19">
        <v>2.4723999999999999</v>
      </c>
      <c r="P194" s="19">
        <v>-3.8828819999999999</v>
      </c>
      <c r="Q194" s="19">
        <v>2.6896</v>
      </c>
      <c r="R194" s="19">
        <v>-14.5</v>
      </c>
      <c r="S194" s="19">
        <v>2.5583</v>
      </c>
      <c r="T194" s="19">
        <v>-14.5</v>
      </c>
      <c r="U194" s="19">
        <v>2.9411</v>
      </c>
      <c r="V194" s="19">
        <v>0.50714199999999998</v>
      </c>
      <c r="W194" s="19">
        <v>2.8877000000000002</v>
      </c>
      <c r="X194" s="19">
        <v>0.50714199999999998</v>
      </c>
      <c r="Y194" s="19">
        <v>2.8877000000000002</v>
      </c>
      <c r="Z194" s="4"/>
      <c r="AA194" s="4"/>
      <c r="AB194" s="4" t="e">
        <f ca="1">_xll.ciqfunctions.udf.CIQ("^SPX", "IQ_PRICEDATE", "9/29/2014")</f>
        <v>#NAME?</v>
      </c>
      <c r="AC194" s="16">
        <v>1977.8010672518999</v>
      </c>
    </row>
    <row r="195" spans="1:29" x14ac:dyDescent="0.35">
      <c r="A195" s="2" t="s">
        <v>205</v>
      </c>
      <c r="B195" s="4" t="s">
        <v>1036</v>
      </c>
      <c r="C195" s="4" t="s">
        <v>543</v>
      </c>
      <c r="D195" s="4" t="s">
        <v>544</v>
      </c>
      <c r="E195" s="4" t="s">
        <v>545</v>
      </c>
      <c r="F195" s="4" t="s">
        <v>616</v>
      </c>
      <c r="G195" s="14">
        <v>79.06</v>
      </c>
      <c r="H195" s="10">
        <v>19.587291</v>
      </c>
      <c r="I195" s="10">
        <v>23.296752000000001</v>
      </c>
      <c r="J195" s="10" t="s">
        <v>534</v>
      </c>
      <c r="K195" s="15">
        <v>0</v>
      </c>
      <c r="L195" s="17">
        <v>32013.536051999999</v>
      </c>
      <c r="M195" s="4" t="s">
        <v>1037</v>
      </c>
      <c r="N195" s="19">
        <v>3.3936060000000001</v>
      </c>
      <c r="O195" s="19">
        <v>3.3001999999999998</v>
      </c>
      <c r="P195" s="19">
        <v>2.855</v>
      </c>
      <c r="Q195" s="19">
        <v>2.7753000000000001</v>
      </c>
      <c r="R195" s="19">
        <v>2.0750000000000002</v>
      </c>
      <c r="S195" s="19">
        <v>2.4135</v>
      </c>
      <c r="T195" s="19">
        <v>2.0750000000000002</v>
      </c>
      <c r="U195" s="19">
        <v>2.0950000000000002</v>
      </c>
      <c r="V195" s="19">
        <v>1.4950000000000001</v>
      </c>
      <c r="W195" s="19">
        <v>1.8223</v>
      </c>
      <c r="X195" s="19">
        <v>1.4950000000000001</v>
      </c>
      <c r="Y195" s="19">
        <v>1.8223</v>
      </c>
      <c r="Z195" s="4"/>
      <c r="AA195" s="4"/>
      <c r="AB195" s="4" t="e">
        <f ca="1">_xll.ciqfunctions.udf.CIQ("^SPX", "IQ_PRICEDATE", "9/30/2014")</f>
        <v>#NAME?</v>
      </c>
      <c r="AC195" s="16">
        <v>1972.28514505</v>
      </c>
    </row>
    <row r="196" spans="1:29" x14ac:dyDescent="0.35">
      <c r="A196" s="2" t="s">
        <v>206</v>
      </c>
      <c r="B196" s="4" t="s">
        <v>1038</v>
      </c>
      <c r="C196" s="4" t="s">
        <v>543</v>
      </c>
      <c r="D196" s="4" t="s">
        <v>544</v>
      </c>
      <c r="E196" s="4" t="s">
        <v>545</v>
      </c>
      <c r="F196" s="4" t="s">
        <v>616</v>
      </c>
      <c r="G196" s="14">
        <v>212.89</v>
      </c>
      <c r="H196" s="10">
        <v>18.159928000000001</v>
      </c>
      <c r="I196" s="10">
        <v>23.627600000000001</v>
      </c>
      <c r="J196" s="10" t="s">
        <v>534</v>
      </c>
      <c r="K196" s="15">
        <v>0</v>
      </c>
      <c r="L196" s="17">
        <v>18817.037345000001</v>
      </c>
      <c r="M196" s="4" t="s">
        <v>1039</v>
      </c>
      <c r="N196" s="19">
        <v>9.0102250000000002</v>
      </c>
      <c r="O196" s="19">
        <v>11.138</v>
      </c>
      <c r="P196" s="19">
        <v>7.91</v>
      </c>
      <c r="Q196" s="19">
        <v>9.4730000000000008</v>
      </c>
      <c r="R196" s="19">
        <v>4.75</v>
      </c>
      <c r="S196" s="19">
        <v>7.8821000000000003</v>
      </c>
      <c r="T196" s="19">
        <v>4.75</v>
      </c>
      <c r="U196" s="19">
        <v>6.8907999999999996</v>
      </c>
      <c r="V196" s="19">
        <v>4.24</v>
      </c>
      <c r="W196" s="19">
        <v>6.0678999999999998</v>
      </c>
      <c r="X196" s="19">
        <v>4.24</v>
      </c>
      <c r="Y196" s="19">
        <v>6.0678999999999998</v>
      </c>
      <c r="Z196" s="4"/>
      <c r="AA196" s="4"/>
      <c r="AB196" s="4" t="e">
        <f ca="1">_xll.ciqfunctions.udf.CIQ("^SPX", "IQ_PRICEDATE", "10/1/2014")</f>
        <v>#NAME?</v>
      </c>
      <c r="AC196" s="16">
        <v>1946.1608292694</v>
      </c>
    </row>
    <row r="197" spans="1:29" x14ac:dyDescent="0.35">
      <c r="A197" s="2" t="s">
        <v>207</v>
      </c>
      <c r="B197" s="4" t="s">
        <v>1040</v>
      </c>
      <c r="C197" s="4" t="s">
        <v>543</v>
      </c>
      <c r="D197" s="4" t="s">
        <v>664</v>
      </c>
      <c r="E197" s="4" t="s">
        <v>665</v>
      </c>
      <c r="F197" s="4" t="s">
        <v>1041</v>
      </c>
      <c r="G197" s="14">
        <v>57.38</v>
      </c>
      <c r="H197" s="10">
        <v>19.104572000000001</v>
      </c>
      <c r="I197" s="10">
        <v>64.862982000000002</v>
      </c>
      <c r="J197" s="10">
        <v>10.855072</v>
      </c>
      <c r="K197" s="15">
        <v>1.1153E-2</v>
      </c>
      <c r="L197" s="17">
        <v>7919.563099</v>
      </c>
      <c r="M197" s="4" t="s">
        <v>1042</v>
      </c>
      <c r="N197" s="19">
        <v>0.88463400000000003</v>
      </c>
      <c r="O197" s="19">
        <v>2.3037999999999998</v>
      </c>
      <c r="P197" s="19">
        <v>0.77</v>
      </c>
      <c r="Q197" s="19">
        <v>2.0055999999999998</v>
      </c>
      <c r="R197" s="19">
        <v>1.2</v>
      </c>
      <c r="S197" s="19">
        <v>1.7371000000000001</v>
      </c>
      <c r="T197" s="19">
        <v>1.2</v>
      </c>
      <c r="U197" s="19">
        <v>1.6857</v>
      </c>
      <c r="V197" s="19">
        <v>1.39</v>
      </c>
      <c r="W197" s="19">
        <v>1.619</v>
      </c>
      <c r="X197" s="19">
        <v>1.39</v>
      </c>
      <c r="Y197" s="19">
        <v>1.619</v>
      </c>
      <c r="Z197" s="4"/>
      <c r="AA197" s="4"/>
      <c r="AB197" s="4" t="e">
        <f ca="1">_xll.ciqfunctions.udf.CIQ("^SPX", "IQ_PRICEDATE", "10/2/2014")</f>
        <v>#NAME?</v>
      </c>
      <c r="AC197" s="16">
        <v>1946.1668289931999</v>
      </c>
    </row>
    <row r="198" spans="1:29" x14ac:dyDescent="0.35">
      <c r="A198" s="2" t="s">
        <v>208</v>
      </c>
      <c r="B198" s="4" t="s">
        <v>1043</v>
      </c>
      <c r="C198" s="4" t="s">
        <v>525</v>
      </c>
      <c r="D198" s="4" t="s">
        <v>526</v>
      </c>
      <c r="E198" s="4" t="s">
        <v>803</v>
      </c>
      <c r="F198" s="4" t="s">
        <v>948</v>
      </c>
      <c r="G198" s="14">
        <v>51.52</v>
      </c>
      <c r="H198" s="10">
        <v>18.082388000000002</v>
      </c>
      <c r="I198" s="10" t="s">
        <v>534</v>
      </c>
      <c r="J198" s="10">
        <v>31.352444999999999</v>
      </c>
      <c r="K198" s="15">
        <v>1.4751E-2</v>
      </c>
      <c r="L198" s="17">
        <v>6741.525952</v>
      </c>
      <c r="M198" s="4" t="s">
        <v>1044</v>
      </c>
      <c r="N198" s="19">
        <v>-0.22873299999999999</v>
      </c>
      <c r="O198" s="19">
        <v>1.9103000000000001</v>
      </c>
      <c r="P198" s="19">
        <v>0.02</v>
      </c>
      <c r="Q198" s="19">
        <v>1.7213000000000001</v>
      </c>
      <c r="R198" s="19">
        <v>1.01</v>
      </c>
      <c r="S198" s="19">
        <v>2.1114000000000002</v>
      </c>
      <c r="T198" s="19">
        <v>1.01</v>
      </c>
      <c r="U198" s="19">
        <v>3.0177</v>
      </c>
      <c r="V198" s="19">
        <v>3.72</v>
      </c>
      <c r="W198" s="19">
        <v>3.9249999999999998</v>
      </c>
      <c r="X198" s="19">
        <v>3.72</v>
      </c>
      <c r="Y198" s="19">
        <v>3.9249999999999998</v>
      </c>
      <c r="Z198" s="4"/>
      <c r="AA198" s="4"/>
      <c r="AB198" s="4" t="e">
        <f ca="1">_xll.ciqfunctions.udf.CIQ("^SPX", "IQ_PRICEDATE", "10/3/2014")</f>
        <v>#NAME?</v>
      </c>
      <c r="AC198" s="16">
        <v>1967.9020787575</v>
      </c>
    </row>
    <row r="199" spans="1:29" x14ac:dyDescent="0.35">
      <c r="A199" s="2" t="s">
        <v>209</v>
      </c>
      <c r="B199" s="4" t="s">
        <v>1045</v>
      </c>
      <c r="C199" s="4" t="s">
        <v>525</v>
      </c>
      <c r="D199" s="4" t="s">
        <v>526</v>
      </c>
      <c r="E199" s="4" t="s">
        <v>1046</v>
      </c>
      <c r="F199" s="4" t="s">
        <v>1046</v>
      </c>
      <c r="G199" s="14">
        <v>46.74</v>
      </c>
      <c r="H199" s="10">
        <v>8.4956359999999993</v>
      </c>
      <c r="I199" s="10">
        <v>26.122253000000001</v>
      </c>
      <c r="J199" s="10">
        <v>2.6463519999999998</v>
      </c>
      <c r="K199" s="15">
        <v>1.7971000000000001E-2</v>
      </c>
      <c r="L199" s="17">
        <v>6572.5307050000001</v>
      </c>
      <c r="M199" s="4" t="s">
        <v>1047</v>
      </c>
      <c r="N199" s="19">
        <v>1.7892790000000001</v>
      </c>
      <c r="O199" s="19">
        <v>2.7768000000000002</v>
      </c>
      <c r="P199" s="19">
        <v>1.36</v>
      </c>
      <c r="Q199" s="19">
        <v>2.4192</v>
      </c>
      <c r="R199" s="19">
        <v>2</v>
      </c>
      <c r="S199" s="19">
        <v>3.0295999999999998</v>
      </c>
      <c r="T199" s="19">
        <v>2</v>
      </c>
      <c r="U199" s="19">
        <v>3.7012999999999998</v>
      </c>
      <c r="V199" s="19">
        <v>4.4800000000000004</v>
      </c>
      <c r="W199" s="19">
        <v>4.5789999999999997</v>
      </c>
      <c r="X199" s="19">
        <v>4.4800000000000004</v>
      </c>
      <c r="Y199" s="19">
        <v>4.5789999999999997</v>
      </c>
      <c r="Z199" s="4"/>
      <c r="AA199" s="4"/>
      <c r="AB199" s="4" t="e">
        <f ca="1">_xll.ciqfunctions.udf.CIQ("^SPX", "IQ_PRICEDATE", "10/6/2014")</f>
        <v>#NAME?</v>
      </c>
      <c r="AC199" s="16">
        <v>1964.8246437980999</v>
      </c>
    </row>
    <row r="200" spans="1:29" x14ac:dyDescent="0.35">
      <c r="A200" s="2" t="s">
        <v>210</v>
      </c>
      <c r="B200" s="4" t="s">
        <v>1048</v>
      </c>
      <c r="C200" s="4" t="s">
        <v>586</v>
      </c>
      <c r="D200" s="4" t="s">
        <v>586</v>
      </c>
      <c r="E200" s="4" t="s">
        <v>587</v>
      </c>
      <c r="F200" s="4" t="s">
        <v>830</v>
      </c>
      <c r="G200" s="14">
        <v>83.62</v>
      </c>
      <c r="H200" s="10">
        <v>12.268874</v>
      </c>
      <c r="I200" s="10">
        <v>51.965871999999997</v>
      </c>
      <c r="J200" s="10" t="s">
        <v>534</v>
      </c>
      <c r="K200" s="15">
        <v>7.8919999999999997E-3</v>
      </c>
      <c r="L200" s="17">
        <v>11257.731333</v>
      </c>
      <c r="M200" s="4" t="s">
        <v>1049</v>
      </c>
      <c r="N200" s="19">
        <v>1.6091329999999999</v>
      </c>
      <c r="O200" s="19">
        <v>6.4019000000000004</v>
      </c>
      <c r="P200" s="19">
        <v>-0.64</v>
      </c>
      <c r="Q200" s="19">
        <v>4.6971999999999996</v>
      </c>
      <c r="R200" s="19">
        <v>0.95376799999999995</v>
      </c>
      <c r="S200" s="19">
        <v>3.2039</v>
      </c>
      <c r="T200" s="19">
        <v>0.95376799999999995</v>
      </c>
      <c r="U200" s="19">
        <v>2.8307000000000002</v>
      </c>
      <c r="V200" s="19">
        <v>2.1820179999999998</v>
      </c>
      <c r="W200" s="19">
        <v>4.1289999999999996</v>
      </c>
      <c r="X200" s="19">
        <v>2.1820179999999998</v>
      </c>
      <c r="Y200" s="19">
        <v>4.1289999999999996</v>
      </c>
      <c r="Z200" s="4"/>
      <c r="AA200" s="4"/>
      <c r="AB200" s="4" t="e">
        <f ca="1">_xll.ciqfunctions.udf.CIQ("^SPX", "IQ_PRICEDATE", "10/7/2014")</f>
        <v>#NAME?</v>
      </c>
      <c r="AC200" s="16">
        <v>1935.0991107952</v>
      </c>
    </row>
    <row r="201" spans="1:29" x14ac:dyDescent="0.35">
      <c r="A201" s="2" t="s">
        <v>211</v>
      </c>
      <c r="B201" s="4" t="s">
        <v>1050</v>
      </c>
      <c r="C201" s="4" t="s">
        <v>559</v>
      </c>
      <c r="D201" s="4" t="s">
        <v>560</v>
      </c>
      <c r="E201" s="4" t="s">
        <v>561</v>
      </c>
      <c r="F201" s="4" t="s">
        <v>1051</v>
      </c>
      <c r="G201" s="14">
        <v>48.984999999999999</v>
      </c>
      <c r="H201" s="10">
        <v>5.2743140000000004</v>
      </c>
      <c r="I201" s="10">
        <v>19.444202000000001</v>
      </c>
      <c r="J201" s="10">
        <v>2.4875470000000002</v>
      </c>
      <c r="K201" s="15">
        <v>2.7974000000000002E-2</v>
      </c>
      <c r="L201" s="17">
        <v>5667.8208640000003</v>
      </c>
      <c r="M201" s="4" t="s">
        <v>1052</v>
      </c>
      <c r="N201" s="19">
        <v>2.5370029999999999</v>
      </c>
      <c r="O201" s="19">
        <v>4.6399999999999997</v>
      </c>
      <c r="P201" s="19">
        <v>3.9729559999999999</v>
      </c>
      <c r="Q201" s="19">
        <v>4.0750999999999999</v>
      </c>
      <c r="R201" s="19">
        <v>4.6323230000000004</v>
      </c>
      <c r="S201" s="19">
        <v>5.0991999999999997</v>
      </c>
      <c r="T201" s="19">
        <v>4.6323230000000004</v>
      </c>
      <c r="U201" s="19">
        <v>4.6013000000000002</v>
      </c>
      <c r="V201" s="19">
        <v>3.3614890000000002</v>
      </c>
      <c r="W201" s="19">
        <v>3.8348</v>
      </c>
      <c r="X201" s="19">
        <v>3.3614890000000002</v>
      </c>
      <c r="Y201" s="19">
        <v>3.8348</v>
      </c>
      <c r="Z201" s="4"/>
      <c r="AA201" s="4"/>
      <c r="AB201" s="4" t="e">
        <f ca="1">_xll.ciqfunctions.udf.CIQ("^SPX", "IQ_PRICEDATE", "10/8/2014")</f>
        <v>#NAME?</v>
      </c>
      <c r="AC201" s="16">
        <v>1968.8892822498999</v>
      </c>
    </row>
    <row r="202" spans="1:29" x14ac:dyDescent="0.35">
      <c r="A202" s="2" t="s">
        <v>212</v>
      </c>
      <c r="B202" s="4" t="s">
        <v>1053</v>
      </c>
      <c r="C202" s="4" t="s">
        <v>559</v>
      </c>
      <c r="D202" s="4" t="s">
        <v>694</v>
      </c>
      <c r="E202" s="4" t="s">
        <v>1054</v>
      </c>
      <c r="F202" s="4" t="s">
        <v>1055</v>
      </c>
      <c r="G202" s="14">
        <v>8.76</v>
      </c>
      <c r="H202" s="10">
        <v>11.090411</v>
      </c>
      <c r="I202" s="10">
        <v>5.1834309999999997</v>
      </c>
      <c r="J202" s="10">
        <v>0.95812299999999995</v>
      </c>
      <c r="K202" s="15">
        <v>6.8492999999999998E-2</v>
      </c>
      <c r="L202" s="17">
        <v>34914.964473</v>
      </c>
      <c r="M202" s="4" t="s">
        <v>1056</v>
      </c>
      <c r="N202" s="19">
        <v>1.69</v>
      </c>
      <c r="O202" s="19">
        <v>1.3078000000000001</v>
      </c>
      <c r="P202" s="19">
        <v>1.9</v>
      </c>
      <c r="Q202" s="19">
        <v>1.6795</v>
      </c>
      <c r="R202" s="19">
        <v>1.1499999999999999</v>
      </c>
      <c r="S202" s="19">
        <v>1.6519999999999999</v>
      </c>
      <c r="T202" s="19">
        <v>1.1499999999999999</v>
      </c>
      <c r="U202" s="19">
        <v>1.9735</v>
      </c>
      <c r="V202" s="19">
        <v>0.31</v>
      </c>
      <c r="W202" s="19">
        <v>1.5533999999999999</v>
      </c>
      <c r="X202" s="19">
        <v>0.31</v>
      </c>
      <c r="Y202" s="19">
        <v>1.5533999999999999</v>
      </c>
      <c r="Z202" s="4"/>
      <c r="AA202" s="4"/>
      <c r="AB202" s="4" t="e">
        <f ca="1">_xll.ciqfunctions.udf.CIQ("^SPX", "IQ_PRICEDATE", "10/9/2014")</f>
        <v>#NAME?</v>
      </c>
      <c r="AC202" s="16">
        <v>1928.2076767870001</v>
      </c>
    </row>
    <row r="203" spans="1:29" x14ac:dyDescent="0.35">
      <c r="A203" s="2" t="s">
        <v>213</v>
      </c>
      <c r="B203" s="4" t="s">
        <v>1057</v>
      </c>
      <c r="C203" s="4" t="s">
        <v>543</v>
      </c>
      <c r="D203" s="4" t="s">
        <v>544</v>
      </c>
      <c r="E203" s="4" t="s">
        <v>555</v>
      </c>
      <c r="F203" s="4" t="s">
        <v>782</v>
      </c>
      <c r="G203" s="14">
        <v>81.66</v>
      </c>
      <c r="H203" s="10">
        <v>57.406658999999998</v>
      </c>
      <c r="I203" s="10">
        <v>159.52053900000001</v>
      </c>
      <c r="J203" s="10">
        <v>18.809512999999999</v>
      </c>
      <c r="K203" s="15">
        <v>0</v>
      </c>
      <c r="L203" s="17">
        <v>13811.72399</v>
      </c>
      <c r="M203" s="4" t="s">
        <v>1058</v>
      </c>
      <c r="N203" s="19">
        <v>0.51190899999999995</v>
      </c>
      <c r="O203" s="19">
        <v>1.7788999999999999</v>
      </c>
      <c r="P203" s="19">
        <v>0.18</v>
      </c>
      <c r="Q203" s="19">
        <v>1.1189</v>
      </c>
      <c r="R203" s="19">
        <v>0.18</v>
      </c>
      <c r="S203" s="19">
        <v>0.74650000000000005</v>
      </c>
      <c r="T203" s="19">
        <v>0.18</v>
      </c>
      <c r="U203" s="19">
        <v>0.63109999999999999</v>
      </c>
      <c r="V203" s="19">
        <v>0.15</v>
      </c>
      <c r="W203" s="19">
        <v>0.54530000000000001</v>
      </c>
      <c r="X203" s="19">
        <v>0.15</v>
      </c>
      <c r="Y203" s="19">
        <v>0.54530000000000001</v>
      </c>
      <c r="Z203" s="4"/>
      <c r="AA203" s="4"/>
      <c r="AB203" s="4" t="e">
        <f ca="1">_xll.ciqfunctions.udf.CIQ("^SPX", "IQ_PRICEDATE", "10/10/2014")</f>
        <v>#NAME?</v>
      </c>
      <c r="AC203" s="16">
        <v>1906.1296827210001</v>
      </c>
    </row>
    <row r="204" spans="1:29" x14ac:dyDescent="0.35">
      <c r="A204" s="2" t="s">
        <v>214</v>
      </c>
      <c r="B204" s="4" t="s">
        <v>1059</v>
      </c>
      <c r="C204" s="4" t="s">
        <v>525</v>
      </c>
      <c r="D204" s="4" t="s">
        <v>526</v>
      </c>
      <c r="E204" s="4" t="s">
        <v>803</v>
      </c>
      <c r="F204" s="4" t="s">
        <v>948</v>
      </c>
      <c r="G204" s="14">
        <v>80.22</v>
      </c>
      <c r="H204" s="10">
        <v>16.869975</v>
      </c>
      <c r="I204" s="10">
        <v>24.466991</v>
      </c>
      <c r="J204" s="10" t="s">
        <v>534</v>
      </c>
      <c r="K204" s="15">
        <v>3.4899999999999996E-3</v>
      </c>
      <c r="L204" s="17">
        <v>26768.379402999999</v>
      </c>
      <c r="M204" s="4" t="s">
        <v>1060</v>
      </c>
      <c r="N204" s="19">
        <v>3.2787030000000001</v>
      </c>
      <c r="O204" s="19">
        <v>3.5583</v>
      </c>
      <c r="P204" s="19">
        <v>2.96</v>
      </c>
      <c r="Q204" s="19">
        <v>3.1240000000000001</v>
      </c>
      <c r="R204" s="19">
        <v>2.5099999999999998</v>
      </c>
      <c r="S204" s="19">
        <v>2.6353</v>
      </c>
      <c r="T204" s="19">
        <v>2.5099999999999998</v>
      </c>
      <c r="U204" s="19">
        <v>0</v>
      </c>
      <c r="V204" s="19">
        <v>2.5590959999999998</v>
      </c>
      <c r="W204" s="19">
        <v>0</v>
      </c>
      <c r="X204" s="19">
        <v>2.5590959999999998</v>
      </c>
      <c r="Y204" s="19">
        <v>0</v>
      </c>
      <c r="Z204" s="4"/>
      <c r="AA204" s="4"/>
      <c r="AB204" s="4" t="e">
        <f ca="1">_xll.ciqfunctions.udf.CIQ("^SPX", "IQ_PRICEDATE", "10/13/2014")</f>
        <v>#NAME?</v>
      </c>
      <c r="AC204" s="16">
        <v>1874.7355245566</v>
      </c>
    </row>
    <row r="205" spans="1:29" x14ac:dyDescent="0.35">
      <c r="A205" s="2" t="s">
        <v>215</v>
      </c>
      <c r="B205" s="4" t="s">
        <v>1061</v>
      </c>
      <c r="C205" s="4" t="s">
        <v>525</v>
      </c>
      <c r="D205" s="4" t="s">
        <v>526</v>
      </c>
      <c r="E205" s="4" t="s">
        <v>527</v>
      </c>
      <c r="F205" s="4" t="s">
        <v>527</v>
      </c>
      <c r="G205" s="14">
        <v>48.06</v>
      </c>
      <c r="H205" s="10">
        <v>10.173107</v>
      </c>
      <c r="I205" s="10">
        <v>15.826988999999999</v>
      </c>
      <c r="J205" s="10" t="s">
        <v>534</v>
      </c>
      <c r="K205" s="15">
        <v>1.6645E-2</v>
      </c>
      <c r="L205" s="17">
        <v>6844.689292</v>
      </c>
      <c r="M205" s="4" t="s">
        <v>1062</v>
      </c>
      <c r="N205" s="19">
        <v>3.0365850000000001</v>
      </c>
      <c r="O205" s="19">
        <v>3.9361999999999999</v>
      </c>
      <c r="P205" s="19">
        <v>3.05</v>
      </c>
      <c r="Q205" s="19">
        <v>3.3161999999999998</v>
      </c>
      <c r="R205" s="19">
        <v>2.61</v>
      </c>
      <c r="S205" s="19">
        <v>2.9676999999999998</v>
      </c>
      <c r="T205" s="19">
        <v>2.61</v>
      </c>
      <c r="U205" s="19">
        <v>2.4134000000000002</v>
      </c>
      <c r="V205" s="19">
        <v>1.64</v>
      </c>
      <c r="W205" s="19">
        <v>2.2147999999999999</v>
      </c>
      <c r="X205" s="19">
        <v>1.64</v>
      </c>
      <c r="Y205" s="19">
        <v>2.2147999999999999</v>
      </c>
      <c r="Z205" s="4"/>
      <c r="AA205" s="4"/>
      <c r="AB205" s="4" t="e">
        <f ca="1">_xll.ciqfunctions.udf.CIQ("^SPX", "IQ_PRICEDATE", "10/14/2014")</f>
        <v>#NAME?</v>
      </c>
      <c r="AC205" s="16">
        <v>1877.6980893514001</v>
      </c>
    </row>
    <row r="206" spans="1:29" x14ac:dyDescent="0.35">
      <c r="A206" s="2" t="s">
        <v>216</v>
      </c>
      <c r="B206" s="4" t="s">
        <v>1063</v>
      </c>
      <c r="C206" s="4" t="s">
        <v>573</v>
      </c>
      <c r="D206" s="4" t="s">
        <v>574</v>
      </c>
      <c r="E206" s="4" t="s">
        <v>575</v>
      </c>
      <c r="F206" s="4" t="s">
        <v>576</v>
      </c>
      <c r="G206" s="14">
        <v>29.89</v>
      </c>
      <c r="H206" s="10">
        <v>3.8271169999999999</v>
      </c>
      <c r="I206" s="10">
        <v>24.524041</v>
      </c>
      <c r="J206" s="10">
        <v>2.1056889999999999</v>
      </c>
      <c r="K206" s="15">
        <v>3.0779000000000001E-2</v>
      </c>
      <c r="L206" s="17">
        <v>15753.771182</v>
      </c>
      <c r="M206" s="4" t="s">
        <v>1064</v>
      </c>
      <c r="N206" s="19">
        <v>1.218804</v>
      </c>
      <c r="O206" s="19">
        <v>2.9811000000000001</v>
      </c>
      <c r="P206" s="19">
        <v>1.1938040000000001</v>
      </c>
      <c r="Q206" s="19">
        <v>2.9167000000000001</v>
      </c>
      <c r="R206" s="19">
        <v>2.9667780000000001</v>
      </c>
      <c r="S206" s="19">
        <v>2.68207</v>
      </c>
      <c r="T206" s="19">
        <v>2.9667780000000001</v>
      </c>
      <c r="U206" s="19">
        <v>3.0409700000000002</v>
      </c>
      <c r="V206" s="19">
        <v>3.7400679999999999</v>
      </c>
      <c r="W206" s="19">
        <v>3.8366699999999998</v>
      </c>
      <c r="X206" s="19">
        <v>3.7400679999999999</v>
      </c>
      <c r="Y206" s="19">
        <v>3.8366699999999998</v>
      </c>
      <c r="Z206" s="4"/>
      <c r="AA206" s="4"/>
      <c r="AB206" s="4" t="e">
        <f ca="1">_xll.ciqfunctions.udf.CIQ("^SPX", "IQ_PRICEDATE", "10/15/2014")</f>
        <v>#NAME?</v>
      </c>
      <c r="AC206" s="16">
        <v>1862.4911375250001</v>
      </c>
    </row>
    <row r="207" spans="1:29" x14ac:dyDescent="0.35">
      <c r="A207" s="2" t="s">
        <v>217</v>
      </c>
      <c r="B207" s="4" t="s">
        <v>1065</v>
      </c>
      <c r="C207" s="4" t="s">
        <v>586</v>
      </c>
      <c r="D207" s="4" t="s">
        <v>586</v>
      </c>
      <c r="E207" s="4" t="s">
        <v>1066</v>
      </c>
      <c r="F207" s="4" t="s">
        <v>1067</v>
      </c>
      <c r="G207" s="14">
        <v>12.4</v>
      </c>
      <c r="H207" s="10">
        <v>3.7355580000000002</v>
      </c>
      <c r="I207" s="10">
        <v>6.2633219999999996</v>
      </c>
      <c r="J207" s="10">
        <v>1.8965160000000001</v>
      </c>
      <c r="K207" s="15">
        <v>1.6129000000000001E-2</v>
      </c>
      <c r="L207" s="17">
        <v>17967.634905999999</v>
      </c>
      <c r="M207" s="4" t="s">
        <v>1068</v>
      </c>
      <c r="N207" s="19">
        <v>1.9797800000000001</v>
      </c>
      <c r="O207" s="19">
        <v>1.0989</v>
      </c>
      <c r="P207" s="19">
        <v>1.21</v>
      </c>
      <c r="Q207" s="19">
        <v>1.7296</v>
      </c>
      <c r="R207" s="19">
        <v>-2.96</v>
      </c>
      <c r="S207" s="19">
        <v>1.327</v>
      </c>
      <c r="T207" s="19">
        <v>-2.96</v>
      </c>
      <c r="U207" s="19">
        <v>0.66510000000000002</v>
      </c>
      <c r="V207" s="19">
        <v>-1.37</v>
      </c>
      <c r="W207" s="19">
        <v>1.8766</v>
      </c>
      <c r="X207" s="19">
        <v>-1.37</v>
      </c>
      <c r="Y207" s="19">
        <v>1.8766</v>
      </c>
      <c r="Z207" s="4"/>
      <c r="AA207" s="4"/>
      <c r="AB207" s="4" t="e">
        <f ca="1">_xll.ciqfunctions.udf.CIQ("^SPX", "IQ_PRICEDATE", "10/16/2014")</f>
        <v>#NAME?</v>
      </c>
      <c r="AC207" s="16">
        <v>1862.7640764024</v>
      </c>
    </row>
    <row r="208" spans="1:29" x14ac:dyDescent="0.35">
      <c r="A208" s="2" t="s">
        <v>218</v>
      </c>
      <c r="B208" s="4" t="s">
        <v>1069</v>
      </c>
      <c r="C208" s="4" t="s">
        <v>559</v>
      </c>
      <c r="D208" s="4" t="s">
        <v>912</v>
      </c>
      <c r="E208" s="4" t="s">
        <v>913</v>
      </c>
      <c r="F208" s="4" t="s">
        <v>1070</v>
      </c>
      <c r="G208" s="14">
        <v>63.05</v>
      </c>
      <c r="H208" s="10">
        <v>13.58897</v>
      </c>
      <c r="I208" s="10">
        <v>19.886509</v>
      </c>
      <c r="J208" s="10">
        <v>3.553941</v>
      </c>
      <c r="K208" s="15">
        <v>3.3624000000000001E-2</v>
      </c>
      <c r="L208" s="17">
        <v>11903.65085</v>
      </c>
      <c r="M208" s="4" t="s">
        <v>1071</v>
      </c>
      <c r="N208" s="19">
        <v>3.1704910000000002</v>
      </c>
      <c r="O208" s="19">
        <v>3.3020999999999998</v>
      </c>
      <c r="P208" s="19">
        <v>3.68</v>
      </c>
      <c r="Q208" s="19">
        <v>2.9405999999999999</v>
      </c>
      <c r="R208" s="19">
        <v>2.7</v>
      </c>
      <c r="S208" s="19">
        <v>2.5659999999999998</v>
      </c>
      <c r="T208" s="19">
        <v>2.7</v>
      </c>
      <c r="U208" s="19">
        <v>2.1513</v>
      </c>
      <c r="V208" s="19">
        <v>1.88</v>
      </c>
      <c r="W208" s="19">
        <v>3.1324999999999998</v>
      </c>
      <c r="X208" s="19">
        <v>1.88</v>
      </c>
      <c r="Y208" s="19">
        <v>3.1324999999999998</v>
      </c>
      <c r="Z208" s="4"/>
      <c r="AA208" s="4"/>
      <c r="AB208" s="4" t="e">
        <f ca="1">_xll.ciqfunctions.udf.CIQ("^SPX", "IQ_PRICEDATE", "10/17/2014")</f>
        <v>#NAME?</v>
      </c>
      <c r="AC208" s="16">
        <v>1886.7640399166</v>
      </c>
    </row>
    <row r="209" spans="1:29" x14ac:dyDescent="0.35">
      <c r="A209" s="2" t="s">
        <v>219</v>
      </c>
      <c r="B209" s="4" t="s">
        <v>1072</v>
      </c>
      <c r="C209" s="4" t="s">
        <v>543</v>
      </c>
      <c r="D209" s="4" t="s">
        <v>544</v>
      </c>
      <c r="E209" s="4" t="s">
        <v>545</v>
      </c>
      <c r="F209" s="4" t="s">
        <v>546</v>
      </c>
      <c r="G209" s="14">
        <v>149.31</v>
      </c>
      <c r="H209" s="10">
        <v>31.25545</v>
      </c>
      <c r="I209" s="10">
        <v>160.722589</v>
      </c>
      <c r="J209" s="10" t="s">
        <v>534</v>
      </c>
      <c r="K209" s="15">
        <v>0</v>
      </c>
      <c r="L209" s="17">
        <v>13560.043195</v>
      </c>
      <c r="M209" s="4" t="s">
        <v>1073</v>
      </c>
      <c r="N209" s="19">
        <v>0.92899200000000004</v>
      </c>
      <c r="O209" s="19">
        <v>3.9851000000000001</v>
      </c>
      <c r="P209" s="19">
        <v>3.7065000000000001E-2</v>
      </c>
      <c r="Q209" s="19">
        <v>3.8176000000000001</v>
      </c>
      <c r="R209" s="19">
        <v>2.31</v>
      </c>
      <c r="S209" s="19">
        <v>3.0979000000000001</v>
      </c>
      <c r="T209" s="19">
        <v>2.31</v>
      </c>
      <c r="U209" s="19">
        <v>2.6688000000000001</v>
      </c>
      <c r="V209" s="19">
        <v>2.0299999999999998</v>
      </c>
      <c r="W209" s="19">
        <v>2.6522000000000001</v>
      </c>
      <c r="X209" s="19">
        <v>2.0299999999999998</v>
      </c>
      <c r="Y209" s="19">
        <v>2.6522000000000001</v>
      </c>
      <c r="Z209" s="4"/>
      <c r="AA209" s="4"/>
      <c r="AB209" s="4" t="e">
        <f ca="1">_xll.ciqfunctions.udf.CIQ("^SPX", "IQ_PRICEDATE", "10/20/2014")</f>
        <v>#NAME?</v>
      </c>
      <c r="AC209" s="16">
        <v>1904.0114248211</v>
      </c>
    </row>
    <row r="210" spans="1:29" x14ac:dyDescent="0.35">
      <c r="A210" s="2" t="s">
        <v>220</v>
      </c>
      <c r="B210" s="4" t="s">
        <v>1074</v>
      </c>
      <c r="C210" s="4" t="s">
        <v>525</v>
      </c>
      <c r="D210" s="4" t="s">
        <v>526</v>
      </c>
      <c r="E210" s="4" t="s">
        <v>703</v>
      </c>
      <c r="F210" s="4" t="s">
        <v>703</v>
      </c>
      <c r="G210" s="14">
        <v>193.84</v>
      </c>
      <c r="H210" s="10">
        <v>14.835851999999999</v>
      </c>
      <c r="I210" s="10">
        <v>19.608174000000002</v>
      </c>
      <c r="J210" s="10" t="s">
        <v>534</v>
      </c>
      <c r="K210" s="15">
        <v>1.9191E-2</v>
      </c>
      <c r="L210" s="17">
        <v>57431.192778999997</v>
      </c>
      <c r="M210" s="4" t="s">
        <v>1075</v>
      </c>
      <c r="N210" s="19">
        <v>9.8856730000000006</v>
      </c>
      <c r="O210" s="19">
        <v>11.714399999999999</v>
      </c>
      <c r="P210" s="19">
        <v>9.56</v>
      </c>
      <c r="Q210" s="19">
        <v>10.0091</v>
      </c>
      <c r="R210" s="19">
        <v>8.64</v>
      </c>
      <c r="S210" s="19">
        <v>9.9268000000000001</v>
      </c>
      <c r="T210" s="19">
        <v>8.64</v>
      </c>
      <c r="U210" s="19">
        <v>9.2800999999999991</v>
      </c>
      <c r="V210" s="19">
        <v>7.83</v>
      </c>
      <c r="W210" s="19">
        <v>8.1577999999999999</v>
      </c>
      <c r="X210" s="19">
        <v>7.83</v>
      </c>
      <c r="Y210" s="19">
        <v>8.1577999999999999</v>
      </c>
      <c r="Z210" s="4"/>
      <c r="AA210" s="4"/>
      <c r="AB210" s="4" t="e">
        <f ca="1">_xll.ciqfunctions.udf.CIQ("^SPX", "IQ_PRICEDATE", "10/21/2014")</f>
        <v>#NAME?</v>
      </c>
      <c r="AC210" s="16">
        <v>1941.2824878514</v>
      </c>
    </row>
    <row r="211" spans="1:29" x14ac:dyDescent="0.35">
      <c r="A211" s="2" t="s">
        <v>221</v>
      </c>
      <c r="B211" s="4" t="s">
        <v>1076</v>
      </c>
      <c r="C211" s="4" t="s">
        <v>525</v>
      </c>
      <c r="D211" s="4" t="s">
        <v>526</v>
      </c>
      <c r="E211" s="4" t="s">
        <v>1077</v>
      </c>
      <c r="F211" s="4" t="s">
        <v>1077</v>
      </c>
      <c r="G211" s="14">
        <v>12.19</v>
      </c>
      <c r="H211" s="10">
        <v>40.009340999999999</v>
      </c>
      <c r="I211" s="10" t="s">
        <v>534</v>
      </c>
      <c r="J211" s="10" t="s">
        <v>534</v>
      </c>
      <c r="K211" s="15">
        <v>3.9376000000000001E-2</v>
      </c>
      <c r="L211" s="17">
        <v>105944.27739</v>
      </c>
      <c r="M211" s="4" t="s">
        <v>1078</v>
      </c>
      <c r="N211" s="19">
        <v>-0.68674400000000002</v>
      </c>
      <c r="O211" s="19">
        <v>0.95369999999999999</v>
      </c>
      <c r="P211" s="19">
        <v>-0.68270500000000001</v>
      </c>
      <c r="Q211" s="19">
        <v>1.0002</v>
      </c>
      <c r="R211" s="19">
        <v>0.99780899999999995</v>
      </c>
      <c r="S211" s="19">
        <v>1.5349999999999999</v>
      </c>
      <c r="T211" s="19">
        <v>0.99780899999999995</v>
      </c>
      <c r="U211" s="19">
        <v>1.4945999999999999</v>
      </c>
      <c r="V211" s="19">
        <v>0.93993800000000005</v>
      </c>
      <c r="W211" s="19">
        <v>1.7267999999999999</v>
      </c>
      <c r="X211" s="19">
        <v>0.93993800000000005</v>
      </c>
      <c r="Y211" s="19">
        <v>1.7267999999999999</v>
      </c>
      <c r="Z211" s="4"/>
      <c r="AA211" s="4"/>
      <c r="AB211" s="4" t="e">
        <f ca="1">_xll.ciqfunctions.udf.CIQ("^SPX", "IQ_PRICEDATE", "10/22/2014")</f>
        <v>#NAME?</v>
      </c>
      <c r="AC211" s="16">
        <v>1927.1103570503999</v>
      </c>
    </row>
    <row r="212" spans="1:29" x14ac:dyDescent="0.35">
      <c r="A212" s="2" t="s">
        <v>222</v>
      </c>
      <c r="B212" s="4" t="s">
        <v>1079</v>
      </c>
      <c r="C212" s="4" t="s">
        <v>626</v>
      </c>
      <c r="D212" s="4" t="s">
        <v>627</v>
      </c>
      <c r="E212" s="4" t="s">
        <v>699</v>
      </c>
      <c r="F212" s="4" t="s">
        <v>789</v>
      </c>
      <c r="G212" s="14">
        <v>44.06</v>
      </c>
      <c r="H212" s="10">
        <v>12.273471000000001</v>
      </c>
      <c r="I212" s="10">
        <v>12.262845</v>
      </c>
      <c r="J212" s="10" t="s">
        <v>534</v>
      </c>
      <c r="K212" s="15">
        <v>4.4484000000000003E-2</v>
      </c>
      <c r="L212" s="17">
        <v>26269.890803999999</v>
      </c>
      <c r="M212" s="4" t="s">
        <v>1080</v>
      </c>
      <c r="N212" s="19">
        <v>3.5929669999999998</v>
      </c>
      <c r="O212" s="19">
        <v>3.1387</v>
      </c>
      <c r="P212" s="19">
        <v>2.7266919999999999</v>
      </c>
      <c r="Q212" s="19">
        <v>3.2000999999999999</v>
      </c>
      <c r="R212" s="19">
        <v>2.6779410000000001</v>
      </c>
      <c r="S212" s="19">
        <v>3.2629999999999999</v>
      </c>
      <c r="T212" s="19">
        <v>2.6779410000000001</v>
      </c>
      <c r="U212" s="19">
        <v>2.9365000000000001</v>
      </c>
      <c r="V212" s="19">
        <v>2.3980549999999998</v>
      </c>
      <c r="W212" s="19">
        <v>3.0118999999999998</v>
      </c>
      <c r="X212" s="19">
        <v>2.3980549999999998</v>
      </c>
      <c r="Y212" s="19">
        <v>3.0118999999999998</v>
      </c>
      <c r="Z212" s="4"/>
      <c r="AA212" s="4"/>
      <c r="AB212" s="4" t="e">
        <f ca="1">_xll.ciqfunctions.udf.CIQ("^SPX", "IQ_PRICEDATE", "10/23/2014")</f>
        <v>#NAME?</v>
      </c>
      <c r="AC212" s="16">
        <v>1950.8220801912</v>
      </c>
    </row>
    <row r="213" spans="1:29" x14ac:dyDescent="0.35">
      <c r="A213" s="2" t="s">
        <v>223</v>
      </c>
      <c r="B213" s="4" t="s">
        <v>1081</v>
      </c>
      <c r="C213" s="4" t="s">
        <v>559</v>
      </c>
      <c r="D213" s="4" t="s">
        <v>694</v>
      </c>
      <c r="E213" s="4" t="s">
        <v>1054</v>
      </c>
      <c r="F213" s="4" t="s">
        <v>1055</v>
      </c>
      <c r="G213" s="14">
        <v>31.93</v>
      </c>
      <c r="H213" s="10">
        <v>5.803058</v>
      </c>
      <c r="I213" s="10" t="s">
        <v>534</v>
      </c>
      <c r="J213" s="10">
        <v>1.4675149999999999</v>
      </c>
      <c r="K213" s="15">
        <v>4.7604E-2</v>
      </c>
      <c r="L213" s="17">
        <v>45049.663930000002</v>
      </c>
      <c r="M213" s="4" t="s">
        <v>1082</v>
      </c>
      <c r="N213" s="19">
        <v>-0.92009099999999999</v>
      </c>
      <c r="O213" s="19">
        <v>5.6577999999999999</v>
      </c>
      <c r="P213" s="19">
        <v>0.22</v>
      </c>
      <c r="Q213" s="19">
        <v>5.9486999999999997</v>
      </c>
      <c r="R213" s="19">
        <v>6</v>
      </c>
      <c r="S213" s="19">
        <v>5.6923000000000004</v>
      </c>
      <c r="T213" s="19">
        <v>6</v>
      </c>
      <c r="U213" s="19">
        <v>5.3997000000000002</v>
      </c>
      <c r="V213" s="19">
        <v>1.6514519999999999</v>
      </c>
      <c r="W213" s="19">
        <v>4.0961999999999996</v>
      </c>
      <c r="X213" s="19">
        <v>1.6514519999999999</v>
      </c>
      <c r="Y213" s="19">
        <v>4.0961999999999996</v>
      </c>
      <c r="Z213" s="4"/>
      <c r="AA213" s="4"/>
      <c r="AB213" s="4" t="e">
        <f ca="1">_xll.ciqfunctions.udf.CIQ("^SPX", "IQ_PRICEDATE", "10/24/2014")</f>
        <v>#NAME?</v>
      </c>
      <c r="AC213" s="16">
        <v>1964.5802966315</v>
      </c>
    </row>
    <row r="214" spans="1:29" x14ac:dyDescent="0.35">
      <c r="A214" s="2" t="s">
        <v>224</v>
      </c>
      <c r="B214" s="4" t="s">
        <v>1083</v>
      </c>
      <c r="C214" s="4" t="s">
        <v>559</v>
      </c>
      <c r="D214" s="4" t="s">
        <v>560</v>
      </c>
      <c r="E214" s="4" t="s">
        <v>1084</v>
      </c>
      <c r="F214" s="4" t="s">
        <v>1084</v>
      </c>
      <c r="G214" s="14">
        <v>95.14</v>
      </c>
      <c r="H214" s="10">
        <v>12.949332</v>
      </c>
      <c r="I214" s="10">
        <v>20.871238999999999</v>
      </c>
      <c r="J214" s="10" t="s">
        <v>534</v>
      </c>
      <c r="K214" s="15">
        <v>3.0270999999999999E-2</v>
      </c>
      <c r="L214" s="17">
        <v>13962.054921999999</v>
      </c>
      <c r="M214" s="4" t="s">
        <v>1085</v>
      </c>
      <c r="N214" s="19">
        <v>4.5584259999999999</v>
      </c>
      <c r="O214" s="19">
        <v>5.7378999999999998</v>
      </c>
      <c r="P214" s="19">
        <v>4.18</v>
      </c>
      <c r="Q214" s="19">
        <v>5.1786000000000003</v>
      </c>
      <c r="R214" s="19">
        <v>4.59</v>
      </c>
      <c r="S214" s="19">
        <v>4.7808999999999999</v>
      </c>
      <c r="T214" s="19">
        <v>4.59</v>
      </c>
      <c r="U214" s="19">
        <v>4.7839</v>
      </c>
      <c r="V214" s="19">
        <v>4.6100000000000003</v>
      </c>
      <c r="W214" s="19">
        <v>4.9005999999999998</v>
      </c>
      <c r="X214" s="19">
        <v>4.6100000000000003</v>
      </c>
      <c r="Y214" s="19">
        <v>4.9005999999999998</v>
      </c>
      <c r="Z214" s="4"/>
      <c r="AA214" s="4"/>
      <c r="AB214" s="4" t="e">
        <f ca="1">_xll.ciqfunctions.udf.CIQ("^SPX", "IQ_PRICEDATE", "10/27/2014")</f>
        <v>#NAME?</v>
      </c>
      <c r="AC214" s="16">
        <v>1961.6305392728</v>
      </c>
    </row>
    <row r="215" spans="1:29" x14ac:dyDescent="0.35">
      <c r="A215" s="2" t="s">
        <v>225</v>
      </c>
      <c r="B215" s="4" t="s">
        <v>1086</v>
      </c>
      <c r="C215" s="4" t="s">
        <v>530</v>
      </c>
      <c r="D215" s="4" t="s">
        <v>537</v>
      </c>
      <c r="E215" s="4" t="s">
        <v>538</v>
      </c>
      <c r="F215" s="4" t="s">
        <v>538</v>
      </c>
      <c r="G215" s="14">
        <v>75.62</v>
      </c>
      <c r="H215" s="10">
        <v>8.1812310000000004</v>
      </c>
      <c r="I215" s="10">
        <v>45.186599000000001</v>
      </c>
      <c r="J215" s="10">
        <v>93.159284</v>
      </c>
      <c r="K215" s="15">
        <v>3.015E-2</v>
      </c>
      <c r="L215" s="17">
        <v>98029.275643000001</v>
      </c>
      <c r="M215" s="4" t="s">
        <v>1087</v>
      </c>
      <c r="N215" s="19">
        <v>1.673505</v>
      </c>
      <c r="O215" s="19">
        <v>6.55</v>
      </c>
      <c r="P215" s="19">
        <v>3.51</v>
      </c>
      <c r="Q215" s="19">
        <v>6.9237000000000002</v>
      </c>
      <c r="R215" s="19">
        <v>9.94</v>
      </c>
      <c r="S215" s="19">
        <v>10.435600000000001</v>
      </c>
      <c r="T215" s="19">
        <v>9.94</v>
      </c>
      <c r="U215" s="19">
        <v>11.6534</v>
      </c>
      <c r="V215" s="19">
        <v>7.35</v>
      </c>
      <c r="W215" s="19">
        <v>9.9133999999999993</v>
      </c>
      <c r="X215" s="19">
        <v>7.35</v>
      </c>
      <c r="Y215" s="19">
        <v>9.9133999999999993</v>
      </c>
      <c r="Z215" s="4"/>
      <c r="AA215" s="4"/>
      <c r="AB215" s="4" t="e">
        <f ca="1">_xll.ciqfunctions.udf.CIQ("^SPX", "IQ_PRICEDATE", "10/28/2014")</f>
        <v>#NAME?</v>
      </c>
      <c r="AC215" s="16">
        <v>1985.0456261344</v>
      </c>
    </row>
    <row r="216" spans="1:29" x14ac:dyDescent="0.35">
      <c r="A216" s="2" t="s">
        <v>226</v>
      </c>
      <c r="B216" s="4" t="s">
        <v>1088</v>
      </c>
      <c r="C216" s="4" t="s">
        <v>543</v>
      </c>
      <c r="D216" s="4" t="s">
        <v>544</v>
      </c>
      <c r="E216" s="4" t="s">
        <v>545</v>
      </c>
      <c r="F216" s="4" t="s">
        <v>616</v>
      </c>
      <c r="G216" s="14">
        <v>119.89</v>
      </c>
      <c r="H216" s="10">
        <v>18.757956</v>
      </c>
      <c r="I216" s="10">
        <v>34.423037000000001</v>
      </c>
      <c r="J216" s="10" t="s">
        <v>534</v>
      </c>
      <c r="K216" s="15">
        <v>3.3300000000000002E-4</v>
      </c>
      <c r="L216" s="17">
        <v>18964.856838</v>
      </c>
      <c r="M216" s="4" t="s">
        <v>1089</v>
      </c>
      <c r="N216" s="19">
        <v>3.4828420000000002</v>
      </c>
      <c r="O216" s="19">
        <v>5.5202</v>
      </c>
      <c r="P216" s="19">
        <v>3.01</v>
      </c>
      <c r="Q216" s="19">
        <v>4.5354999999999999</v>
      </c>
      <c r="R216" s="19">
        <v>1.388571</v>
      </c>
      <c r="S216" s="19">
        <v>0</v>
      </c>
      <c r="T216" s="19">
        <v>1.388571</v>
      </c>
      <c r="U216" s="19">
        <v>3.1545999999999998</v>
      </c>
      <c r="V216" s="19">
        <v>1.8333660000000001</v>
      </c>
      <c r="W216" s="19">
        <v>2.4312999999999998</v>
      </c>
      <c r="X216" s="19">
        <v>1.8333660000000001</v>
      </c>
      <c r="Y216" s="19">
        <v>2.4312999999999998</v>
      </c>
      <c r="Z216" s="4"/>
      <c r="AA216" s="4"/>
      <c r="AB216" s="4" t="e">
        <f ca="1">_xll.ciqfunctions.udf.CIQ("^SPX", "IQ_PRICEDATE", "10/29/2014")</f>
        <v>#NAME?</v>
      </c>
      <c r="AC216" s="16">
        <v>1982.3030206704</v>
      </c>
    </row>
    <row r="217" spans="1:29" x14ac:dyDescent="0.35">
      <c r="A217" s="2" t="s">
        <v>227</v>
      </c>
      <c r="B217" s="4" t="s">
        <v>1090</v>
      </c>
      <c r="C217" s="4" t="s">
        <v>559</v>
      </c>
      <c r="D217" s="4" t="s">
        <v>798</v>
      </c>
      <c r="E217" s="4" t="s">
        <v>1091</v>
      </c>
      <c r="F217" s="4" t="s">
        <v>1092</v>
      </c>
      <c r="G217" s="14">
        <v>26.52</v>
      </c>
      <c r="H217" s="10">
        <v>6.3305619999999996</v>
      </c>
      <c r="I217" s="10">
        <v>9.1991370000000003</v>
      </c>
      <c r="J217" s="10" t="s">
        <v>534</v>
      </c>
      <c r="K217" s="15">
        <v>3.7707000000000004E-2</v>
      </c>
      <c r="L217" s="17">
        <v>5450.4121459999997</v>
      </c>
      <c r="M217" s="4" t="s">
        <v>1093</v>
      </c>
      <c r="N217" s="19">
        <v>2.882879</v>
      </c>
      <c r="O217" s="19">
        <v>1.8934</v>
      </c>
      <c r="P217" s="19">
        <v>1.939716</v>
      </c>
      <c r="Q217" s="19">
        <v>1.9441999999999999</v>
      </c>
      <c r="R217" s="19">
        <v>1.5980000000000001</v>
      </c>
      <c r="S217" s="19">
        <v>1.5812999999999999</v>
      </c>
      <c r="T217" s="19">
        <v>1.5980000000000001</v>
      </c>
      <c r="U217" s="19">
        <v>1.9351</v>
      </c>
      <c r="V217" s="19">
        <v>1.7818830000000001</v>
      </c>
      <c r="W217" s="19">
        <v>1.841</v>
      </c>
      <c r="X217" s="19">
        <v>1.7818830000000001</v>
      </c>
      <c r="Y217" s="19">
        <v>1.841</v>
      </c>
      <c r="Z217" s="4"/>
      <c r="AA217" s="4"/>
      <c r="AB217" s="4" t="e">
        <f ca="1">_xll.ciqfunctions.udf.CIQ("^SPX", "IQ_PRICEDATE", "10/30/2014")</f>
        <v>#NAME?</v>
      </c>
      <c r="AC217" s="16">
        <v>1994.6546509021</v>
      </c>
    </row>
    <row r="218" spans="1:29" x14ac:dyDescent="0.35">
      <c r="A218" s="2" t="s">
        <v>228</v>
      </c>
      <c r="B218" s="4" t="s">
        <v>1094</v>
      </c>
      <c r="C218" s="4" t="s">
        <v>669</v>
      </c>
      <c r="D218" s="4" t="s">
        <v>669</v>
      </c>
      <c r="E218" s="4" t="s">
        <v>730</v>
      </c>
      <c r="F218" s="4" t="s">
        <v>731</v>
      </c>
      <c r="G218" s="14">
        <v>39.56</v>
      </c>
      <c r="H218" s="10">
        <v>9.8760949999999994</v>
      </c>
      <c r="I218" s="10" t="s">
        <v>534</v>
      </c>
      <c r="J218" s="10">
        <v>5.7965059999999999</v>
      </c>
      <c r="K218" s="15">
        <v>1.8200000000000001E-2</v>
      </c>
      <c r="L218" s="17">
        <v>34808.670371</v>
      </c>
      <c r="M218" s="4" t="s">
        <v>1095</v>
      </c>
      <c r="N218" s="19">
        <v>0.13029099999999999</v>
      </c>
      <c r="O218" s="19">
        <v>2.0017</v>
      </c>
      <c r="P218" s="19">
        <v>-0.51034400000000002</v>
      </c>
      <c r="Q218" s="19">
        <v>1.9798</v>
      </c>
      <c r="R218" s="19">
        <v>-6.6910559999999997</v>
      </c>
      <c r="S218" s="19">
        <v>0.62350000000000005</v>
      </c>
      <c r="T218" s="19">
        <v>-6.6910559999999997</v>
      </c>
      <c r="U218" s="19">
        <v>0.95789999999999997</v>
      </c>
      <c r="V218" s="19">
        <v>4.03</v>
      </c>
      <c r="W218" s="19">
        <v>3.7292000000000001</v>
      </c>
      <c r="X218" s="19">
        <v>4.03</v>
      </c>
      <c r="Y218" s="19">
        <v>3.7292000000000001</v>
      </c>
      <c r="Z218" s="4"/>
      <c r="AA218" s="4"/>
      <c r="AB218" s="4" t="e">
        <f ca="1">_xll.ciqfunctions.udf.CIQ("^SPX", "IQ_PRICEDATE", "10/31/2014")</f>
        <v>#NAME?</v>
      </c>
      <c r="AC218" s="16">
        <v>2018.0545032964001</v>
      </c>
    </row>
    <row r="219" spans="1:29" x14ac:dyDescent="0.35">
      <c r="A219" s="2" t="s">
        <v>229</v>
      </c>
      <c r="B219" s="4" t="s">
        <v>1096</v>
      </c>
      <c r="C219" s="4" t="s">
        <v>559</v>
      </c>
      <c r="D219" s="4" t="s">
        <v>912</v>
      </c>
      <c r="E219" s="4" t="s">
        <v>1097</v>
      </c>
      <c r="F219" s="4" t="s">
        <v>1098</v>
      </c>
      <c r="G219" s="14">
        <v>16.88</v>
      </c>
      <c r="H219" s="10">
        <v>9.803369</v>
      </c>
      <c r="I219" s="10">
        <v>158.92742799999999</v>
      </c>
      <c r="J219" s="10" t="s">
        <v>534</v>
      </c>
      <c r="K219" s="15">
        <v>3.5545E-2</v>
      </c>
      <c r="L219" s="17">
        <v>6085.3629030000002</v>
      </c>
      <c r="M219" s="4" t="s">
        <v>1099</v>
      </c>
      <c r="N219" s="19">
        <v>0.106212</v>
      </c>
      <c r="O219" s="19">
        <v>1.7996000000000001</v>
      </c>
      <c r="P219" s="19">
        <v>0.17</v>
      </c>
      <c r="Q219" s="19">
        <v>2.0118</v>
      </c>
      <c r="R219" s="19">
        <v>1.4</v>
      </c>
      <c r="S219" s="19">
        <v>2.0983999999999998</v>
      </c>
      <c r="T219" s="19">
        <v>1.4</v>
      </c>
      <c r="U219" s="19">
        <v>1.8455999999999999</v>
      </c>
      <c r="V219" s="19">
        <v>0.85015499999999999</v>
      </c>
      <c r="W219" s="19">
        <v>1.5659000000000001</v>
      </c>
      <c r="X219" s="19">
        <v>0.85015499999999999</v>
      </c>
      <c r="Y219" s="19">
        <v>1.5659000000000001</v>
      </c>
      <c r="Z219" s="4"/>
      <c r="AA219" s="4"/>
      <c r="AB219" s="4" t="e">
        <f ca="1">_xll.ciqfunctions.udf.CIQ("^SPX", "IQ_PRICEDATE", "11/3/2014")</f>
        <v>#NAME?</v>
      </c>
      <c r="AC219" s="16">
        <v>2017.8115211314</v>
      </c>
    </row>
    <row r="220" spans="1:29" x14ac:dyDescent="0.35">
      <c r="A220" s="2" t="s">
        <v>230</v>
      </c>
      <c r="B220" s="4" t="s">
        <v>1100</v>
      </c>
      <c r="C220" s="4" t="s">
        <v>559</v>
      </c>
      <c r="D220" s="4" t="s">
        <v>694</v>
      </c>
      <c r="E220" s="4" t="s">
        <v>1054</v>
      </c>
      <c r="F220" s="4" t="s">
        <v>1101</v>
      </c>
      <c r="G220" s="14">
        <v>41.67</v>
      </c>
      <c r="H220" s="10">
        <v>12.691546000000001</v>
      </c>
      <c r="I220" s="10">
        <v>14.260604000000001</v>
      </c>
      <c r="J220" s="10">
        <v>3.2960660000000002</v>
      </c>
      <c r="K220" s="15">
        <v>3.5517E-2</v>
      </c>
      <c r="L220" s="17">
        <v>6873.4248299999999</v>
      </c>
      <c r="M220" s="4" t="s">
        <v>1102</v>
      </c>
      <c r="N220" s="19">
        <v>2.9220359999999999</v>
      </c>
      <c r="O220" s="19">
        <v>3.7042999999999999</v>
      </c>
      <c r="P220" s="19">
        <v>3.02</v>
      </c>
      <c r="Q220" s="19">
        <v>3.7370999999999999</v>
      </c>
      <c r="R220" s="19">
        <v>3.83</v>
      </c>
      <c r="S220" s="19">
        <v>4.1135000000000002</v>
      </c>
      <c r="T220" s="19">
        <v>3.83</v>
      </c>
      <c r="U220" s="19">
        <v>3.9474999999999998</v>
      </c>
      <c r="V220" s="19">
        <v>3.88</v>
      </c>
      <c r="W220" s="19">
        <v>4.2760999999999996</v>
      </c>
      <c r="X220" s="19">
        <v>3.88</v>
      </c>
      <c r="Y220" s="19">
        <v>4.2760999999999996</v>
      </c>
      <c r="Z220" s="4"/>
      <c r="AA220" s="4"/>
      <c r="AB220" s="4" t="e">
        <f ca="1">_xll.ciqfunctions.udf.CIQ("^SPX", "IQ_PRICEDATE", "11/4/2014")</f>
        <v>#NAME?</v>
      </c>
      <c r="AC220" s="16">
        <v>2012.0952743803</v>
      </c>
    </row>
    <row r="221" spans="1:29" x14ac:dyDescent="0.35">
      <c r="A221" s="2" t="s">
        <v>231</v>
      </c>
      <c r="B221" s="4" t="s">
        <v>1103</v>
      </c>
      <c r="C221" s="4" t="s">
        <v>525</v>
      </c>
      <c r="D221" s="4" t="s">
        <v>526</v>
      </c>
      <c r="E221" s="4" t="s">
        <v>703</v>
      </c>
      <c r="F221" s="4" t="s">
        <v>703</v>
      </c>
      <c r="G221" s="14">
        <v>171.57</v>
      </c>
      <c r="H221" s="10">
        <v>16.211596</v>
      </c>
      <c r="I221" s="10">
        <v>26.978943000000001</v>
      </c>
      <c r="J221" s="10" t="s">
        <v>534</v>
      </c>
      <c r="K221" s="15">
        <v>1.5969999999999998E-2</v>
      </c>
      <c r="L221" s="17">
        <v>20183.143081999999</v>
      </c>
      <c r="M221" s="4" t="s">
        <v>1104</v>
      </c>
      <c r="N221" s="19">
        <v>6.3594039999999996</v>
      </c>
      <c r="O221" s="19">
        <v>8.1302000000000003</v>
      </c>
      <c r="P221" s="19">
        <v>5.183764</v>
      </c>
      <c r="Q221" s="19">
        <v>6.2394999999999996</v>
      </c>
      <c r="R221" s="19">
        <v>4.8403340000000004</v>
      </c>
      <c r="S221" s="19">
        <v>5.8921000000000001</v>
      </c>
      <c r="T221" s="19">
        <v>4.8403340000000004</v>
      </c>
      <c r="U221" s="19">
        <v>5.8395999999999999</v>
      </c>
      <c r="V221" s="19">
        <v>5.0009810000000003</v>
      </c>
      <c r="W221" s="19">
        <v>4.8646000000000003</v>
      </c>
      <c r="X221" s="19">
        <v>5.0009810000000003</v>
      </c>
      <c r="Y221" s="19">
        <v>4.8646000000000003</v>
      </c>
      <c r="Z221" s="4"/>
      <c r="AA221" s="4"/>
      <c r="AB221" s="4" t="e">
        <f ca="1">_xll.ciqfunctions.udf.CIQ("^SPX", "IQ_PRICEDATE", "11/5/2014")</f>
        <v>#NAME?</v>
      </c>
      <c r="AC221" s="16">
        <v>2023.57465265</v>
      </c>
    </row>
    <row r="222" spans="1:29" x14ac:dyDescent="0.35">
      <c r="A222" s="2" t="s">
        <v>232</v>
      </c>
      <c r="B222" s="4" t="s">
        <v>1105</v>
      </c>
      <c r="C222" s="4" t="s">
        <v>559</v>
      </c>
      <c r="D222" s="4" t="s">
        <v>912</v>
      </c>
      <c r="E222" s="4" t="s">
        <v>1106</v>
      </c>
      <c r="F222" s="4" t="s">
        <v>1106</v>
      </c>
      <c r="G222" s="14">
        <v>100.89</v>
      </c>
      <c r="H222" s="10">
        <v>15.814116</v>
      </c>
      <c r="I222" s="10">
        <v>61.311999999999998</v>
      </c>
      <c r="J222" s="10">
        <v>28.345485</v>
      </c>
      <c r="K222" s="15">
        <v>2.4976999999999999E-2</v>
      </c>
      <c r="L222" s="17">
        <v>12806.873087</v>
      </c>
      <c r="M222" s="4" t="s">
        <v>1107</v>
      </c>
      <c r="N222" s="19">
        <v>1.645518</v>
      </c>
      <c r="O222" s="19">
        <v>4.8720999999999997</v>
      </c>
      <c r="P222" s="19">
        <v>3.12</v>
      </c>
      <c r="Q222" s="19">
        <v>5.2020999999999997</v>
      </c>
      <c r="R222" s="19">
        <v>4.34</v>
      </c>
      <c r="S222" s="19">
        <v>4.2457000000000003</v>
      </c>
      <c r="T222" s="19">
        <v>4.34</v>
      </c>
      <c r="U222" s="19">
        <v>3.6880999999999999</v>
      </c>
      <c r="V222" s="19">
        <v>3.2</v>
      </c>
      <c r="W222" s="19">
        <v>3.3580999999999999</v>
      </c>
      <c r="X222" s="19">
        <v>3.2</v>
      </c>
      <c r="Y222" s="19">
        <v>3.3580999999999999</v>
      </c>
      <c r="Z222" s="4"/>
      <c r="AA222" s="4"/>
      <c r="AB222" s="4" t="e">
        <f ca="1">_xll.ciqfunctions.udf.CIQ("^SPX", "IQ_PRICEDATE", "11/6/2014")</f>
        <v>#NAME?</v>
      </c>
      <c r="AC222" s="16">
        <v>2031.2121546376</v>
      </c>
    </row>
    <row r="223" spans="1:29" x14ac:dyDescent="0.35">
      <c r="A223" s="2" t="s">
        <v>233</v>
      </c>
      <c r="B223" s="4" t="s">
        <v>1108</v>
      </c>
      <c r="C223" s="4" t="s">
        <v>530</v>
      </c>
      <c r="D223" s="4" t="s">
        <v>531</v>
      </c>
      <c r="E223" s="4" t="s">
        <v>569</v>
      </c>
      <c r="F223" s="4" t="s">
        <v>1109</v>
      </c>
      <c r="G223" s="14">
        <v>136.47</v>
      </c>
      <c r="H223" s="10">
        <v>9.5941390000000002</v>
      </c>
      <c r="I223" s="10">
        <v>17.240845</v>
      </c>
      <c r="J223" s="10" t="s">
        <v>534</v>
      </c>
      <c r="K223" s="15">
        <v>1.0258E-2</v>
      </c>
      <c r="L223" s="17">
        <v>47224.897620000003</v>
      </c>
      <c r="M223" s="4" t="s">
        <v>1110</v>
      </c>
      <c r="N223" s="19">
        <v>7.9155049999999996</v>
      </c>
      <c r="O223" s="19">
        <v>9.5292999999999992</v>
      </c>
      <c r="P223" s="19">
        <v>5.95</v>
      </c>
      <c r="Q223" s="19">
        <v>7.1266999999999996</v>
      </c>
      <c r="R223" s="19">
        <v>7.3</v>
      </c>
      <c r="S223" s="19">
        <v>6.8952</v>
      </c>
      <c r="T223" s="19">
        <v>7.3</v>
      </c>
      <c r="U223" s="19">
        <v>5.5753000000000004</v>
      </c>
      <c r="V223" s="19">
        <v>4.16</v>
      </c>
      <c r="W223" s="19">
        <v>4.8982999999999999</v>
      </c>
      <c r="X223" s="19">
        <v>4.16</v>
      </c>
      <c r="Y223" s="19">
        <v>4.8982999999999999</v>
      </c>
      <c r="Z223" s="4"/>
      <c r="AA223" s="4"/>
      <c r="AB223" s="4" t="e">
        <f ca="1">_xll.ciqfunctions.udf.CIQ("^SPX", "IQ_PRICEDATE", "11/7/2014")</f>
        <v>#NAME?</v>
      </c>
      <c r="AC223" s="16">
        <v>2031.9215168768999</v>
      </c>
    </row>
    <row r="224" spans="1:29" x14ac:dyDescent="0.35">
      <c r="A224" s="2" t="s">
        <v>234</v>
      </c>
      <c r="B224" s="4" t="s">
        <v>1111</v>
      </c>
      <c r="C224" s="4" t="s">
        <v>601</v>
      </c>
      <c r="D224" s="4" t="s">
        <v>601</v>
      </c>
      <c r="E224" s="4" t="s">
        <v>602</v>
      </c>
      <c r="F224" s="4" t="s">
        <v>1112</v>
      </c>
      <c r="G224" s="14">
        <v>25.78</v>
      </c>
      <c r="H224" s="10">
        <v>20.386706</v>
      </c>
      <c r="I224" s="10">
        <v>199.348906</v>
      </c>
      <c r="J224" s="10">
        <v>2.497652</v>
      </c>
      <c r="K224" s="15">
        <v>5.7408000000000001E-2</v>
      </c>
      <c r="L224" s="17">
        <v>12112.283629</v>
      </c>
      <c r="M224" s="4" t="s">
        <v>1113</v>
      </c>
      <c r="N224" s="19">
        <v>0.12932099999999999</v>
      </c>
      <c r="O224" s="19">
        <v>0.65949999999999998</v>
      </c>
      <c r="P224" s="19">
        <v>0.88</v>
      </c>
      <c r="Q224" s="19">
        <v>0.82440000000000002</v>
      </c>
      <c r="R224" s="19">
        <v>0.77</v>
      </c>
      <c r="S224" s="19">
        <v>0.84499999999999997</v>
      </c>
      <c r="T224" s="19">
        <v>0.77</v>
      </c>
      <c r="U224" s="19">
        <v>1.9067000000000001</v>
      </c>
      <c r="V224" s="19">
        <v>0.55520499999999995</v>
      </c>
      <c r="W224" s="19">
        <v>1.9539</v>
      </c>
      <c r="X224" s="19">
        <v>0.55520499999999995</v>
      </c>
      <c r="Y224" s="19">
        <v>1.9539</v>
      </c>
      <c r="Z224" s="4"/>
      <c r="AA224" s="4"/>
      <c r="AB224" s="4" t="e">
        <f ca="1">_xll.ciqfunctions.udf.CIQ("^SPX", "IQ_PRICEDATE", "11/10/2014")</f>
        <v>#NAME?</v>
      </c>
      <c r="AC224" s="16">
        <v>2038.2626780918999</v>
      </c>
    </row>
    <row r="225" spans="1:29" x14ac:dyDescent="0.35">
      <c r="A225" s="2" t="s">
        <v>235</v>
      </c>
      <c r="B225" s="4" t="s">
        <v>1114</v>
      </c>
      <c r="C225" s="4" t="s">
        <v>669</v>
      </c>
      <c r="D225" s="4" t="s">
        <v>669</v>
      </c>
      <c r="E225" s="4" t="s">
        <v>730</v>
      </c>
      <c r="F225" s="4" t="s">
        <v>1115</v>
      </c>
      <c r="G225" s="14">
        <v>68.05</v>
      </c>
      <c r="H225" s="10">
        <v>13.788542</v>
      </c>
      <c r="I225" s="10">
        <v>16.015302999999999</v>
      </c>
      <c r="J225" s="10">
        <v>1.725125</v>
      </c>
      <c r="K225" s="15">
        <v>4.1734E-2</v>
      </c>
      <c r="L225" s="17">
        <v>7413.6224599999996</v>
      </c>
      <c r="M225" s="4" t="s">
        <v>1116</v>
      </c>
      <c r="N225" s="19">
        <v>4.2490610000000002</v>
      </c>
      <c r="O225" s="19">
        <v>1.1255999999999999</v>
      </c>
      <c r="P225" s="19">
        <v>3.7040329999999999</v>
      </c>
      <c r="Q225" s="19">
        <v>-0.39090000000000003</v>
      </c>
      <c r="R225" s="19">
        <v>-0.98046599999999995</v>
      </c>
      <c r="S225" s="19">
        <v>-1.2138</v>
      </c>
      <c r="T225" s="19">
        <v>-0.98046599999999995</v>
      </c>
      <c r="U225" s="19">
        <v>-0.36384</v>
      </c>
      <c r="V225" s="19">
        <v>6.7287039999999996</v>
      </c>
      <c r="W225" s="19">
        <v>5.7775999999999996</v>
      </c>
      <c r="X225" s="19">
        <v>6.7287039999999996</v>
      </c>
      <c r="Y225" s="19">
        <v>5.7775999999999996</v>
      </c>
      <c r="Z225" s="4"/>
      <c r="AA225" s="4"/>
      <c r="AB225" s="4" t="e">
        <f ca="1">_xll.ciqfunctions.udf.CIQ("^SPX", "IQ_PRICEDATE", "11/11/2014")</f>
        <v>#NAME?</v>
      </c>
      <c r="AC225" s="16">
        <v>2039.6834548377999</v>
      </c>
    </row>
    <row r="226" spans="1:29" x14ac:dyDescent="0.35">
      <c r="A226" s="2" t="s">
        <v>236</v>
      </c>
      <c r="B226" s="4" t="s">
        <v>1117</v>
      </c>
      <c r="C226" s="4" t="s">
        <v>530</v>
      </c>
      <c r="D226" s="4" t="s">
        <v>531</v>
      </c>
      <c r="E226" s="4" t="s">
        <v>569</v>
      </c>
      <c r="F226" s="4" t="s">
        <v>655</v>
      </c>
      <c r="G226" s="14">
        <v>86.47</v>
      </c>
      <c r="H226" s="10">
        <v>13.928452999999999</v>
      </c>
      <c r="I226" s="10">
        <v>32.701329000000001</v>
      </c>
      <c r="J226" s="10">
        <v>296.09566000000001</v>
      </c>
      <c r="K226" s="15">
        <v>0</v>
      </c>
      <c r="L226" s="17">
        <v>13239.548897000001</v>
      </c>
      <c r="M226" s="4" t="s">
        <v>1118</v>
      </c>
      <c r="N226" s="19">
        <v>2.6442350000000001</v>
      </c>
      <c r="O226" s="19">
        <v>4.2365000000000004</v>
      </c>
      <c r="P226" s="19">
        <v>2.57</v>
      </c>
      <c r="Q226" s="19">
        <v>3.8041</v>
      </c>
      <c r="R226" s="19">
        <v>3.1</v>
      </c>
      <c r="S226" s="19">
        <v>3.5424000000000002</v>
      </c>
      <c r="T226" s="19">
        <v>3.1</v>
      </c>
      <c r="U226" s="19">
        <v>3.2080000000000002</v>
      </c>
      <c r="V226" s="19">
        <v>2.72</v>
      </c>
      <c r="W226" s="19">
        <v>2.9073000000000002</v>
      </c>
      <c r="X226" s="19">
        <v>2.72</v>
      </c>
      <c r="Y226" s="19">
        <v>2.9073000000000002</v>
      </c>
      <c r="Z226" s="4"/>
      <c r="AA226" s="4"/>
      <c r="AB226" s="4" t="e">
        <f ca="1">_xll.ciqfunctions.udf.CIQ("^SPX", "IQ_PRICEDATE", "11/12/2014")</f>
        <v>#NAME?</v>
      </c>
      <c r="AC226" s="16">
        <v>2038.252228283</v>
      </c>
    </row>
    <row r="227" spans="1:29" x14ac:dyDescent="0.35">
      <c r="A227" s="2" t="s">
        <v>237</v>
      </c>
      <c r="B227" s="4" t="s">
        <v>1119</v>
      </c>
      <c r="C227" s="4" t="s">
        <v>669</v>
      </c>
      <c r="D227" s="4" t="s">
        <v>669</v>
      </c>
      <c r="E227" s="4" t="s">
        <v>670</v>
      </c>
      <c r="F227" s="4" t="s">
        <v>671</v>
      </c>
      <c r="G227" s="14">
        <v>64.78</v>
      </c>
      <c r="H227" s="10">
        <v>11.022081</v>
      </c>
      <c r="I227" s="10" t="s">
        <v>534</v>
      </c>
      <c r="J227" s="10">
        <v>2.005207</v>
      </c>
      <c r="K227" s="15">
        <v>1.5436E-2</v>
      </c>
      <c r="L227" s="17">
        <v>19413.710773999999</v>
      </c>
      <c r="M227" s="4" t="s">
        <v>1120</v>
      </c>
      <c r="N227" s="19">
        <v>-11.608229</v>
      </c>
      <c r="O227" s="19">
        <v>0.9839</v>
      </c>
      <c r="P227" s="19">
        <v>-13.12</v>
      </c>
      <c r="Q227" s="19">
        <v>-3.3988999999999998</v>
      </c>
      <c r="R227" s="19">
        <v>-19.920000000000002</v>
      </c>
      <c r="S227" s="19">
        <v>-3.6402000000000001</v>
      </c>
      <c r="T227" s="19">
        <v>-19.920000000000002</v>
      </c>
      <c r="U227" s="19">
        <v>-4.3436000000000003</v>
      </c>
      <c r="V227" s="19">
        <v>5.313555</v>
      </c>
      <c r="W227" s="19">
        <v>1.3163</v>
      </c>
      <c r="X227" s="19">
        <v>5.313555</v>
      </c>
      <c r="Y227" s="19">
        <v>1.3163</v>
      </c>
      <c r="Z227" s="4"/>
      <c r="AA227" s="4"/>
      <c r="AB227" s="4" t="e">
        <f ca="1">_xll.ciqfunctions.udf.CIQ("^SPX", "IQ_PRICEDATE", "11/13/2014")</f>
        <v>#NAME?</v>
      </c>
      <c r="AC227" s="16">
        <v>2039.3258251799</v>
      </c>
    </row>
    <row r="228" spans="1:29" x14ac:dyDescent="0.35">
      <c r="A228" s="2" t="s">
        <v>238</v>
      </c>
      <c r="B228" s="4" t="s">
        <v>1121</v>
      </c>
      <c r="C228" s="4" t="s">
        <v>543</v>
      </c>
      <c r="D228" s="4" t="s">
        <v>664</v>
      </c>
      <c r="E228" s="4" t="s">
        <v>688</v>
      </c>
      <c r="F228" s="4" t="s">
        <v>688</v>
      </c>
      <c r="G228" s="14">
        <v>15.52</v>
      </c>
      <c r="H228" s="10">
        <v>9.8948680000000007</v>
      </c>
      <c r="I228" s="10">
        <v>7.8298690000000004</v>
      </c>
      <c r="J228" s="10">
        <v>4.6559999999999997</v>
      </c>
      <c r="K228" s="15">
        <v>2.8993999999999999E-2</v>
      </c>
      <c r="L228" s="17">
        <v>22839.981351999999</v>
      </c>
      <c r="M228" s="4" t="s">
        <v>1122</v>
      </c>
      <c r="N228" s="19">
        <v>1.9821530000000001</v>
      </c>
      <c r="O228" s="19">
        <v>1.5551999999999999</v>
      </c>
      <c r="P228" s="19">
        <v>0.26</v>
      </c>
      <c r="Q228" s="19">
        <v>1.1793499999999999</v>
      </c>
      <c r="R228" s="19">
        <v>1.86</v>
      </c>
      <c r="S228" s="19">
        <v>1.96451</v>
      </c>
      <c r="T228" s="19">
        <v>1.86</v>
      </c>
      <c r="U228" s="19">
        <v>1.87812</v>
      </c>
      <c r="V228" s="19">
        <v>0.9</v>
      </c>
      <c r="W228" s="19">
        <v>0</v>
      </c>
      <c r="X228" s="19">
        <v>0.9</v>
      </c>
      <c r="Y228" s="19">
        <v>0</v>
      </c>
      <c r="Z228" s="4"/>
      <c r="AA228" s="4"/>
      <c r="AB228" s="4" t="e">
        <f ca="1">_xll.ciqfunctions.udf.CIQ("^SPX", "IQ_PRICEDATE", "11/14/2014")</f>
        <v>#NAME?</v>
      </c>
      <c r="AC228" s="16">
        <v>2039.8168721008999</v>
      </c>
    </row>
    <row r="229" spans="1:29" x14ac:dyDescent="0.35">
      <c r="A229" s="2" t="s">
        <v>239</v>
      </c>
      <c r="B229" s="4" t="s">
        <v>1123</v>
      </c>
      <c r="C229" s="4" t="s">
        <v>559</v>
      </c>
      <c r="D229" s="4" t="s">
        <v>798</v>
      </c>
      <c r="E229" s="4" t="s">
        <v>799</v>
      </c>
      <c r="F229" s="4" t="s">
        <v>800</v>
      </c>
      <c r="G229" s="14">
        <v>74.52</v>
      </c>
      <c r="H229" s="10">
        <v>16.663544000000002</v>
      </c>
      <c r="I229" s="10">
        <v>16.461948</v>
      </c>
      <c r="J229" s="10" t="s">
        <v>534</v>
      </c>
      <c r="K229" s="15">
        <v>8.0510000000000009E-3</v>
      </c>
      <c r="L229" s="17">
        <v>22220.82847</v>
      </c>
      <c r="M229" s="4" t="s">
        <v>1124</v>
      </c>
      <c r="N229" s="19">
        <v>4.5268030000000001</v>
      </c>
      <c r="O229" s="19">
        <v>2.9209999999999998</v>
      </c>
      <c r="P229" s="19">
        <v>3.85</v>
      </c>
      <c r="Q229" s="19">
        <v>2.2208000000000001</v>
      </c>
      <c r="R229" s="19">
        <v>-7.2947999999999999E-2</v>
      </c>
      <c r="S229" s="19">
        <v>2.6854</v>
      </c>
      <c r="T229" s="19">
        <v>-7.2947999999999999E-2</v>
      </c>
      <c r="U229" s="19">
        <v>2.8351000000000002</v>
      </c>
      <c r="V229" s="19">
        <v>0.51829199999999997</v>
      </c>
      <c r="W229" s="19">
        <v>2.4211999999999998</v>
      </c>
      <c r="X229" s="19">
        <v>0.51829199999999997</v>
      </c>
      <c r="Y229" s="19">
        <v>2.4211999999999998</v>
      </c>
      <c r="Z229" s="4"/>
      <c r="AA229" s="4"/>
      <c r="AB229" s="4" t="e">
        <f ca="1">_xll.ciqfunctions.udf.CIQ("^SPX", "IQ_PRICEDATE", "11/17/2014")</f>
        <v>#NAME?</v>
      </c>
      <c r="AC229" s="16">
        <v>2041.3181411687001</v>
      </c>
    </row>
    <row r="230" spans="1:29" x14ac:dyDescent="0.35">
      <c r="A230" s="2" t="s">
        <v>240</v>
      </c>
      <c r="B230" s="4" t="s">
        <v>1125</v>
      </c>
      <c r="C230" s="4" t="s">
        <v>669</v>
      </c>
      <c r="D230" s="4" t="s">
        <v>669</v>
      </c>
      <c r="E230" s="4" t="s">
        <v>670</v>
      </c>
      <c r="F230" s="4" t="s">
        <v>1126</v>
      </c>
      <c r="G230" s="14">
        <v>66.78</v>
      </c>
      <c r="H230" s="10">
        <v>6.460629</v>
      </c>
      <c r="I230" s="10">
        <v>8.4823199999999996</v>
      </c>
      <c r="J230" s="10">
        <v>3.6724160000000001</v>
      </c>
      <c r="K230" s="15">
        <v>1.9765999999999999E-2</v>
      </c>
      <c r="L230" s="17">
        <v>11665.805412</v>
      </c>
      <c r="M230" s="4" t="s">
        <v>1127</v>
      </c>
      <c r="N230" s="19">
        <v>7.872846</v>
      </c>
      <c r="O230" s="19">
        <v>6.6196000000000002</v>
      </c>
      <c r="P230" s="19">
        <v>4.5199999999999996</v>
      </c>
      <c r="Q230" s="19">
        <v>3.1905000000000001</v>
      </c>
      <c r="R230" s="19">
        <v>-1.484693</v>
      </c>
      <c r="S230" s="19">
        <v>1.8978999999999999</v>
      </c>
      <c r="T230" s="19">
        <v>-1.484693</v>
      </c>
      <c r="U230" s="19">
        <v>4.3582999999999998</v>
      </c>
      <c r="V230" s="19">
        <v>1.42</v>
      </c>
      <c r="W230" s="19">
        <v>2.9977</v>
      </c>
      <c r="X230" s="19">
        <v>1.42</v>
      </c>
      <c r="Y230" s="19">
        <v>2.9977</v>
      </c>
      <c r="Z230" s="4"/>
      <c r="AA230" s="4"/>
      <c r="AB230" s="4" t="e">
        <f ca="1">_xll.ciqfunctions.udf.CIQ("^SPX", "IQ_PRICEDATE", "11/18/2014")</f>
        <v>#NAME?</v>
      </c>
      <c r="AC230" s="16">
        <v>2051.7957989265001</v>
      </c>
    </row>
    <row r="231" spans="1:29" x14ac:dyDescent="0.35">
      <c r="A231" s="2" t="s">
        <v>241</v>
      </c>
      <c r="B231" s="4" t="s">
        <v>1128</v>
      </c>
      <c r="C231" s="4" t="s">
        <v>530</v>
      </c>
      <c r="D231" s="4" t="s">
        <v>531</v>
      </c>
      <c r="E231" s="4" t="s">
        <v>532</v>
      </c>
      <c r="F231" s="4" t="s">
        <v>533</v>
      </c>
      <c r="G231" s="14">
        <v>41.59</v>
      </c>
      <c r="H231" s="10">
        <v>13.499745000000001</v>
      </c>
      <c r="I231" s="10" t="s">
        <v>534</v>
      </c>
      <c r="J231" s="10" t="s">
        <v>534</v>
      </c>
      <c r="K231" s="15">
        <v>0</v>
      </c>
      <c r="L231" s="17">
        <v>11317.585921</v>
      </c>
      <c r="M231" s="4" t="s">
        <v>1129</v>
      </c>
      <c r="N231" s="19">
        <v>-0.29137600000000002</v>
      </c>
      <c r="O231" s="19">
        <v>2.37</v>
      </c>
      <c r="P231" s="19">
        <v>3.7781910000000001</v>
      </c>
      <c r="Q231" s="19">
        <v>2.1189800000000001</v>
      </c>
      <c r="R231" s="19">
        <v>1.17</v>
      </c>
      <c r="S231" s="19">
        <v>2.0952799999999998</v>
      </c>
      <c r="T231" s="19">
        <v>1.17</v>
      </c>
      <c r="U231" s="19">
        <v>1.82551</v>
      </c>
      <c r="V231" s="19">
        <v>0.17963499999999999</v>
      </c>
      <c r="W231" s="19">
        <v>1.5294700000000001</v>
      </c>
      <c r="X231" s="19">
        <v>0.17963499999999999</v>
      </c>
      <c r="Y231" s="19">
        <v>1.5294700000000001</v>
      </c>
      <c r="Z231" s="4"/>
      <c r="AA231" s="4"/>
      <c r="AB231" s="4" t="e">
        <f ca="1">_xll.ciqfunctions.udf.CIQ("^SPX", "IQ_PRICEDATE", "11/19/2014")</f>
        <v>#NAME?</v>
      </c>
      <c r="AC231" s="16">
        <v>2048.7209640499</v>
      </c>
    </row>
    <row r="232" spans="1:29" x14ac:dyDescent="0.35">
      <c r="A232" s="2" t="s">
        <v>242</v>
      </c>
      <c r="B232" s="4" t="s">
        <v>1130</v>
      </c>
      <c r="C232" s="4" t="s">
        <v>525</v>
      </c>
      <c r="D232" s="4" t="s">
        <v>526</v>
      </c>
      <c r="E232" s="4" t="s">
        <v>1077</v>
      </c>
      <c r="F232" s="4" t="s">
        <v>1077</v>
      </c>
      <c r="G232" s="14">
        <v>158.05000000000001</v>
      </c>
      <c r="H232" s="10">
        <v>14.336119999999999</v>
      </c>
      <c r="I232" s="10">
        <v>73.565415999999999</v>
      </c>
      <c r="J232" s="10" t="s">
        <v>534</v>
      </c>
      <c r="K232" s="15">
        <v>2.0752000000000003E-2</v>
      </c>
      <c r="L232" s="17">
        <v>117369.593792</v>
      </c>
      <c r="M232" s="4" t="s">
        <v>1131</v>
      </c>
      <c r="N232" s="19">
        <v>2.148428</v>
      </c>
      <c r="O232" s="19">
        <v>8.3530999999999995</v>
      </c>
      <c r="P232" s="19">
        <v>2.14</v>
      </c>
      <c r="Q232" s="19">
        <v>7.5151000000000003</v>
      </c>
      <c r="R232" s="19">
        <v>6.2</v>
      </c>
      <c r="S232" s="19">
        <v>6.8556999999999997</v>
      </c>
      <c r="T232" s="19">
        <v>6.2</v>
      </c>
      <c r="U232" s="19">
        <v>6.4187000000000003</v>
      </c>
      <c r="V232" s="19">
        <v>5.33</v>
      </c>
      <c r="W232" s="19">
        <v>5.9169999999999998</v>
      </c>
      <c r="X232" s="19">
        <v>5.33</v>
      </c>
      <c r="Y232" s="19">
        <v>5.9169999999999998</v>
      </c>
      <c r="Z232" s="4"/>
      <c r="AA232" s="4"/>
      <c r="AB232" s="4" t="e">
        <f ca="1">_xll.ciqfunctions.udf.CIQ("^SPX", "IQ_PRICEDATE", "11/20/2014")</f>
        <v>#NAME?</v>
      </c>
      <c r="AC232" s="16">
        <v>2052.7522479220002</v>
      </c>
    </row>
    <row r="233" spans="1:29" x14ac:dyDescent="0.35">
      <c r="A233" s="2" t="s">
        <v>243</v>
      </c>
      <c r="B233" s="4" t="s">
        <v>1132</v>
      </c>
      <c r="C233" s="4" t="s">
        <v>626</v>
      </c>
      <c r="D233" s="4" t="s">
        <v>627</v>
      </c>
      <c r="E233" s="4" t="s">
        <v>699</v>
      </c>
      <c r="F233" s="4" t="s">
        <v>789</v>
      </c>
      <c r="G233" s="14">
        <v>40.9</v>
      </c>
      <c r="H233" s="10">
        <v>16.366792</v>
      </c>
      <c r="I233" s="10">
        <v>22.971475000000002</v>
      </c>
      <c r="J233" s="10">
        <v>15.295895</v>
      </c>
      <c r="K233" s="15">
        <v>1.8337000000000003E-2</v>
      </c>
      <c r="L233" s="17">
        <v>21804.522273999999</v>
      </c>
      <c r="M233" s="4" t="s">
        <v>1133</v>
      </c>
      <c r="N233" s="19">
        <v>1.7804690000000001</v>
      </c>
      <c r="O233" s="19">
        <v>1.7768999999999999</v>
      </c>
      <c r="P233" s="19">
        <v>1.57</v>
      </c>
      <c r="Q233" s="19">
        <v>1.67</v>
      </c>
      <c r="R233" s="19">
        <v>1.64</v>
      </c>
      <c r="S233" s="19">
        <v>1.7055100000000001</v>
      </c>
      <c r="T233" s="19">
        <v>1.64</v>
      </c>
      <c r="U233" s="19">
        <v>1.45903</v>
      </c>
      <c r="V233" s="19">
        <v>1.1200000000000001</v>
      </c>
      <c r="W233" s="19">
        <v>1.27227</v>
      </c>
      <c r="X233" s="19">
        <v>1.1200000000000001</v>
      </c>
      <c r="Y233" s="19">
        <v>1.27227</v>
      </c>
      <c r="Z233" s="4"/>
      <c r="AA233" s="4"/>
      <c r="AB233" s="4" t="e">
        <f ca="1">_xll.ciqfunctions.udf.CIQ("^SPX", "IQ_PRICEDATE", "11/21/2014")</f>
        <v>#NAME?</v>
      </c>
      <c r="AC233" s="16">
        <v>2063.5024452877001</v>
      </c>
    </row>
    <row r="234" spans="1:29" x14ac:dyDescent="0.35">
      <c r="A234" s="2" t="s">
        <v>244</v>
      </c>
      <c r="B234" s="4" t="s">
        <v>1134</v>
      </c>
      <c r="C234" s="4" t="s">
        <v>601</v>
      </c>
      <c r="D234" s="4" t="s">
        <v>601</v>
      </c>
      <c r="E234" s="4" t="s">
        <v>602</v>
      </c>
      <c r="F234" s="4" t="s">
        <v>1135</v>
      </c>
      <c r="G234" s="14">
        <v>19.329999999999998</v>
      </c>
      <c r="H234" s="10">
        <v>12.242989</v>
      </c>
      <c r="I234" s="10">
        <v>21.959845000000001</v>
      </c>
      <c r="J234" s="10">
        <v>2.003409</v>
      </c>
      <c r="K234" s="15">
        <v>4.3973000000000005E-2</v>
      </c>
      <c r="L234" s="17">
        <v>14336.624992999999</v>
      </c>
      <c r="M234" s="4" t="s">
        <v>1136</v>
      </c>
      <c r="N234" s="19">
        <v>0.880243</v>
      </c>
      <c r="O234" s="19">
        <v>0.76629999999999998</v>
      </c>
      <c r="P234" s="19">
        <v>0.76</v>
      </c>
      <c r="Q234" s="19">
        <v>0.66769999999999996</v>
      </c>
      <c r="R234" s="19">
        <v>1.02</v>
      </c>
      <c r="S234" s="19">
        <v>0.64</v>
      </c>
      <c r="T234" s="19">
        <v>1.02</v>
      </c>
      <c r="U234" s="19">
        <v>0.73870000000000002</v>
      </c>
      <c r="V234" s="19">
        <v>0.96466700000000005</v>
      </c>
      <c r="W234" s="19">
        <v>0.75</v>
      </c>
      <c r="X234" s="19">
        <v>0.96466700000000005</v>
      </c>
      <c r="Y234" s="19">
        <v>0.75</v>
      </c>
      <c r="Z234" s="4"/>
      <c r="AA234" s="4"/>
      <c r="AB234" s="4" t="e">
        <f ca="1">_xll.ciqfunctions.udf.CIQ("^SPX", "IQ_PRICEDATE", "11/24/2014")</f>
        <v>#NAME?</v>
      </c>
      <c r="AC234" s="16">
        <v>2069.4102024734998</v>
      </c>
    </row>
    <row r="235" spans="1:29" x14ac:dyDescent="0.35">
      <c r="A235" s="2" t="s">
        <v>245</v>
      </c>
      <c r="B235" s="4" t="s">
        <v>1137</v>
      </c>
      <c r="C235" s="4" t="s">
        <v>543</v>
      </c>
      <c r="D235" s="4" t="s">
        <v>664</v>
      </c>
      <c r="E235" s="4" t="s">
        <v>688</v>
      </c>
      <c r="F235" s="4" t="s">
        <v>688</v>
      </c>
      <c r="G235" s="14">
        <v>23.87</v>
      </c>
      <c r="H235" s="10">
        <v>7.9920049999999998</v>
      </c>
      <c r="I235" s="10">
        <v>8.7068290000000008</v>
      </c>
      <c r="J235" s="10" t="s">
        <v>534</v>
      </c>
      <c r="K235" s="15">
        <v>2.6844999999999997E-2</v>
      </c>
      <c r="L235" s="17">
        <v>37772.091086</v>
      </c>
      <c r="M235" s="4" t="s">
        <v>1138</v>
      </c>
      <c r="N235" s="19">
        <v>2.7415259999999999</v>
      </c>
      <c r="O235" s="19">
        <v>2.1341999999999999</v>
      </c>
      <c r="P235" s="19">
        <v>1.48</v>
      </c>
      <c r="Q235" s="19">
        <v>1.8087599999999999</v>
      </c>
      <c r="R235" s="19">
        <v>1.53</v>
      </c>
      <c r="S235" s="19">
        <v>1.58786</v>
      </c>
      <c r="T235" s="19">
        <v>1.53</v>
      </c>
      <c r="U235" s="19">
        <v>1.6143700000000001</v>
      </c>
      <c r="V235" s="19">
        <v>1.53</v>
      </c>
      <c r="W235" s="19">
        <v>3.9609700000000001</v>
      </c>
      <c r="X235" s="19">
        <v>1.53</v>
      </c>
      <c r="Y235" s="19">
        <v>3.9609700000000001</v>
      </c>
      <c r="Z235" s="4"/>
      <c r="AA235" s="4"/>
      <c r="AB235" s="4" t="e">
        <f ca="1">_xll.ciqfunctions.udf.CIQ("^SPX", "IQ_PRICEDATE", "11/25/2014")</f>
        <v>#NAME?</v>
      </c>
      <c r="AC235" s="16">
        <v>2067.0345340898002</v>
      </c>
    </row>
    <row r="236" spans="1:29" x14ac:dyDescent="0.35">
      <c r="A236" s="2" t="s">
        <v>246</v>
      </c>
      <c r="B236" s="4" t="s">
        <v>1139</v>
      </c>
      <c r="C236" s="4" t="s">
        <v>530</v>
      </c>
      <c r="D236" s="4" t="s">
        <v>531</v>
      </c>
      <c r="E236" s="4" t="s">
        <v>569</v>
      </c>
      <c r="F236" s="4" t="s">
        <v>570</v>
      </c>
      <c r="G236" s="14">
        <v>328.08</v>
      </c>
      <c r="H236" s="10">
        <v>12.340733</v>
      </c>
      <c r="I236" s="10">
        <v>33.914434</v>
      </c>
      <c r="J236" s="10">
        <v>7.4929399999999999</v>
      </c>
      <c r="K236" s="15">
        <v>6.0960000000000007E-3</v>
      </c>
      <c r="L236" s="17">
        <v>45197.418569000001</v>
      </c>
      <c r="M236" s="4" t="s">
        <v>1140</v>
      </c>
      <c r="N236" s="19">
        <v>9.6737570000000002</v>
      </c>
      <c r="O236" s="19">
        <v>15.735300000000001</v>
      </c>
      <c r="P236" s="19">
        <v>16.809999999999999</v>
      </c>
      <c r="Q236" s="19">
        <v>11.841200000000001</v>
      </c>
      <c r="R236" s="19">
        <v>4.07</v>
      </c>
      <c r="S236" s="19">
        <v>10.41</v>
      </c>
      <c r="T236" s="19">
        <v>4.07</v>
      </c>
      <c r="U236" s="19">
        <v>8.5888000000000009</v>
      </c>
      <c r="V236" s="19">
        <v>7.36</v>
      </c>
      <c r="W236" s="19">
        <v>8.5393000000000008</v>
      </c>
      <c r="X236" s="19">
        <v>7.36</v>
      </c>
      <c r="Y236" s="19">
        <v>8.5393000000000008</v>
      </c>
      <c r="Z236" s="4"/>
      <c r="AA236" s="4"/>
      <c r="AB236" s="4" t="e">
        <f ca="1">_xll.ciqfunctions.udf.CIQ("^SPX", "IQ_PRICEDATE", "11/26/2014")</f>
        <v>#NAME?</v>
      </c>
      <c r="AC236" s="16">
        <v>2072.8294926639001</v>
      </c>
    </row>
    <row r="237" spans="1:29" x14ac:dyDescent="0.35">
      <c r="A237" s="2" t="s">
        <v>247</v>
      </c>
      <c r="B237" s="4" t="s">
        <v>1141</v>
      </c>
      <c r="C237" s="4" t="s">
        <v>573</v>
      </c>
      <c r="D237" s="4" t="s">
        <v>737</v>
      </c>
      <c r="E237" s="4" t="s">
        <v>737</v>
      </c>
      <c r="F237" s="4" t="s">
        <v>743</v>
      </c>
      <c r="G237" s="14">
        <v>14.39</v>
      </c>
      <c r="H237" s="10">
        <v>0</v>
      </c>
      <c r="I237" s="10">
        <v>12.197695</v>
      </c>
      <c r="J237" s="10">
        <v>1.996961</v>
      </c>
      <c r="K237" s="15">
        <v>3.8915000000000005E-2</v>
      </c>
      <c r="L237" s="17">
        <v>15889.820817</v>
      </c>
      <c r="M237" s="4" t="s">
        <v>1142</v>
      </c>
      <c r="N237" s="19">
        <v>1.1797310000000001</v>
      </c>
      <c r="O237" s="19">
        <v>1.3174999999999999</v>
      </c>
      <c r="P237" s="19">
        <v>1.0042359999999999</v>
      </c>
      <c r="Q237" s="19">
        <v>1.0569999999999999</v>
      </c>
      <c r="R237" s="19">
        <v>0.7</v>
      </c>
      <c r="S237" s="19">
        <v>0.93700000000000006</v>
      </c>
      <c r="T237" s="19">
        <v>0.7</v>
      </c>
      <c r="U237" s="19">
        <v>0.87780000000000002</v>
      </c>
      <c r="V237" s="19">
        <v>0.72</v>
      </c>
      <c r="W237" s="19">
        <v>0.78029999999999999</v>
      </c>
      <c r="X237" s="19">
        <v>0.72</v>
      </c>
      <c r="Y237" s="19">
        <v>0.78029999999999999</v>
      </c>
      <c r="Z237" s="4"/>
      <c r="AA237" s="4"/>
      <c r="AB237" s="4" t="e">
        <f ca="1">_xll.ciqfunctions.udf.CIQ("^SPX", "IQ_PRICEDATE", "11/28/2014")</f>
        <v>#NAME?</v>
      </c>
      <c r="AC237" s="16">
        <v>2067.5620445270001</v>
      </c>
    </row>
    <row r="238" spans="1:29" x14ac:dyDescent="0.35">
      <c r="A238" s="2" t="s">
        <v>248</v>
      </c>
      <c r="B238" s="4" t="s">
        <v>1143</v>
      </c>
      <c r="C238" s="4" t="s">
        <v>525</v>
      </c>
      <c r="D238" s="4" t="s">
        <v>526</v>
      </c>
      <c r="E238" s="4" t="s">
        <v>703</v>
      </c>
      <c r="F238" s="4" t="s">
        <v>703</v>
      </c>
      <c r="G238" s="14">
        <v>233.12</v>
      </c>
      <c r="H238" s="10">
        <v>9.6159199999999991</v>
      </c>
      <c r="I238" s="10">
        <v>17.266672</v>
      </c>
      <c r="J238" s="10" t="s">
        <v>534</v>
      </c>
      <c r="K238" s="15">
        <v>1.2354E-2</v>
      </c>
      <c r="L238" s="17">
        <v>10098.381212</v>
      </c>
      <c r="M238" s="4" t="s">
        <v>1144</v>
      </c>
      <c r="N238" s="19">
        <v>13.501154</v>
      </c>
      <c r="O238" s="19">
        <v>16.617599999999999</v>
      </c>
      <c r="P238" s="19">
        <v>10.46</v>
      </c>
      <c r="Q238" s="19">
        <v>12.1607</v>
      </c>
      <c r="R238" s="19">
        <v>12.14</v>
      </c>
      <c r="S238" s="19">
        <v>10.048999999999999</v>
      </c>
      <c r="T238" s="19">
        <v>12.14</v>
      </c>
      <c r="U238" s="19">
        <v>9.1852999999999998</v>
      </c>
      <c r="V238" s="19">
        <v>6.86</v>
      </c>
      <c r="W238" s="19">
        <v>8.0312999999999999</v>
      </c>
      <c r="X238" s="19">
        <v>6.86</v>
      </c>
      <c r="Y238" s="19">
        <v>8.0312999999999999</v>
      </c>
      <c r="Z238" s="4"/>
      <c r="AA238" s="4"/>
      <c r="AB238" s="4" t="e">
        <f ca="1">_xll.ciqfunctions.udf.CIQ("^SPX", "IQ_PRICEDATE", "12/1/2014")</f>
        <v>#NAME?</v>
      </c>
      <c r="AC238" s="16">
        <v>2053.4400601961001</v>
      </c>
    </row>
    <row r="239" spans="1:29" x14ac:dyDescent="0.35">
      <c r="A239" s="2" t="s">
        <v>249</v>
      </c>
      <c r="B239" s="4" t="s">
        <v>1145</v>
      </c>
      <c r="C239" s="4" t="s">
        <v>530</v>
      </c>
      <c r="D239" s="4" t="s">
        <v>531</v>
      </c>
      <c r="E239" s="4" t="s">
        <v>532</v>
      </c>
      <c r="F239" s="4" t="s">
        <v>533</v>
      </c>
      <c r="G239" s="14">
        <v>228.49</v>
      </c>
      <c r="H239" s="10">
        <v>38.185912999999999</v>
      </c>
      <c r="I239" s="10">
        <v>66.313771000000003</v>
      </c>
      <c r="J239" s="10" t="s">
        <v>534</v>
      </c>
      <c r="K239" s="15">
        <v>0</v>
      </c>
      <c r="L239" s="17">
        <v>19785.169364000001</v>
      </c>
      <c r="M239" s="4" t="s">
        <v>1146</v>
      </c>
      <c r="N239" s="19">
        <v>3.445589</v>
      </c>
      <c r="O239" s="19">
        <v>4.4249999999999998</v>
      </c>
      <c r="P239" s="19">
        <v>2.94</v>
      </c>
      <c r="Q239" s="19">
        <v>3.4529000000000001</v>
      </c>
      <c r="R239" s="19">
        <v>2.44</v>
      </c>
      <c r="S239" s="19">
        <v>2.7244999999999999</v>
      </c>
      <c r="T239" s="19">
        <v>2.44</v>
      </c>
      <c r="U239" s="19">
        <v>2.1274999999999999</v>
      </c>
      <c r="V239" s="19">
        <v>1.79</v>
      </c>
      <c r="W239" s="19">
        <v>2.0825</v>
      </c>
      <c r="X239" s="19">
        <v>1.79</v>
      </c>
      <c r="Y239" s="19">
        <v>2.0825</v>
      </c>
      <c r="Z239" s="4"/>
      <c r="AA239" s="4"/>
      <c r="AB239" s="4" t="e">
        <f ca="1">_xll.ciqfunctions.udf.CIQ("^SPX", "IQ_PRICEDATE", "12/2/2014")</f>
        <v>#NAME?</v>
      </c>
      <c r="AC239" s="16">
        <v>2066.5486235941999</v>
      </c>
    </row>
    <row r="240" spans="1:29" x14ac:dyDescent="0.35">
      <c r="A240" s="2" t="s">
        <v>250</v>
      </c>
      <c r="B240" s="4" t="s">
        <v>1147</v>
      </c>
      <c r="C240" s="4" t="s">
        <v>525</v>
      </c>
      <c r="D240" s="4" t="s">
        <v>855</v>
      </c>
      <c r="E240" s="4" t="s">
        <v>990</v>
      </c>
      <c r="F240" s="4" t="s">
        <v>991</v>
      </c>
      <c r="G240" s="14">
        <v>52.57</v>
      </c>
      <c r="H240" s="10">
        <v>20.822817000000001</v>
      </c>
      <c r="I240" s="10">
        <v>38.133440999999998</v>
      </c>
      <c r="J240" s="10" t="s">
        <v>534</v>
      </c>
      <c r="K240" s="15">
        <v>0</v>
      </c>
      <c r="L240" s="17">
        <v>20721.266089000001</v>
      </c>
      <c r="M240" s="4" t="s">
        <v>1148</v>
      </c>
      <c r="N240" s="19">
        <v>1.3785799999999999</v>
      </c>
      <c r="O240" s="19">
        <v>2.4763999999999999</v>
      </c>
      <c r="P240" s="19">
        <v>1</v>
      </c>
      <c r="Q240" s="19">
        <v>2.1244999999999998</v>
      </c>
      <c r="R240" s="19">
        <v>0.45</v>
      </c>
      <c r="S240" s="19">
        <v>1.9504999999999999</v>
      </c>
      <c r="T240" s="19">
        <v>0.45</v>
      </c>
      <c r="U240" s="19">
        <v>0</v>
      </c>
      <c r="V240" s="19">
        <v>0.72</v>
      </c>
      <c r="W240" s="19">
        <v>0</v>
      </c>
      <c r="X240" s="19">
        <v>0.72</v>
      </c>
      <c r="Y240" s="19">
        <v>0</v>
      </c>
      <c r="Z240" s="4"/>
      <c r="AA240" s="4"/>
      <c r="AB240" s="4" t="e">
        <f ca="1">_xll.ciqfunctions.udf.CIQ("^SPX", "IQ_PRICEDATE", "12/3/2014")</f>
        <v>#NAME?</v>
      </c>
      <c r="AC240" s="16">
        <v>2074.3346391546002</v>
      </c>
    </row>
    <row r="241" spans="1:29" x14ac:dyDescent="0.35">
      <c r="A241" s="2" t="s">
        <v>251</v>
      </c>
      <c r="B241" s="4" t="s">
        <v>1149</v>
      </c>
      <c r="C241" s="4" t="s">
        <v>525</v>
      </c>
      <c r="D241" s="4" t="s">
        <v>526</v>
      </c>
      <c r="E241" s="4" t="s">
        <v>803</v>
      </c>
      <c r="F241" s="4" t="s">
        <v>948</v>
      </c>
      <c r="G241" s="14">
        <v>132.01</v>
      </c>
      <c r="H241" s="10">
        <v>12.407420999999999</v>
      </c>
      <c r="I241" s="10">
        <v>24.096838000000002</v>
      </c>
      <c r="J241" s="10" t="s">
        <v>534</v>
      </c>
      <c r="K241" s="15">
        <v>3.0299999999999997E-2</v>
      </c>
      <c r="L241" s="17">
        <v>44269.946494000003</v>
      </c>
      <c r="M241" s="4" t="s">
        <v>1150</v>
      </c>
      <c r="N241" s="19">
        <v>5.4783119999999998</v>
      </c>
      <c r="O241" s="19">
        <v>7.8270999999999997</v>
      </c>
      <c r="P241" s="19">
        <v>4.8600000000000003</v>
      </c>
      <c r="Q241" s="19">
        <v>7.0208000000000004</v>
      </c>
      <c r="R241" s="19">
        <v>5.7</v>
      </c>
      <c r="S241" s="19">
        <v>6.0159000000000002</v>
      </c>
      <c r="T241" s="19">
        <v>5.7</v>
      </c>
      <c r="U241" s="19">
        <v>5.3254000000000001</v>
      </c>
      <c r="V241" s="19">
        <v>4.67</v>
      </c>
      <c r="W241" s="19">
        <v>5.1177999999999999</v>
      </c>
      <c r="X241" s="19">
        <v>4.67</v>
      </c>
      <c r="Y241" s="19">
        <v>5.1177999999999999</v>
      </c>
      <c r="Z241" s="4"/>
      <c r="AA241" s="4"/>
      <c r="AB241" s="4" t="e">
        <f ca="1">_xll.ciqfunctions.udf.CIQ("^SPX", "IQ_PRICEDATE", "12/4/2014")</f>
        <v>#NAME?</v>
      </c>
      <c r="AC241" s="16">
        <v>2071.9155710278001</v>
      </c>
    </row>
    <row r="242" spans="1:29" x14ac:dyDescent="0.35">
      <c r="A242" s="2" t="s">
        <v>252</v>
      </c>
      <c r="B242" s="4" t="s">
        <v>1151</v>
      </c>
      <c r="C242" s="4" t="s">
        <v>530</v>
      </c>
      <c r="D242" s="4" t="s">
        <v>537</v>
      </c>
      <c r="E242" s="4" t="s">
        <v>583</v>
      </c>
      <c r="F242" s="4" t="s">
        <v>583</v>
      </c>
      <c r="G242" s="14">
        <v>328.96</v>
      </c>
      <c r="H242" s="10">
        <v>46.618369999999999</v>
      </c>
      <c r="I242" s="10">
        <v>74.801428000000001</v>
      </c>
      <c r="J242" s="10">
        <v>21.772679</v>
      </c>
      <c r="K242" s="15">
        <v>0</v>
      </c>
      <c r="L242" s="17">
        <v>48357.120000000003</v>
      </c>
      <c r="M242" s="4" t="s">
        <v>1152</v>
      </c>
      <c r="N242" s="19">
        <v>4.3977769999999996</v>
      </c>
      <c r="O242" s="19">
        <v>5.5975000000000001</v>
      </c>
      <c r="P242" s="19">
        <v>4.92</v>
      </c>
      <c r="Q242" s="19">
        <v>4.4610000000000003</v>
      </c>
      <c r="R242" s="19">
        <v>2.9797060000000002</v>
      </c>
      <c r="S242" s="19">
        <v>3.5125000000000002</v>
      </c>
      <c r="T242" s="19">
        <v>2.9797060000000002</v>
      </c>
      <c r="U242" s="19">
        <v>3.5518000000000001</v>
      </c>
      <c r="V242" s="19">
        <v>2.37</v>
      </c>
      <c r="W242" s="19">
        <v>3.0598000000000001</v>
      </c>
      <c r="X242" s="19">
        <v>2.37</v>
      </c>
      <c r="Y242" s="19">
        <v>3.0598000000000001</v>
      </c>
      <c r="Z242" s="4"/>
      <c r="AA242" s="4"/>
      <c r="AB242" s="4" t="e">
        <f ca="1">_xll.ciqfunctions.udf.CIQ("^SPX", "IQ_PRICEDATE", "12/5/2014")</f>
        <v>#NAME?</v>
      </c>
      <c r="AC242" s="16">
        <v>2075.3681926275999</v>
      </c>
    </row>
    <row r="243" spans="1:29" x14ac:dyDescent="0.35">
      <c r="A243" s="2" t="s">
        <v>253</v>
      </c>
      <c r="B243" s="4" t="s">
        <v>1153</v>
      </c>
      <c r="C243" s="4" t="s">
        <v>530</v>
      </c>
      <c r="D243" s="4" t="s">
        <v>537</v>
      </c>
      <c r="E243" s="4" t="s">
        <v>538</v>
      </c>
      <c r="F243" s="4" t="s">
        <v>538</v>
      </c>
      <c r="G243" s="14">
        <v>65.040000000000006</v>
      </c>
      <c r="H243" s="10" t="s">
        <v>534</v>
      </c>
      <c r="I243" s="10" t="s">
        <v>534</v>
      </c>
      <c r="J243" s="10">
        <v>10.224328</v>
      </c>
      <c r="K243" s="15">
        <v>0</v>
      </c>
      <c r="L243" s="17">
        <v>13826.037283</v>
      </c>
      <c r="M243" s="4" t="s">
        <v>1154</v>
      </c>
      <c r="N243" s="19">
        <v>-0.48619499999999999</v>
      </c>
      <c r="O243" s="19">
        <v>1.7767999999999999</v>
      </c>
      <c r="P243" s="19">
        <v>-1.5306569999999999</v>
      </c>
      <c r="Q243" s="19">
        <v>0.2218</v>
      </c>
      <c r="R243" s="19">
        <v>0.54</v>
      </c>
      <c r="S243" s="19">
        <v>1.2790999999999999</v>
      </c>
      <c r="T243" s="19">
        <v>0.54</v>
      </c>
      <c r="U243" s="19">
        <v>0.2427</v>
      </c>
      <c r="V243" s="19">
        <v>-0.28999999999999998</v>
      </c>
      <c r="W243" s="19">
        <v>-0.30499999999999999</v>
      </c>
      <c r="X243" s="19">
        <v>-0.28999999999999998</v>
      </c>
      <c r="Y243" s="19">
        <v>-0.30499999999999999</v>
      </c>
      <c r="Z243" s="4"/>
      <c r="AA243" s="4"/>
      <c r="AB243" s="4" t="e">
        <f ca="1">_xll.ciqfunctions.udf.CIQ("^SPX", "IQ_PRICEDATE", "12/8/2014")</f>
        <v>#NAME?</v>
      </c>
      <c r="AC243" s="16">
        <v>2060.3101311963001</v>
      </c>
    </row>
    <row r="244" spans="1:29" x14ac:dyDescent="0.35">
      <c r="A244" s="2" t="s">
        <v>254</v>
      </c>
      <c r="B244" s="4" t="s">
        <v>1155</v>
      </c>
      <c r="C244" s="4" t="s">
        <v>525</v>
      </c>
      <c r="D244" s="4" t="s">
        <v>526</v>
      </c>
      <c r="E244" s="4" t="s">
        <v>803</v>
      </c>
      <c r="F244" s="4" t="s">
        <v>948</v>
      </c>
      <c r="G244" s="14">
        <v>97.52</v>
      </c>
      <c r="H244" s="10">
        <v>12.479763999999999</v>
      </c>
      <c r="I244" s="10">
        <v>17.215479999999999</v>
      </c>
      <c r="J244" s="10" t="s">
        <v>534</v>
      </c>
      <c r="K244" s="15">
        <v>2.1739000000000001E-2</v>
      </c>
      <c r="L244" s="17">
        <v>23922.588876000002</v>
      </c>
      <c r="M244" s="4" t="s">
        <v>1156</v>
      </c>
      <c r="N244" s="19">
        <v>5.664669</v>
      </c>
      <c r="O244" s="19">
        <v>5.9066999999999998</v>
      </c>
      <c r="P244" s="19">
        <v>5.14</v>
      </c>
      <c r="Q244" s="19">
        <v>4.9977999999999998</v>
      </c>
      <c r="R244" s="19">
        <v>5.52</v>
      </c>
      <c r="S244" s="19">
        <v>4.3587999999999996</v>
      </c>
      <c r="T244" s="19">
        <v>5.52</v>
      </c>
      <c r="U244" s="19">
        <v>3.9148000000000001</v>
      </c>
      <c r="V244" s="19">
        <v>3.27</v>
      </c>
      <c r="W244" s="19">
        <v>3.6715</v>
      </c>
      <c r="X244" s="19">
        <v>3.27</v>
      </c>
      <c r="Y244" s="19">
        <v>3.6715</v>
      </c>
      <c r="Z244" s="4"/>
      <c r="AA244" s="4"/>
      <c r="AB244" s="4" t="e">
        <f ca="1">_xll.ciqfunctions.udf.CIQ("^SPX", "IQ_PRICEDATE", "12/9/2014")</f>
        <v>#NAME?</v>
      </c>
      <c r="AC244" s="16">
        <v>2059.8161266401999</v>
      </c>
    </row>
    <row r="245" spans="1:29" x14ac:dyDescent="0.35">
      <c r="A245" s="2" t="s">
        <v>255</v>
      </c>
      <c r="B245" s="4" t="s">
        <v>1157</v>
      </c>
      <c r="C245" s="4" t="s">
        <v>543</v>
      </c>
      <c r="D245" s="4" t="s">
        <v>565</v>
      </c>
      <c r="E245" s="4" t="s">
        <v>565</v>
      </c>
      <c r="F245" s="4" t="s">
        <v>566</v>
      </c>
      <c r="G245" s="14">
        <v>45.89</v>
      </c>
      <c r="H245" s="10">
        <v>7.8529540000000004</v>
      </c>
      <c r="I245" s="10">
        <v>16.549143999999998</v>
      </c>
      <c r="J245" s="10">
        <v>6.2979580000000004</v>
      </c>
      <c r="K245" s="15">
        <v>2.6148999999999999E-2</v>
      </c>
      <c r="L245" s="17">
        <v>211598.79</v>
      </c>
      <c r="M245" s="4" t="s">
        <v>1158</v>
      </c>
      <c r="N245" s="19">
        <v>2.7729529999999998</v>
      </c>
      <c r="O245" s="19">
        <v>4.1656000000000004</v>
      </c>
      <c r="P245" s="19">
        <v>1.99</v>
      </c>
      <c r="Q245" s="19">
        <v>3.2406999999999999</v>
      </c>
      <c r="R245" s="19">
        <v>2.12</v>
      </c>
      <c r="S245" s="19">
        <v>2.7601</v>
      </c>
      <c r="T245" s="19">
        <v>2.12</v>
      </c>
      <c r="U245" s="19">
        <v>2.3210999999999999</v>
      </c>
      <c r="V245" s="19">
        <v>2.31</v>
      </c>
      <c r="W245" s="19">
        <v>2.3691</v>
      </c>
      <c r="X245" s="19">
        <v>2.31</v>
      </c>
      <c r="Y245" s="19">
        <v>2.3691</v>
      </c>
      <c r="Z245" s="4"/>
      <c r="AA245" s="4"/>
      <c r="AB245" s="4" t="e">
        <f ca="1">_xll.ciqfunctions.udf.CIQ("^SPX", "IQ_PRICEDATE", "12/10/2014")</f>
        <v>#NAME?</v>
      </c>
      <c r="AC245" s="16">
        <v>2026.1434555635999</v>
      </c>
    </row>
    <row r="246" spans="1:29" x14ac:dyDescent="0.35">
      <c r="A246" s="2" t="s">
        <v>256</v>
      </c>
      <c r="B246" s="4" t="s">
        <v>1159</v>
      </c>
      <c r="C246" s="4" t="s">
        <v>573</v>
      </c>
      <c r="D246" s="4" t="s">
        <v>574</v>
      </c>
      <c r="E246" s="4" t="s">
        <v>575</v>
      </c>
      <c r="F246" s="4" t="s">
        <v>807</v>
      </c>
      <c r="G246" s="14">
        <v>73.569999999999993</v>
      </c>
      <c r="H246" s="10">
        <v>16.175283</v>
      </c>
      <c r="I246" s="10">
        <v>17.216322999999999</v>
      </c>
      <c r="J246" s="10" t="s">
        <v>534</v>
      </c>
      <c r="K246" s="15">
        <v>1.3047999999999999E-2</v>
      </c>
      <c r="L246" s="17">
        <v>42187.726394999998</v>
      </c>
      <c r="M246" s="4" t="s">
        <v>1160</v>
      </c>
      <c r="N246" s="19">
        <v>4.2732700000000001</v>
      </c>
      <c r="O246" s="19">
        <v>3.5750999999999999</v>
      </c>
      <c r="P246" s="19">
        <v>4.2300000000000004</v>
      </c>
      <c r="Q246" s="19">
        <v>3.2305000000000001</v>
      </c>
      <c r="R246" s="19">
        <v>2.37</v>
      </c>
      <c r="S246" s="19">
        <v>2.9710999999999999</v>
      </c>
      <c r="T246" s="19">
        <v>2.37</v>
      </c>
      <c r="U246" s="19">
        <v>2.6977000000000002</v>
      </c>
      <c r="V246" s="19">
        <v>1.69</v>
      </c>
      <c r="W246" s="19">
        <v>2.2726000000000002</v>
      </c>
      <c r="X246" s="19">
        <v>1.69</v>
      </c>
      <c r="Y246" s="19">
        <v>2.2726000000000002</v>
      </c>
      <c r="Z246" s="4"/>
      <c r="AA246" s="4"/>
      <c r="AB246" s="4" t="e">
        <f ca="1">_xll.ciqfunctions.udf.CIQ("^SPX", "IQ_PRICEDATE", "12/11/2014")</f>
        <v>#NAME?</v>
      </c>
      <c r="AC246" s="16">
        <v>2035.3266285533</v>
      </c>
    </row>
    <row r="247" spans="1:29" x14ac:dyDescent="0.35">
      <c r="A247" s="2" t="s">
        <v>257</v>
      </c>
      <c r="B247" s="4" t="s">
        <v>1161</v>
      </c>
      <c r="C247" s="4" t="s">
        <v>543</v>
      </c>
      <c r="D247" s="4" t="s">
        <v>544</v>
      </c>
      <c r="E247" s="4" t="s">
        <v>545</v>
      </c>
      <c r="F247" s="4" t="s">
        <v>546</v>
      </c>
      <c r="G247" s="14">
        <v>134.05000000000001</v>
      </c>
      <c r="H247" s="10">
        <v>9.2836680000000005</v>
      </c>
      <c r="I247" s="10">
        <v>21.612307999999999</v>
      </c>
      <c r="J247" s="10" t="s">
        <v>534</v>
      </c>
      <c r="K247" s="15">
        <v>4.6848000000000001E-2</v>
      </c>
      <c r="L247" s="17">
        <v>122356.57573500001</v>
      </c>
      <c r="M247" s="4" t="s">
        <v>1162</v>
      </c>
      <c r="N247" s="19">
        <v>6.2024840000000001</v>
      </c>
      <c r="O247" s="19">
        <v>13.776300000000001</v>
      </c>
      <c r="P247" s="19">
        <v>6.1404820000000004</v>
      </c>
      <c r="Q247" s="19">
        <v>14.017099999999999</v>
      </c>
      <c r="R247" s="19">
        <v>12.39</v>
      </c>
      <c r="S247" s="19">
        <v>14.0162</v>
      </c>
      <c r="T247" s="19">
        <v>12.39</v>
      </c>
      <c r="U247" s="19">
        <v>14.968299999999999</v>
      </c>
      <c r="V247" s="19">
        <v>15.593061000000001</v>
      </c>
      <c r="W247" s="19">
        <v>16.736899999999999</v>
      </c>
      <c r="X247" s="19">
        <v>15.593061000000001</v>
      </c>
      <c r="Y247" s="19">
        <v>16.736899999999999</v>
      </c>
      <c r="Z247" s="4"/>
      <c r="AA247" s="4"/>
      <c r="AB247" s="4" t="e">
        <f ca="1">_xll.ciqfunctions.udf.CIQ("^SPX", "IQ_PRICEDATE", "12/12/2014")</f>
        <v>#NAME?</v>
      </c>
      <c r="AC247" s="16">
        <v>2002.3342396802</v>
      </c>
    </row>
    <row r="248" spans="1:29" x14ac:dyDescent="0.35">
      <c r="A248" s="2" t="s">
        <v>258</v>
      </c>
      <c r="B248" s="4" t="s">
        <v>1163</v>
      </c>
      <c r="C248" s="4" t="s">
        <v>586</v>
      </c>
      <c r="D248" s="4" t="s">
        <v>586</v>
      </c>
      <c r="E248" s="4" t="s">
        <v>587</v>
      </c>
      <c r="F248" s="4" t="s">
        <v>598</v>
      </c>
      <c r="G248" s="14">
        <v>138.22999999999999</v>
      </c>
      <c r="H248" s="10">
        <v>20.308163</v>
      </c>
      <c r="I248" s="10">
        <v>36.862974000000001</v>
      </c>
      <c r="J248" s="10">
        <v>52.070168000000002</v>
      </c>
      <c r="K248" s="15">
        <v>2.1124E-2</v>
      </c>
      <c r="L248" s="17">
        <v>14742.229499999999</v>
      </c>
      <c r="M248" s="4" t="s">
        <v>1164</v>
      </c>
      <c r="N248" s="19">
        <v>3.7498330000000002</v>
      </c>
      <c r="O248" s="19">
        <v>6.1638000000000002</v>
      </c>
      <c r="P248" s="19">
        <v>3.72</v>
      </c>
      <c r="Q248" s="19">
        <v>6.1523000000000003</v>
      </c>
      <c r="R248" s="19">
        <v>5.05</v>
      </c>
      <c r="S248" s="19">
        <v>5.76</v>
      </c>
      <c r="T248" s="19">
        <v>5.05</v>
      </c>
      <c r="U248" s="19">
        <v>5.4825999999999997</v>
      </c>
      <c r="V248" s="19">
        <v>5.0599999999999996</v>
      </c>
      <c r="W248" s="19">
        <v>5.3129999999999997</v>
      </c>
      <c r="X248" s="19">
        <v>5.0599999999999996</v>
      </c>
      <c r="Y248" s="19">
        <v>5.3129999999999997</v>
      </c>
      <c r="Z248" s="4"/>
      <c r="AA248" s="4"/>
      <c r="AB248" s="4" t="e">
        <f ca="1">_xll.ciqfunctions.udf.CIQ("^SPX", "IQ_PRICEDATE", "12/15/2014")</f>
        <v>#NAME?</v>
      </c>
      <c r="AC248" s="16">
        <v>1989.6307630511999</v>
      </c>
    </row>
    <row r="249" spans="1:29" x14ac:dyDescent="0.35">
      <c r="A249" s="2" t="s">
        <v>259</v>
      </c>
      <c r="B249" s="4" t="s">
        <v>1165</v>
      </c>
      <c r="C249" s="4" t="s">
        <v>586</v>
      </c>
      <c r="D249" s="4" t="s">
        <v>586</v>
      </c>
      <c r="E249" s="4" t="s">
        <v>726</v>
      </c>
      <c r="F249" s="4" t="s">
        <v>727</v>
      </c>
      <c r="G249" s="14">
        <v>43.2</v>
      </c>
      <c r="H249" s="10">
        <v>7.1976259999999996</v>
      </c>
      <c r="I249" s="10">
        <v>6.9000849999999998</v>
      </c>
      <c r="J249" s="10">
        <v>5.0965030000000002</v>
      </c>
      <c r="K249" s="15">
        <v>4.6295999999999997E-2</v>
      </c>
      <c r="L249" s="17">
        <v>17663.532407999999</v>
      </c>
      <c r="M249" s="4" t="s">
        <v>1166</v>
      </c>
      <c r="N249" s="19">
        <v>6.2607920000000004</v>
      </c>
      <c r="O249" s="19">
        <v>5.5339</v>
      </c>
      <c r="P249" s="19">
        <v>5.05</v>
      </c>
      <c r="Q249" s="19">
        <v>4.3665000000000003</v>
      </c>
      <c r="R249" s="19">
        <v>1.93</v>
      </c>
      <c r="S249" s="19">
        <v>3.7856999999999998</v>
      </c>
      <c r="T249" s="19">
        <v>1.93</v>
      </c>
      <c r="U249" s="19">
        <v>3.8092000000000001</v>
      </c>
      <c r="V249" s="19">
        <v>1.31</v>
      </c>
      <c r="W249" s="19">
        <v>3.6678000000000002</v>
      </c>
      <c r="X249" s="19">
        <v>1.31</v>
      </c>
      <c r="Y249" s="19">
        <v>3.6678000000000002</v>
      </c>
      <c r="Z249" s="4"/>
      <c r="AA249" s="4"/>
      <c r="AB249" s="4" t="e">
        <f ca="1">_xll.ciqfunctions.udf.CIQ("^SPX", "IQ_PRICEDATE", "12/16/2014")</f>
        <v>#NAME?</v>
      </c>
      <c r="AC249" s="16">
        <v>1972.7364597573001</v>
      </c>
    </row>
    <row r="250" spans="1:29" x14ac:dyDescent="0.35">
      <c r="A250" s="2" t="s">
        <v>260</v>
      </c>
      <c r="B250" s="4" t="s">
        <v>1167</v>
      </c>
      <c r="C250" s="4" t="s">
        <v>543</v>
      </c>
      <c r="D250" s="4" t="s">
        <v>544</v>
      </c>
      <c r="E250" s="4" t="s">
        <v>555</v>
      </c>
      <c r="F250" s="4" t="s">
        <v>556</v>
      </c>
      <c r="G250" s="14">
        <v>218.83</v>
      </c>
      <c r="H250" s="10">
        <v>31.888824</v>
      </c>
      <c r="I250" s="10">
        <v>47.161636999999999</v>
      </c>
      <c r="J250" s="10">
        <v>82.980863999999997</v>
      </c>
      <c r="K250" s="15">
        <v>8.5909999999999997E-3</v>
      </c>
      <c r="L250" s="17">
        <v>56605.110605000002</v>
      </c>
      <c r="M250" s="4" t="s">
        <v>1168</v>
      </c>
      <c r="N250" s="19">
        <v>4.6399999999999997</v>
      </c>
      <c r="O250" s="19">
        <v>6.4806299999999997</v>
      </c>
      <c r="P250" s="19">
        <v>3.7771970000000001</v>
      </c>
      <c r="Q250" s="19">
        <v>4.9840999999999998</v>
      </c>
      <c r="R250" s="19">
        <v>3.076711</v>
      </c>
      <c r="S250" s="19">
        <v>4.4196</v>
      </c>
      <c r="T250" s="19">
        <v>3.076711</v>
      </c>
      <c r="U250" s="19">
        <v>3.5710999999999999</v>
      </c>
      <c r="V250" s="19">
        <v>2.8676759999999999</v>
      </c>
      <c r="W250" s="19">
        <v>2.5811999999999999</v>
      </c>
      <c r="X250" s="19">
        <v>2.8676759999999999</v>
      </c>
      <c r="Y250" s="19">
        <v>2.5811999999999999</v>
      </c>
      <c r="Z250" s="4"/>
      <c r="AA250" s="4"/>
      <c r="AB250" s="4" t="e">
        <f ca="1">_xll.ciqfunctions.udf.CIQ("^SPX", "IQ_PRICEDATE", "12/17/2014")</f>
        <v>#NAME?</v>
      </c>
      <c r="AC250" s="16">
        <v>2012.8859796547999</v>
      </c>
    </row>
    <row r="251" spans="1:29" x14ac:dyDescent="0.35">
      <c r="A251" s="2" t="s">
        <v>261</v>
      </c>
      <c r="B251" s="4" t="s">
        <v>1169</v>
      </c>
      <c r="C251" s="4" t="s">
        <v>530</v>
      </c>
      <c r="D251" s="4" t="s">
        <v>531</v>
      </c>
      <c r="E251" s="4" t="s">
        <v>532</v>
      </c>
      <c r="F251" s="4" t="s">
        <v>533</v>
      </c>
      <c r="G251" s="14">
        <v>542.91</v>
      </c>
      <c r="H251" s="10">
        <v>44.728051000000001</v>
      </c>
      <c r="I251" s="10">
        <v>80.058972999999995</v>
      </c>
      <c r="J251" s="10">
        <v>11.144607000000001</v>
      </c>
      <c r="K251" s="15">
        <v>0</v>
      </c>
      <c r="L251" s="17">
        <v>61754.706258999999</v>
      </c>
      <c r="M251" s="4" t="s">
        <v>1170</v>
      </c>
      <c r="N251" s="19">
        <v>6.7813759999999998</v>
      </c>
      <c r="O251" s="19">
        <v>11.362399999999999</v>
      </c>
      <c r="P251" s="19">
        <v>5.67</v>
      </c>
      <c r="Q251" s="19">
        <v>8.8413000000000004</v>
      </c>
      <c r="R251" s="19">
        <v>6.24</v>
      </c>
      <c r="S251" s="19">
        <v>7.8052000000000001</v>
      </c>
      <c r="T251" s="19">
        <v>6.24</v>
      </c>
      <c r="U251" s="19">
        <v>6.3647</v>
      </c>
      <c r="V251" s="19">
        <v>3.7033</v>
      </c>
      <c r="W251" s="19">
        <v>5.6635999999999997</v>
      </c>
      <c r="X251" s="19">
        <v>3.7033</v>
      </c>
      <c r="Y251" s="19">
        <v>5.6635999999999997</v>
      </c>
      <c r="Z251" s="4"/>
      <c r="AA251" s="4"/>
      <c r="AB251" s="4" t="e">
        <f ca="1">_xll.ciqfunctions.udf.CIQ("^SPX", "IQ_PRICEDATE", "12/18/2014")</f>
        <v>#NAME?</v>
      </c>
      <c r="AC251" s="16">
        <v>2061.2301186246</v>
      </c>
    </row>
    <row r="252" spans="1:29" x14ac:dyDescent="0.35">
      <c r="A252" s="2" t="s">
        <v>262</v>
      </c>
      <c r="B252" s="4" t="s">
        <v>1171</v>
      </c>
      <c r="C252" s="4" t="s">
        <v>573</v>
      </c>
      <c r="D252" s="4" t="s">
        <v>574</v>
      </c>
      <c r="E252" s="4" t="s">
        <v>575</v>
      </c>
      <c r="F252" s="4" t="s">
        <v>576</v>
      </c>
      <c r="G252" s="14">
        <v>20.94</v>
      </c>
      <c r="H252" s="10">
        <v>9.7137360000000008</v>
      </c>
      <c r="I252" s="10">
        <v>7.3317629999999996</v>
      </c>
      <c r="J252" s="10" t="s">
        <v>534</v>
      </c>
      <c r="K252" s="15">
        <v>5.7305999999999996E-2</v>
      </c>
      <c r="L252" s="17">
        <v>8603.1766779999998</v>
      </c>
      <c r="M252" s="4" t="s">
        <v>1172</v>
      </c>
      <c r="N252" s="19">
        <v>2.8560660000000002</v>
      </c>
      <c r="O252" s="19">
        <v>2.6720000000000002</v>
      </c>
      <c r="P252" s="19">
        <v>2.75</v>
      </c>
      <c r="Q252" s="19">
        <v>2.8094000000000001</v>
      </c>
      <c r="R252" s="19">
        <v>2.0598019999999999</v>
      </c>
      <c r="S252" s="19">
        <v>2.5004</v>
      </c>
      <c r="T252" s="19">
        <v>2.0598019999999999</v>
      </c>
      <c r="U252" s="19">
        <v>2.5954999999999999</v>
      </c>
      <c r="V252" s="19">
        <v>2.2794599999999998</v>
      </c>
      <c r="W252" s="19">
        <v>2.6703999999999999</v>
      </c>
      <c r="X252" s="19">
        <v>2.2794599999999998</v>
      </c>
      <c r="Y252" s="19">
        <v>2.6703999999999999</v>
      </c>
      <c r="Z252" s="4"/>
      <c r="AA252" s="4"/>
      <c r="AB252" s="4" t="e">
        <f ca="1">_xll.ciqfunctions.udf.CIQ("^SPX", "IQ_PRICEDATE", "12/19/2014")</f>
        <v>#NAME?</v>
      </c>
      <c r="AC252" s="16">
        <v>2070.6469553891998</v>
      </c>
    </row>
    <row r="253" spans="1:29" x14ac:dyDescent="0.35">
      <c r="A253" s="2" t="s">
        <v>263</v>
      </c>
      <c r="B253" s="4" t="s">
        <v>1173</v>
      </c>
      <c r="C253" s="4" t="s">
        <v>543</v>
      </c>
      <c r="D253" s="4" t="s">
        <v>664</v>
      </c>
      <c r="E253" s="4" t="s">
        <v>665</v>
      </c>
      <c r="F253" s="4" t="s">
        <v>1174</v>
      </c>
      <c r="G253" s="14">
        <v>139.94</v>
      </c>
      <c r="H253" s="10">
        <v>9.4032289999999996</v>
      </c>
      <c r="I253" s="10">
        <v>19.402211000000001</v>
      </c>
      <c r="J253" s="10">
        <v>3.6402589999999999</v>
      </c>
      <c r="K253" s="15">
        <v>0</v>
      </c>
      <c r="L253" s="17">
        <v>7523.2652209999997</v>
      </c>
      <c r="M253" s="4" t="s">
        <v>1175</v>
      </c>
      <c r="N253" s="19">
        <v>7.21258</v>
      </c>
      <c r="O253" s="19">
        <v>7.3319999999999999</v>
      </c>
      <c r="P253" s="19">
        <v>6.36</v>
      </c>
      <c r="Q253" s="19">
        <v>7.5782999999999996</v>
      </c>
      <c r="R253" s="19">
        <v>4.8499999999999996</v>
      </c>
      <c r="S253" s="19">
        <v>5.2008000000000001</v>
      </c>
      <c r="T253" s="19">
        <v>4.8499999999999996</v>
      </c>
      <c r="U253" s="19">
        <v>4.9156000000000004</v>
      </c>
      <c r="V253" s="19">
        <v>3.79</v>
      </c>
      <c r="W253" s="19">
        <v>4.0875000000000004</v>
      </c>
      <c r="X253" s="19">
        <v>3.79</v>
      </c>
      <c r="Y253" s="19">
        <v>4.0875000000000004</v>
      </c>
      <c r="Z253" s="4"/>
      <c r="AA253" s="4"/>
      <c r="AB253" s="4" t="e">
        <f ca="1">_xll.ciqfunctions.udf.CIQ("^SPX", "IQ_PRICEDATE", "12/22/2014")</f>
        <v>#NAME?</v>
      </c>
      <c r="AC253" s="16">
        <v>2078.5361717518999</v>
      </c>
    </row>
    <row r="254" spans="1:29" x14ac:dyDescent="0.35">
      <c r="A254" s="2" t="s">
        <v>264</v>
      </c>
      <c r="B254" s="4" t="s">
        <v>1176</v>
      </c>
      <c r="C254" s="4" t="s">
        <v>530</v>
      </c>
      <c r="D254" s="4" t="s">
        <v>537</v>
      </c>
      <c r="E254" s="4" t="s">
        <v>583</v>
      </c>
      <c r="F254" s="4" t="s">
        <v>583</v>
      </c>
      <c r="G254" s="14">
        <v>129.38</v>
      </c>
      <c r="H254" s="10">
        <v>20.103487999999999</v>
      </c>
      <c r="I254" s="10">
        <v>21.650442999999999</v>
      </c>
      <c r="J254" s="10" t="s">
        <v>534</v>
      </c>
      <c r="K254" s="15">
        <v>0</v>
      </c>
      <c r="L254" s="17">
        <v>26210.692475</v>
      </c>
      <c r="M254" s="4" t="s">
        <v>1177</v>
      </c>
      <c r="N254" s="19">
        <v>5.9758589999999998</v>
      </c>
      <c r="O254" s="19">
        <v>5.8357000000000001</v>
      </c>
      <c r="P254" s="19">
        <v>5.88</v>
      </c>
      <c r="Q254" s="19">
        <v>5.1369999999999996</v>
      </c>
      <c r="R254" s="19">
        <v>0.76</v>
      </c>
      <c r="S254" s="19">
        <v>4.3288000000000002</v>
      </c>
      <c r="T254" s="19">
        <v>0.76</v>
      </c>
      <c r="U254" s="19">
        <v>3.5811000000000002</v>
      </c>
      <c r="V254" s="19">
        <v>2.72</v>
      </c>
      <c r="W254" s="19">
        <v>2.8815</v>
      </c>
      <c r="X254" s="19">
        <v>2.72</v>
      </c>
      <c r="Y254" s="19">
        <v>2.8815</v>
      </c>
      <c r="Z254" s="4"/>
      <c r="AA254" s="4"/>
      <c r="AB254" s="4" t="e">
        <f ca="1">_xll.ciqfunctions.udf.CIQ("^SPX", "IQ_PRICEDATE", "12/23/2014")</f>
        <v>#NAME?</v>
      </c>
      <c r="AC254" s="16">
        <v>2082.1676604115</v>
      </c>
    </row>
    <row r="255" spans="1:29" x14ac:dyDescent="0.35">
      <c r="A255" s="2" t="s">
        <v>265</v>
      </c>
      <c r="B255" s="4" t="s">
        <v>1178</v>
      </c>
      <c r="C255" s="4" t="s">
        <v>601</v>
      </c>
      <c r="D255" s="4" t="s">
        <v>601</v>
      </c>
      <c r="E255" s="4" t="s">
        <v>602</v>
      </c>
      <c r="F255" s="4" t="s">
        <v>647</v>
      </c>
      <c r="G255" s="14">
        <v>31.74</v>
      </c>
      <c r="H255" s="10">
        <v>12.41197</v>
      </c>
      <c r="I255" s="10">
        <v>46.523148999999997</v>
      </c>
      <c r="J255" s="10" t="s">
        <v>534</v>
      </c>
      <c r="K255" s="15">
        <v>7.4039000000000008E-2</v>
      </c>
      <c r="L255" s="17">
        <v>9082.2671520000004</v>
      </c>
      <c r="M255" s="4" t="s">
        <v>1179</v>
      </c>
      <c r="N255" s="19">
        <v>0.68224099999999999</v>
      </c>
      <c r="O255" s="19">
        <v>1.1133999999999999</v>
      </c>
      <c r="P255" s="19">
        <v>0.71</v>
      </c>
      <c r="Q255" s="19">
        <v>1.2918000000000001</v>
      </c>
      <c r="R255" s="19">
        <v>0.409999</v>
      </c>
      <c r="S255" s="19">
        <v>1.1473</v>
      </c>
      <c r="T255" s="19">
        <v>0.409999</v>
      </c>
      <c r="U255" s="19">
        <v>1.3130999999999999</v>
      </c>
      <c r="V255" s="19">
        <v>1.661062</v>
      </c>
      <c r="W255" s="19">
        <v>1.2966</v>
      </c>
      <c r="X255" s="19">
        <v>1.661062</v>
      </c>
      <c r="Y255" s="19">
        <v>1.2966</v>
      </c>
      <c r="Z255" s="4"/>
      <c r="AA255" s="4"/>
      <c r="AB255" s="4" t="e">
        <f ca="1">_xll.ciqfunctions.udf.CIQ("^SPX", "IQ_PRICEDATE", "12/24/2014")</f>
        <v>#NAME?</v>
      </c>
      <c r="AC255" s="16">
        <v>2081.8815308929002</v>
      </c>
    </row>
    <row r="256" spans="1:29" x14ac:dyDescent="0.35">
      <c r="A256" s="2" t="s">
        <v>266</v>
      </c>
      <c r="B256" s="4" t="s">
        <v>1180</v>
      </c>
      <c r="C256" s="4" t="s">
        <v>525</v>
      </c>
      <c r="D256" s="4" t="s">
        <v>594</v>
      </c>
      <c r="E256" s="4" t="s">
        <v>903</v>
      </c>
      <c r="F256" s="4" t="s">
        <v>1181</v>
      </c>
      <c r="G256" s="14">
        <v>112.2</v>
      </c>
      <c r="H256" s="10">
        <v>11.778181</v>
      </c>
      <c r="I256" s="10">
        <v>15.781701999999999</v>
      </c>
      <c r="J256" s="10">
        <v>5.8875690000000001</v>
      </c>
      <c r="K256" s="15">
        <v>8.5560000000000011E-3</v>
      </c>
      <c r="L256" s="17">
        <v>12268.400165999999</v>
      </c>
      <c r="M256" s="4" t="s">
        <v>1182</v>
      </c>
      <c r="N256" s="19">
        <v>7.1094989999999996</v>
      </c>
      <c r="O256" s="19">
        <v>6.1639999999999997</v>
      </c>
      <c r="P256" s="19">
        <v>6.18</v>
      </c>
      <c r="Q256" s="19">
        <v>4.1931000000000003</v>
      </c>
      <c r="R256" s="19">
        <v>3.81</v>
      </c>
      <c r="S256" s="19">
        <v>4.0339999999999998</v>
      </c>
      <c r="T256" s="19">
        <v>3.81</v>
      </c>
      <c r="U256" s="19">
        <v>3.9384000000000001</v>
      </c>
      <c r="V256" s="19">
        <v>3.16</v>
      </c>
      <c r="W256" s="19">
        <v>3.4761000000000002</v>
      </c>
      <c r="X256" s="19">
        <v>3.16</v>
      </c>
      <c r="Y256" s="19">
        <v>3.4761000000000002</v>
      </c>
      <c r="Z256" s="4"/>
      <c r="AA256" s="4"/>
      <c r="AB256" s="4" t="e">
        <f ca="1">_xll.ciqfunctions.udf.CIQ("^SPX", "IQ_PRICEDATE", "12/26/2014")</f>
        <v>#NAME?</v>
      </c>
      <c r="AC256" s="16">
        <v>2088.7660628378999</v>
      </c>
    </row>
    <row r="257" spans="1:29" x14ac:dyDescent="0.35">
      <c r="A257" s="2" t="s">
        <v>267</v>
      </c>
      <c r="B257" s="4" t="s">
        <v>1183</v>
      </c>
      <c r="C257" s="4" t="s">
        <v>525</v>
      </c>
      <c r="D257" s="4" t="s">
        <v>526</v>
      </c>
      <c r="E257" s="4" t="s">
        <v>1046</v>
      </c>
      <c r="F257" s="4" t="s">
        <v>1046</v>
      </c>
      <c r="G257" s="14">
        <v>73.849999999999994</v>
      </c>
      <c r="H257" s="10">
        <v>12.781662000000001</v>
      </c>
      <c r="I257" s="10">
        <v>33.384928000000002</v>
      </c>
      <c r="J257" s="10" t="s">
        <v>534</v>
      </c>
      <c r="K257" s="15">
        <v>8.1239999999999993E-3</v>
      </c>
      <c r="L257" s="17">
        <v>10479.617711000001</v>
      </c>
      <c r="M257" s="4" t="s">
        <v>1184</v>
      </c>
      <c r="N257" s="19">
        <v>2.2120760000000002</v>
      </c>
      <c r="O257" s="19">
        <v>5.1555</v>
      </c>
      <c r="P257" s="19">
        <v>1.9205760000000001</v>
      </c>
      <c r="Q257" s="19">
        <v>3.4943499999999998</v>
      </c>
      <c r="R257" s="19">
        <v>1.850436</v>
      </c>
      <c r="S257" s="19">
        <v>3.1346599999999998</v>
      </c>
      <c r="T257" s="19">
        <v>1.850436</v>
      </c>
      <c r="U257" s="19">
        <v>3.0944799999999999</v>
      </c>
      <c r="V257" s="19">
        <v>2.537652</v>
      </c>
      <c r="W257" s="19">
        <v>3.5872199999999999</v>
      </c>
      <c r="X257" s="19">
        <v>2.537652</v>
      </c>
      <c r="Y257" s="19">
        <v>3.5872199999999999</v>
      </c>
      <c r="Z257" s="4"/>
      <c r="AA257" s="4"/>
      <c r="AB257" s="4" t="e">
        <f ca="1">_xll.ciqfunctions.udf.CIQ("^SPX", "IQ_PRICEDATE", "12/29/2014")</f>
        <v>#NAME?</v>
      </c>
      <c r="AC257" s="16">
        <v>2090.5738632215998</v>
      </c>
    </row>
    <row r="258" spans="1:29" x14ac:dyDescent="0.35">
      <c r="A258" s="2" t="s">
        <v>268</v>
      </c>
      <c r="B258" s="4" t="s">
        <v>1185</v>
      </c>
      <c r="C258" s="4" t="s">
        <v>573</v>
      </c>
      <c r="D258" s="4" t="s">
        <v>574</v>
      </c>
      <c r="E258" s="4" t="s">
        <v>748</v>
      </c>
      <c r="F258" s="4" t="s">
        <v>749</v>
      </c>
      <c r="G258" s="14">
        <v>21.7</v>
      </c>
      <c r="H258" s="10">
        <v>10.817069999999999</v>
      </c>
      <c r="I258" s="10" t="s">
        <v>534</v>
      </c>
      <c r="J258" s="10">
        <v>0.83744099999999999</v>
      </c>
      <c r="K258" s="15">
        <v>2.3040999999999999E-2</v>
      </c>
      <c r="L258" s="17">
        <v>7233.3064400000003</v>
      </c>
      <c r="M258" s="4" t="s">
        <v>1186</v>
      </c>
      <c r="N258" s="19">
        <v>-8.6269999999999993E-3</v>
      </c>
      <c r="O258" s="19">
        <v>1.87</v>
      </c>
      <c r="P258" s="19">
        <v>0.44976100000000002</v>
      </c>
      <c r="Q258" s="19">
        <v>1.65</v>
      </c>
      <c r="R258" s="19">
        <v>0.33738600000000002</v>
      </c>
      <c r="S258" s="19">
        <v>1.085</v>
      </c>
      <c r="T258" s="19">
        <v>0.33738600000000002</v>
      </c>
      <c r="U258" s="19">
        <v>0.78</v>
      </c>
      <c r="V258" s="19">
        <v>0.57973699999999995</v>
      </c>
      <c r="W258" s="19">
        <v>-0.6</v>
      </c>
      <c r="X258" s="19">
        <v>0.57973699999999995</v>
      </c>
      <c r="Y258" s="19">
        <v>-0.6</v>
      </c>
      <c r="Z258" s="4"/>
      <c r="AA258" s="4"/>
      <c r="AB258" s="4" t="e">
        <f ca="1">_xll.ciqfunctions.udf.CIQ("^SPX", "IQ_PRICEDATE", "12/30/2014")</f>
        <v>#NAME?</v>
      </c>
      <c r="AC258" s="16">
        <v>2080.3458639493001</v>
      </c>
    </row>
    <row r="259" spans="1:29" x14ac:dyDescent="0.35">
      <c r="A259" s="2" t="s">
        <v>269</v>
      </c>
      <c r="B259" s="4" t="s">
        <v>1187</v>
      </c>
      <c r="C259" s="4" t="s">
        <v>530</v>
      </c>
      <c r="D259" s="4" t="s">
        <v>537</v>
      </c>
      <c r="E259" s="4" t="s">
        <v>613</v>
      </c>
      <c r="F259" s="4" t="s">
        <v>613</v>
      </c>
      <c r="G259" s="14">
        <v>139.46</v>
      </c>
      <c r="H259" s="10">
        <v>13.82794</v>
      </c>
      <c r="I259" s="10">
        <v>245.060483</v>
      </c>
      <c r="J259" s="10" t="s">
        <v>534</v>
      </c>
      <c r="K259" s="15">
        <v>2.5813000000000003E-2</v>
      </c>
      <c r="L259" s="17">
        <v>374137.16026700003</v>
      </c>
      <c r="M259" s="4" t="s">
        <v>1188</v>
      </c>
      <c r="N259" s="19">
        <v>0.56908400000000003</v>
      </c>
      <c r="O259" s="19">
        <v>8.3667999999999996</v>
      </c>
      <c r="P259" s="19">
        <v>0.47389999999999999</v>
      </c>
      <c r="Q259" s="19">
        <v>7.7030000000000003</v>
      </c>
      <c r="R259" s="19">
        <v>5.6973520000000004</v>
      </c>
      <c r="S259" s="19">
        <v>6.9474999999999998</v>
      </c>
      <c r="T259" s="19">
        <v>5.6973520000000004</v>
      </c>
      <c r="U259" s="19">
        <v>6.2648000000000001</v>
      </c>
      <c r="V259" s="19">
        <v>5.7006180000000004</v>
      </c>
      <c r="W259" s="19">
        <v>5.9557000000000002</v>
      </c>
      <c r="X259" s="19">
        <v>5.7006180000000004</v>
      </c>
      <c r="Y259" s="19">
        <v>5.9557000000000002</v>
      </c>
      <c r="Z259" s="4"/>
      <c r="AA259" s="4"/>
      <c r="AB259" s="4" t="e">
        <f ca="1">_xll.ciqfunctions.udf.CIQ("^SPX", "IQ_PRICEDATE", "12/31/2014")</f>
        <v>#NAME?</v>
      </c>
      <c r="AC259" s="16">
        <v>2058.9023788569002</v>
      </c>
    </row>
    <row r="260" spans="1:29" x14ac:dyDescent="0.35">
      <c r="A260" s="2" t="s">
        <v>270</v>
      </c>
      <c r="B260" s="4" t="s">
        <v>1189</v>
      </c>
      <c r="C260" s="4" t="s">
        <v>525</v>
      </c>
      <c r="D260" s="4" t="s">
        <v>526</v>
      </c>
      <c r="E260" s="4" t="s">
        <v>527</v>
      </c>
      <c r="F260" s="4" t="s">
        <v>527</v>
      </c>
      <c r="G260" s="14">
        <v>33.86</v>
      </c>
      <c r="H260" s="10">
        <v>8.6155080000000002</v>
      </c>
      <c r="I260" s="10">
        <v>13.953128</v>
      </c>
      <c r="J260" s="10" t="s">
        <v>534</v>
      </c>
      <c r="K260" s="15">
        <v>3.0714000000000002E-2</v>
      </c>
      <c r="L260" s="17">
        <v>31317.865049</v>
      </c>
      <c r="M260" s="4" t="s">
        <v>1190</v>
      </c>
      <c r="N260" s="19">
        <v>2.4266960000000002</v>
      </c>
      <c r="O260" s="19">
        <v>2.9670000000000001</v>
      </c>
      <c r="P260" s="19">
        <v>1.6118680000000001</v>
      </c>
      <c r="Q260" s="19">
        <v>2.8096299999999998</v>
      </c>
      <c r="R260" s="19">
        <v>1.111035</v>
      </c>
      <c r="S260" s="19">
        <v>2.6903999999999999</v>
      </c>
      <c r="T260" s="19">
        <v>1.111035</v>
      </c>
      <c r="U260" s="19">
        <v>3.9556200000000001</v>
      </c>
      <c r="V260" s="19">
        <v>2.1573060000000002</v>
      </c>
      <c r="W260" s="19">
        <v>3.7068099999999999</v>
      </c>
      <c r="X260" s="19">
        <v>2.1573060000000002</v>
      </c>
      <c r="Y260" s="19">
        <v>3.7068099999999999</v>
      </c>
      <c r="Z260" s="4"/>
      <c r="AA260" s="4"/>
      <c r="AB260" s="4" t="e">
        <f ca="1">_xll.ciqfunctions.udf.CIQ("^SPX", "IQ_PRICEDATE", "1/2/2015")</f>
        <v>#NAME?</v>
      </c>
      <c r="AC260" s="16">
        <v>2058.2047787243</v>
      </c>
    </row>
    <row r="261" spans="1:29" x14ac:dyDescent="0.35">
      <c r="A261" s="2" t="s">
        <v>271</v>
      </c>
      <c r="B261" s="4" t="s">
        <v>1191</v>
      </c>
      <c r="C261" s="4" t="s">
        <v>573</v>
      </c>
      <c r="D261" s="4" t="s">
        <v>737</v>
      </c>
      <c r="E261" s="4" t="s">
        <v>737</v>
      </c>
      <c r="F261" s="4" t="s">
        <v>738</v>
      </c>
      <c r="G261" s="14">
        <v>109.83</v>
      </c>
      <c r="H261" s="10">
        <v>0</v>
      </c>
      <c r="I261" s="10">
        <v>13.631594</v>
      </c>
      <c r="J261" s="10">
        <v>2.0270100000000002</v>
      </c>
      <c r="K261" s="15">
        <v>2.9135000000000001E-2</v>
      </c>
      <c r="L261" s="17">
        <v>369073.95704399998</v>
      </c>
      <c r="M261" s="4" t="s">
        <v>1192</v>
      </c>
      <c r="N261" s="19">
        <v>8.0570179999999993</v>
      </c>
      <c r="O261" s="19">
        <v>9.8957999999999995</v>
      </c>
      <c r="P261" s="19">
        <v>6.31</v>
      </c>
      <c r="Q261" s="19">
        <v>7.5556999999999999</v>
      </c>
      <c r="R261" s="19">
        <v>6.19</v>
      </c>
      <c r="S261" s="19">
        <v>6.2808000000000002</v>
      </c>
      <c r="T261" s="19">
        <v>6.19</v>
      </c>
      <c r="U261" s="19">
        <v>5.9207000000000001</v>
      </c>
      <c r="V261" s="19">
        <v>5.29</v>
      </c>
      <c r="W261" s="19">
        <v>5.8353999999999999</v>
      </c>
      <c r="X261" s="19">
        <v>5.29</v>
      </c>
      <c r="Y261" s="19">
        <v>5.8353999999999999</v>
      </c>
      <c r="Z261" s="4"/>
      <c r="AA261" s="4"/>
      <c r="AB261" s="4" t="e">
        <f ca="1">_xll.ciqfunctions.udf.CIQ("^SPX", "IQ_PRICEDATE", "1/5/2015")</f>
        <v>#NAME?</v>
      </c>
      <c r="AC261" s="16">
        <v>2020.5778843052001</v>
      </c>
    </row>
    <row r="262" spans="1:29" x14ac:dyDescent="0.35">
      <c r="A262" s="2" t="s">
        <v>272</v>
      </c>
      <c r="B262" s="4" t="s">
        <v>1193</v>
      </c>
      <c r="C262" s="4" t="s">
        <v>543</v>
      </c>
      <c r="D262" s="4" t="s">
        <v>664</v>
      </c>
      <c r="E262" s="4" t="s">
        <v>706</v>
      </c>
      <c r="F262" s="4" t="s">
        <v>706</v>
      </c>
      <c r="G262" s="14">
        <v>28.87</v>
      </c>
      <c r="H262" s="10">
        <v>9.7576499999999999</v>
      </c>
      <c r="I262" s="10">
        <v>62.486877999999997</v>
      </c>
      <c r="J262" s="10">
        <v>8.3905999999999992</v>
      </c>
      <c r="K262" s="15">
        <v>2.4938999999999999E-2</v>
      </c>
      <c r="L262" s="17">
        <v>9954.2319389999993</v>
      </c>
      <c r="M262" s="4" t="s">
        <v>1194</v>
      </c>
      <c r="N262" s="19">
        <v>0.46201700000000001</v>
      </c>
      <c r="O262" s="19">
        <v>1.8831</v>
      </c>
      <c r="P262" s="19">
        <v>0.8</v>
      </c>
      <c r="Q262" s="19">
        <v>2.0438999999999998</v>
      </c>
      <c r="R262" s="19">
        <v>1.53</v>
      </c>
      <c r="S262" s="19">
        <v>2.2212999999999998</v>
      </c>
      <c r="T262" s="19">
        <v>1.53</v>
      </c>
      <c r="U262" s="19">
        <v>2.1717</v>
      </c>
      <c r="V262" s="19">
        <v>-0.73087000000000002</v>
      </c>
      <c r="W262" s="19">
        <v>1.4215</v>
      </c>
      <c r="X262" s="19">
        <v>-0.73087000000000002</v>
      </c>
      <c r="Y262" s="19">
        <v>1.4215</v>
      </c>
      <c r="Z262" s="4"/>
      <c r="AA262" s="4"/>
      <c r="AB262" s="4" t="e">
        <f ca="1">_xll.ciqfunctions.udf.CIQ("^SPX", "IQ_PRICEDATE", "1/6/2015")</f>
        <v>#NAME?</v>
      </c>
      <c r="AC262" s="16">
        <v>2002.6135878652999</v>
      </c>
    </row>
    <row r="263" spans="1:29" x14ac:dyDescent="0.35">
      <c r="A263" s="2" t="s">
        <v>273</v>
      </c>
      <c r="B263" s="4" t="s">
        <v>1195</v>
      </c>
      <c r="C263" s="4" t="s">
        <v>525</v>
      </c>
      <c r="D263" s="4" t="s">
        <v>594</v>
      </c>
      <c r="E263" s="4" t="s">
        <v>903</v>
      </c>
      <c r="F263" s="4" t="s">
        <v>904</v>
      </c>
      <c r="G263" s="14">
        <v>104.01</v>
      </c>
      <c r="H263" s="10">
        <v>10.648586999999999</v>
      </c>
      <c r="I263" s="10">
        <v>11.040803</v>
      </c>
      <c r="J263" s="10">
        <v>2.2738339999999999</v>
      </c>
      <c r="K263" s="15">
        <v>1.3844E-2</v>
      </c>
      <c r="L263" s="17">
        <v>10625.573504</v>
      </c>
      <c r="M263" s="4" t="s">
        <v>1196</v>
      </c>
      <c r="N263" s="19">
        <v>9.4205100000000002</v>
      </c>
      <c r="O263" s="19">
        <v>6.4467999999999996</v>
      </c>
      <c r="P263" s="19">
        <v>9.16</v>
      </c>
      <c r="Q263" s="19">
        <v>5.7092000000000001</v>
      </c>
      <c r="R263" s="19">
        <v>4.43</v>
      </c>
      <c r="S263" s="19">
        <v>5.0011999999999999</v>
      </c>
      <c r="T263" s="19">
        <v>4.43</v>
      </c>
      <c r="U263" s="19">
        <v>4.6532</v>
      </c>
      <c r="V263" s="19">
        <v>4.55</v>
      </c>
      <c r="W263" s="19">
        <v>5.3170000000000002</v>
      </c>
      <c r="X263" s="19">
        <v>4.55</v>
      </c>
      <c r="Y263" s="19">
        <v>5.3170000000000002</v>
      </c>
      <c r="Z263" s="4"/>
      <c r="AA263" s="4"/>
      <c r="AB263" s="4" t="e">
        <f ca="1">_xll.ciqfunctions.udf.CIQ("^SPX", "IQ_PRICEDATE", "1/7/2015")</f>
        <v>#NAME?</v>
      </c>
      <c r="AC263" s="16">
        <v>2025.9010505617</v>
      </c>
    </row>
    <row r="264" spans="1:29" x14ac:dyDescent="0.35">
      <c r="A264" s="2" t="s">
        <v>274</v>
      </c>
      <c r="B264" s="4" t="s">
        <v>1197</v>
      </c>
      <c r="C264" s="4" t="s">
        <v>626</v>
      </c>
      <c r="D264" s="4" t="s">
        <v>627</v>
      </c>
      <c r="E264" s="4" t="s">
        <v>699</v>
      </c>
      <c r="F264" s="4" t="s">
        <v>789</v>
      </c>
      <c r="G264" s="14">
        <v>69.650000000000006</v>
      </c>
      <c r="H264" s="10">
        <v>10.42374</v>
      </c>
      <c r="I264" s="10">
        <v>13.776654000000001</v>
      </c>
      <c r="J264" s="10" t="s">
        <v>534</v>
      </c>
      <c r="K264" s="15">
        <v>3.2160000000000001E-2</v>
      </c>
      <c r="L264" s="17">
        <v>24145.750281000001</v>
      </c>
      <c r="M264" s="4" t="s">
        <v>1198</v>
      </c>
      <c r="N264" s="19">
        <v>5.0556539999999996</v>
      </c>
      <c r="O264" s="19">
        <v>4.4913999999999996</v>
      </c>
      <c r="P264" s="19">
        <v>3.62</v>
      </c>
      <c r="Q264" s="19">
        <v>4.1802999999999999</v>
      </c>
      <c r="R264" s="19">
        <v>1.96</v>
      </c>
      <c r="S264" s="19">
        <v>3.8578000000000001</v>
      </c>
      <c r="T264" s="19">
        <v>1.96</v>
      </c>
      <c r="U264" s="19">
        <v>3.6122999999999998</v>
      </c>
      <c r="V264" s="19">
        <v>4.814006</v>
      </c>
      <c r="W264" s="19">
        <v>4.0225</v>
      </c>
      <c r="X264" s="19">
        <v>4.814006</v>
      </c>
      <c r="Y264" s="19">
        <v>4.0225</v>
      </c>
      <c r="Z264" s="4"/>
      <c r="AA264" s="4"/>
      <c r="AB264" s="4" t="e">
        <f ca="1">_xll.ciqfunctions.udf.CIQ("^SPX", "IQ_PRICEDATE", "1/8/2015")</f>
        <v>#NAME?</v>
      </c>
      <c r="AC264" s="16">
        <v>2062.1435548651002</v>
      </c>
    </row>
    <row r="265" spans="1:29" x14ac:dyDescent="0.35">
      <c r="A265" s="2" t="s">
        <v>275</v>
      </c>
      <c r="B265" s="4" t="s">
        <v>1199</v>
      </c>
      <c r="C265" s="4" t="s">
        <v>573</v>
      </c>
      <c r="D265" s="4" t="s">
        <v>737</v>
      </c>
      <c r="E265" s="4" t="s">
        <v>737</v>
      </c>
      <c r="F265" s="4" t="s">
        <v>743</v>
      </c>
      <c r="G265" s="14">
        <v>18.739999999999998</v>
      </c>
      <c r="H265" s="10">
        <v>0</v>
      </c>
      <c r="I265" s="10">
        <v>14.445731</v>
      </c>
      <c r="J265" s="10">
        <v>1.7721560000000001</v>
      </c>
      <c r="K265" s="15">
        <v>3.6285999999999999E-2</v>
      </c>
      <c r="L265" s="17">
        <v>19715.156327000001</v>
      </c>
      <c r="M265" s="4" t="s">
        <v>1200</v>
      </c>
      <c r="N265" s="19">
        <v>1.297269</v>
      </c>
      <c r="O265" s="19">
        <v>1.8280000000000001</v>
      </c>
      <c r="P265" s="19">
        <v>1.1200000000000001</v>
      </c>
      <c r="Q265" s="19">
        <v>1.4718</v>
      </c>
      <c r="R265" s="19">
        <v>0.8</v>
      </c>
      <c r="S265" s="19">
        <v>1.2474000000000001</v>
      </c>
      <c r="T265" s="19">
        <v>0.8</v>
      </c>
      <c r="U265" s="19">
        <v>1.1483000000000001</v>
      </c>
      <c r="V265" s="19">
        <v>1.04</v>
      </c>
      <c r="W265" s="19">
        <v>1.0779000000000001</v>
      </c>
      <c r="X265" s="19">
        <v>1.04</v>
      </c>
      <c r="Y265" s="19">
        <v>1.0779000000000001</v>
      </c>
      <c r="Z265" s="4"/>
      <c r="AA265" s="4"/>
      <c r="AB265" s="4" t="e">
        <f ca="1">_xll.ciqfunctions.udf.CIQ("^SPX", "IQ_PRICEDATE", "1/9/2015")</f>
        <v>#NAME?</v>
      </c>
      <c r="AC265" s="16">
        <v>2044.8099000578</v>
      </c>
    </row>
    <row r="266" spans="1:29" x14ac:dyDescent="0.35">
      <c r="A266" s="2" t="s">
        <v>276</v>
      </c>
      <c r="B266" s="4" t="s">
        <v>1201</v>
      </c>
      <c r="C266" s="4" t="s">
        <v>626</v>
      </c>
      <c r="D266" s="4" t="s">
        <v>845</v>
      </c>
      <c r="E266" s="4" t="s">
        <v>846</v>
      </c>
      <c r="F266" s="4" t="s">
        <v>846</v>
      </c>
      <c r="G266" s="14">
        <v>108.82</v>
      </c>
      <c r="H266" s="10">
        <v>10.97031</v>
      </c>
      <c r="I266" s="10">
        <v>22.168955</v>
      </c>
      <c r="J266" s="10" t="s">
        <v>534</v>
      </c>
      <c r="K266" s="15">
        <v>3.6756999999999998E-2</v>
      </c>
      <c r="L266" s="17">
        <v>37832.855351999999</v>
      </c>
      <c r="M266" s="4" t="s">
        <v>1202</v>
      </c>
      <c r="N266" s="19">
        <v>4.9086660000000002</v>
      </c>
      <c r="O266" s="19">
        <v>6.6669</v>
      </c>
      <c r="P266" s="19">
        <v>6.4</v>
      </c>
      <c r="Q266" s="19">
        <v>6.4035000000000002</v>
      </c>
      <c r="R266" s="19">
        <v>5.99</v>
      </c>
      <c r="S266" s="19">
        <v>6.1612999999999998</v>
      </c>
      <c r="T266" s="19">
        <v>5.99</v>
      </c>
      <c r="U266" s="19">
        <v>6.0574000000000003</v>
      </c>
      <c r="V266" s="19">
        <v>3.91</v>
      </c>
      <c r="W266" s="19">
        <v>5.8613</v>
      </c>
      <c r="X266" s="19">
        <v>3.91</v>
      </c>
      <c r="Y266" s="19">
        <v>5.8613</v>
      </c>
      <c r="Z266" s="4"/>
      <c r="AA266" s="4"/>
      <c r="AB266" s="4" t="e">
        <f ca="1">_xll.ciqfunctions.udf.CIQ("^SPX", "IQ_PRICEDATE", "1/12/2015")</f>
        <v>#NAME?</v>
      </c>
      <c r="AC266" s="16">
        <v>2028.2638224775001</v>
      </c>
    </row>
    <row r="267" spans="1:29" x14ac:dyDescent="0.35">
      <c r="A267" s="2" t="s">
        <v>277</v>
      </c>
      <c r="B267" s="4" t="s">
        <v>1203</v>
      </c>
      <c r="C267" s="4" t="s">
        <v>601</v>
      </c>
      <c r="D267" s="4" t="s">
        <v>601</v>
      </c>
      <c r="E267" s="4" t="s">
        <v>602</v>
      </c>
      <c r="F267" s="4" t="s">
        <v>1026</v>
      </c>
      <c r="G267" s="14">
        <v>15.21</v>
      </c>
      <c r="H267" s="10">
        <v>12.975284</v>
      </c>
      <c r="I267" s="10">
        <v>14.244694000000001</v>
      </c>
      <c r="J267" s="10">
        <v>1.184458</v>
      </c>
      <c r="K267" s="15">
        <v>7.3635000000000006E-2</v>
      </c>
      <c r="L267" s="17">
        <v>6409.221939</v>
      </c>
      <c r="M267" s="4" t="s">
        <v>1204</v>
      </c>
      <c r="N267" s="19">
        <v>1.067766</v>
      </c>
      <c r="O267" s="19">
        <v>0.4889</v>
      </c>
      <c r="P267" s="19">
        <v>0.87</v>
      </c>
      <c r="Q267" s="19">
        <v>0.62929999999999997</v>
      </c>
      <c r="R267" s="19">
        <v>0.79</v>
      </c>
      <c r="S267" s="19">
        <v>0.63900000000000001</v>
      </c>
      <c r="T267" s="19">
        <v>0.79</v>
      </c>
      <c r="U267" s="19">
        <v>0.54549999999999998</v>
      </c>
      <c r="V267" s="19">
        <v>0.76270800000000005</v>
      </c>
      <c r="W267" s="19">
        <v>0.53769999999999996</v>
      </c>
      <c r="X267" s="19">
        <v>0.76270800000000005</v>
      </c>
      <c r="Y267" s="19">
        <v>0.53769999999999996</v>
      </c>
      <c r="Z267" s="4"/>
      <c r="AA267" s="4"/>
      <c r="AB267" s="4" t="e">
        <f ca="1">_xll.ciqfunctions.udf.CIQ("^SPX", "IQ_PRICEDATE", "1/13/2015")</f>
        <v>#NAME?</v>
      </c>
      <c r="AC267" s="16">
        <v>2023.0292191098999</v>
      </c>
    </row>
    <row r="268" spans="1:29" x14ac:dyDescent="0.35">
      <c r="A268" s="2" t="s">
        <v>278</v>
      </c>
      <c r="B268" s="4" t="s">
        <v>1205</v>
      </c>
      <c r="C268" s="4" t="s">
        <v>669</v>
      </c>
      <c r="D268" s="4" t="s">
        <v>669</v>
      </c>
      <c r="E268" s="4" t="s">
        <v>670</v>
      </c>
      <c r="F268" s="4" t="s">
        <v>1206</v>
      </c>
      <c r="G268" s="14">
        <v>17.95</v>
      </c>
      <c r="H268" s="10">
        <v>11.323112</v>
      </c>
      <c r="I268" s="10" t="s">
        <v>534</v>
      </c>
      <c r="J268" s="10">
        <v>3.435146</v>
      </c>
      <c r="K268" s="15">
        <v>4.4568000000000003E-2</v>
      </c>
      <c r="L268" s="17">
        <v>39612.580011999999</v>
      </c>
      <c r="M268" s="4" t="s">
        <v>1207</v>
      </c>
      <c r="N268" s="19">
        <v>-2.5257000000000002E-2</v>
      </c>
      <c r="O268" s="19">
        <v>0.92900000000000005</v>
      </c>
      <c r="P268" s="19">
        <v>9.8650000000000005E-3</v>
      </c>
      <c r="Q268" s="19">
        <v>0.67010000000000003</v>
      </c>
      <c r="R268" s="19">
        <v>0.24573900000000001</v>
      </c>
      <c r="S268" s="19">
        <v>0.70679999999999998</v>
      </c>
      <c r="T268" s="19">
        <v>0.24573900000000001</v>
      </c>
      <c r="U268" s="19">
        <v>0.70279999999999998</v>
      </c>
      <c r="V268" s="19">
        <v>0.89</v>
      </c>
      <c r="W268" s="19">
        <v>1.107</v>
      </c>
      <c r="X268" s="19">
        <v>0.89</v>
      </c>
      <c r="Y268" s="19">
        <v>1.107</v>
      </c>
      <c r="Z268" s="4"/>
      <c r="AA268" s="4"/>
      <c r="AB268" s="4" t="e">
        <f ca="1">_xll.ciqfunctions.udf.CIQ("^SPX", "IQ_PRICEDATE", "1/14/2015")</f>
        <v>#NAME?</v>
      </c>
      <c r="AC268" s="16">
        <v>2011.2728977286999</v>
      </c>
    </row>
    <row r="269" spans="1:29" x14ac:dyDescent="0.35">
      <c r="A269" s="2" t="s">
        <v>279</v>
      </c>
      <c r="B269" s="4" t="s">
        <v>1208</v>
      </c>
      <c r="C269" s="4" t="s">
        <v>543</v>
      </c>
      <c r="D269" s="4" t="s">
        <v>565</v>
      </c>
      <c r="E269" s="4" t="s">
        <v>565</v>
      </c>
      <c r="F269" s="4" t="s">
        <v>691</v>
      </c>
      <c r="G269" s="14">
        <v>93.82</v>
      </c>
      <c r="H269" s="10">
        <v>8.6779770000000003</v>
      </c>
      <c r="I269" s="10">
        <v>18.396077999999999</v>
      </c>
      <c r="J269" s="10">
        <v>11.745414</v>
      </c>
      <c r="K269" s="15">
        <v>3.1975999999999997E-2</v>
      </c>
      <c r="L269" s="17">
        <v>14526.620919999999</v>
      </c>
      <c r="M269" s="4" t="s">
        <v>1209</v>
      </c>
      <c r="N269" s="19">
        <v>5.0999999999999996</v>
      </c>
      <c r="O269" s="19">
        <v>8.80443</v>
      </c>
      <c r="P269" s="19">
        <v>4.1599719999999998</v>
      </c>
      <c r="Q269" s="19">
        <v>7.1634000000000002</v>
      </c>
      <c r="R269" s="19">
        <v>5.5011720000000004</v>
      </c>
      <c r="S269" s="19">
        <v>5.5274000000000001</v>
      </c>
      <c r="T269" s="19">
        <v>5.5011720000000004</v>
      </c>
      <c r="U269" s="19">
        <v>3.6928999999999998</v>
      </c>
      <c r="V269" s="19">
        <v>2.5487500000000001</v>
      </c>
      <c r="W269" s="19">
        <v>3.6116999999999999</v>
      </c>
      <c r="X269" s="19">
        <v>2.5487500000000001</v>
      </c>
      <c r="Y269" s="19">
        <v>3.6116999999999999</v>
      </c>
      <c r="Z269" s="4"/>
      <c r="AA269" s="4"/>
      <c r="AB269" s="4" t="e">
        <f ca="1">_xll.ciqfunctions.udf.CIQ("^SPX", "IQ_PRICEDATE", "1/15/2015")</f>
        <v>#NAME?</v>
      </c>
      <c r="AC269" s="16">
        <v>1992.6702757841001</v>
      </c>
    </row>
    <row r="270" spans="1:29" x14ac:dyDescent="0.35">
      <c r="A270" s="2" t="s">
        <v>280</v>
      </c>
      <c r="B270" s="4" t="s">
        <v>1210</v>
      </c>
      <c r="C270" s="4" t="s">
        <v>559</v>
      </c>
      <c r="D270" s="4" t="s">
        <v>560</v>
      </c>
      <c r="E270" s="4" t="s">
        <v>940</v>
      </c>
      <c r="F270" s="4" t="s">
        <v>1211</v>
      </c>
      <c r="G270" s="14">
        <v>70.84</v>
      </c>
      <c r="H270" s="10">
        <v>5.9201030000000001</v>
      </c>
      <c r="I270" s="10">
        <v>12.375621000000001</v>
      </c>
      <c r="J270" s="10">
        <v>2.156056</v>
      </c>
      <c r="K270" s="15">
        <v>3.4443000000000001E-2</v>
      </c>
      <c r="L270" s="17">
        <v>11809.937798000001</v>
      </c>
      <c r="M270" s="4" t="s">
        <v>1212</v>
      </c>
      <c r="N270" s="19">
        <v>5.7241569999999999</v>
      </c>
      <c r="O270" s="19">
        <v>5.6593999999999998</v>
      </c>
      <c r="P270" s="19">
        <v>3.789606</v>
      </c>
      <c r="Q270" s="19">
        <v>3.7555999999999998</v>
      </c>
      <c r="R270" s="19">
        <v>3.2859250000000002</v>
      </c>
      <c r="S270" s="19">
        <v>4.0464000000000002</v>
      </c>
      <c r="T270" s="19">
        <v>3.2859250000000002</v>
      </c>
      <c r="U270" s="19">
        <v>4.5217000000000001</v>
      </c>
      <c r="V270" s="19">
        <v>4.01173</v>
      </c>
      <c r="W270" s="19">
        <v>4.2188999999999997</v>
      </c>
      <c r="X270" s="19">
        <v>4.01173</v>
      </c>
      <c r="Y270" s="19">
        <v>4.2188999999999997</v>
      </c>
      <c r="Z270" s="4"/>
      <c r="AA270" s="4"/>
      <c r="AB270" s="4" t="e">
        <f ca="1">_xll.ciqfunctions.udf.CIQ("^SPX", "IQ_PRICEDATE", "1/16/2015")</f>
        <v>#NAME?</v>
      </c>
      <c r="AC270" s="16">
        <v>2019.4186537802</v>
      </c>
    </row>
    <row r="271" spans="1:29" x14ac:dyDescent="0.35">
      <c r="A271" s="2" t="s">
        <v>281</v>
      </c>
      <c r="B271" s="4" t="s">
        <v>1213</v>
      </c>
      <c r="C271" s="4" t="s">
        <v>559</v>
      </c>
      <c r="D271" s="4" t="s">
        <v>560</v>
      </c>
      <c r="E271" s="4" t="s">
        <v>561</v>
      </c>
      <c r="F271" s="4" t="s">
        <v>1051</v>
      </c>
      <c r="G271" s="14">
        <v>31.28</v>
      </c>
      <c r="H271" s="10">
        <v>6.1939539999999997</v>
      </c>
      <c r="I271" s="10">
        <v>9.894857</v>
      </c>
      <c r="J271" s="10" t="s">
        <v>534</v>
      </c>
      <c r="K271" s="15">
        <v>7.6726000000000003E-2</v>
      </c>
      <c r="L271" s="17">
        <v>8603.9841840000008</v>
      </c>
      <c r="M271" s="4" t="s">
        <v>1214</v>
      </c>
      <c r="N271" s="19">
        <v>3.161238</v>
      </c>
      <c r="O271" s="19">
        <v>2.5167000000000002</v>
      </c>
      <c r="P271" s="19">
        <v>3.294025</v>
      </c>
      <c r="Q271" s="19">
        <v>3.2151000000000001</v>
      </c>
      <c r="R271" s="19">
        <v>3.9736410000000002</v>
      </c>
      <c r="S271" s="19">
        <v>3.6696</v>
      </c>
      <c r="T271" s="19">
        <v>3.9736410000000002</v>
      </c>
      <c r="U271" s="19">
        <v>4.0000999999999998</v>
      </c>
      <c r="V271" s="19">
        <v>3.2443689999999998</v>
      </c>
      <c r="W271" s="19">
        <v>3.6316000000000002</v>
      </c>
      <c r="X271" s="19">
        <v>3.2443689999999998</v>
      </c>
      <c r="Y271" s="19">
        <v>3.6316000000000002</v>
      </c>
      <c r="Z271" s="4"/>
      <c r="AA271" s="4"/>
      <c r="AB271" s="4" t="e">
        <f ca="1">_xll.ciqfunctions.udf.CIQ("^SPX", "IQ_PRICEDATE", "1/20/2015")</f>
        <v>#NAME?</v>
      </c>
      <c r="AC271" s="16">
        <v>2022.5468815523</v>
      </c>
    </row>
    <row r="272" spans="1:29" x14ac:dyDescent="0.35">
      <c r="A272" s="2" t="s">
        <v>282</v>
      </c>
      <c r="B272" s="4" t="s">
        <v>1215</v>
      </c>
      <c r="C272" s="4" t="s">
        <v>525</v>
      </c>
      <c r="D272" s="4" t="s">
        <v>526</v>
      </c>
      <c r="E272" s="4" t="s">
        <v>703</v>
      </c>
      <c r="F272" s="4" t="s">
        <v>703</v>
      </c>
      <c r="G272" s="14">
        <v>220.16</v>
      </c>
      <c r="H272" s="10">
        <v>14.906272</v>
      </c>
      <c r="I272" s="10">
        <v>22.445765999999999</v>
      </c>
      <c r="J272" s="10" t="s">
        <v>534</v>
      </c>
      <c r="K272" s="15">
        <v>1.4534E-2</v>
      </c>
      <c r="L272" s="17">
        <v>17308.686387000002</v>
      </c>
      <c r="M272" s="4" t="s">
        <v>1216</v>
      </c>
      <c r="N272" s="19">
        <v>9.8085310000000003</v>
      </c>
      <c r="O272" s="19">
        <v>11.1175</v>
      </c>
      <c r="P272" s="19">
        <v>9.4600000000000009</v>
      </c>
      <c r="Q272" s="19">
        <v>8.6592000000000002</v>
      </c>
      <c r="R272" s="19">
        <v>7.86</v>
      </c>
      <c r="S272" s="19">
        <v>8.3239999999999998</v>
      </c>
      <c r="T272" s="19">
        <v>7.86</v>
      </c>
      <c r="U272" s="19">
        <v>0</v>
      </c>
      <c r="V272" s="19">
        <v>7.2</v>
      </c>
      <c r="W272" s="19">
        <v>0</v>
      </c>
      <c r="X272" s="19">
        <v>7.2</v>
      </c>
      <c r="Y272" s="19">
        <v>0</v>
      </c>
      <c r="Z272" s="4"/>
      <c r="AA272" s="4"/>
      <c r="AB272" s="4" t="e">
        <f ca="1">_xll.ciqfunctions.udf.CIQ("^SPX", "IQ_PRICEDATE", "1/21/2015")</f>
        <v>#NAME?</v>
      </c>
      <c r="AC272" s="16">
        <v>2032.1202886573999</v>
      </c>
    </row>
    <row r="273" spans="1:29" x14ac:dyDescent="0.35">
      <c r="A273" s="2" t="s">
        <v>283</v>
      </c>
      <c r="B273" s="4" t="s">
        <v>1217</v>
      </c>
      <c r="C273" s="4" t="s">
        <v>530</v>
      </c>
      <c r="D273" s="4" t="s">
        <v>531</v>
      </c>
      <c r="E273" s="4" t="s">
        <v>569</v>
      </c>
      <c r="F273" s="4" t="s">
        <v>909</v>
      </c>
      <c r="G273" s="14">
        <v>174.09</v>
      </c>
      <c r="H273" s="10">
        <v>11.488761</v>
      </c>
      <c r="I273" s="10">
        <v>13.787807000000001</v>
      </c>
      <c r="J273" s="10" t="s">
        <v>534</v>
      </c>
      <c r="K273" s="15">
        <v>0</v>
      </c>
      <c r="L273" s="17">
        <v>17739.771000000001</v>
      </c>
      <c r="M273" s="4" t="s">
        <v>1218</v>
      </c>
      <c r="N273" s="19">
        <v>12.626372999999999</v>
      </c>
      <c r="O273" s="19">
        <v>11.591799999999999</v>
      </c>
      <c r="P273" s="19">
        <v>12.21</v>
      </c>
      <c r="Q273" s="19">
        <v>10.067600000000001</v>
      </c>
      <c r="R273" s="19">
        <v>7.02</v>
      </c>
      <c r="S273" s="19">
        <v>9.4003999999999994</v>
      </c>
      <c r="T273" s="19">
        <v>7.02</v>
      </c>
      <c r="U273" s="19">
        <v>8.5863999999999994</v>
      </c>
      <c r="V273" s="19">
        <v>5.91</v>
      </c>
      <c r="W273" s="19">
        <v>7.1456</v>
      </c>
      <c r="X273" s="19">
        <v>5.91</v>
      </c>
      <c r="Y273" s="19">
        <v>7.1456</v>
      </c>
      <c r="Z273" s="4"/>
      <c r="AA273" s="4"/>
      <c r="AB273" s="4" t="e">
        <f ca="1">_xll.ciqfunctions.udf.CIQ("^SPX", "IQ_PRICEDATE", "1/22/2015")</f>
        <v>#NAME?</v>
      </c>
      <c r="AC273" s="16">
        <v>2063.1455908886001</v>
      </c>
    </row>
    <row r="274" spans="1:29" x14ac:dyDescent="0.35">
      <c r="A274" s="2" t="s">
        <v>284</v>
      </c>
      <c r="B274" s="4" t="s">
        <v>1219</v>
      </c>
      <c r="C274" s="4" t="s">
        <v>543</v>
      </c>
      <c r="D274" s="4" t="s">
        <v>565</v>
      </c>
      <c r="E274" s="4" t="s">
        <v>565</v>
      </c>
      <c r="F274" s="4" t="s">
        <v>691</v>
      </c>
      <c r="G274" s="14">
        <v>147.18</v>
      </c>
      <c r="H274" s="10">
        <v>6.185867</v>
      </c>
      <c r="I274" s="10">
        <v>11.152145000000001</v>
      </c>
      <c r="J274" s="10">
        <v>6.3497570000000003</v>
      </c>
      <c r="K274" s="15">
        <v>2.9895000000000001E-2</v>
      </c>
      <c r="L274" s="17">
        <v>22575.057120000001</v>
      </c>
      <c r="M274" s="4" t="s">
        <v>1220</v>
      </c>
      <c r="N274" s="19">
        <v>13.197461000000001</v>
      </c>
      <c r="O274" s="19">
        <v>14.30048</v>
      </c>
      <c r="P274" s="19">
        <v>9.1047969999999996</v>
      </c>
      <c r="Q274" s="19">
        <v>14.9114</v>
      </c>
      <c r="R274" s="19">
        <v>5.5792659999999996</v>
      </c>
      <c r="S274" s="19">
        <v>8.3873999999999995</v>
      </c>
      <c r="T274" s="19">
        <v>5.5792659999999996</v>
      </c>
      <c r="U274" s="19">
        <v>5.8806000000000003</v>
      </c>
      <c r="V274" s="19">
        <v>4.0359680000000004</v>
      </c>
      <c r="W274" s="19">
        <v>5.0499000000000001</v>
      </c>
      <c r="X274" s="19">
        <v>4.0359680000000004</v>
      </c>
      <c r="Y274" s="19">
        <v>5.0499000000000001</v>
      </c>
      <c r="Z274" s="4"/>
      <c r="AA274" s="4"/>
      <c r="AB274" s="4" t="e">
        <f ca="1">_xll.ciqfunctions.udf.CIQ("^SPX", "IQ_PRICEDATE", "1/23/2015")</f>
        <v>#NAME?</v>
      </c>
      <c r="AC274" s="16">
        <v>2051.8218117762999</v>
      </c>
    </row>
    <row r="275" spans="1:29" x14ac:dyDescent="0.35">
      <c r="A275" s="2" t="s">
        <v>285</v>
      </c>
      <c r="B275" s="4" t="s">
        <v>1221</v>
      </c>
      <c r="C275" s="4" t="s">
        <v>559</v>
      </c>
      <c r="D275" s="4" t="s">
        <v>912</v>
      </c>
      <c r="E275" s="4" t="s">
        <v>913</v>
      </c>
      <c r="F275" s="4" t="s">
        <v>1222</v>
      </c>
      <c r="G275" s="14">
        <v>39.229999999999997</v>
      </c>
      <c r="H275" s="10">
        <v>11.058248000000001</v>
      </c>
      <c r="I275" s="10">
        <v>18.884972999999999</v>
      </c>
      <c r="J275" s="10">
        <v>47.833413</v>
      </c>
      <c r="K275" s="15">
        <v>3.8745000000000002E-2</v>
      </c>
      <c r="L275" s="17">
        <v>5106.1939830000001</v>
      </c>
      <c r="M275" s="4" t="s">
        <v>1223</v>
      </c>
      <c r="N275" s="19">
        <v>2.0773130000000002</v>
      </c>
      <c r="O275" s="19">
        <v>2.7982999999999998</v>
      </c>
      <c r="P275" s="19">
        <v>2.14</v>
      </c>
      <c r="Q275" s="19">
        <v>2.6697000000000002</v>
      </c>
      <c r="R275" s="19">
        <v>2.62</v>
      </c>
      <c r="S275" s="19">
        <v>2.6225000000000001</v>
      </c>
      <c r="T275" s="19">
        <v>2.62</v>
      </c>
      <c r="U275" s="19">
        <v>2.2907000000000002</v>
      </c>
      <c r="V275" s="19">
        <v>1.55</v>
      </c>
      <c r="W275" s="19">
        <v>2.0756999999999999</v>
      </c>
      <c r="X275" s="19">
        <v>1.55</v>
      </c>
      <c r="Y275" s="19">
        <v>2.0756999999999999</v>
      </c>
      <c r="Z275" s="4"/>
      <c r="AA275" s="4"/>
      <c r="AB275" s="4" t="e">
        <f ca="1">_xll.ciqfunctions.udf.CIQ("^SPX", "IQ_PRICEDATE", "1/26/2015")</f>
        <v>#NAME?</v>
      </c>
      <c r="AC275" s="16">
        <v>2057.0944058770001</v>
      </c>
    </row>
    <row r="276" spans="1:29" x14ac:dyDescent="0.35">
      <c r="A276" s="2" t="s">
        <v>286</v>
      </c>
      <c r="B276" s="4" t="s">
        <v>1224</v>
      </c>
      <c r="C276" s="4" t="s">
        <v>559</v>
      </c>
      <c r="D276" s="4" t="s">
        <v>912</v>
      </c>
      <c r="E276" s="4" t="s">
        <v>913</v>
      </c>
      <c r="F276" s="4" t="s">
        <v>914</v>
      </c>
      <c r="G276" s="14">
        <v>43.04</v>
      </c>
      <c r="H276" s="10">
        <v>13.108779</v>
      </c>
      <c r="I276" s="10">
        <v>10.307684</v>
      </c>
      <c r="J276" s="10">
        <v>1.375713</v>
      </c>
      <c r="K276" s="15">
        <v>3.7140000000000003E-3</v>
      </c>
      <c r="L276" s="17">
        <v>13959.947106</v>
      </c>
      <c r="M276" s="4" t="s">
        <v>1225</v>
      </c>
      <c r="N276" s="19">
        <v>4.1794060000000002</v>
      </c>
      <c r="O276" s="19">
        <v>6.4625000000000004</v>
      </c>
      <c r="P276" s="19">
        <v>3.3802509999999999</v>
      </c>
      <c r="Q276" s="19">
        <v>4.6959999999999997</v>
      </c>
      <c r="R276" s="19">
        <v>3.8559239999999999</v>
      </c>
      <c r="S276" s="19">
        <v>4.0663400000000003</v>
      </c>
      <c r="T276" s="19">
        <v>3.8559239999999999</v>
      </c>
      <c r="U276" s="19">
        <v>3.64412</v>
      </c>
      <c r="V276" s="19">
        <v>2.7482160000000002</v>
      </c>
      <c r="W276" s="19">
        <v>2.9942000000000002</v>
      </c>
      <c r="X276" s="19">
        <v>2.7482160000000002</v>
      </c>
      <c r="Y276" s="19">
        <v>2.9942000000000002</v>
      </c>
      <c r="Z276" s="4"/>
      <c r="AA276" s="4"/>
      <c r="AB276" s="4" t="e">
        <f ca="1">_xll.ciqfunctions.udf.CIQ("^SPX", "IQ_PRICEDATE", "1/27/2015")</f>
        <v>#NAME?</v>
      </c>
      <c r="AC276" s="16">
        <v>2029.5544684716999</v>
      </c>
    </row>
    <row r="277" spans="1:29" x14ac:dyDescent="0.35">
      <c r="A277" s="2" t="s">
        <v>287</v>
      </c>
      <c r="B277" s="4" t="s">
        <v>1226</v>
      </c>
      <c r="C277" s="4" t="s">
        <v>573</v>
      </c>
      <c r="D277" s="4" t="s">
        <v>579</v>
      </c>
      <c r="E277" s="4" t="s">
        <v>579</v>
      </c>
      <c r="F277" s="4" t="s">
        <v>580</v>
      </c>
      <c r="G277" s="14">
        <v>65.64</v>
      </c>
      <c r="H277" s="10">
        <v>8.0877119999999998</v>
      </c>
      <c r="I277" s="10">
        <v>7.3838210000000002</v>
      </c>
      <c r="J277" s="10">
        <v>1.062276</v>
      </c>
      <c r="K277" s="15">
        <v>2.0108999999999998E-2</v>
      </c>
      <c r="L277" s="17">
        <v>14222.914978000001</v>
      </c>
      <c r="M277" s="4" t="s">
        <v>1227</v>
      </c>
      <c r="N277" s="19">
        <v>8.8897060000000003</v>
      </c>
      <c r="O277" s="19">
        <v>8.8598999999999997</v>
      </c>
      <c r="P277" s="19">
        <v>9.2210719999999995</v>
      </c>
      <c r="Q277" s="19">
        <v>7.7031000000000001</v>
      </c>
      <c r="R277" s="19">
        <v>5.03</v>
      </c>
      <c r="S277" s="19">
        <v>6.8211000000000004</v>
      </c>
      <c r="T277" s="19">
        <v>5.03</v>
      </c>
      <c r="U277" s="19">
        <v>6.3890000000000002</v>
      </c>
      <c r="V277" s="19">
        <v>5.6649399999999996</v>
      </c>
      <c r="W277" s="19">
        <v>6.09</v>
      </c>
      <c r="X277" s="19">
        <v>5.6649399999999996</v>
      </c>
      <c r="Y277" s="19">
        <v>6.09</v>
      </c>
      <c r="Z277" s="4"/>
      <c r="AA277" s="4"/>
      <c r="AB277" s="4" t="e">
        <f ca="1">_xll.ciqfunctions.udf.CIQ("^SPX", "IQ_PRICEDATE", "1/28/2015")</f>
        <v>#NAME?</v>
      </c>
      <c r="AC277" s="16">
        <v>2002.1564474966999</v>
      </c>
    </row>
    <row r="278" spans="1:29" x14ac:dyDescent="0.35">
      <c r="A278" s="2" t="s">
        <v>288</v>
      </c>
      <c r="B278" s="4" t="s">
        <v>1228</v>
      </c>
      <c r="C278" s="4" t="s">
        <v>559</v>
      </c>
      <c r="D278" s="4" t="s">
        <v>560</v>
      </c>
      <c r="E278" s="4" t="s">
        <v>1084</v>
      </c>
      <c r="F278" s="4" t="s">
        <v>1084</v>
      </c>
      <c r="G278" s="14">
        <v>28.61</v>
      </c>
      <c r="H278" s="10">
        <v>11.58916</v>
      </c>
      <c r="I278" s="10">
        <v>15.977313000000001</v>
      </c>
      <c r="J278" s="10" t="s">
        <v>534</v>
      </c>
      <c r="K278" s="15">
        <v>0</v>
      </c>
      <c r="L278" s="17">
        <v>9100.3140320000002</v>
      </c>
      <c r="M278" s="4" t="s">
        <v>1229</v>
      </c>
      <c r="N278" s="19">
        <v>1.790664</v>
      </c>
      <c r="O278" s="19">
        <v>2.4980000000000002</v>
      </c>
      <c r="P278" s="19">
        <v>1.74</v>
      </c>
      <c r="Q278" s="19">
        <v>2.0796999999999999</v>
      </c>
      <c r="R278" s="19">
        <v>1.47</v>
      </c>
      <c r="S278" s="19">
        <v>1.9739</v>
      </c>
      <c r="T278" s="19">
        <v>1.47</v>
      </c>
      <c r="U278" s="19">
        <v>1.5546</v>
      </c>
      <c r="V278" s="19">
        <v>1.25</v>
      </c>
      <c r="W278" s="19">
        <v>1.5710999999999999</v>
      </c>
      <c r="X278" s="19">
        <v>1.25</v>
      </c>
      <c r="Y278" s="19">
        <v>1.5710999999999999</v>
      </c>
      <c r="Z278" s="4"/>
      <c r="AA278" s="4"/>
      <c r="AB278" s="4" t="e">
        <f ca="1">_xll.ciqfunctions.udf.CIQ("^SPX", "IQ_PRICEDATE", "1/29/2015")</f>
        <v>#NAME?</v>
      </c>
      <c r="AC278" s="16">
        <v>2021.2516383586999</v>
      </c>
    </row>
    <row r="279" spans="1:29" x14ac:dyDescent="0.35">
      <c r="A279" s="2" t="s">
        <v>289</v>
      </c>
      <c r="B279" s="4" t="s">
        <v>1230</v>
      </c>
      <c r="C279" s="4" t="s">
        <v>525</v>
      </c>
      <c r="D279" s="4" t="s">
        <v>526</v>
      </c>
      <c r="E279" s="4" t="s">
        <v>703</v>
      </c>
      <c r="F279" s="4" t="s">
        <v>703</v>
      </c>
      <c r="G279" s="14">
        <v>333.4</v>
      </c>
      <c r="H279" s="10">
        <v>14.847073999999999</v>
      </c>
      <c r="I279" s="10">
        <v>38.355111000000001</v>
      </c>
      <c r="J279" s="10" t="s">
        <v>534</v>
      </c>
      <c r="K279" s="15">
        <v>2.6394000000000001E-2</v>
      </c>
      <c r="L279" s="17">
        <v>94946.007404000004</v>
      </c>
      <c r="M279" s="4" t="s">
        <v>1231</v>
      </c>
      <c r="N279" s="19">
        <v>8.6924530000000004</v>
      </c>
      <c r="O279" s="19">
        <v>18.1432</v>
      </c>
      <c r="P279" s="19">
        <v>6.64</v>
      </c>
      <c r="Q279" s="19">
        <v>13.624599999999999</v>
      </c>
      <c r="R279" s="19">
        <v>12.38</v>
      </c>
      <c r="S279" s="19">
        <v>12.129200000000001</v>
      </c>
      <c r="T279" s="19">
        <v>12.38</v>
      </c>
      <c r="U279" s="19">
        <v>11.674099999999999</v>
      </c>
      <c r="V279" s="19">
        <v>10.09</v>
      </c>
      <c r="W279" s="19">
        <v>11.2652</v>
      </c>
      <c r="X279" s="19">
        <v>10.09</v>
      </c>
      <c r="Y279" s="19">
        <v>11.2652</v>
      </c>
      <c r="Z279" s="4"/>
      <c r="AA279" s="4"/>
      <c r="AB279" s="4" t="e">
        <f ca="1">_xll.ciqfunctions.udf.CIQ("^SPX", "IQ_PRICEDATE", "1/30/2015")</f>
        <v>#NAME?</v>
      </c>
      <c r="AC279" s="16">
        <v>1994.9904120547001</v>
      </c>
    </row>
    <row r="280" spans="1:29" x14ac:dyDescent="0.35">
      <c r="A280" s="2" t="s">
        <v>290</v>
      </c>
      <c r="B280" s="4" t="s">
        <v>1232</v>
      </c>
      <c r="C280" s="4" t="s">
        <v>573</v>
      </c>
      <c r="D280" s="4" t="s">
        <v>579</v>
      </c>
      <c r="E280" s="4" t="s">
        <v>579</v>
      </c>
      <c r="F280" s="4" t="s">
        <v>644</v>
      </c>
      <c r="G280" s="14">
        <v>47.32</v>
      </c>
      <c r="H280" s="10">
        <v>9.4377519999999997</v>
      </c>
      <c r="I280" s="10">
        <v>13.497897999999999</v>
      </c>
      <c r="J280" s="10">
        <v>0.82094400000000001</v>
      </c>
      <c r="K280" s="15">
        <v>5.2829999999999995E-3</v>
      </c>
      <c r="L280" s="17">
        <v>14952.273067</v>
      </c>
      <c r="M280" s="4" t="s">
        <v>1233</v>
      </c>
      <c r="N280" s="19">
        <v>3.5057309999999999</v>
      </c>
      <c r="O280" s="19">
        <v>3.7761999999999998</v>
      </c>
      <c r="P280" s="19">
        <v>3.45</v>
      </c>
      <c r="Q280" s="19">
        <v>3.11</v>
      </c>
      <c r="R280" s="19">
        <v>1.93</v>
      </c>
      <c r="S280" s="19">
        <v>3.1341000000000001</v>
      </c>
      <c r="T280" s="19">
        <v>1.93</v>
      </c>
      <c r="U280" s="19">
        <v>2.8605</v>
      </c>
      <c r="V280" s="19">
        <v>2.5712190000000001</v>
      </c>
      <c r="W280" s="19">
        <v>2.9527000000000001</v>
      </c>
      <c r="X280" s="19">
        <v>2.5712190000000001</v>
      </c>
      <c r="Y280" s="19">
        <v>2.9527000000000001</v>
      </c>
      <c r="Z280" s="4"/>
      <c r="AA280" s="4"/>
      <c r="AB280" s="4" t="e">
        <f ca="1">_xll.ciqfunctions.udf.CIQ("^SPX", "IQ_PRICEDATE", "2/2/2015")</f>
        <v>#NAME?</v>
      </c>
      <c r="AC280" s="16">
        <v>2020.8491870268999</v>
      </c>
    </row>
    <row r="281" spans="1:29" x14ac:dyDescent="0.35">
      <c r="A281" s="2" t="s">
        <v>291</v>
      </c>
      <c r="B281" s="4" t="s">
        <v>1234</v>
      </c>
      <c r="C281" s="4" t="s">
        <v>559</v>
      </c>
      <c r="D281" s="4" t="s">
        <v>560</v>
      </c>
      <c r="E281" s="4" t="s">
        <v>561</v>
      </c>
      <c r="F281" s="4" t="s">
        <v>1235</v>
      </c>
      <c r="G281" s="14">
        <v>102.44</v>
      </c>
      <c r="H281" s="10">
        <v>12.012658</v>
      </c>
      <c r="I281" s="10">
        <v>21.547898</v>
      </c>
      <c r="J281" s="10">
        <v>19.543367</v>
      </c>
      <c r="K281" s="15">
        <v>1.8742000000000002E-2</v>
      </c>
      <c r="L281" s="17">
        <v>83078.84</v>
      </c>
      <c r="M281" s="4" t="s">
        <v>1236</v>
      </c>
      <c r="N281" s="19">
        <v>4.75406</v>
      </c>
      <c r="O281" s="19">
        <v>5.4198000000000004</v>
      </c>
      <c r="P281" s="19">
        <v>4.1492279999999999</v>
      </c>
      <c r="Q281" s="19">
        <v>5.0171000000000001</v>
      </c>
      <c r="R281" s="19">
        <v>2.7239559999999998</v>
      </c>
      <c r="S281" s="19">
        <v>4.4570999999999996</v>
      </c>
      <c r="T281" s="19">
        <v>2.7239559999999998</v>
      </c>
      <c r="U281" s="19">
        <v>3.8195000000000001</v>
      </c>
      <c r="V281" s="19">
        <v>2.5195729999999998</v>
      </c>
      <c r="W281" s="19">
        <v>3.1554000000000002</v>
      </c>
      <c r="X281" s="19">
        <v>2.5195729999999998</v>
      </c>
      <c r="Y281" s="19">
        <v>3.1554000000000002</v>
      </c>
      <c r="Z281" s="4"/>
      <c r="AA281" s="4"/>
      <c r="AB281" s="4" t="e">
        <f ca="1">_xll.ciqfunctions.udf.CIQ("^SPX", "IQ_PRICEDATE", "2/3/2015")</f>
        <v>#NAME?</v>
      </c>
      <c r="AC281" s="16">
        <v>2050.0328023764</v>
      </c>
    </row>
    <row r="282" spans="1:29" x14ac:dyDescent="0.35">
      <c r="A282" s="2" t="s">
        <v>292</v>
      </c>
      <c r="B282" s="4" t="s">
        <v>1237</v>
      </c>
      <c r="C282" s="4" t="s">
        <v>586</v>
      </c>
      <c r="D282" s="4" t="s">
        <v>586</v>
      </c>
      <c r="E282" s="4" t="s">
        <v>587</v>
      </c>
      <c r="F282" s="4" t="s">
        <v>1238</v>
      </c>
      <c r="G282" s="14">
        <v>96.22</v>
      </c>
      <c r="H282" s="10">
        <v>5.8906320000000001</v>
      </c>
      <c r="I282" s="10">
        <v>6.4894470000000002</v>
      </c>
      <c r="J282" s="10">
        <v>3.9485730000000001</v>
      </c>
      <c r="K282" s="15">
        <v>4.1570999999999997E-2</v>
      </c>
      <c r="L282" s="17">
        <v>37460.754894999998</v>
      </c>
      <c r="M282" s="4" t="s">
        <v>1239</v>
      </c>
      <c r="N282" s="19">
        <v>14.827147999999999</v>
      </c>
      <c r="O282" s="19">
        <v>10.6684</v>
      </c>
      <c r="P282" s="19">
        <v>12.28</v>
      </c>
      <c r="Q282" s="19">
        <v>10.118</v>
      </c>
      <c r="R282" s="19">
        <v>9.15</v>
      </c>
      <c r="S282" s="19">
        <v>9.5814000000000004</v>
      </c>
      <c r="T282" s="19">
        <v>9.15</v>
      </c>
      <c r="U282" s="19">
        <v>10.048500000000001</v>
      </c>
      <c r="V282" s="19">
        <v>8</v>
      </c>
      <c r="W282" s="19">
        <v>8.5454000000000008</v>
      </c>
      <c r="X282" s="19">
        <v>8</v>
      </c>
      <c r="Y282" s="19">
        <v>8.5454000000000008</v>
      </c>
      <c r="Z282" s="4"/>
      <c r="AA282" s="4"/>
      <c r="AB282" s="4" t="e">
        <f ca="1">_xll.ciqfunctions.udf.CIQ("^SPX", "IQ_PRICEDATE", "2/4/2015")</f>
        <v>#NAME?</v>
      </c>
      <c r="AC282" s="16">
        <v>2041.5093509660001</v>
      </c>
    </row>
    <row r="283" spans="1:29" x14ac:dyDescent="0.35">
      <c r="A283" s="2" t="s">
        <v>293</v>
      </c>
      <c r="B283" s="4" t="s">
        <v>1240</v>
      </c>
      <c r="C283" s="4" t="s">
        <v>573</v>
      </c>
      <c r="D283" s="4" t="s">
        <v>737</v>
      </c>
      <c r="E283" s="4" t="s">
        <v>737</v>
      </c>
      <c r="F283" s="4" t="s">
        <v>743</v>
      </c>
      <c r="G283" s="14">
        <v>161.9</v>
      </c>
      <c r="H283" s="10">
        <v>0</v>
      </c>
      <c r="I283" s="10">
        <v>14.738292</v>
      </c>
      <c r="J283" s="10">
        <v>2.3962059999999998</v>
      </c>
      <c r="K283" s="15">
        <v>2.4706000000000002E-2</v>
      </c>
      <c r="L283" s="17">
        <v>23279.740558000001</v>
      </c>
      <c r="M283" s="4" t="s">
        <v>1241</v>
      </c>
      <c r="N283" s="19">
        <v>10.98499</v>
      </c>
      <c r="O283" s="19">
        <v>13.4016</v>
      </c>
      <c r="P283" s="19">
        <v>8.7021189999999997</v>
      </c>
      <c r="Q283" s="19">
        <v>9.7939000000000007</v>
      </c>
      <c r="R283" s="19">
        <v>7.7778119999999999</v>
      </c>
      <c r="S283" s="19">
        <v>8.3176000000000005</v>
      </c>
      <c r="T283" s="19">
        <v>7.7778119999999999</v>
      </c>
      <c r="U283" s="19">
        <v>8.3454999999999995</v>
      </c>
      <c r="V283" s="19">
        <v>7.4222640000000002</v>
      </c>
      <c r="W283" s="19">
        <v>8.1942000000000004</v>
      </c>
      <c r="X283" s="19">
        <v>7.4222640000000002</v>
      </c>
      <c r="Y283" s="19">
        <v>8.1942000000000004</v>
      </c>
      <c r="Z283" s="4"/>
      <c r="AA283" s="4"/>
      <c r="AB283" s="4" t="e">
        <f ca="1">_xll.ciqfunctions.udf.CIQ("^SPX", "IQ_PRICEDATE", "2/5/2015")</f>
        <v>#NAME?</v>
      </c>
      <c r="AC283" s="16">
        <v>2062.5215572874999</v>
      </c>
    </row>
    <row r="284" spans="1:29" x14ac:dyDescent="0.35">
      <c r="A284" s="2" t="s">
        <v>294</v>
      </c>
      <c r="B284" s="4" t="s">
        <v>1242</v>
      </c>
      <c r="C284" s="4" t="s">
        <v>601</v>
      </c>
      <c r="D284" s="4" t="s">
        <v>601</v>
      </c>
      <c r="E284" s="4" t="s">
        <v>602</v>
      </c>
      <c r="F284" s="4" t="s">
        <v>1026</v>
      </c>
      <c r="G284" s="14">
        <v>51.49</v>
      </c>
      <c r="H284" s="10">
        <v>19.994215000000001</v>
      </c>
      <c r="I284" s="10" t="s">
        <v>534</v>
      </c>
      <c r="J284" s="10">
        <v>2.4890050000000001</v>
      </c>
      <c r="K284" s="15">
        <v>5.7485999999999995E-2</v>
      </c>
      <c r="L284" s="17">
        <v>7262.7109440000004</v>
      </c>
      <c r="M284" s="4" t="s">
        <v>1243</v>
      </c>
      <c r="N284" s="19">
        <v>0.158355</v>
      </c>
      <c r="O284" s="19">
        <v>0.83819999999999995</v>
      </c>
      <c r="P284" s="19">
        <v>1.02</v>
      </c>
      <c r="Q284" s="19">
        <v>0.80669999999999997</v>
      </c>
      <c r="R284" s="19">
        <v>3.52</v>
      </c>
      <c r="S284" s="19">
        <v>1.0861000000000001</v>
      </c>
      <c r="T284" s="19">
        <v>3.52</v>
      </c>
      <c r="U284" s="19">
        <v>0.80020000000000002</v>
      </c>
      <c r="V284" s="19">
        <v>10.45</v>
      </c>
      <c r="W284" s="19">
        <v>1.3734</v>
      </c>
      <c r="X284" s="19">
        <v>10.45</v>
      </c>
      <c r="Y284" s="19">
        <v>1.3734</v>
      </c>
      <c r="Z284" s="4"/>
      <c r="AA284" s="4"/>
      <c r="AB284" s="4" t="e">
        <f ca="1">_xll.ciqfunctions.udf.CIQ("^SPX", "IQ_PRICEDATE", "2/6/2015")</f>
        <v>#NAME?</v>
      </c>
      <c r="AC284" s="16">
        <v>2055.4722418257002</v>
      </c>
    </row>
    <row r="285" spans="1:29" x14ac:dyDescent="0.35">
      <c r="A285" s="2" t="s">
        <v>295</v>
      </c>
      <c r="B285" s="4" t="s">
        <v>1244</v>
      </c>
      <c r="C285" s="4" t="s">
        <v>559</v>
      </c>
      <c r="D285" s="4" t="s">
        <v>560</v>
      </c>
      <c r="E285" s="4" t="s">
        <v>940</v>
      </c>
      <c r="F285" s="4" t="s">
        <v>1211</v>
      </c>
      <c r="G285" s="14">
        <v>31.84</v>
      </c>
      <c r="H285" s="10">
        <v>5.4130219999999998</v>
      </c>
      <c r="I285" s="10">
        <v>5.9208530000000001</v>
      </c>
      <c r="J285" s="10">
        <v>6.4091880000000003</v>
      </c>
      <c r="K285" s="15">
        <v>4.7424000000000001E-2</v>
      </c>
      <c r="L285" s="17">
        <v>9774.0111500000003</v>
      </c>
      <c r="M285" s="4" t="s">
        <v>1245</v>
      </c>
      <c r="N285" s="19">
        <v>5.3776029999999997</v>
      </c>
      <c r="O285" s="19">
        <v>3.9506000000000001</v>
      </c>
      <c r="P285" s="19">
        <v>2.2871980000000001</v>
      </c>
      <c r="Q285" s="19">
        <v>3.3380999999999998</v>
      </c>
      <c r="R285" s="19">
        <v>2.1972100000000001</v>
      </c>
      <c r="S285" s="19">
        <v>3.4695999999999998</v>
      </c>
      <c r="T285" s="19">
        <v>2.1972100000000001</v>
      </c>
      <c r="U285" s="19">
        <v>4.0442</v>
      </c>
      <c r="V285" s="19">
        <v>4.1997819999999999</v>
      </c>
      <c r="W285" s="19">
        <v>4.6668000000000003</v>
      </c>
      <c r="X285" s="19">
        <v>4.1997819999999999</v>
      </c>
      <c r="Y285" s="19">
        <v>4.6668000000000003</v>
      </c>
      <c r="Z285" s="4"/>
      <c r="AA285" s="4"/>
      <c r="AB285" s="4" t="e">
        <f ca="1">_xll.ciqfunctions.udf.CIQ("^SPX", "IQ_PRICEDATE", "2/9/2015")</f>
        <v>#NAME?</v>
      </c>
      <c r="AC285" s="16">
        <v>2046.7436014545999</v>
      </c>
    </row>
    <row r="286" spans="1:29" x14ac:dyDescent="0.35">
      <c r="A286" s="2" t="s">
        <v>296</v>
      </c>
      <c r="B286" s="4" t="s">
        <v>1246</v>
      </c>
      <c r="C286" s="4" t="s">
        <v>669</v>
      </c>
      <c r="D286" s="4" t="s">
        <v>669</v>
      </c>
      <c r="E286" s="4" t="s">
        <v>670</v>
      </c>
      <c r="F286" s="4" t="s">
        <v>671</v>
      </c>
      <c r="G286" s="14">
        <v>20.89</v>
      </c>
      <c r="H286" s="10">
        <v>6.7266110000000001</v>
      </c>
      <c r="I286" s="10" t="s">
        <v>534</v>
      </c>
      <c r="J286" s="10">
        <v>1.4824710000000001</v>
      </c>
      <c r="K286" s="15">
        <v>9.5729999999999999E-3</v>
      </c>
      <c r="L286" s="17">
        <v>17843.141232999998</v>
      </c>
      <c r="M286" s="4" t="s">
        <v>1247</v>
      </c>
      <c r="N286" s="19">
        <v>-0.20551900000000001</v>
      </c>
      <c r="O286" s="19">
        <v>1.0368999999999999</v>
      </c>
      <c r="P286" s="19">
        <v>-0.97646999999999995</v>
      </c>
      <c r="Q286" s="19">
        <v>-3.7100000000000001E-2</v>
      </c>
      <c r="R286" s="19">
        <v>-2.5499999999999998</v>
      </c>
      <c r="S286" s="19">
        <v>-0.30819999999999997</v>
      </c>
      <c r="T286" s="19">
        <v>-2.5499999999999998</v>
      </c>
      <c r="U286" s="19">
        <v>-1.3289</v>
      </c>
      <c r="V286" s="19">
        <v>1.42</v>
      </c>
      <c r="W286" s="19">
        <v>0.56810000000000005</v>
      </c>
      <c r="X286" s="19">
        <v>1.42</v>
      </c>
      <c r="Y286" s="19">
        <v>0.56810000000000005</v>
      </c>
      <c r="Z286" s="4"/>
      <c r="AA286" s="4"/>
      <c r="AB286" s="4" t="e">
        <f ca="1">_xll.ciqfunctions.udf.CIQ("^SPX", "IQ_PRICEDATE", "2/10/2015")</f>
        <v>#NAME?</v>
      </c>
      <c r="AC286" s="16">
        <v>2068.5927921291</v>
      </c>
    </row>
    <row r="287" spans="1:29" x14ac:dyDescent="0.35">
      <c r="A287" s="2" t="s">
        <v>297</v>
      </c>
      <c r="B287" s="4" t="s">
        <v>1248</v>
      </c>
      <c r="C287" s="4" t="s">
        <v>669</v>
      </c>
      <c r="D287" s="4" t="s">
        <v>669</v>
      </c>
      <c r="E287" s="4" t="s">
        <v>670</v>
      </c>
      <c r="F287" s="4" t="s">
        <v>1126</v>
      </c>
      <c r="G287" s="14">
        <v>79.150000000000006</v>
      </c>
      <c r="H287" s="10">
        <v>10.389061999999999</v>
      </c>
      <c r="I287" s="10">
        <v>9.606973</v>
      </c>
      <c r="J287" s="10">
        <v>3.1737950000000001</v>
      </c>
      <c r="K287" s="15">
        <v>2.3246000000000003E-2</v>
      </c>
      <c r="L287" s="17">
        <v>54678.201008999997</v>
      </c>
      <c r="M287" s="4" t="s">
        <v>1249</v>
      </c>
      <c r="N287" s="19">
        <v>8.2388069999999995</v>
      </c>
      <c r="O287" s="19">
        <v>6.4508000000000001</v>
      </c>
      <c r="P287" s="19">
        <v>6.7</v>
      </c>
      <c r="Q287" s="19">
        <v>4.8760000000000003</v>
      </c>
      <c r="R287" s="19">
        <v>2.21</v>
      </c>
      <c r="S287" s="19">
        <v>3.3616000000000001</v>
      </c>
      <c r="T287" s="19">
        <v>2.21</v>
      </c>
      <c r="U287" s="19">
        <v>5.3543000000000003</v>
      </c>
      <c r="V287" s="19">
        <v>4.3899999999999997</v>
      </c>
      <c r="W287" s="19">
        <v>4.2502000000000004</v>
      </c>
      <c r="X287" s="19">
        <v>4.3899999999999997</v>
      </c>
      <c r="Y287" s="19">
        <v>4.2502000000000004</v>
      </c>
      <c r="Z287" s="4"/>
      <c r="AA287" s="4"/>
      <c r="AB287" s="4" t="e">
        <f ca="1">_xll.ciqfunctions.udf.CIQ("^SPX", "IQ_PRICEDATE", "2/11/2015")</f>
        <v>#NAME?</v>
      </c>
      <c r="AC287" s="16">
        <v>2068.5319770619999</v>
      </c>
    </row>
    <row r="288" spans="1:29" x14ac:dyDescent="0.35">
      <c r="A288" s="2" t="s">
        <v>298</v>
      </c>
      <c r="B288" s="4" t="s">
        <v>1250</v>
      </c>
      <c r="C288" s="4" t="s">
        <v>559</v>
      </c>
      <c r="D288" s="4" t="s">
        <v>798</v>
      </c>
      <c r="E288" s="4" t="s">
        <v>799</v>
      </c>
      <c r="F288" s="4" t="s">
        <v>800</v>
      </c>
      <c r="G288" s="14">
        <v>117.96</v>
      </c>
      <c r="H288" s="10">
        <v>17.070519999999998</v>
      </c>
      <c r="I288" s="10">
        <v>28.495912000000001</v>
      </c>
      <c r="J288" s="10" t="s">
        <v>534</v>
      </c>
      <c r="K288" s="15">
        <v>1.3903E-2</v>
      </c>
      <c r="L288" s="17">
        <v>40930.720641</v>
      </c>
      <c r="M288" s="4" t="s">
        <v>1251</v>
      </c>
      <c r="N288" s="19">
        <v>4.1395410000000004</v>
      </c>
      <c r="O288" s="19">
        <v>5.9173</v>
      </c>
      <c r="P288" s="19">
        <v>3.61</v>
      </c>
      <c r="Q288" s="19">
        <v>4.6467000000000001</v>
      </c>
      <c r="R288" s="19">
        <v>2.64</v>
      </c>
      <c r="S288" s="19">
        <v>3.8769</v>
      </c>
      <c r="T288" s="19">
        <v>2.64</v>
      </c>
      <c r="U288" s="19">
        <v>3.6078000000000001</v>
      </c>
      <c r="V288" s="19">
        <v>2.54</v>
      </c>
      <c r="W288" s="19">
        <v>2.9331</v>
      </c>
      <c r="X288" s="19">
        <v>2.54</v>
      </c>
      <c r="Y288" s="19">
        <v>2.9331</v>
      </c>
      <c r="Z288" s="4"/>
      <c r="AA288" s="4"/>
      <c r="AB288" s="4" t="e">
        <f ca="1">_xll.ciqfunctions.udf.CIQ("^SPX", "IQ_PRICEDATE", "2/12/2015")</f>
        <v>#NAME?</v>
      </c>
      <c r="AC288" s="16">
        <v>2088.4847683353</v>
      </c>
    </row>
    <row r="289" spans="1:29" x14ac:dyDescent="0.35">
      <c r="A289" s="2" t="s">
        <v>299</v>
      </c>
      <c r="B289" s="4" t="s">
        <v>1252</v>
      </c>
      <c r="C289" s="4" t="s">
        <v>573</v>
      </c>
      <c r="D289" s="4" t="s">
        <v>579</v>
      </c>
      <c r="E289" s="4" t="s">
        <v>579</v>
      </c>
      <c r="F289" s="4" t="s">
        <v>680</v>
      </c>
      <c r="G289" s="14">
        <v>80.91</v>
      </c>
      <c r="H289" s="10">
        <v>13.168301</v>
      </c>
      <c r="I289" s="10">
        <v>25.370277000000002</v>
      </c>
      <c r="J289" s="10" t="s">
        <v>534</v>
      </c>
      <c r="K289" s="15">
        <v>2.0516E-2</v>
      </c>
      <c r="L289" s="17">
        <v>40857.895066999998</v>
      </c>
      <c r="M289" s="4" t="s">
        <v>1253</v>
      </c>
      <c r="N289" s="19">
        <v>3.189165</v>
      </c>
      <c r="O289" s="19">
        <v>4.4569000000000001</v>
      </c>
      <c r="P289" s="19">
        <v>2.87</v>
      </c>
      <c r="Q289" s="19">
        <v>4.0698999999999996</v>
      </c>
      <c r="R289" s="19">
        <v>3.38</v>
      </c>
      <c r="S289" s="19">
        <v>3.6168</v>
      </c>
      <c r="T289" s="19">
        <v>3.38</v>
      </c>
      <c r="U289" s="19">
        <v>3.2086999999999999</v>
      </c>
      <c r="V289" s="19">
        <v>2.61</v>
      </c>
      <c r="W289" s="19">
        <v>3.0276999999999998</v>
      </c>
      <c r="X289" s="19">
        <v>2.61</v>
      </c>
      <c r="Y289" s="19">
        <v>3.0276999999999998</v>
      </c>
      <c r="Z289" s="4"/>
      <c r="AA289" s="4"/>
      <c r="AB289" s="4" t="e">
        <f ca="1">_xll.ciqfunctions.udf.CIQ("^SPX", "IQ_PRICEDATE", "2/13/2015")</f>
        <v>#NAME?</v>
      </c>
      <c r="AC289" s="16">
        <v>2096.9879019150999</v>
      </c>
    </row>
    <row r="290" spans="1:29" x14ac:dyDescent="0.35">
      <c r="A290" s="2" t="s">
        <v>300</v>
      </c>
      <c r="B290" s="4" t="s">
        <v>1254</v>
      </c>
      <c r="C290" s="4" t="s">
        <v>586</v>
      </c>
      <c r="D290" s="4" t="s">
        <v>586</v>
      </c>
      <c r="E290" s="4" t="s">
        <v>1255</v>
      </c>
      <c r="F290" s="4" t="s">
        <v>1255</v>
      </c>
      <c r="G290" s="14">
        <v>166.11</v>
      </c>
      <c r="H290" s="10">
        <v>13.140537999999999</v>
      </c>
      <c r="I290" s="10">
        <v>14.545806000000001</v>
      </c>
      <c r="J290" s="10">
        <v>5.4309950000000002</v>
      </c>
      <c r="K290" s="15">
        <v>1.1557999999999999E-2</v>
      </c>
      <c r="L290" s="17">
        <v>10466.918669000001</v>
      </c>
      <c r="M290" s="4" t="s">
        <v>1256</v>
      </c>
      <c r="N290" s="19">
        <v>11.419786</v>
      </c>
      <c r="O290" s="19">
        <v>9.4571000000000005</v>
      </c>
      <c r="P290" s="19">
        <v>11.25</v>
      </c>
      <c r="Q290" s="19">
        <v>7.9074999999999998</v>
      </c>
      <c r="R290" s="19">
        <v>6.63</v>
      </c>
      <c r="S290" s="19">
        <v>8.3643999999999998</v>
      </c>
      <c r="T290" s="19">
        <v>6.63</v>
      </c>
      <c r="U290" s="19">
        <v>6.5189000000000004</v>
      </c>
      <c r="V290" s="19">
        <v>2.71</v>
      </c>
      <c r="W290" s="19">
        <v>4.7074999999999996</v>
      </c>
      <c r="X290" s="19">
        <v>2.71</v>
      </c>
      <c r="Y290" s="19">
        <v>4.7074999999999996</v>
      </c>
      <c r="Z290" s="4"/>
      <c r="AA290" s="4"/>
      <c r="AB290" s="4" t="e">
        <f ca="1">_xll.ciqfunctions.udf.CIQ("^SPX", "IQ_PRICEDATE", "2/17/2015")</f>
        <v>#NAME?</v>
      </c>
      <c r="AC290" s="16">
        <v>2100.3432492548</v>
      </c>
    </row>
    <row r="291" spans="1:29" x14ac:dyDescent="0.35">
      <c r="A291" s="2" t="s">
        <v>301</v>
      </c>
      <c r="B291" s="4" t="s">
        <v>1257</v>
      </c>
      <c r="C291" s="4" t="s">
        <v>525</v>
      </c>
      <c r="D291" s="4" t="s">
        <v>526</v>
      </c>
      <c r="E291" s="4" t="s">
        <v>527</v>
      </c>
      <c r="F291" s="4" t="s">
        <v>527</v>
      </c>
      <c r="G291" s="14">
        <v>31.96</v>
      </c>
      <c r="H291" s="10">
        <v>9.8165139999999997</v>
      </c>
      <c r="I291" s="10">
        <v>17.041934000000001</v>
      </c>
      <c r="J291" s="10" t="s">
        <v>534</v>
      </c>
      <c r="K291" s="15">
        <v>1.5018E-2</v>
      </c>
      <c r="L291" s="17">
        <v>9826.9552359999998</v>
      </c>
      <c r="M291" s="4" t="s">
        <v>1258</v>
      </c>
      <c r="N291" s="19">
        <v>1.8753740000000001</v>
      </c>
      <c r="O291" s="19">
        <v>2.7391000000000001</v>
      </c>
      <c r="P291" s="19">
        <v>1.66</v>
      </c>
      <c r="Q291" s="19">
        <v>2.1812</v>
      </c>
      <c r="R291" s="19">
        <v>1.47</v>
      </c>
      <c r="S291" s="19">
        <v>1.8372999999999999</v>
      </c>
      <c r="T291" s="19">
        <v>1.47</v>
      </c>
      <c r="U291" s="19">
        <v>1.41</v>
      </c>
      <c r="V291" s="19">
        <v>2.2799999999999998</v>
      </c>
      <c r="W291" s="19">
        <v>1.151</v>
      </c>
      <c r="X291" s="19">
        <v>2.2799999999999998</v>
      </c>
      <c r="Y291" s="19">
        <v>1.151</v>
      </c>
      <c r="Z291" s="4"/>
      <c r="AA291" s="4"/>
      <c r="AB291" s="4" t="e">
        <f ca="1">_xll.ciqfunctions.udf.CIQ("^SPX", "IQ_PRICEDATE", "2/18/2015")</f>
        <v>#NAME?</v>
      </c>
      <c r="AC291" s="16">
        <v>2099.6753437890002</v>
      </c>
    </row>
    <row r="292" spans="1:29" x14ac:dyDescent="0.35">
      <c r="A292" s="2" t="s">
        <v>302</v>
      </c>
      <c r="B292" s="4" t="s">
        <v>1259</v>
      </c>
      <c r="C292" s="4" t="s">
        <v>543</v>
      </c>
      <c r="D292" s="4" t="s">
        <v>544</v>
      </c>
      <c r="E292" s="4" t="s">
        <v>545</v>
      </c>
      <c r="F292" s="4" t="s">
        <v>616</v>
      </c>
      <c r="G292" s="14">
        <v>207.38</v>
      </c>
      <c r="H292" s="10">
        <v>26.015381999999999</v>
      </c>
      <c r="I292" s="10">
        <v>46.511147999999999</v>
      </c>
      <c r="J292" s="10">
        <v>173.88154599999999</v>
      </c>
      <c r="K292" s="15">
        <v>4.8219999999999999E-3</v>
      </c>
      <c r="L292" s="17">
        <v>215354.27094700001</v>
      </c>
      <c r="M292" s="4" t="s">
        <v>1260</v>
      </c>
      <c r="N292" s="19">
        <v>4.4587159999999999</v>
      </c>
      <c r="O292" s="19">
        <v>6.8643000000000001</v>
      </c>
      <c r="P292" s="19">
        <v>3.65</v>
      </c>
      <c r="Q292" s="19">
        <v>5.1303999999999998</v>
      </c>
      <c r="R292" s="19">
        <v>3.69</v>
      </c>
      <c r="S292" s="19">
        <v>4.1387</v>
      </c>
      <c r="T292" s="19">
        <v>3.69</v>
      </c>
      <c r="U292" s="19">
        <v>3.6930000000000001</v>
      </c>
      <c r="V292" s="19">
        <v>3.1</v>
      </c>
      <c r="W292" s="19">
        <v>3.4184999999999999</v>
      </c>
      <c r="X292" s="19">
        <v>3.1</v>
      </c>
      <c r="Y292" s="19">
        <v>3.4184999999999999</v>
      </c>
      <c r="Z292" s="4"/>
      <c r="AA292" s="4"/>
      <c r="AB292" s="4" t="e">
        <f ca="1">_xll.ciqfunctions.udf.CIQ("^SPX", "IQ_PRICEDATE", "2/19/2015")</f>
        <v>#NAME?</v>
      </c>
      <c r="AC292" s="16">
        <v>2097.4493476088001</v>
      </c>
    </row>
    <row r="293" spans="1:29" x14ac:dyDescent="0.35">
      <c r="A293" s="2" t="s">
        <v>303</v>
      </c>
      <c r="B293" s="4" t="s">
        <v>1261</v>
      </c>
      <c r="C293" s="4" t="s">
        <v>559</v>
      </c>
      <c r="D293" s="4" t="s">
        <v>912</v>
      </c>
      <c r="E293" s="4" t="s">
        <v>1106</v>
      </c>
      <c r="F293" s="4" t="s">
        <v>1106</v>
      </c>
      <c r="G293" s="14">
        <v>14.77</v>
      </c>
      <c r="H293" s="10" t="s">
        <v>534</v>
      </c>
      <c r="I293" s="10" t="s">
        <v>534</v>
      </c>
      <c r="J293" s="10" t="s">
        <v>534</v>
      </c>
      <c r="K293" s="15">
        <v>0</v>
      </c>
      <c r="L293" s="17">
        <v>5083.1402680000001</v>
      </c>
      <c r="M293" s="4" t="s">
        <v>1262</v>
      </c>
      <c r="N293" s="19">
        <v>-4.1761299999999997</v>
      </c>
      <c r="O293" s="19">
        <v>-0.16669999999999999</v>
      </c>
      <c r="P293" s="19">
        <v>-3.07</v>
      </c>
      <c r="Q293" s="19">
        <v>0.2369</v>
      </c>
      <c r="R293" s="19">
        <v>0.92</v>
      </c>
      <c r="S293" s="19">
        <v>1.5628</v>
      </c>
      <c r="T293" s="19">
        <v>0.92</v>
      </c>
      <c r="U293" s="19">
        <v>1.343</v>
      </c>
      <c r="V293" s="19">
        <v>1.45</v>
      </c>
      <c r="W293" s="19">
        <v>2.1236000000000002</v>
      </c>
      <c r="X293" s="19">
        <v>1.45</v>
      </c>
      <c r="Y293" s="19">
        <v>2.1236000000000002</v>
      </c>
      <c r="Z293" s="4"/>
      <c r="AA293" s="4"/>
      <c r="AB293" s="4" t="e">
        <f ca="1">_xll.ciqfunctions.udf.CIQ("^SPX", "IQ_PRICEDATE", "2/20/2015")</f>
        <v>#NAME?</v>
      </c>
      <c r="AC293" s="16">
        <v>2110.3008991643001</v>
      </c>
    </row>
    <row r="294" spans="1:29" x14ac:dyDescent="0.35">
      <c r="A294" s="2" t="s">
        <v>304</v>
      </c>
      <c r="B294" s="4" t="s">
        <v>1263</v>
      </c>
      <c r="C294" s="4" t="s">
        <v>626</v>
      </c>
      <c r="D294" s="4" t="s">
        <v>627</v>
      </c>
      <c r="E294" s="4" t="s">
        <v>699</v>
      </c>
      <c r="F294" s="4" t="s">
        <v>789</v>
      </c>
      <c r="G294" s="14">
        <v>137.69</v>
      </c>
      <c r="H294" s="10">
        <v>20.631674</v>
      </c>
      <c r="I294" s="10">
        <v>20.406457</v>
      </c>
      <c r="J294" s="10" t="s">
        <v>534</v>
      </c>
      <c r="K294" s="15">
        <v>1.5106E-2</v>
      </c>
      <c r="L294" s="17">
        <v>18127.496093000002</v>
      </c>
      <c r="M294" s="4" t="s">
        <v>1264</v>
      </c>
      <c r="N294" s="19">
        <v>6.7473739999999998</v>
      </c>
      <c r="O294" s="19">
        <v>5.2282000000000002</v>
      </c>
      <c r="P294" s="19">
        <v>3.72</v>
      </c>
      <c r="Q294" s="19">
        <v>4.5216000000000003</v>
      </c>
      <c r="R294" s="19">
        <v>3.69</v>
      </c>
      <c r="S294" s="19">
        <v>3.9647999999999999</v>
      </c>
      <c r="T294" s="19">
        <v>3.69</v>
      </c>
      <c r="U294" s="19">
        <v>3.6116999999999999</v>
      </c>
      <c r="V294" s="19">
        <v>3.34</v>
      </c>
      <c r="W294" s="19">
        <v>3.4861</v>
      </c>
      <c r="X294" s="19">
        <v>3.34</v>
      </c>
      <c r="Y294" s="19">
        <v>3.4861</v>
      </c>
      <c r="Z294" s="4"/>
      <c r="AA294" s="4"/>
      <c r="AB294" s="4" t="e">
        <f ca="1">_xll.ciqfunctions.udf.CIQ("^SPX", "IQ_PRICEDATE", "2/23/2015")</f>
        <v>#NAME?</v>
      </c>
      <c r="AC294" s="16">
        <v>2109.6566290026999</v>
      </c>
    </row>
    <row r="295" spans="1:29" x14ac:dyDescent="0.35">
      <c r="A295" s="2" t="s">
        <v>305</v>
      </c>
      <c r="B295" s="4" t="s">
        <v>1265</v>
      </c>
      <c r="C295" s="4" t="s">
        <v>559</v>
      </c>
      <c r="D295" s="4" t="s">
        <v>798</v>
      </c>
      <c r="E295" s="4" t="s">
        <v>799</v>
      </c>
      <c r="F295" s="4" t="s">
        <v>839</v>
      </c>
      <c r="G295" s="14">
        <v>166.77</v>
      </c>
      <c r="H295" s="10">
        <v>15.762727</v>
      </c>
      <c r="I295" s="10">
        <v>24.466937000000001</v>
      </c>
      <c r="J295" s="10" t="s">
        <v>534</v>
      </c>
      <c r="K295" s="15">
        <v>2.7822E-2</v>
      </c>
      <c r="L295" s="17">
        <v>129380.234209</v>
      </c>
      <c r="M295" s="4" t="s">
        <v>1266</v>
      </c>
      <c r="N295" s="19">
        <v>6.8161370000000003</v>
      </c>
      <c r="O295" s="19">
        <v>7.7857000000000003</v>
      </c>
      <c r="P295" s="19">
        <v>6.37</v>
      </c>
      <c r="Q295" s="19">
        <v>6.835</v>
      </c>
      <c r="R295" s="19">
        <v>5.44</v>
      </c>
      <c r="S295" s="19">
        <v>6.0103</v>
      </c>
      <c r="T295" s="19">
        <v>5.44</v>
      </c>
      <c r="U295" s="19">
        <v>5.2130000000000001</v>
      </c>
      <c r="V295" s="19">
        <v>4.82</v>
      </c>
      <c r="W295" s="19">
        <v>5.2888999999999999</v>
      </c>
      <c r="X295" s="19">
        <v>4.82</v>
      </c>
      <c r="Y295" s="19">
        <v>5.2888999999999999</v>
      </c>
      <c r="Z295" s="4"/>
      <c r="AA295" s="4"/>
      <c r="AB295" s="4" t="e">
        <f ca="1">_xll.ciqfunctions.udf.CIQ("^SPX", "IQ_PRICEDATE", "2/24/2015")</f>
        <v>#NAME?</v>
      </c>
      <c r="AC295" s="16">
        <v>2115.4838159563001</v>
      </c>
    </row>
    <row r="296" spans="1:29" x14ac:dyDescent="0.35">
      <c r="A296" s="2" t="s">
        <v>306</v>
      </c>
      <c r="B296" s="4" t="s">
        <v>1267</v>
      </c>
      <c r="C296" s="4" t="s">
        <v>530</v>
      </c>
      <c r="D296" s="4" t="s">
        <v>531</v>
      </c>
      <c r="E296" s="4" t="s">
        <v>569</v>
      </c>
      <c r="F296" s="4" t="s">
        <v>655</v>
      </c>
      <c r="G296" s="14">
        <v>135.04</v>
      </c>
      <c r="H296" s="10">
        <v>9.6127769999999995</v>
      </c>
      <c r="I296" s="10" t="s">
        <v>534</v>
      </c>
      <c r="J296" s="10" t="s">
        <v>534</v>
      </c>
      <c r="K296" s="15">
        <v>1.1552E-2</v>
      </c>
      <c r="L296" s="17">
        <v>26977.071924</v>
      </c>
      <c r="M296" s="4" t="s">
        <v>1268</v>
      </c>
      <c r="N296" s="19">
        <v>-1.8663419999999999</v>
      </c>
      <c r="O296" s="19">
        <v>13.4869</v>
      </c>
      <c r="P296" s="19">
        <v>22.754123</v>
      </c>
      <c r="Q296" s="19">
        <v>12.5558</v>
      </c>
      <c r="R296" s="19">
        <v>9.0365629999999992</v>
      </c>
      <c r="S296" s="19">
        <v>12.116899999999999</v>
      </c>
      <c r="T296" s="19">
        <v>9.0365629999999992</v>
      </c>
      <c r="U296" s="19">
        <v>13.3017</v>
      </c>
      <c r="V296" s="19">
        <v>7.5714709999999998</v>
      </c>
      <c r="W296" s="19">
        <v>11.6843</v>
      </c>
      <c r="X296" s="19">
        <v>7.5714709999999998</v>
      </c>
      <c r="Y296" s="19">
        <v>11.6843</v>
      </c>
      <c r="Z296" s="4"/>
      <c r="AA296" s="4"/>
      <c r="AB296" s="4" t="e">
        <f ca="1">_xll.ciqfunctions.udf.CIQ("^SPX", "IQ_PRICEDATE", "2/25/2015")</f>
        <v>#NAME?</v>
      </c>
      <c r="AC296" s="16">
        <v>2113.8635148128001</v>
      </c>
    </row>
    <row r="297" spans="1:29" x14ac:dyDescent="0.35">
      <c r="A297" s="2" t="s">
        <v>307</v>
      </c>
      <c r="B297" s="4" t="s">
        <v>1269</v>
      </c>
      <c r="C297" s="4" t="s">
        <v>530</v>
      </c>
      <c r="D297" s="4" t="s">
        <v>531</v>
      </c>
      <c r="E297" s="4" t="s">
        <v>532</v>
      </c>
      <c r="F297" s="4" t="s">
        <v>533</v>
      </c>
      <c r="G297" s="14">
        <v>97.29</v>
      </c>
      <c r="H297" s="10">
        <v>15.317556</v>
      </c>
      <c r="I297" s="10">
        <v>41.958820000000003</v>
      </c>
      <c r="J297" s="10" t="s">
        <v>534</v>
      </c>
      <c r="K297" s="15">
        <v>2.0556999999999999E-2</v>
      </c>
      <c r="L297" s="17">
        <v>131391.23396700001</v>
      </c>
      <c r="M297" s="4" t="s">
        <v>1270</v>
      </c>
      <c r="N297" s="19">
        <v>2.318702</v>
      </c>
      <c r="O297" s="19">
        <v>5.2145999999999999</v>
      </c>
      <c r="P297" s="19">
        <v>3.6437590000000002</v>
      </c>
      <c r="Q297" s="19">
        <v>4.9591000000000003</v>
      </c>
      <c r="R297" s="19">
        <v>3.0034299999999998</v>
      </c>
      <c r="S297" s="19">
        <v>4.8093000000000004</v>
      </c>
      <c r="T297" s="19">
        <v>3.0034299999999998</v>
      </c>
      <c r="U297" s="19">
        <v>4.6657000000000002</v>
      </c>
      <c r="V297" s="19">
        <v>2.8895770000000001</v>
      </c>
      <c r="W297" s="19">
        <v>4.2085999999999997</v>
      </c>
      <c r="X297" s="19">
        <v>2.8895770000000001</v>
      </c>
      <c r="Y297" s="19">
        <v>4.2085999999999997</v>
      </c>
      <c r="Z297" s="4"/>
      <c r="AA297" s="4"/>
      <c r="AB297" s="4" t="e">
        <f ca="1">_xll.ciqfunctions.udf.CIQ("^SPX", "IQ_PRICEDATE", "2/26/2015")</f>
        <v>#NAME?</v>
      </c>
      <c r="AC297" s="16">
        <v>2110.7418309157001</v>
      </c>
    </row>
    <row r="298" spans="1:29" x14ac:dyDescent="0.35">
      <c r="A298" s="2" t="s">
        <v>308</v>
      </c>
      <c r="B298" s="4" t="s">
        <v>1271</v>
      </c>
      <c r="C298" s="4" t="s">
        <v>530</v>
      </c>
      <c r="D298" s="4" t="s">
        <v>537</v>
      </c>
      <c r="E298" s="4" t="s">
        <v>613</v>
      </c>
      <c r="F298" s="4" t="s">
        <v>613</v>
      </c>
      <c r="G298" s="14">
        <v>71.819999999999993</v>
      </c>
      <c r="H298" s="10">
        <v>17.355464000000001</v>
      </c>
      <c r="I298" s="10">
        <v>148.119427</v>
      </c>
      <c r="J298" s="10">
        <v>141.313693</v>
      </c>
      <c r="K298" s="15">
        <v>2.6732999999999996E-2</v>
      </c>
      <c r="L298" s="17">
        <v>191007.10783600001</v>
      </c>
      <c r="M298" s="4" t="s">
        <v>1272</v>
      </c>
      <c r="N298" s="19">
        <v>0.484879</v>
      </c>
      <c r="O298" s="19">
        <v>4.4579000000000004</v>
      </c>
      <c r="P298" s="19">
        <v>0.87</v>
      </c>
      <c r="Q298" s="19">
        <v>3.9620000000000002</v>
      </c>
      <c r="R298" s="19">
        <v>1.41</v>
      </c>
      <c r="S298" s="19">
        <v>3.7530999999999999</v>
      </c>
      <c r="T298" s="19">
        <v>1.41</v>
      </c>
      <c r="U298" s="19">
        <v>3.6737000000000002</v>
      </c>
      <c r="V298" s="19">
        <v>4.07</v>
      </c>
      <c r="W298" s="19">
        <v>3.4413</v>
      </c>
      <c r="X298" s="19">
        <v>4.07</v>
      </c>
      <c r="Y298" s="19">
        <v>3.4413</v>
      </c>
      <c r="Z298" s="4"/>
      <c r="AA298" s="4"/>
      <c r="AB298" s="4" t="e">
        <f ca="1">_xll.ciqfunctions.udf.CIQ("^SPX", "IQ_PRICEDATE", "2/27/2015")</f>
        <v>#NAME?</v>
      </c>
      <c r="AC298" s="16">
        <v>2104.5032493243002</v>
      </c>
    </row>
    <row r="299" spans="1:29" x14ac:dyDescent="0.35">
      <c r="A299" s="2" t="s">
        <v>309</v>
      </c>
      <c r="B299" s="4" t="s">
        <v>1273</v>
      </c>
      <c r="C299" s="4" t="s">
        <v>573</v>
      </c>
      <c r="D299" s="4" t="s">
        <v>579</v>
      </c>
      <c r="E299" s="4" t="s">
        <v>579</v>
      </c>
      <c r="F299" s="4" t="s">
        <v>580</v>
      </c>
      <c r="G299" s="14">
        <v>44.66</v>
      </c>
      <c r="H299" s="10">
        <v>21.555149</v>
      </c>
      <c r="I299" s="10">
        <v>8.9880689999999994</v>
      </c>
      <c r="J299" s="10">
        <v>1.0120739999999999</v>
      </c>
      <c r="K299" s="15">
        <v>3.7616999999999998E-2</v>
      </c>
      <c r="L299" s="17">
        <v>44429.462444999997</v>
      </c>
      <c r="M299" s="4" t="s">
        <v>1274</v>
      </c>
      <c r="N299" s="19">
        <v>4.9688090000000003</v>
      </c>
      <c r="O299" s="19">
        <v>5.2276999999999996</v>
      </c>
      <c r="P299" s="19">
        <v>4.53</v>
      </c>
      <c r="Q299" s="19">
        <v>4.5159000000000002</v>
      </c>
      <c r="R299" s="19">
        <v>3.13</v>
      </c>
      <c r="S299" s="19">
        <v>5.3220000000000001</v>
      </c>
      <c r="T299" s="19">
        <v>3.13</v>
      </c>
      <c r="U299" s="19">
        <v>5.7436999999999996</v>
      </c>
      <c r="V299" s="19">
        <v>5.42</v>
      </c>
      <c r="W299" s="19">
        <v>5.76</v>
      </c>
      <c r="X299" s="19">
        <v>5.42</v>
      </c>
      <c r="Y299" s="19">
        <v>5.76</v>
      </c>
      <c r="Z299" s="4"/>
      <c r="AA299" s="4"/>
      <c r="AB299" s="4" t="e">
        <f ca="1">_xll.ciqfunctions.udf.CIQ("^SPX", "IQ_PRICEDATE", "3/2/2015")</f>
        <v>#NAME?</v>
      </c>
      <c r="AC299" s="16">
        <v>2117.3933347360999</v>
      </c>
    </row>
    <row r="300" spans="1:29" x14ac:dyDescent="0.35">
      <c r="A300" s="2" t="s">
        <v>310</v>
      </c>
      <c r="B300" s="4" t="s">
        <v>1275</v>
      </c>
      <c r="C300" s="4" t="s">
        <v>530</v>
      </c>
      <c r="D300" s="4" t="s">
        <v>537</v>
      </c>
      <c r="E300" s="4" t="s">
        <v>583</v>
      </c>
      <c r="F300" s="4" t="s">
        <v>583</v>
      </c>
      <c r="G300" s="14">
        <v>578.69000000000005</v>
      </c>
      <c r="H300" s="10">
        <v>22.263456999999999</v>
      </c>
      <c r="I300" s="10">
        <v>39.119819999999997</v>
      </c>
      <c r="J300" s="10" t="s">
        <v>534</v>
      </c>
      <c r="K300" s="15">
        <v>0</v>
      </c>
      <c r="L300" s="17">
        <v>14590.990125</v>
      </c>
      <c r="M300" s="4" t="s">
        <v>1276</v>
      </c>
      <c r="N300" s="19">
        <v>14.792757</v>
      </c>
      <c r="O300" s="19">
        <v>21.353000000000002</v>
      </c>
      <c r="P300" s="19">
        <v>14.24</v>
      </c>
      <c r="Q300" s="19">
        <v>19.140499999999999</v>
      </c>
      <c r="R300" s="19">
        <v>14.219999</v>
      </c>
      <c r="S300" s="19">
        <v>15.7037</v>
      </c>
      <c r="T300" s="19">
        <v>14.219999</v>
      </c>
      <c r="U300" s="19">
        <v>13.7766</v>
      </c>
      <c r="V300" s="19">
        <v>11.44</v>
      </c>
      <c r="W300" s="19">
        <v>12.564299999999999</v>
      </c>
      <c r="X300" s="19">
        <v>11.44</v>
      </c>
      <c r="Y300" s="19">
        <v>12.564299999999999</v>
      </c>
      <c r="Z300" s="4"/>
      <c r="AA300" s="4"/>
      <c r="AB300" s="4" t="e">
        <f ca="1">_xll.ciqfunctions.udf.CIQ("^SPX", "IQ_PRICEDATE", "3/3/2015")</f>
        <v>#NAME?</v>
      </c>
      <c r="AC300" s="16">
        <v>2107.7784174444</v>
      </c>
    </row>
    <row r="301" spans="1:29" x14ac:dyDescent="0.35">
      <c r="A301" s="2" t="s">
        <v>311</v>
      </c>
      <c r="B301" s="4" t="s">
        <v>1277</v>
      </c>
      <c r="C301" s="4" t="s">
        <v>559</v>
      </c>
      <c r="D301" s="4" t="s">
        <v>798</v>
      </c>
      <c r="E301" s="4" t="s">
        <v>799</v>
      </c>
      <c r="F301" s="4" t="s">
        <v>1278</v>
      </c>
      <c r="G301" s="14">
        <v>27.92</v>
      </c>
      <c r="H301" s="10">
        <v>12.402637</v>
      </c>
      <c r="I301" s="10">
        <v>8.5436420000000002</v>
      </c>
      <c r="J301" s="10">
        <v>11.830769</v>
      </c>
      <c r="K301" s="15">
        <v>1.7191000000000001E-2</v>
      </c>
      <c r="L301" s="17">
        <v>15018.227079</v>
      </c>
      <c r="M301" s="4" t="s">
        <v>1279</v>
      </c>
      <c r="N301" s="19">
        <v>3.2679269999999998</v>
      </c>
      <c r="O301" s="19">
        <v>1.1268</v>
      </c>
      <c r="P301" s="19">
        <v>3.3546499999999999</v>
      </c>
      <c r="Q301" s="19">
        <v>1.236</v>
      </c>
      <c r="R301" s="19">
        <v>1.921033</v>
      </c>
      <c r="S301" s="19">
        <v>1.2794000000000001</v>
      </c>
      <c r="T301" s="19">
        <v>1.921033</v>
      </c>
      <c r="U301" s="19">
        <v>0.57110000000000005</v>
      </c>
      <c r="V301" s="19">
        <v>-0.30601</v>
      </c>
      <c r="W301" s="19">
        <v>0.53300000000000003</v>
      </c>
      <c r="X301" s="19">
        <v>-0.30601</v>
      </c>
      <c r="Y301" s="19">
        <v>0.53300000000000003</v>
      </c>
      <c r="Z301" s="4"/>
      <c r="AA301" s="4"/>
      <c r="AB301" s="4" t="e">
        <f ca="1">_xll.ciqfunctions.udf.CIQ("^SPX", "IQ_PRICEDATE", "3/4/2015")</f>
        <v>#NAME?</v>
      </c>
      <c r="AC301" s="16">
        <v>2098.5330535804001</v>
      </c>
    </row>
    <row r="302" spans="1:29" x14ac:dyDescent="0.35">
      <c r="A302" s="2" t="s">
        <v>312</v>
      </c>
      <c r="B302" s="4" t="s">
        <v>1280</v>
      </c>
      <c r="C302" s="4" t="s">
        <v>559</v>
      </c>
      <c r="D302" s="4" t="s">
        <v>912</v>
      </c>
      <c r="E302" s="4" t="s">
        <v>1097</v>
      </c>
      <c r="F302" s="4" t="s">
        <v>1098</v>
      </c>
      <c r="G302" s="14">
        <v>62.38</v>
      </c>
      <c r="H302" s="10">
        <v>8.4249170000000007</v>
      </c>
      <c r="I302" s="10">
        <v>14.711650000000001</v>
      </c>
      <c r="J302" s="10">
        <v>173.590723</v>
      </c>
      <c r="K302" s="15">
        <v>0</v>
      </c>
      <c r="L302" s="17">
        <v>9305.1369560000003</v>
      </c>
      <c r="M302" s="4" t="s">
        <v>1281</v>
      </c>
      <c r="N302" s="19">
        <v>4.2401770000000001</v>
      </c>
      <c r="O302" s="19">
        <v>5.0564999999999998</v>
      </c>
      <c r="P302" s="19">
        <v>3.3294570000000001</v>
      </c>
      <c r="Q302" s="19">
        <v>3.9893999999999998</v>
      </c>
      <c r="R302" s="19">
        <v>4.3754530000000003</v>
      </c>
      <c r="S302" s="19">
        <v>4.4847999999999999</v>
      </c>
      <c r="T302" s="19">
        <v>4.3754530000000003</v>
      </c>
      <c r="U302" s="19">
        <v>4.3769999999999998</v>
      </c>
      <c r="V302" s="19">
        <v>4.1599360000000001</v>
      </c>
      <c r="W302" s="19">
        <v>4.4702999999999999</v>
      </c>
      <c r="X302" s="19">
        <v>4.1599360000000001</v>
      </c>
      <c r="Y302" s="19">
        <v>4.4702999999999999</v>
      </c>
      <c r="Z302" s="4"/>
      <c r="AA302" s="4"/>
      <c r="AB302" s="4" t="e">
        <f ca="1">_xll.ciqfunctions.udf.CIQ("^SPX", "IQ_PRICEDATE", "3/5/2015")</f>
        <v>#NAME?</v>
      </c>
      <c r="AC302" s="16">
        <v>2101.0420529524999</v>
      </c>
    </row>
    <row r="303" spans="1:29" x14ac:dyDescent="0.35">
      <c r="A303" s="2" t="s">
        <v>313</v>
      </c>
      <c r="B303" s="4" t="s">
        <v>1282</v>
      </c>
      <c r="C303" s="4" t="s">
        <v>543</v>
      </c>
      <c r="D303" s="4" t="s">
        <v>565</v>
      </c>
      <c r="E303" s="4" t="s">
        <v>565</v>
      </c>
      <c r="F303" s="4" t="s">
        <v>566</v>
      </c>
      <c r="G303" s="14">
        <v>69.05</v>
      </c>
      <c r="H303" s="10">
        <v>17.165426</v>
      </c>
      <c r="I303" s="10">
        <v>142.604299</v>
      </c>
      <c r="J303" s="10" t="s">
        <v>534</v>
      </c>
      <c r="K303" s="15">
        <v>2.1086000000000001E-2</v>
      </c>
      <c r="L303" s="17">
        <v>16265.268023000001</v>
      </c>
      <c r="M303" s="4" t="s">
        <v>1283</v>
      </c>
      <c r="N303" s="19">
        <v>0.484207</v>
      </c>
      <c r="O303" s="19">
        <v>6.9287000000000001</v>
      </c>
      <c r="P303" s="19">
        <v>1.0271079999999999</v>
      </c>
      <c r="Q303" s="19">
        <v>5.6483999999999996</v>
      </c>
      <c r="R303" s="19">
        <v>0.43665500000000002</v>
      </c>
      <c r="S303" s="19">
        <v>3.8492999999999999</v>
      </c>
      <c r="T303" s="19">
        <v>0.43665500000000002</v>
      </c>
      <c r="U303" s="19">
        <v>2.7298</v>
      </c>
      <c r="V303" s="19">
        <v>1.7077009999999999</v>
      </c>
      <c r="W303" s="19">
        <v>2.6915</v>
      </c>
      <c r="X303" s="19">
        <v>1.7077009999999999</v>
      </c>
      <c r="Y303" s="19">
        <v>2.6915</v>
      </c>
      <c r="Z303" s="4"/>
      <c r="AA303" s="4"/>
      <c r="AB303" s="4" t="e">
        <f ca="1">_xll.ciqfunctions.udf.CIQ("^SPX", "IQ_PRICEDATE", "3/6/2015")</f>
        <v>#NAME?</v>
      </c>
      <c r="AC303" s="16">
        <v>2071.2621063056999</v>
      </c>
    </row>
    <row r="304" spans="1:29" x14ac:dyDescent="0.35">
      <c r="A304" s="2" t="s">
        <v>314</v>
      </c>
      <c r="B304" s="4" t="s">
        <v>1284</v>
      </c>
      <c r="C304" s="4" t="s">
        <v>543</v>
      </c>
      <c r="D304" s="4" t="s">
        <v>565</v>
      </c>
      <c r="E304" s="4" t="s">
        <v>565</v>
      </c>
      <c r="F304" s="4" t="s">
        <v>566</v>
      </c>
      <c r="G304" s="14">
        <v>42.35</v>
      </c>
      <c r="H304" s="10">
        <v>2.3795829999999998</v>
      </c>
      <c r="I304" s="10">
        <v>3.6794090000000002</v>
      </c>
      <c r="J304" s="10">
        <v>1.5997509999999999</v>
      </c>
      <c r="K304" s="15">
        <v>0</v>
      </c>
      <c r="L304" s="17">
        <v>48035.715130999997</v>
      </c>
      <c r="M304" s="4" t="s">
        <v>1285</v>
      </c>
      <c r="N304" s="19">
        <v>11.51</v>
      </c>
      <c r="O304" s="19">
        <v>10.607049999999999</v>
      </c>
      <c r="P304" s="19">
        <v>6.3977510000000004</v>
      </c>
      <c r="Q304" s="19">
        <v>9.7083999999999993</v>
      </c>
      <c r="R304" s="19">
        <v>-0.30013000000000001</v>
      </c>
      <c r="S304" s="19">
        <v>2.7976000000000001</v>
      </c>
      <c r="T304" s="19">
        <v>-0.30013000000000001</v>
      </c>
      <c r="U304" s="19">
        <v>0.56930000000000003</v>
      </c>
      <c r="V304" s="19">
        <v>3.0776029999999999</v>
      </c>
      <c r="W304" s="19">
        <v>3.7490700000000001</v>
      </c>
      <c r="X304" s="19">
        <v>3.0776029999999999</v>
      </c>
      <c r="Y304" s="19">
        <v>3.7490700000000001</v>
      </c>
      <c r="Z304" s="4"/>
      <c r="AA304" s="4"/>
      <c r="AB304" s="4" t="e">
        <f ca="1">_xll.ciqfunctions.udf.CIQ("^SPX", "IQ_PRICEDATE", "3/9/2015")</f>
        <v>#NAME?</v>
      </c>
      <c r="AC304" s="16">
        <v>2079.4254666122001</v>
      </c>
    </row>
    <row r="305" spans="1:29" x14ac:dyDescent="0.35">
      <c r="A305" s="2" t="s">
        <v>315</v>
      </c>
      <c r="B305" s="4" t="s">
        <v>1286</v>
      </c>
      <c r="C305" s="4" t="s">
        <v>543</v>
      </c>
      <c r="D305" s="4" t="s">
        <v>544</v>
      </c>
      <c r="E305" s="4" t="s">
        <v>555</v>
      </c>
      <c r="F305" s="4" t="s">
        <v>782</v>
      </c>
      <c r="G305" s="14">
        <v>110.71</v>
      </c>
      <c r="H305" s="10">
        <v>17.879272</v>
      </c>
      <c r="I305" s="10">
        <v>51.976525000000002</v>
      </c>
      <c r="J305" s="10">
        <v>21.802903000000001</v>
      </c>
      <c r="K305" s="15">
        <v>1.6618999999999998E-2</v>
      </c>
      <c r="L305" s="17">
        <v>849977.32351799996</v>
      </c>
      <c r="M305" s="4" t="s">
        <v>1287</v>
      </c>
      <c r="N305" s="19">
        <v>2.13</v>
      </c>
      <c r="O305" s="19">
        <v>4.2925899999999997</v>
      </c>
      <c r="P305" s="19">
        <v>1.2299960000000001</v>
      </c>
      <c r="Q305" s="19">
        <v>3.4314</v>
      </c>
      <c r="R305" s="19">
        <v>2.383178</v>
      </c>
      <c r="S305" s="19">
        <v>2.9746999999999999</v>
      </c>
      <c r="T305" s="19">
        <v>2.383178</v>
      </c>
      <c r="U305" s="19">
        <v>2.7997000000000001</v>
      </c>
      <c r="V305" s="19">
        <v>2.4794459999999998</v>
      </c>
      <c r="W305" s="19">
        <v>2.8952</v>
      </c>
      <c r="X305" s="19">
        <v>2.4794459999999998</v>
      </c>
      <c r="Y305" s="19">
        <v>2.8952</v>
      </c>
      <c r="Z305" s="4"/>
      <c r="AA305" s="4"/>
      <c r="AB305" s="4" t="e">
        <f ca="1">_xll.ciqfunctions.udf.CIQ("^SPX", "IQ_PRICEDATE", "3/10/2015")</f>
        <v>#NAME?</v>
      </c>
      <c r="AC305" s="16">
        <v>2044.1626309388</v>
      </c>
    </row>
    <row r="306" spans="1:29" x14ac:dyDescent="0.35">
      <c r="A306" s="2" t="s">
        <v>316</v>
      </c>
      <c r="B306" s="4" t="s">
        <v>1288</v>
      </c>
      <c r="C306" s="4" t="s">
        <v>601</v>
      </c>
      <c r="D306" s="4" t="s">
        <v>601</v>
      </c>
      <c r="E306" s="4" t="s">
        <v>602</v>
      </c>
      <c r="F306" s="4" t="s">
        <v>685</v>
      </c>
      <c r="G306" s="14">
        <v>98.11</v>
      </c>
      <c r="H306" s="10">
        <v>18.067543000000001</v>
      </c>
      <c r="I306" s="10">
        <v>32.507334999999998</v>
      </c>
      <c r="J306" s="10">
        <v>1.7858449999999999</v>
      </c>
      <c r="K306" s="15">
        <v>3.7610000000000005E-2</v>
      </c>
      <c r="L306" s="17">
        <v>11165.894587000001</v>
      </c>
      <c r="M306" s="4" t="s">
        <v>1289</v>
      </c>
      <c r="N306" s="19">
        <v>3.0180880000000001</v>
      </c>
      <c r="O306" s="19">
        <v>1.9883</v>
      </c>
      <c r="P306" s="19">
        <v>2.8560080000000001</v>
      </c>
      <c r="Q306" s="19">
        <v>2.0318999999999998</v>
      </c>
      <c r="R306" s="19">
        <v>2.689276</v>
      </c>
      <c r="S306" s="19">
        <v>1.895</v>
      </c>
      <c r="T306" s="19">
        <v>2.689276</v>
      </c>
      <c r="U306" s="19">
        <v>2.1225000000000001</v>
      </c>
      <c r="V306" s="19">
        <v>1.8986019999999999</v>
      </c>
      <c r="W306" s="19">
        <v>1.885</v>
      </c>
      <c r="X306" s="19">
        <v>1.8986019999999999</v>
      </c>
      <c r="Y306" s="19">
        <v>1.885</v>
      </c>
      <c r="Z306" s="4"/>
      <c r="AA306" s="4"/>
      <c r="AB306" s="4" t="e">
        <f ca="1">_xll.ciqfunctions.udf.CIQ("^SPX", "IQ_PRICEDATE", "3/11/2015")</f>
        <v>#NAME?</v>
      </c>
      <c r="AC306" s="16">
        <v>2040.2351976913999</v>
      </c>
    </row>
    <row r="307" spans="1:29" x14ac:dyDescent="0.35">
      <c r="A307" s="2" t="s">
        <v>317</v>
      </c>
      <c r="B307" s="4" t="s">
        <v>1290</v>
      </c>
      <c r="C307" s="4" t="s">
        <v>559</v>
      </c>
      <c r="D307" s="4" t="s">
        <v>912</v>
      </c>
      <c r="E307" s="4" t="s">
        <v>913</v>
      </c>
      <c r="F307" s="4" t="s">
        <v>1222</v>
      </c>
      <c r="G307" s="14">
        <v>155.94999999999999</v>
      </c>
      <c r="H307" s="10">
        <v>7.5434130000000001</v>
      </c>
      <c r="I307" s="10">
        <v>12.762679</v>
      </c>
      <c r="J307" s="10">
        <v>2.8655789999999999</v>
      </c>
      <c r="K307" s="15">
        <v>0</v>
      </c>
      <c r="L307" s="17">
        <v>11634.320851</v>
      </c>
      <c r="M307" s="4" t="s">
        <v>1291</v>
      </c>
      <c r="N307" s="19">
        <v>12.219220999999999</v>
      </c>
      <c r="O307" s="19">
        <v>14.0388</v>
      </c>
      <c r="P307" s="19">
        <v>12.98</v>
      </c>
      <c r="Q307" s="19">
        <v>14.451700000000001</v>
      </c>
      <c r="R307" s="19">
        <v>12.48</v>
      </c>
      <c r="S307" s="19">
        <v>13.2964</v>
      </c>
      <c r="T307" s="19">
        <v>12.48</v>
      </c>
      <c r="U307" s="19">
        <v>11.652699999999999</v>
      </c>
      <c r="V307" s="19">
        <v>7.25</v>
      </c>
      <c r="W307" s="19">
        <v>9.0420999999999996</v>
      </c>
      <c r="X307" s="19">
        <v>7.25</v>
      </c>
      <c r="Y307" s="19">
        <v>9.0420999999999996</v>
      </c>
      <c r="Z307" s="4"/>
      <c r="AA307" s="4"/>
      <c r="AB307" s="4" t="e">
        <f ca="1">_xll.ciqfunctions.udf.CIQ("^SPX", "IQ_PRICEDATE", "3/12/2015")</f>
        <v>#NAME?</v>
      </c>
      <c r="AC307" s="16">
        <v>2065.9542896005</v>
      </c>
    </row>
    <row r="308" spans="1:29" x14ac:dyDescent="0.35">
      <c r="A308" s="2" t="s">
        <v>318</v>
      </c>
      <c r="B308" s="4" t="s">
        <v>1292</v>
      </c>
      <c r="C308" s="4" t="s">
        <v>626</v>
      </c>
      <c r="D308" s="4" t="s">
        <v>627</v>
      </c>
      <c r="E308" s="4" t="s">
        <v>775</v>
      </c>
      <c r="F308" s="4" t="s">
        <v>1293</v>
      </c>
      <c r="G308" s="14">
        <v>59.57</v>
      </c>
      <c r="H308" s="10">
        <v>9.5026679999999999</v>
      </c>
      <c r="I308" s="10">
        <v>8.1947489999999998</v>
      </c>
      <c r="J308" s="10" t="s">
        <v>534</v>
      </c>
      <c r="K308" s="15">
        <v>2.7530000000000002E-2</v>
      </c>
      <c r="L308" s="17">
        <v>12872.404688000001</v>
      </c>
      <c r="M308" s="4" t="s">
        <v>1294</v>
      </c>
      <c r="N308" s="19">
        <v>7.2692889999999997</v>
      </c>
      <c r="O308" s="19">
        <v>4.9176000000000002</v>
      </c>
      <c r="P308" s="19">
        <v>6.52</v>
      </c>
      <c r="Q308" s="19">
        <v>4.7706999999999997</v>
      </c>
      <c r="R308" s="19">
        <v>9.35</v>
      </c>
      <c r="S308" s="19">
        <v>5.3032000000000004</v>
      </c>
      <c r="T308" s="19">
        <v>9.35</v>
      </c>
      <c r="U308" s="19">
        <v>3.8633000000000002</v>
      </c>
      <c r="V308" s="19">
        <v>2.76</v>
      </c>
      <c r="W308" s="19">
        <v>4.2073999999999998</v>
      </c>
      <c r="X308" s="19">
        <v>2.76</v>
      </c>
      <c r="Y308" s="19">
        <v>4.2073999999999998</v>
      </c>
      <c r="Z308" s="4"/>
      <c r="AA308" s="4"/>
      <c r="AB308" s="4" t="e">
        <f ca="1">_xll.ciqfunctions.udf.CIQ("^SPX", "IQ_PRICEDATE", "3/13/2015")</f>
        <v>#NAME?</v>
      </c>
      <c r="AC308" s="16">
        <v>2053.3982557016998</v>
      </c>
    </row>
    <row r="309" spans="1:29" x14ac:dyDescent="0.35">
      <c r="A309" s="2" t="s">
        <v>319</v>
      </c>
      <c r="B309" s="4" t="s">
        <v>1295</v>
      </c>
      <c r="C309" s="4" t="s">
        <v>626</v>
      </c>
      <c r="D309" s="4" t="s">
        <v>627</v>
      </c>
      <c r="E309" s="4" t="s">
        <v>699</v>
      </c>
      <c r="F309" s="4" t="s">
        <v>789</v>
      </c>
      <c r="G309" s="14">
        <v>41.16</v>
      </c>
      <c r="H309" s="10">
        <v>14.952602000000001</v>
      </c>
      <c r="I309" s="10">
        <v>20.312253999999999</v>
      </c>
      <c r="J309" s="10" t="s">
        <v>534</v>
      </c>
      <c r="K309" s="15">
        <v>2.5266999999999998E-2</v>
      </c>
      <c r="L309" s="17">
        <v>60363.650718999997</v>
      </c>
      <c r="M309" s="4" t="s">
        <v>1296</v>
      </c>
      <c r="N309" s="19">
        <v>2.0263629999999999</v>
      </c>
      <c r="O309" s="19">
        <v>2.4335</v>
      </c>
      <c r="P309" s="19">
        <v>1.91</v>
      </c>
      <c r="Q309" s="19">
        <v>2.3098000000000001</v>
      </c>
      <c r="R309" s="19">
        <v>1.05</v>
      </c>
      <c r="S309" s="19">
        <v>2.0310999999999999</v>
      </c>
      <c r="T309" s="19">
        <v>1.05</v>
      </c>
      <c r="U309" s="19">
        <v>1.927</v>
      </c>
      <c r="V309" s="19">
        <v>1.28</v>
      </c>
      <c r="W309" s="19">
        <v>1.7676000000000001</v>
      </c>
      <c r="X309" s="19">
        <v>1.28</v>
      </c>
      <c r="Y309" s="19">
        <v>1.7676000000000001</v>
      </c>
      <c r="Z309" s="4"/>
      <c r="AA309" s="4"/>
      <c r="AB309" s="4" t="e">
        <f ca="1">_xll.ciqfunctions.udf.CIQ("^SPX", "IQ_PRICEDATE", "3/16/2015")</f>
        <v>#NAME?</v>
      </c>
      <c r="AC309" s="16">
        <v>2081.1927519049</v>
      </c>
    </row>
    <row r="310" spans="1:29" x14ac:dyDescent="0.35">
      <c r="A310" s="2" t="s">
        <v>320</v>
      </c>
      <c r="B310" s="4" t="s">
        <v>1297</v>
      </c>
      <c r="C310" s="4" t="s">
        <v>626</v>
      </c>
      <c r="D310" s="4" t="s">
        <v>627</v>
      </c>
      <c r="E310" s="4" t="s">
        <v>775</v>
      </c>
      <c r="F310" s="4" t="s">
        <v>1298</v>
      </c>
      <c r="G310" s="14">
        <v>52.63</v>
      </c>
      <c r="H310" s="10">
        <v>21.630203999999999</v>
      </c>
      <c r="I310" s="10">
        <v>33.323265999999997</v>
      </c>
      <c r="J310" s="10">
        <v>23.560040999999998</v>
      </c>
      <c r="K310" s="15">
        <v>0</v>
      </c>
      <c r="L310" s="17">
        <v>29079.292332000001</v>
      </c>
      <c r="M310" s="4" t="s">
        <v>1299</v>
      </c>
      <c r="N310" s="19">
        <v>1.579377</v>
      </c>
      <c r="O310" s="19">
        <v>1.8596999999999999</v>
      </c>
      <c r="P310" s="19">
        <v>1.42</v>
      </c>
      <c r="Q310" s="19">
        <v>1.6449</v>
      </c>
      <c r="R310" s="19">
        <v>1.19</v>
      </c>
      <c r="S310" s="19">
        <v>1.4362999999999999</v>
      </c>
      <c r="T310" s="19">
        <v>1.19</v>
      </c>
      <c r="U310" s="19">
        <v>1.2426999999999999</v>
      </c>
      <c r="V310" s="19">
        <v>0.92</v>
      </c>
      <c r="W310" s="19">
        <v>1.0047999999999999</v>
      </c>
      <c r="X310" s="19">
        <v>0.92</v>
      </c>
      <c r="Y310" s="19">
        <v>1.0047999999999999</v>
      </c>
      <c r="Z310" s="4"/>
      <c r="AA310" s="4"/>
      <c r="AB310" s="4" t="e">
        <f ca="1">_xll.ciqfunctions.udf.CIQ("^SPX", "IQ_PRICEDATE", "3/17/2015")</f>
        <v>#NAME?</v>
      </c>
      <c r="AC310" s="16">
        <v>2074.2764352814002</v>
      </c>
    </row>
    <row r="311" spans="1:29" x14ac:dyDescent="0.35">
      <c r="A311" s="2" t="s">
        <v>321</v>
      </c>
      <c r="B311" s="4" t="s">
        <v>1300</v>
      </c>
      <c r="C311" s="4" t="s">
        <v>573</v>
      </c>
      <c r="D311" s="4" t="s">
        <v>574</v>
      </c>
      <c r="E311" s="4" t="s">
        <v>575</v>
      </c>
      <c r="F311" s="4" t="s">
        <v>807</v>
      </c>
      <c r="G311" s="14">
        <v>161.83000000000001</v>
      </c>
      <c r="H311" s="10">
        <v>16.366043000000001</v>
      </c>
      <c r="I311" s="10">
        <v>28.836867999999999</v>
      </c>
      <c r="J311" s="10" t="s">
        <v>534</v>
      </c>
      <c r="K311" s="15">
        <v>1.0874999999999999E-2</v>
      </c>
      <c r="L311" s="17">
        <v>31055.177</v>
      </c>
      <c r="M311" s="4" t="s">
        <v>1301</v>
      </c>
      <c r="N311" s="19">
        <v>5.6119130000000004</v>
      </c>
      <c r="O311" s="19">
        <v>7.9436</v>
      </c>
      <c r="P311" s="19">
        <v>5.15</v>
      </c>
      <c r="Q311" s="19">
        <v>6.2826000000000004</v>
      </c>
      <c r="R311" s="19">
        <v>1.36</v>
      </c>
      <c r="S311" s="19">
        <v>4.9725999999999999</v>
      </c>
      <c r="T311" s="19">
        <v>1.36</v>
      </c>
      <c r="U311" s="19">
        <v>4.9287000000000001</v>
      </c>
      <c r="V311" s="19">
        <v>4.6100000000000003</v>
      </c>
      <c r="W311" s="19">
        <v>4.4413999999999998</v>
      </c>
      <c r="X311" s="19">
        <v>4.6100000000000003</v>
      </c>
      <c r="Y311" s="19">
        <v>4.4413999999999998</v>
      </c>
      <c r="Z311" s="4"/>
      <c r="AA311" s="4"/>
      <c r="AB311" s="4" t="e">
        <f ca="1">_xll.ciqfunctions.udf.CIQ("^SPX", "IQ_PRICEDATE", "3/18/2015")</f>
        <v>#NAME?</v>
      </c>
      <c r="AC311" s="16">
        <v>2099.5007136298</v>
      </c>
    </row>
    <row r="312" spans="1:29" x14ac:dyDescent="0.35">
      <c r="A312" s="2" t="s">
        <v>322</v>
      </c>
      <c r="B312" s="4" t="s">
        <v>1302</v>
      </c>
      <c r="C312" s="4" t="s">
        <v>573</v>
      </c>
      <c r="D312" s="4" t="s">
        <v>574</v>
      </c>
      <c r="E312" s="4" t="s">
        <v>575</v>
      </c>
      <c r="F312" s="4" t="s">
        <v>963</v>
      </c>
      <c r="G312" s="14">
        <v>47.19</v>
      </c>
      <c r="H312" s="10">
        <v>0</v>
      </c>
      <c r="I312" s="10">
        <v>11.312206</v>
      </c>
      <c r="J312" s="10">
        <v>1.341121</v>
      </c>
      <c r="K312" s="15">
        <v>2.5429E-2</v>
      </c>
      <c r="L312" s="17">
        <v>80223</v>
      </c>
      <c r="M312" s="4" t="s">
        <v>1303</v>
      </c>
      <c r="N312" s="19">
        <v>4.1715999999999998</v>
      </c>
      <c r="O312" s="19">
        <v>4.7832999999999997</v>
      </c>
      <c r="P312" s="19">
        <v>3.08</v>
      </c>
      <c r="Q312" s="19">
        <v>3.9678</v>
      </c>
      <c r="R312" s="19">
        <v>2.92</v>
      </c>
      <c r="S312" s="19">
        <v>3.2086999999999999</v>
      </c>
      <c r="T312" s="19">
        <v>2.92</v>
      </c>
      <c r="U312" s="19">
        <v>2.9138999999999999</v>
      </c>
      <c r="V312" s="19">
        <v>1.61</v>
      </c>
      <c r="W312" s="19">
        <v>2.8113999999999999</v>
      </c>
      <c r="X312" s="19">
        <v>1.61</v>
      </c>
      <c r="Y312" s="19">
        <v>2.8113999999999999</v>
      </c>
      <c r="Z312" s="4"/>
      <c r="AA312" s="4"/>
      <c r="AB312" s="4" t="e">
        <f ca="1">_xll.ciqfunctions.udf.CIQ("^SPX", "IQ_PRICEDATE", "3/19/2015")</f>
        <v>#NAME?</v>
      </c>
      <c r="AC312" s="16">
        <v>2089.274370696</v>
      </c>
    </row>
    <row r="313" spans="1:29" x14ac:dyDescent="0.35">
      <c r="A313" s="2" t="s">
        <v>323</v>
      </c>
      <c r="B313" s="4" t="s">
        <v>1304</v>
      </c>
      <c r="C313" s="4" t="s">
        <v>543</v>
      </c>
      <c r="D313" s="4" t="s">
        <v>664</v>
      </c>
      <c r="E313" s="4" t="s">
        <v>706</v>
      </c>
      <c r="F313" s="4" t="s">
        <v>706</v>
      </c>
      <c r="G313" s="14">
        <v>123.56</v>
      </c>
      <c r="H313" s="10">
        <v>14.005463000000001</v>
      </c>
      <c r="I313" s="10" t="s">
        <v>534</v>
      </c>
      <c r="J313" s="10" t="s">
        <v>534</v>
      </c>
      <c r="K313" s="15">
        <v>1.6833000000000001E-2</v>
      </c>
      <c r="L313" s="17">
        <v>20049.685932</v>
      </c>
      <c r="M313" s="4" t="s">
        <v>1305</v>
      </c>
      <c r="N313" s="19">
        <v>-0.41529899999999997</v>
      </c>
      <c r="O313" s="19">
        <v>7.0298999999999996</v>
      </c>
      <c r="P313" s="19">
        <v>-0.95150299999999999</v>
      </c>
      <c r="Q313" s="19">
        <v>5.5968999999999998</v>
      </c>
      <c r="R313" s="19">
        <v>3.24</v>
      </c>
      <c r="S313" s="19">
        <v>4.9733000000000001</v>
      </c>
      <c r="T313" s="19">
        <v>3.24</v>
      </c>
      <c r="U313" s="19">
        <v>3.8220999999999998</v>
      </c>
      <c r="V313" s="19">
        <v>-2.84</v>
      </c>
      <c r="W313" s="19">
        <v>3.1013999999999999</v>
      </c>
      <c r="X313" s="19">
        <v>-2.84</v>
      </c>
      <c r="Y313" s="19">
        <v>3.1013999999999999</v>
      </c>
      <c r="Z313" s="4"/>
      <c r="AA313" s="4"/>
      <c r="AB313" s="4" t="e">
        <f ca="1">_xll.ciqfunctions.udf.CIQ("^SPX", "IQ_PRICEDATE", "3/20/2015")</f>
        <v>#NAME?</v>
      </c>
      <c r="AC313" s="16">
        <v>2108.0973212684999</v>
      </c>
    </row>
    <row r="314" spans="1:29" x14ac:dyDescent="0.35">
      <c r="A314" s="2" t="s">
        <v>324</v>
      </c>
      <c r="B314" s="4" t="s">
        <v>1306</v>
      </c>
      <c r="C314" s="4" t="s">
        <v>573</v>
      </c>
      <c r="D314" s="4" t="s">
        <v>574</v>
      </c>
      <c r="E314" s="4" t="s">
        <v>575</v>
      </c>
      <c r="F314" s="4" t="s">
        <v>807</v>
      </c>
      <c r="G314" s="14">
        <v>157.28</v>
      </c>
      <c r="H314" s="10">
        <v>20.900062999999999</v>
      </c>
      <c r="I314" s="10">
        <v>37.901049999999998</v>
      </c>
      <c r="J314" s="10" t="s">
        <v>534</v>
      </c>
      <c r="K314" s="15">
        <v>1.4750000000000001E-2</v>
      </c>
      <c r="L314" s="17">
        <v>13971.638354999999</v>
      </c>
      <c r="M314" s="4" t="s">
        <v>1307</v>
      </c>
      <c r="N314" s="19">
        <v>4.1497529999999996</v>
      </c>
      <c r="O314" s="19">
        <v>5.5590999999999999</v>
      </c>
      <c r="P314" s="19">
        <v>3.31</v>
      </c>
      <c r="Q314" s="19">
        <v>4.3346</v>
      </c>
      <c r="R314" s="19">
        <v>2.7</v>
      </c>
      <c r="S314" s="19">
        <v>3.2816999999999998</v>
      </c>
      <c r="T314" s="19">
        <v>2.7</v>
      </c>
      <c r="U314" s="19">
        <v>2.6101000000000001</v>
      </c>
      <c r="V314" s="19">
        <v>1.7</v>
      </c>
      <c r="W314" s="19">
        <v>2.0375000000000001</v>
      </c>
      <c r="X314" s="19">
        <v>1.7</v>
      </c>
      <c r="Y314" s="19">
        <v>2.0375000000000001</v>
      </c>
      <c r="Z314" s="4"/>
      <c r="AA314" s="4"/>
      <c r="AB314" s="4" t="e">
        <f ca="1">_xll.ciqfunctions.udf.CIQ("^SPX", "IQ_PRICEDATE", "3/23/2015")</f>
        <v>#NAME?</v>
      </c>
      <c r="AC314" s="16">
        <v>2104.4201169500998</v>
      </c>
    </row>
    <row r="315" spans="1:29" x14ac:dyDescent="0.35">
      <c r="A315" s="2" t="s">
        <v>325</v>
      </c>
      <c r="B315" s="4" t="s">
        <v>1308</v>
      </c>
      <c r="C315" s="4" t="s">
        <v>530</v>
      </c>
      <c r="D315" s="4" t="s">
        <v>537</v>
      </c>
      <c r="E315" s="4" t="s">
        <v>613</v>
      </c>
      <c r="F315" s="4" t="s">
        <v>613</v>
      </c>
      <c r="G315" s="14">
        <v>33.020000000000003</v>
      </c>
      <c r="H315" s="10">
        <v>9.0554609999999993</v>
      </c>
      <c r="I315" s="10">
        <v>38.080475999999997</v>
      </c>
      <c r="J315" s="10" t="s">
        <v>534</v>
      </c>
      <c r="K315" s="15">
        <v>0</v>
      </c>
      <c r="L315" s="17">
        <v>17024.030727000001</v>
      </c>
      <c r="M315" s="4" t="s">
        <v>1309</v>
      </c>
      <c r="N315" s="19">
        <v>0.86711099999999997</v>
      </c>
      <c r="O315" s="19">
        <v>4.9622000000000002</v>
      </c>
      <c r="P315" s="19">
        <v>1.3</v>
      </c>
      <c r="Q315" s="19">
        <v>5.2491000000000003</v>
      </c>
      <c r="R315" s="19">
        <v>0.92</v>
      </c>
      <c r="S315" s="19">
        <v>5.3051000000000004</v>
      </c>
      <c r="T315" s="19">
        <v>0.92</v>
      </c>
      <c r="U315" s="19">
        <v>4.8670999999999998</v>
      </c>
      <c r="V315" s="19">
        <v>2.34</v>
      </c>
      <c r="W315" s="19">
        <v>4.0833000000000004</v>
      </c>
      <c r="X315" s="19">
        <v>2.34</v>
      </c>
      <c r="Y315" s="19">
        <v>4.0833000000000004</v>
      </c>
      <c r="Z315" s="4"/>
      <c r="AA315" s="4"/>
      <c r="AB315" s="4" t="e">
        <f ca="1">_xll.ciqfunctions.udf.CIQ("^SPX", "IQ_PRICEDATE", "3/24/2015")</f>
        <v>#NAME?</v>
      </c>
      <c r="AC315" s="16">
        <v>2091.5017884394001</v>
      </c>
    </row>
    <row r="316" spans="1:29" x14ac:dyDescent="0.35">
      <c r="A316" s="2" t="s">
        <v>326</v>
      </c>
      <c r="B316" s="4" t="s">
        <v>1310</v>
      </c>
      <c r="C316" s="4" t="s">
        <v>573</v>
      </c>
      <c r="D316" s="4" t="s">
        <v>574</v>
      </c>
      <c r="E316" s="4" t="s">
        <v>575</v>
      </c>
      <c r="F316" s="4" t="s">
        <v>807</v>
      </c>
      <c r="G316" s="14">
        <v>80.63</v>
      </c>
      <c r="H316" s="10">
        <v>12.503247999999999</v>
      </c>
      <c r="I316" s="10">
        <v>17.912168999999999</v>
      </c>
      <c r="J316" s="10" t="s">
        <v>534</v>
      </c>
      <c r="K316" s="15">
        <v>2.1828E-2</v>
      </c>
      <c r="L316" s="17">
        <v>13264.320919</v>
      </c>
      <c r="M316" s="4" t="s">
        <v>1311</v>
      </c>
      <c r="N316" s="19">
        <v>4.5014089999999998</v>
      </c>
      <c r="O316" s="19">
        <v>4.9147999999999996</v>
      </c>
      <c r="P316" s="19">
        <v>4.3299989999999999</v>
      </c>
      <c r="Q316" s="19">
        <v>4.2944000000000004</v>
      </c>
      <c r="R316" s="19">
        <v>0.63999899999999998</v>
      </c>
      <c r="S316" s="19">
        <v>4.0232999999999999</v>
      </c>
      <c r="T316" s="19">
        <v>0.63999899999999998</v>
      </c>
      <c r="U316" s="19">
        <v>3.657</v>
      </c>
      <c r="V316" s="19">
        <v>2.389999</v>
      </c>
      <c r="W316" s="19">
        <v>3.1396000000000002</v>
      </c>
      <c r="X316" s="19">
        <v>2.389999</v>
      </c>
      <c r="Y316" s="19">
        <v>3.1396000000000002</v>
      </c>
      <c r="Z316" s="4"/>
      <c r="AA316" s="4"/>
      <c r="AB316" s="4" t="e">
        <f ca="1">_xll.ciqfunctions.udf.CIQ("^SPX", "IQ_PRICEDATE", "3/25/2015")</f>
        <v>#NAME?</v>
      </c>
      <c r="AC316" s="16">
        <v>2061.0474809228999</v>
      </c>
    </row>
    <row r="317" spans="1:29" x14ac:dyDescent="0.35">
      <c r="A317" s="2" t="s">
        <v>327</v>
      </c>
      <c r="B317" s="4" t="s">
        <v>1312</v>
      </c>
      <c r="C317" s="4" t="s">
        <v>669</v>
      </c>
      <c r="D317" s="4" t="s">
        <v>669</v>
      </c>
      <c r="E317" s="4" t="s">
        <v>730</v>
      </c>
      <c r="F317" s="4" t="s">
        <v>731</v>
      </c>
      <c r="G317" s="14">
        <v>41.87</v>
      </c>
      <c r="H317" s="10">
        <v>28.175878999999998</v>
      </c>
      <c r="I317" s="10" t="s">
        <v>534</v>
      </c>
      <c r="J317" s="10">
        <v>3.5943700000000001</v>
      </c>
      <c r="K317" s="15">
        <v>4.7759999999999999E-3</v>
      </c>
      <c r="L317" s="17">
        <v>16020.276706000001</v>
      </c>
      <c r="M317" s="4" t="s">
        <v>1313</v>
      </c>
      <c r="N317" s="19">
        <v>-0.23</v>
      </c>
      <c r="O317" s="19">
        <v>0.66539999999999999</v>
      </c>
      <c r="P317" s="19">
        <v>-0.63</v>
      </c>
      <c r="Q317" s="19">
        <v>9.01E-2</v>
      </c>
      <c r="R317" s="19">
        <v>-6.4148930000000002</v>
      </c>
      <c r="S317" s="19">
        <v>-0.7802</v>
      </c>
      <c r="T317" s="19">
        <v>-6.4148930000000002</v>
      </c>
      <c r="U317" s="19">
        <v>1.5317000000000001</v>
      </c>
      <c r="V317" s="19">
        <v>5.7</v>
      </c>
      <c r="W317" s="19">
        <v>5.9945000000000004</v>
      </c>
      <c r="X317" s="19">
        <v>5.7</v>
      </c>
      <c r="Y317" s="19">
        <v>5.9945000000000004</v>
      </c>
      <c r="Z317" s="4"/>
      <c r="AA317" s="4"/>
      <c r="AB317" s="4" t="e">
        <f ca="1">_xll.ciqfunctions.udf.CIQ("^SPX", "IQ_PRICEDATE", "3/26/2015")</f>
        <v>#NAME?</v>
      </c>
      <c r="AC317" s="16">
        <v>2056.1488082319001</v>
      </c>
    </row>
    <row r="318" spans="1:29" x14ac:dyDescent="0.35">
      <c r="A318" s="2" t="s">
        <v>328</v>
      </c>
      <c r="B318" s="4" t="s">
        <v>1314</v>
      </c>
      <c r="C318" s="4" t="s">
        <v>530</v>
      </c>
      <c r="D318" s="4" t="s">
        <v>537</v>
      </c>
      <c r="E318" s="4" t="s">
        <v>613</v>
      </c>
      <c r="F318" s="4" t="s">
        <v>613</v>
      </c>
      <c r="G318" s="14">
        <v>50.59</v>
      </c>
      <c r="H318" s="10">
        <v>7.4100630000000001</v>
      </c>
      <c r="I318" s="10">
        <v>9.4104489999999998</v>
      </c>
      <c r="J318" s="10">
        <v>4.8895179999999998</v>
      </c>
      <c r="K318" s="15">
        <v>0</v>
      </c>
      <c r="L318" s="17">
        <v>8725.1952259999998</v>
      </c>
      <c r="M318" s="4" t="s">
        <v>1315</v>
      </c>
      <c r="N318" s="19">
        <v>5.3759389999999998</v>
      </c>
      <c r="O318" s="19">
        <v>-2.4963000000000002</v>
      </c>
      <c r="P318" s="19">
        <v>-0.62000699999999997</v>
      </c>
      <c r="Q318" s="19">
        <v>-1.3118000000000001</v>
      </c>
      <c r="R318" s="19">
        <v>-1.0997729999999999</v>
      </c>
      <c r="S318" s="19">
        <v>-0.9375</v>
      </c>
      <c r="T318" s="19">
        <v>-1.0997729999999999</v>
      </c>
      <c r="U318" s="19">
        <v>-1.4531000000000001</v>
      </c>
      <c r="V318" s="19">
        <v>-0.42496</v>
      </c>
      <c r="W318" s="19">
        <v>-0.39600000000000002</v>
      </c>
      <c r="X318" s="19">
        <v>-0.42496</v>
      </c>
      <c r="Y318" s="19">
        <v>-0.39600000000000002</v>
      </c>
      <c r="Z318" s="4"/>
      <c r="AA318" s="4"/>
      <c r="AB318" s="4" t="e">
        <f ca="1">_xll.ciqfunctions.udf.CIQ("^SPX", "IQ_PRICEDATE", "3/27/2015")</f>
        <v>#NAME?</v>
      </c>
      <c r="AC318" s="16">
        <v>2061.0219968101001</v>
      </c>
    </row>
    <row r="319" spans="1:29" x14ac:dyDescent="0.35">
      <c r="A319" s="2" t="s">
        <v>329</v>
      </c>
      <c r="B319" s="4" t="s">
        <v>1316</v>
      </c>
      <c r="C319" s="4" t="s">
        <v>543</v>
      </c>
      <c r="D319" s="4" t="s">
        <v>664</v>
      </c>
      <c r="E319" s="4" t="s">
        <v>688</v>
      </c>
      <c r="F319" s="4" t="s">
        <v>688</v>
      </c>
      <c r="G319" s="14">
        <v>79.069999999999993</v>
      </c>
      <c r="H319" s="10">
        <v>14.533227999999999</v>
      </c>
      <c r="I319" s="10">
        <v>94.492610999999997</v>
      </c>
      <c r="J319" s="10">
        <v>201.55133599999999</v>
      </c>
      <c r="K319" s="15">
        <v>2.0235E-2</v>
      </c>
      <c r="L319" s="17">
        <v>20500.340686</v>
      </c>
      <c r="M319" s="4" t="s">
        <v>1317</v>
      </c>
      <c r="N319" s="19">
        <v>0.836785</v>
      </c>
      <c r="O319" s="19">
        <v>4.4036999999999997</v>
      </c>
      <c r="P319" s="19">
        <v>2.3137349999999999</v>
      </c>
      <c r="Q319" s="19">
        <v>3.5114000000000001</v>
      </c>
      <c r="R319" s="19">
        <v>1.1017729999999999</v>
      </c>
      <c r="S319" s="19">
        <v>2.8216000000000001</v>
      </c>
      <c r="T319" s="19">
        <v>1.1017729999999999</v>
      </c>
      <c r="U319" s="19">
        <v>2.5897000000000001</v>
      </c>
      <c r="V319" s="19">
        <v>1.906989</v>
      </c>
      <c r="W319" s="19">
        <v>3.0823</v>
      </c>
      <c r="X319" s="19">
        <v>1.906989</v>
      </c>
      <c r="Y319" s="19">
        <v>3.0823</v>
      </c>
      <c r="Z319" s="4"/>
      <c r="AA319" s="4"/>
      <c r="AB319" s="4" t="e">
        <f ca="1">_xll.ciqfunctions.udf.CIQ("^SPX", "IQ_PRICEDATE", "3/30/2015")</f>
        <v>#NAME?</v>
      </c>
      <c r="AC319" s="16">
        <v>2086.2373115864998</v>
      </c>
    </row>
    <row r="320" spans="1:29" x14ac:dyDescent="0.35">
      <c r="A320" s="2" t="s">
        <v>330</v>
      </c>
      <c r="B320" s="4" t="s">
        <v>1318</v>
      </c>
      <c r="C320" s="4" t="s">
        <v>549</v>
      </c>
      <c r="D320" s="4" t="s">
        <v>550</v>
      </c>
      <c r="E320" s="4" t="s">
        <v>551</v>
      </c>
      <c r="F320" s="4" t="s">
        <v>1319</v>
      </c>
      <c r="G320" s="14">
        <v>364.7</v>
      </c>
      <c r="H320" s="10">
        <v>95.742203000000003</v>
      </c>
      <c r="I320" s="10">
        <v>130.17440500000001</v>
      </c>
      <c r="J320" s="10" t="s">
        <v>534</v>
      </c>
      <c r="K320" s="15">
        <v>0</v>
      </c>
      <c r="L320" s="17">
        <v>158811.35207399999</v>
      </c>
      <c r="M320" s="4" t="s">
        <v>1320</v>
      </c>
      <c r="N320" s="19">
        <v>2.8016260000000002</v>
      </c>
      <c r="O320" s="19">
        <v>3.3824000000000001</v>
      </c>
      <c r="P320" s="19">
        <v>1.25</v>
      </c>
      <c r="Q320" s="19">
        <v>2.15</v>
      </c>
      <c r="R320" s="19">
        <v>0.43</v>
      </c>
      <c r="S320" s="19">
        <v>0.76919999999999999</v>
      </c>
      <c r="T320" s="19">
        <v>0.43</v>
      </c>
      <c r="U320" s="19">
        <v>0.15329999999999999</v>
      </c>
      <c r="V320" s="19">
        <v>0.62</v>
      </c>
      <c r="W320" s="19">
        <v>0.50800000000000001</v>
      </c>
      <c r="X320" s="19">
        <v>0.62</v>
      </c>
      <c r="Y320" s="19">
        <v>0.50800000000000001</v>
      </c>
      <c r="Z320" s="4"/>
      <c r="AA320" s="4"/>
      <c r="AB320" s="4" t="e">
        <f ca="1">_xll.ciqfunctions.udf.CIQ("^SPX", "IQ_PRICEDATE", "3/31/2015")</f>
        <v>#NAME?</v>
      </c>
      <c r="AC320" s="16">
        <v>2067.8872407585</v>
      </c>
    </row>
    <row r="321" spans="1:29" x14ac:dyDescent="0.35">
      <c r="A321" s="2" t="s">
        <v>331</v>
      </c>
      <c r="B321" s="4" t="s">
        <v>1321</v>
      </c>
      <c r="C321" s="4" t="s">
        <v>559</v>
      </c>
      <c r="D321" s="4" t="s">
        <v>912</v>
      </c>
      <c r="E321" s="4" t="s">
        <v>913</v>
      </c>
      <c r="F321" s="4" t="s">
        <v>1322</v>
      </c>
      <c r="G321" s="14">
        <v>17.75</v>
      </c>
      <c r="H321" s="10">
        <v>8.4282540000000008</v>
      </c>
      <c r="I321" s="10">
        <v>4.2112100000000003</v>
      </c>
      <c r="J321" s="10" t="s">
        <v>534</v>
      </c>
      <c r="K321" s="15">
        <v>5.1830000000000001E-2</v>
      </c>
      <c r="L321" s="17">
        <v>8386.875</v>
      </c>
      <c r="M321" s="4" t="s">
        <v>1323</v>
      </c>
      <c r="N321" s="19">
        <v>4.2149400000000004</v>
      </c>
      <c r="O321" s="19">
        <v>2.1389</v>
      </c>
      <c r="P321" s="19">
        <v>5.63</v>
      </c>
      <c r="Q321" s="19">
        <v>2.8382000000000001</v>
      </c>
      <c r="R321" s="19">
        <v>1.25</v>
      </c>
      <c r="S321" s="19">
        <v>2.7991999999999999</v>
      </c>
      <c r="T321" s="19">
        <v>1.25</v>
      </c>
      <c r="U321" s="19">
        <v>2.3395999999999999</v>
      </c>
      <c r="V321" s="19">
        <v>1.34</v>
      </c>
      <c r="W321" s="19">
        <v>2.1078000000000001</v>
      </c>
      <c r="X321" s="19">
        <v>1.34</v>
      </c>
      <c r="Y321" s="19">
        <v>2.1078000000000001</v>
      </c>
      <c r="Z321" s="4"/>
      <c r="AA321" s="4"/>
      <c r="AB321" s="4" t="e">
        <f ca="1">_xll.ciqfunctions.udf.CIQ("^SPX", "IQ_PRICEDATE", "4/1/2015")</f>
        <v>#NAME?</v>
      </c>
      <c r="AC321" s="16">
        <v>2059.6908719502999</v>
      </c>
    </row>
    <row r="322" spans="1:29" x14ac:dyDescent="0.35">
      <c r="A322" s="2" t="s">
        <v>332</v>
      </c>
      <c r="B322" s="4" t="s">
        <v>1324</v>
      </c>
      <c r="C322" s="4" t="s">
        <v>669</v>
      </c>
      <c r="D322" s="4" t="s">
        <v>669</v>
      </c>
      <c r="E322" s="4" t="s">
        <v>670</v>
      </c>
      <c r="F322" s="4" t="s">
        <v>671</v>
      </c>
      <c r="G322" s="14">
        <v>24.54</v>
      </c>
      <c r="H322" s="10">
        <v>7.1722869999999999</v>
      </c>
      <c r="I322" s="10">
        <v>12.715025000000001</v>
      </c>
      <c r="J322" s="10">
        <v>2.9578380000000002</v>
      </c>
      <c r="K322" s="15">
        <v>0</v>
      </c>
      <c r="L322" s="17">
        <v>4850.9799359999997</v>
      </c>
      <c r="M322" s="4" t="s">
        <v>1325</v>
      </c>
      <c r="N322" s="19">
        <v>1.93</v>
      </c>
      <c r="O322" s="19">
        <v>3.7919</v>
      </c>
      <c r="P322" s="19">
        <v>2.13</v>
      </c>
      <c r="Q322" s="19">
        <v>2.2008000000000001</v>
      </c>
      <c r="R322" s="19">
        <v>-6.3730560000000001</v>
      </c>
      <c r="S322" s="19">
        <v>1.5844</v>
      </c>
      <c r="T322" s="19">
        <v>-6.3730560000000001</v>
      </c>
      <c r="U322" s="19">
        <v>0.38550000000000001</v>
      </c>
      <c r="V322" s="19">
        <v>4.71</v>
      </c>
      <c r="W322" s="19">
        <v>1.8422000000000001</v>
      </c>
      <c r="X322" s="19">
        <v>4.71</v>
      </c>
      <c r="Y322" s="19">
        <v>1.8422000000000001</v>
      </c>
      <c r="Z322" s="4"/>
      <c r="AA322" s="4"/>
      <c r="AB322" s="4" t="e">
        <f ca="1">_xll.ciqfunctions.udf.CIQ("^SPX", "IQ_PRICEDATE", "4/2/2015")</f>
        <v>#NAME?</v>
      </c>
      <c r="AC322" s="16">
        <v>2066.9648541660999</v>
      </c>
    </row>
    <row r="323" spans="1:29" x14ac:dyDescent="0.35">
      <c r="A323" s="2" t="s">
        <v>333</v>
      </c>
      <c r="B323" s="4" t="s">
        <v>1326</v>
      </c>
      <c r="C323" s="4" t="s">
        <v>586</v>
      </c>
      <c r="D323" s="4" t="s">
        <v>586</v>
      </c>
      <c r="E323" s="4" t="s">
        <v>1066</v>
      </c>
      <c r="F323" s="4" t="s">
        <v>1327</v>
      </c>
      <c r="G323" s="14">
        <v>32.11</v>
      </c>
      <c r="H323" s="10">
        <v>6.8900480000000002</v>
      </c>
      <c r="I323" s="10">
        <v>139.18508800000001</v>
      </c>
      <c r="J323" s="10">
        <v>1.5827819999999999</v>
      </c>
      <c r="K323" s="15">
        <v>1.7440000000000001E-2</v>
      </c>
      <c r="L323" s="17">
        <v>17127.433316999999</v>
      </c>
      <c r="M323" s="4" t="s">
        <v>1328</v>
      </c>
      <c r="N323" s="19">
        <v>0.23069999999999999</v>
      </c>
      <c r="O323" s="19">
        <v>1.2717000000000001</v>
      </c>
      <c r="P323" s="19">
        <v>-0.11257</v>
      </c>
      <c r="Q323" s="19">
        <v>1.3714</v>
      </c>
      <c r="R323" s="19">
        <v>-0.41509400000000002</v>
      </c>
      <c r="S323" s="19">
        <v>1.5692999999999999</v>
      </c>
      <c r="T323" s="19">
        <v>-0.41509400000000002</v>
      </c>
      <c r="U323" s="19">
        <v>0.78839999999999999</v>
      </c>
      <c r="V323" s="19">
        <v>1.3</v>
      </c>
      <c r="W323" s="19">
        <v>0.83399999999999996</v>
      </c>
      <c r="X323" s="19">
        <v>1.3</v>
      </c>
      <c r="Y323" s="19">
        <v>0.83399999999999996</v>
      </c>
      <c r="Z323" s="4"/>
      <c r="AA323" s="4"/>
      <c r="AB323" s="4" t="e">
        <f ca="1">_xll.ciqfunctions.udf.CIQ("^SPX", "IQ_PRICEDATE", "4/6/2015")</f>
        <v>#NAME?</v>
      </c>
      <c r="AC323" s="16">
        <v>2080.6177622591999</v>
      </c>
    </row>
    <row r="324" spans="1:29" x14ac:dyDescent="0.35">
      <c r="A324" s="2" t="s">
        <v>334</v>
      </c>
      <c r="B324" s="4" t="s">
        <v>1329</v>
      </c>
      <c r="C324" s="4" t="s">
        <v>549</v>
      </c>
      <c r="D324" s="4" t="s">
        <v>550</v>
      </c>
      <c r="E324" s="4" t="s">
        <v>814</v>
      </c>
      <c r="F324" s="4" t="s">
        <v>1330</v>
      </c>
      <c r="G324" s="14">
        <v>13.51</v>
      </c>
      <c r="H324" s="10" t="s">
        <v>534</v>
      </c>
      <c r="I324" s="10">
        <v>0</v>
      </c>
      <c r="J324" s="10">
        <v>0</v>
      </c>
      <c r="K324" s="15">
        <v>0</v>
      </c>
      <c r="L324" s="17">
        <v>7785.5289599999996</v>
      </c>
      <c r="M324" s="4" t="s">
        <v>1331</v>
      </c>
      <c r="N324" s="19">
        <v>-2.6016810000000001</v>
      </c>
      <c r="O324" s="19">
        <v>0.36312</v>
      </c>
      <c r="P324" s="19">
        <v>-0.77938600000000002</v>
      </c>
      <c r="Q324" s="19">
        <v>0.50560000000000005</v>
      </c>
      <c r="R324" s="19">
        <v>-0.61660300000000001</v>
      </c>
      <c r="S324" s="19">
        <v>0.37619999999999998</v>
      </c>
      <c r="T324" s="19">
        <v>-0.61660300000000001</v>
      </c>
      <c r="U324" s="19">
        <v>0.53839999999999999</v>
      </c>
      <c r="V324" s="19">
        <v>0.52976699999999999</v>
      </c>
      <c r="W324" s="19">
        <v>0.45250000000000001</v>
      </c>
      <c r="X324" s="19">
        <v>0.52976699999999999</v>
      </c>
      <c r="Y324" s="19">
        <v>0.45250000000000001</v>
      </c>
      <c r="Z324" s="4"/>
      <c r="AA324" s="4"/>
      <c r="AB324" s="4" t="e">
        <f ca="1">_xll.ciqfunctions.udf.CIQ("^SPX", "IQ_PRICEDATE", "4/7/2015")</f>
        <v>#NAME?</v>
      </c>
      <c r="AC324" s="16">
        <v>2076.3337338901001</v>
      </c>
    </row>
    <row r="325" spans="1:29" x14ac:dyDescent="0.35">
      <c r="A325" s="2" t="s">
        <v>335</v>
      </c>
      <c r="B325" s="4" t="s">
        <v>1329</v>
      </c>
      <c r="C325" s="4" t="s">
        <v>549</v>
      </c>
      <c r="D325" s="4" t="s">
        <v>550</v>
      </c>
      <c r="E325" s="4" t="s">
        <v>814</v>
      </c>
      <c r="F325" s="4" t="s">
        <v>1330</v>
      </c>
      <c r="G325" s="14">
        <v>13.21</v>
      </c>
      <c r="H325" s="10" t="s">
        <v>534</v>
      </c>
      <c r="I325" s="10" t="s">
        <v>534</v>
      </c>
      <c r="J325" s="10">
        <v>8.1272950000000002</v>
      </c>
      <c r="K325" s="15">
        <v>1.5140000000000001E-2</v>
      </c>
      <c r="L325" s="17">
        <v>7785.5289599999996</v>
      </c>
      <c r="M325" s="4" t="s">
        <v>1331</v>
      </c>
      <c r="N325" s="19">
        <v>-2.6016810000000001</v>
      </c>
      <c r="O325" s="19">
        <v>0.36312</v>
      </c>
      <c r="P325" s="19">
        <v>-0.77938600000000002</v>
      </c>
      <c r="Q325" s="19">
        <v>0.50560000000000005</v>
      </c>
      <c r="R325" s="19">
        <v>-0.61660300000000001</v>
      </c>
      <c r="S325" s="19">
        <v>0.37619999999999998</v>
      </c>
      <c r="T325" s="19">
        <v>-0.61660300000000001</v>
      </c>
      <c r="U325" s="19">
        <v>0.53839999999999999</v>
      </c>
      <c r="V325" s="19">
        <v>0.52976699999999999</v>
      </c>
      <c r="W325" s="19">
        <v>0.51949999999999996</v>
      </c>
      <c r="X325" s="19">
        <v>0.52976699999999999</v>
      </c>
      <c r="Y325" s="19">
        <v>0.51949999999999996</v>
      </c>
      <c r="Z325" s="4"/>
      <c r="AA325" s="4"/>
      <c r="AB325" s="4" t="e">
        <f ca="1">_xll.ciqfunctions.udf.CIQ("^SPX", "IQ_PRICEDATE", "4/8/2015")</f>
        <v>#NAME?</v>
      </c>
      <c r="AC325" s="16">
        <v>2081.9039764783001</v>
      </c>
    </row>
    <row r="326" spans="1:29" x14ac:dyDescent="0.35">
      <c r="A326" s="2" t="s">
        <v>336</v>
      </c>
      <c r="B326" s="4" t="s">
        <v>1332</v>
      </c>
      <c r="C326" s="4" t="s">
        <v>619</v>
      </c>
      <c r="D326" s="4" t="s">
        <v>619</v>
      </c>
      <c r="E326" s="4" t="s">
        <v>620</v>
      </c>
      <c r="F326" s="4" t="s">
        <v>620</v>
      </c>
      <c r="G326" s="14">
        <v>170.82</v>
      </c>
      <c r="H326" s="10">
        <v>13.342378999999999</v>
      </c>
      <c r="I326" s="10">
        <v>9.8845340000000004</v>
      </c>
      <c r="J326" s="10">
        <v>2.4396439999999999</v>
      </c>
      <c r="K326" s="15">
        <v>2.5992000000000001E-2</v>
      </c>
      <c r="L326" s="17">
        <v>80559.512121000007</v>
      </c>
      <c r="M326" s="4" t="s">
        <v>1333</v>
      </c>
      <c r="N326" s="19">
        <v>17.281542999999999</v>
      </c>
      <c r="O326" s="19">
        <v>7.7286000000000001</v>
      </c>
      <c r="P326" s="19">
        <v>11.38</v>
      </c>
      <c r="Q326" s="19">
        <v>6.8398000000000003</v>
      </c>
      <c r="R326" s="19">
        <v>6.25</v>
      </c>
      <c r="S326" s="19">
        <v>6.2187999999999999</v>
      </c>
      <c r="T326" s="19">
        <v>6.25</v>
      </c>
      <c r="U326" s="19">
        <v>5.8682999999999996</v>
      </c>
      <c r="V326" s="19">
        <v>5.6</v>
      </c>
      <c r="W326" s="19">
        <v>5.5164</v>
      </c>
      <c r="X326" s="19">
        <v>5.6</v>
      </c>
      <c r="Y326" s="19">
        <v>5.5164</v>
      </c>
      <c r="Z326" s="4"/>
      <c r="AA326" s="4"/>
      <c r="AB326" s="4" t="e">
        <f ca="1">_xll.ciqfunctions.udf.CIQ("^SPX", "IQ_PRICEDATE", "4/9/2015")</f>
        <v>#NAME?</v>
      </c>
      <c r="AC326" s="16">
        <v>2091.1811724098002</v>
      </c>
    </row>
    <row r="327" spans="1:29" x14ac:dyDescent="0.35">
      <c r="A327" s="2" t="s">
        <v>337</v>
      </c>
      <c r="B327" s="4" t="s">
        <v>1334</v>
      </c>
      <c r="C327" s="4" t="s">
        <v>525</v>
      </c>
      <c r="D327" s="4" t="s">
        <v>855</v>
      </c>
      <c r="E327" s="4" t="s">
        <v>990</v>
      </c>
      <c r="F327" s="4" t="s">
        <v>991</v>
      </c>
      <c r="G327" s="14">
        <v>27.05</v>
      </c>
      <c r="H327" s="10">
        <v>10.911452000000001</v>
      </c>
      <c r="I327" s="10">
        <v>26.00074</v>
      </c>
      <c r="J327" s="10" t="s">
        <v>534</v>
      </c>
      <c r="K327" s="15">
        <v>5.1756000000000003E-2</v>
      </c>
      <c r="L327" s="17">
        <v>9608.3658230000001</v>
      </c>
      <c r="M327" s="4" t="s">
        <v>1335</v>
      </c>
      <c r="N327" s="19">
        <v>1.0403549999999999</v>
      </c>
      <c r="O327" s="19">
        <v>2.1158999999999999</v>
      </c>
      <c r="P327" s="19">
        <v>1.2</v>
      </c>
      <c r="Q327" s="19">
        <v>2.5840999999999998</v>
      </c>
      <c r="R327" s="19">
        <v>1.389999</v>
      </c>
      <c r="S327" s="19">
        <v>2.6619999999999999</v>
      </c>
      <c r="T327" s="19">
        <v>1.389999</v>
      </c>
      <c r="U327" s="19">
        <v>2.774</v>
      </c>
      <c r="V327" s="19">
        <v>0.99903299999999995</v>
      </c>
      <c r="W327" s="19">
        <v>2.7361</v>
      </c>
      <c r="X327" s="19">
        <v>0.99903299999999995</v>
      </c>
      <c r="Y327" s="19">
        <v>2.7361</v>
      </c>
      <c r="Z327" s="4"/>
      <c r="AA327" s="4"/>
      <c r="AB327" s="4" t="e">
        <f ca="1">_xll.ciqfunctions.udf.CIQ("^SPX", "IQ_PRICEDATE", "4/10/2015")</f>
        <v>#NAME?</v>
      </c>
      <c r="AC327" s="16">
        <v>2102.0553488088999</v>
      </c>
    </row>
    <row r="328" spans="1:29" x14ac:dyDescent="0.35">
      <c r="A328" s="2" t="s">
        <v>338</v>
      </c>
      <c r="B328" s="4" t="s">
        <v>1336</v>
      </c>
      <c r="C328" s="4" t="s">
        <v>559</v>
      </c>
      <c r="D328" s="4" t="s">
        <v>912</v>
      </c>
      <c r="E328" s="4" t="s">
        <v>1097</v>
      </c>
      <c r="F328" s="4" t="s">
        <v>1337</v>
      </c>
      <c r="G328" s="14">
        <v>76.48</v>
      </c>
      <c r="H328" s="10">
        <v>22.170774000000002</v>
      </c>
      <c r="I328" s="10">
        <v>60.602649999999997</v>
      </c>
      <c r="J328" s="10">
        <v>14.207007000000001</v>
      </c>
      <c r="K328" s="15">
        <v>1.0460000000000001E-2</v>
      </c>
      <c r="L328" s="17">
        <v>121458.526761</v>
      </c>
      <c r="M328" s="4" t="s">
        <v>1338</v>
      </c>
      <c r="N328" s="19">
        <v>1.2619910000000001</v>
      </c>
      <c r="O328" s="19">
        <v>2.7951999999999999</v>
      </c>
      <c r="P328" s="19">
        <v>2.3112910000000002</v>
      </c>
      <c r="Q328" s="19">
        <v>2.4445000000000001</v>
      </c>
      <c r="R328" s="19">
        <v>2.267814</v>
      </c>
      <c r="S328" s="19">
        <v>2.4293</v>
      </c>
      <c r="T328" s="19">
        <v>2.267814</v>
      </c>
      <c r="U328" s="19">
        <v>2.2677</v>
      </c>
      <c r="V328" s="19">
        <v>1.674021</v>
      </c>
      <c r="W328" s="19">
        <v>1.9109</v>
      </c>
      <c r="X328" s="19">
        <v>1.674021</v>
      </c>
      <c r="Y328" s="19">
        <v>1.9109</v>
      </c>
      <c r="Z328" s="4"/>
      <c r="AA328" s="4"/>
      <c r="AB328" s="4" t="e">
        <f ca="1">_xll.ciqfunctions.udf.CIQ("^SPX", "IQ_PRICEDATE", "4/13/2015")</f>
        <v>#NAME?</v>
      </c>
      <c r="AC328" s="16">
        <v>2092.4295913532001</v>
      </c>
    </row>
    <row r="329" spans="1:29" x14ac:dyDescent="0.35">
      <c r="A329" s="2" t="s">
        <v>339</v>
      </c>
      <c r="B329" s="4" t="s">
        <v>1339</v>
      </c>
      <c r="C329" s="4" t="s">
        <v>619</v>
      </c>
      <c r="D329" s="4" t="s">
        <v>619</v>
      </c>
      <c r="E329" s="4" t="s">
        <v>634</v>
      </c>
      <c r="F329" s="4" t="s">
        <v>634</v>
      </c>
      <c r="G329" s="14">
        <v>25.03</v>
      </c>
      <c r="H329" s="10">
        <v>12.416881999999999</v>
      </c>
      <c r="I329" s="10">
        <v>32.696984999999998</v>
      </c>
      <c r="J329" s="10">
        <v>2.8821789999999998</v>
      </c>
      <c r="K329" s="15">
        <v>3.1162000000000002E-2</v>
      </c>
      <c r="L329" s="17">
        <v>9086.8082259999992</v>
      </c>
      <c r="M329" s="4" t="s">
        <v>1340</v>
      </c>
      <c r="N329" s="19">
        <v>0.76551400000000003</v>
      </c>
      <c r="O329" s="19">
        <v>1.3664000000000001</v>
      </c>
      <c r="P329" s="19">
        <v>0.39</v>
      </c>
      <c r="Q329" s="19">
        <v>1.2854000000000001</v>
      </c>
      <c r="R329" s="19">
        <v>1.01</v>
      </c>
      <c r="S329" s="19">
        <v>1.1627000000000001</v>
      </c>
      <c r="T329" s="19">
        <v>1.01</v>
      </c>
      <c r="U329" s="19">
        <v>1.0684</v>
      </c>
      <c r="V329" s="19">
        <v>0.81</v>
      </c>
      <c r="W329" s="19">
        <v>1.7846</v>
      </c>
      <c r="X329" s="19">
        <v>0.81</v>
      </c>
      <c r="Y329" s="19">
        <v>1.7846</v>
      </c>
      <c r="Z329" s="4"/>
      <c r="AA329" s="4"/>
      <c r="AB329" s="4" t="e">
        <f ca="1">_xll.ciqfunctions.udf.CIQ("^SPX", "IQ_PRICEDATE", "4/14/2015")</f>
        <v>#NAME?</v>
      </c>
      <c r="AC329" s="16">
        <v>2095.8353553612001</v>
      </c>
    </row>
    <row r="330" spans="1:29" x14ac:dyDescent="0.35">
      <c r="A330" s="2" t="s">
        <v>340</v>
      </c>
      <c r="B330" s="4" t="s">
        <v>1341</v>
      </c>
      <c r="C330" s="4" t="s">
        <v>669</v>
      </c>
      <c r="D330" s="4" t="s">
        <v>669</v>
      </c>
      <c r="E330" s="4" t="s">
        <v>670</v>
      </c>
      <c r="F330" s="4" t="s">
        <v>671</v>
      </c>
      <c r="G330" s="14">
        <v>31.4</v>
      </c>
      <c r="H330" s="10">
        <v>8.5730280000000008</v>
      </c>
      <c r="I330" s="10">
        <v>17.148152</v>
      </c>
      <c r="J330" s="10">
        <v>1.782918</v>
      </c>
      <c r="K330" s="15">
        <v>1.4012E-2</v>
      </c>
      <c r="L330" s="17">
        <v>15074.121321000001</v>
      </c>
      <c r="M330" s="4" t="s">
        <v>1342</v>
      </c>
      <c r="N330" s="19">
        <v>1.8311010000000001</v>
      </c>
      <c r="O330" s="19">
        <v>0.98440000000000005</v>
      </c>
      <c r="P330" s="19">
        <v>-2.3837950000000001</v>
      </c>
      <c r="Q330" s="19">
        <v>0.1216</v>
      </c>
      <c r="R330" s="19">
        <v>-2.3209300000000002</v>
      </c>
      <c r="S330" s="19">
        <v>-0.49909999999999999</v>
      </c>
      <c r="T330" s="19">
        <v>-2.3209300000000002</v>
      </c>
      <c r="U330" s="19">
        <v>-0.2122</v>
      </c>
      <c r="V330" s="19">
        <v>3.2615799999999999</v>
      </c>
      <c r="W330" s="19">
        <v>1.6998</v>
      </c>
      <c r="X330" s="19">
        <v>3.2615799999999999</v>
      </c>
      <c r="Y330" s="19">
        <v>1.6998</v>
      </c>
      <c r="Z330" s="4"/>
      <c r="AA330" s="4"/>
      <c r="AB330" s="4" t="e">
        <f ca="1">_xll.ciqfunctions.udf.CIQ("^SPX", "IQ_PRICEDATE", "4/15/2015")</f>
        <v>#NAME?</v>
      </c>
      <c r="AC330" s="16">
        <v>2106.6262636495999</v>
      </c>
    </row>
    <row r="331" spans="1:29" x14ac:dyDescent="0.35">
      <c r="A331" s="2" t="s">
        <v>341</v>
      </c>
      <c r="B331" s="4" t="s">
        <v>1343</v>
      </c>
      <c r="C331" s="4" t="s">
        <v>559</v>
      </c>
      <c r="D331" s="4" t="s">
        <v>560</v>
      </c>
      <c r="E331" s="4" t="s">
        <v>940</v>
      </c>
      <c r="F331" s="4" t="s">
        <v>1211</v>
      </c>
      <c r="G331" s="14">
        <v>60.41</v>
      </c>
      <c r="H331" s="10">
        <v>7.0530400000000002</v>
      </c>
      <c r="I331" s="10">
        <v>19.942202999999999</v>
      </c>
      <c r="J331" s="10">
        <v>11.356539</v>
      </c>
      <c r="K331" s="15">
        <v>2.4499E-2</v>
      </c>
      <c r="L331" s="17">
        <v>10183.039377999999</v>
      </c>
      <c r="M331" s="4" t="s">
        <v>1344</v>
      </c>
      <c r="N331" s="19">
        <v>3.0292539999999999</v>
      </c>
      <c r="O331" s="19">
        <v>3.6128999999999998</v>
      </c>
      <c r="P331" s="19">
        <v>2.8575499999999998</v>
      </c>
      <c r="Q331" s="19">
        <v>2.968</v>
      </c>
      <c r="R331" s="19">
        <v>1.8787050000000001</v>
      </c>
      <c r="S331" s="19">
        <v>3.0581999999999998</v>
      </c>
      <c r="T331" s="19">
        <v>1.8787050000000001</v>
      </c>
      <c r="U331" s="19">
        <v>3.3942999999999999</v>
      </c>
      <c r="V331" s="19">
        <v>3.7707609999999998</v>
      </c>
      <c r="W331" s="19">
        <v>3.9209000000000001</v>
      </c>
      <c r="X331" s="19">
        <v>3.7707609999999998</v>
      </c>
      <c r="Y331" s="19">
        <v>3.9209000000000001</v>
      </c>
      <c r="Z331" s="4"/>
      <c r="AA331" s="4"/>
      <c r="AB331" s="4" t="e">
        <f ca="1">_xll.ciqfunctions.udf.CIQ("^SPX", "IQ_PRICEDATE", "4/16/2015")</f>
        <v>#NAME?</v>
      </c>
      <c r="AC331" s="16">
        <v>2104.9857874947002</v>
      </c>
    </row>
    <row r="332" spans="1:29" x14ac:dyDescent="0.35">
      <c r="A332" s="2" t="s">
        <v>342</v>
      </c>
      <c r="B332" s="4" t="s">
        <v>1345</v>
      </c>
      <c r="C332" s="4" t="s">
        <v>525</v>
      </c>
      <c r="D332" s="4" t="s">
        <v>594</v>
      </c>
      <c r="E332" s="4" t="s">
        <v>903</v>
      </c>
      <c r="F332" s="4" t="s">
        <v>904</v>
      </c>
      <c r="G332" s="14">
        <v>169</v>
      </c>
      <c r="H332" s="10">
        <v>11.600863</v>
      </c>
      <c r="I332" s="10">
        <v>8.4499999999999993</v>
      </c>
      <c r="J332" s="10">
        <v>2.8579639999999999</v>
      </c>
      <c r="K332" s="15">
        <v>1.8933999999999999E-2</v>
      </c>
      <c r="L332" s="17">
        <v>47325.030116000002</v>
      </c>
      <c r="M332" s="4" t="s">
        <v>1346</v>
      </c>
      <c r="N332" s="19">
        <v>20</v>
      </c>
      <c r="O332" s="19">
        <v>9.5861999999999998</v>
      </c>
      <c r="P332" s="19">
        <v>18.608336000000001</v>
      </c>
      <c r="Q332" s="19">
        <v>6.8451000000000004</v>
      </c>
      <c r="R332" s="19">
        <v>5.6216210000000002</v>
      </c>
      <c r="S332" s="19">
        <v>5.8533999999999997</v>
      </c>
      <c r="T332" s="19">
        <v>5.6216210000000002</v>
      </c>
      <c r="U332" s="19">
        <v>5.5622999999999996</v>
      </c>
      <c r="V332" s="19">
        <v>6.3872</v>
      </c>
      <c r="W332" s="19">
        <v>7.0490000000000004</v>
      </c>
      <c r="X332" s="19">
        <v>6.3872</v>
      </c>
      <c r="Y332" s="19">
        <v>7.0490000000000004</v>
      </c>
      <c r="Z332" s="4"/>
      <c r="AA332" s="4"/>
      <c r="AB332" s="4" t="e">
        <f ca="1">_xll.ciqfunctions.udf.CIQ("^SPX", "IQ_PRICEDATE", "4/17/2015")</f>
        <v>#NAME?</v>
      </c>
      <c r="AC332" s="16">
        <v>2081.1777536902</v>
      </c>
    </row>
    <row r="333" spans="1:29" x14ac:dyDescent="0.35">
      <c r="A333" s="2" t="s">
        <v>343</v>
      </c>
      <c r="B333" s="4" t="s">
        <v>1347</v>
      </c>
      <c r="C333" s="4" t="s">
        <v>573</v>
      </c>
      <c r="D333" s="4" t="s">
        <v>574</v>
      </c>
      <c r="E333" s="4" t="s">
        <v>575</v>
      </c>
      <c r="F333" s="4" t="s">
        <v>576</v>
      </c>
      <c r="G333" s="14">
        <v>94.21</v>
      </c>
      <c r="H333" s="10">
        <v>0</v>
      </c>
      <c r="I333" s="10">
        <v>15.782382999999999</v>
      </c>
      <c r="J333" s="10">
        <v>2.4309919999999998</v>
      </c>
      <c r="K333" s="15">
        <v>2.3351999999999998E-2</v>
      </c>
      <c r="L333" s="17">
        <v>20857.622950000001</v>
      </c>
      <c r="M333" s="4" t="s">
        <v>1348</v>
      </c>
      <c r="N333" s="19">
        <v>6.3517710000000003</v>
      </c>
      <c r="O333" s="19">
        <v>6.8392999999999997</v>
      </c>
      <c r="P333" s="19">
        <v>4.92</v>
      </c>
      <c r="Q333" s="19">
        <v>5.4245000000000001</v>
      </c>
      <c r="R333" s="19">
        <v>4.32</v>
      </c>
      <c r="S333" s="19">
        <v>4.5838999999999999</v>
      </c>
      <c r="T333" s="19">
        <v>4.32</v>
      </c>
      <c r="U333" s="19">
        <v>4.0640000000000001</v>
      </c>
      <c r="V333" s="19">
        <v>3.32</v>
      </c>
      <c r="W333" s="19">
        <v>3.5537999999999998</v>
      </c>
      <c r="X333" s="19">
        <v>3.32</v>
      </c>
      <c r="Y333" s="19">
        <v>3.5537999999999998</v>
      </c>
      <c r="Z333" s="4"/>
      <c r="AA333" s="4"/>
      <c r="AB333" s="4" t="e">
        <f ca="1">_xll.ciqfunctions.udf.CIQ("^SPX", "IQ_PRICEDATE", "4/20/2015")</f>
        <v>#NAME?</v>
      </c>
      <c r="AC333" s="16">
        <v>2100.4009440958998</v>
      </c>
    </row>
    <row r="334" spans="1:29" x14ac:dyDescent="0.35">
      <c r="A334" s="2" t="s">
        <v>344</v>
      </c>
      <c r="B334" s="4" t="s">
        <v>1349</v>
      </c>
      <c r="C334" s="4" t="s">
        <v>525</v>
      </c>
      <c r="D334" s="4" t="s">
        <v>526</v>
      </c>
      <c r="E334" s="4" t="s">
        <v>703</v>
      </c>
      <c r="F334" s="4" t="s">
        <v>703</v>
      </c>
      <c r="G334" s="14">
        <v>309.5</v>
      </c>
      <c r="H334" s="10">
        <v>16.487465</v>
      </c>
      <c r="I334" s="10">
        <v>24.26032</v>
      </c>
      <c r="J334" s="10" t="s">
        <v>534</v>
      </c>
      <c r="K334" s="15">
        <v>1.5507999999999999E-2</v>
      </c>
      <c r="L334" s="17">
        <v>53891.198181</v>
      </c>
      <c r="M334" s="4" t="s">
        <v>1350</v>
      </c>
      <c r="N334" s="19">
        <v>12.757457</v>
      </c>
      <c r="O334" s="19">
        <v>17.9908</v>
      </c>
      <c r="P334" s="19">
        <v>11.47</v>
      </c>
      <c r="Q334" s="19">
        <v>12.540699999999999</v>
      </c>
      <c r="R334" s="19">
        <v>12.19</v>
      </c>
      <c r="S334" s="19">
        <v>11.597300000000001</v>
      </c>
      <c r="T334" s="19">
        <v>12.19</v>
      </c>
      <c r="U334" s="19">
        <v>9.7711000000000006</v>
      </c>
      <c r="V334" s="19">
        <v>9.75</v>
      </c>
      <c r="W334" s="19">
        <v>8.8088999999999995</v>
      </c>
      <c r="X334" s="19">
        <v>9.75</v>
      </c>
      <c r="Y334" s="19">
        <v>8.8088999999999995</v>
      </c>
      <c r="Z334" s="4"/>
      <c r="AA334" s="4"/>
      <c r="AB334" s="4" t="e">
        <f ca="1">_xll.ciqfunctions.udf.CIQ("^SPX", "IQ_PRICEDATE", "4/21/2015")</f>
        <v>#NAME?</v>
      </c>
      <c r="AC334" s="16">
        <v>2097.2888943436001</v>
      </c>
    </row>
    <row r="335" spans="1:29" x14ac:dyDescent="0.35">
      <c r="A335" s="2" t="s">
        <v>345</v>
      </c>
      <c r="B335" s="4" t="s">
        <v>1351</v>
      </c>
      <c r="C335" s="4" t="s">
        <v>559</v>
      </c>
      <c r="D335" s="4" t="s">
        <v>798</v>
      </c>
      <c r="E335" s="4" t="s">
        <v>799</v>
      </c>
      <c r="F335" s="4" t="s">
        <v>800</v>
      </c>
      <c r="G335" s="14">
        <v>51.42</v>
      </c>
      <c r="H335" s="10">
        <v>10.840752999999999</v>
      </c>
      <c r="I335" s="10">
        <v>14.194938</v>
      </c>
      <c r="J335" s="10">
        <v>3.3105370000000001</v>
      </c>
      <c r="K335" s="15">
        <v>0</v>
      </c>
      <c r="L335" s="17">
        <v>11387.901426</v>
      </c>
      <c r="M335" s="4" t="s">
        <v>1352</v>
      </c>
      <c r="N335" s="19">
        <v>3.6224180000000001</v>
      </c>
      <c r="O335" s="19">
        <v>4.9335000000000004</v>
      </c>
      <c r="P335" s="19">
        <v>3.3099989999999999</v>
      </c>
      <c r="Q335" s="19">
        <v>4.4551999999999996</v>
      </c>
      <c r="R335" s="19">
        <v>2.7799990000000001</v>
      </c>
      <c r="S335" s="19">
        <v>3.6316000000000002</v>
      </c>
      <c r="T335" s="19">
        <v>2.7799990000000001</v>
      </c>
      <c r="U335" s="19">
        <v>3.5331000000000001</v>
      </c>
      <c r="V335" s="19">
        <v>1.619999</v>
      </c>
      <c r="W335" s="19">
        <v>2.6339999999999999</v>
      </c>
      <c r="X335" s="19">
        <v>1.619999</v>
      </c>
      <c r="Y335" s="19">
        <v>2.6339999999999999</v>
      </c>
      <c r="Z335" s="4"/>
      <c r="AA335" s="4"/>
      <c r="AB335" s="4" t="e">
        <f ca="1">_xll.ciqfunctions.udf.CIQ("^SPX", "IQ_PRICEDATE", "4/22/2015")</f>
        <v>#NAME?</v>
      </c>
      <c r="AC335" s="16">
        <v>2107.9640776233</v>
      </c>
    </row>
    <row r="336" spans="1:29" x14ac:dyDescent="0.35">
      <c r="A336" s="2" t="s">
        <v>346</v>
      </c>
      <c r="B336" s="4" t="s">
        <v>1353</v>
      </c>
      <c r="C336" s="4" t="s">
        <v>619</v>
      </c>
      <c r="D336" s="4" t="s">
        <v>619</v>
      </c>
      <c r="E336" s="4" t="s">
        <v>1354</v>
      </c>
      <c r="F336" s="4" t="s">
        <v>1355</v>
      </c>
      <c r="G336" s="14">
        <v>37.520000000000003</v>
      </c>
      <c r="H336" s="10">
        <v>10.296574</v>
      </c>
      <c r="I336" s="10" t="s">
        <v>534</v>
      </c>
      <c r="J336" s="10" t="s">
        <v>534</v>
      </c>
      <c r="K336" s="15">
        <v>3.1979999999999999E-3</v>
      </c>
      <c r="L336" s="17">
        <v>11352.367306</v>
      </c>
      <c r="M336" s="4" t="s">
        <v>1356</v>
      </c>
      <c r="N336" s="19">
        <v>-3.079113</v>
      </c>
      <c r="O336" s="19">
        <v>2.8513999999999999</v>
      </c>
      <c r="P336" s="19">
        <v>-4.3028389999999996</v>
      </c>
      <c r="Q336" s="19">
        <v>1.2450000000000001</v>
      </c>
      <c r="R336" s="19">
        <v>-2.5099999999999998</v>
      </c>
      <c r="S336" s="19">
        <v>-0.86</v>
      </c>
      <c r="T336" s="19">
        <v>-2.5099999999999998</v>
      </c>
      <c r="U336" s="19">
        <v>0.37169999999999997</v>
      </c>
      <c r="V336" s="19">
        <v>0.23</v>
      </c>
      <c r="W336" s="19">
        <v>1.9650000000000001</v>
      </c>
      <c r="X336" s="19">
        <v>0.23</v>
      </c>
      <c r="Y336" s="19">
        <v>1.9650000000000001</v>
      </c>
      <c r="Z336" s="4"/>
      <c r="AA336" s="4"/>
      <c r="AB336" s="4" t="e">
        <f ca="1">_xll.ciqfunctions.udf.CIQ("^SPX", "IQ_PRICEDATE", "4/23/2015")</f>
        <v>#NAME?</v>
      </c>
      <c r="AC336" s="16">
        <v>2112.9289997132</v>
      </c>
    </row>
    <row r="337" spans="1:29" x14ac:dyDescent="0.35">
      <c r="A337" s="2" t="s">
        <v>347</v>
      </c>
      <c r="B337" s="4" t="s">
        <v>1357</v>
      </c>
      <c r="C337" s="4" t="s">
        <v>586</v>
      </c>
      <c r="D337" s="4" t="s">
        <v>586</v>
      </c>
      <c r="E337" s="4" t="s">
        <v>1066</v>
      </c>
      <c r="F337" s="4" t="s">
        <v>1358</v>
      </c>
      <c r="G337" s="14">
        <v>59.09</v>
      </c>
      <c r="H337" s="10">
        <v>7.2447100000000004</v>
      </c>
      <c r="I337" s="10">
        <v>11.328200000000001</v>
      </c>
      <c r="J337" s="10">
        <v>2.9578549999999999</v>
      </c>
      <c r="K337" s="15">
        <v>2.5722999999999999E-2</v>
      </c>
      <c r="L337" s="17">
        <v>18692.736706</v>
      </c>
      <c r="M337" s="4" t="s">
        <v>1359</v>
      </c>
      <c r="N337" s="19">
        <v>5.2161860000000004</v>
      </c>
      <c r="O337" s="19">
        <v>7.81</v>
      </c>
      <c r="P337" s="19">
        <v>4.096819</v>
      </c>
      <c r="Q337" s="19">
        <v>4.0796000000000001</v>
      </c>
      <c r="R337" s="19">
        <v>2.4815049999999998</v>
      </c>
      <c r="S337" s="19">
        <v>3.0131000000000001</v>
      </c>
      <c r="T337" s="19">
        <v>2.4815049999999998</v>
      </c>
      <c r="U337" s="19">
        <v>2.1333000000000002</v>
      </c>
      <c r="V337" s="19">
        <v>2.11</v>
      </c>
      <c r="W337" s="19">
        <v>3.1785999999999999</v>
      </c>
      <c r="X337" s="19">
        <v>2.11</v>
      </c>
      <c r="Y337" s="19">
        <v>3.1785999999999999</v>
      </c>
      <c r="Z337" s="4"/>
      <c r="AA337" s="4"/>
      <c r="AB337" s="4" t="e">
        <f ca="1">_xll.ciqfunctions.udf.CIQ("^SPX", "IQ_PRICEDATE", "4/24/2015")</f>
        <v>#NAME?</v>
      </c>
      <c r="AC337" s="16">
        <v>2117.6899287491001</v>
      </c>
    </row>
    <row r="338" spans="1:29" x14ac:dyDescent="0.35">
      <c r="A338" s="2" t="s">
        <v>348</v>
      </c>
      <c r="B338" s="4" t="s">
        <v>1360</v>
      </c>
      <c r="C338" s="4" t="s">
        <v>543</v>
      </c>
      <c r="D338" s="4" t="s">
        <v>565</v>
      </c>
      <c r="E338" s="4" t="s">
        <v>565</v>
      </c>
      <c r="F338" s="4" t="s">
        <v>566</v>
      </c>
      <c r="G338" s="14">
        <v>243.06</v>
      </c>
      <c r="H338" s="10">
        <v>30.575227000000002</v>
      </c>
      <c r="I338" s="10">
        <v>35.425474999999999</v>
      </c>
      <c r="J338" s="10">
        <v>18.186129000000001</v>
      </c>
      <c r="K338" s="15">
        <v>2.4679999999999997E-3</v>
      </c>
      <c r="L338" s="17">
        <v>147780.48000000001</v>
      </c>
      <c r="M338" s="4" t="s">
        <v>1361</v>
      </c>
      <c r="N338" s="19">
        <v>6.8611639999999996</v>
      </c>
      <c r="O338" s="19">
        <v>7.9511000000000003</v>
      </c>
      <c r="P338" s="19">
        <v>4.0005249999999997</v>
      </c>
      <c r="Q338" s="19">
        <v>5.0218999999999996</v>
      </c>
      <c r="R338" s="19">
        <v>1.956553</v>
      </c>
      <c r="S338" s="19">
        <v>3.3001</v>
      </c>
      <c r="T338" s="19">
        <v>1.956553</v>
      </c>
      <c r="U338" s="19">
        <v>1.6435</v>
      </c>
      <c r="V338" s="19">
        <v>1.022451</v>
      </c>
      <c r="W338" s="19">
        <v>1.4068000000000001</v>
      </c>
      <c r="X338" s="19">
        <v>1.022451</v>
      </c>
      <c r="Y338" s="19">
        <v>1.4068000000000001</v>
      </c>
      <c r="Z338" s="4"/>
      <c r="AA338" s="4"/>
      <c r="AB338" s="4" t="e">
        <f ca="1">_xll.ciqfunctions.udf.CIQ("^SPX", "IQ_PRICEDATE", "4/27/2015")</f>
        <v>#NAME?</v>
      </c>
      <c r="AC338" s="16">
        <v>2108.9211408291999</v>
      </c>
    </row>
    <row r="339" spans="1:29" x14ac:dyDescent="0.35">
      <c r="A339" s="2" t="s">
        <v>349</v>
      </c>
      <c r="B339" s="4" t="s">
        <v>1362</v>
      </c>
      <c r="C339" s="4" t="s">
        <v>559</v>
      </c>
      <c r="D339" s="4" t="s">
        <v>560</v>
      </c>
      <c r="E339" s="4" t="s">
        <v>561</v>
      </c>
      <c r="F339" s="4" t="s">
        <v>562</v>
      </c>
      <c r="G339" s="14">
        <v>334.78</v>
      </c>
      <c r="H339" s="10">
        <v>14.97048</v>
      </c>
      <c r="I339" s="10">
        <v>22.874863999999999</v>
      </c>
      <c r="J339" s="10" t="s">
        <v>534</v>
      </c>
      <c r="K339" s="15">
        <v>0</v>
      </c>
      <c r="L339" s="17">
        <v>26970.884152999999</v>
      </c>
      <c r="M339" s="4" t="s">
        <v>1363</v>
      </c>
      <c r="N339" s="19">
        <v>14.635278</v>
      </c>
      <c r="O339" s="19">
        <v>16.7653</v>
      </c>
      <c r="P339" s="19">
        <v>12.67</v>
      </c>
      <c r="Q339" s="19">
        <v>12.696400000000001</v>
      </c>
      <c r="R339" s="19">
        <v>10.73</v>
      </c>
      <c r="S339" s="19">
        <v>11.896000000000001</v>
      </c>
      <c r="T339" s="19">
        <v>10.73</v>
      </c>
      <c r="U339" s="19">
        <v>10.028600000000001</v>
      </c>
      <c r="V339" s="19">
        <v>7.34</v>
      </c>
      <c r="W339" s="19">
        <v>8.0328999999999997</v>
      </c>
      <c r="X339" s="19">
        <v>7.34</v>
      </c>
      <c r="Y339" s="19">
        <v>8.0328999999999997</v>
      </c>
      <c r="Z339" s="4"/>
      <c r="AA339" s="4"/>
      <c r="AB339" s="4" t="e">
        <f ca="1">_xll.ciqfunctions.udf.CIQ("^SPX", "IQ_PRICEDATE", "4/28/2015")</f>
        <v>#NAME?</v>
      </c>
      <c r="AC339" s="16">
        <v>2114.7615406107998</v>
      </c>
    </row>
    <row r="340" spans="1:29" x14ac:dyDescent="0.35">
      <c r="A340" s="2" t="s">
        <v>350</v>
      </c>
      <c r="B340" s="4" t="s">
        <v>1364</v>
      </c>
      <c r="C340" s="4" t="s">
        <v>669</v>
      </c>
      <c r="D340" s="4" t="s">
        <v>669</v>
      </c>
      <c r="E340" s="4" t="s">
        <v>670</v>
      </c>
      <c r="F340" s="4" t="s">
        <v>836</v>
      </c>
      <c r="G340" s="14">
        <v>72.92</v>
      </c>
      <c r="H340" s="10">
        <v>9.1004760000000005</v>
      </c>
      <c r="I340" s="10">
        <v>25.053072</v>
      </c>
      <c r="J340" s="10">
        <v>2.664018</v>
      </c>
      <c r="K340" s="15">
        <v>4.2785999999999998E-2</v>
      </c>
      <c r="L340" s="17">
        <v>55763.488353000001</v>
      </c>
      <c r="M340" s="4" t="s">
        <v>1365</v>
      </c>
      <c r="N340" s="19">
        <v>2.9106209999999999</v>
      </c>
      <c r="O340" s="19">
        <v>6.2939999999999996</v>
      </c>
      <c r="P340" s="19">
        <v>1.7</v>
      </c>
      <c r="Q340" s="19">
        <v>1.6597</v>
      </c>
      <c r="R340" s="19">
        <v>-1.3118609999999999</v>
      </c>
      <c r="S340" s="19">
        <v>0.76859999999999995</v>
      </c>
      <c r="T340" s="19">
        <v>-1.3118609999999999</v>
      </c>
      <c r="U340" s="19">
        <v>0.48039999999999999</v>
      </c>
      <c r="V340" s="19">
        <v>-0.18435499999999999</v>
      </c>
      <c r="W340" s="19">
        <v>3.3957000000000002</v>
      </c>
      <c r="X340" s="19">
        <v>-0.18435499999999999</v>
      </c>
      <c r="Y340" s="19">
        <v>3.3957000000000002</v>
      </c>
      <c r="Z340" s="4"/>
      <c r="AA340" s="4"/>
      <c r="AB340" s="4" t="e">
        <f ca="1">_xll.ciqfunctions.udf.CIQ("^SPX", "IQ_PRICEDATE", "4/29/2015")</f>
        <v>#NAME?</v>
      </c>
      <c r="AC340" s="16">
        <v>2106.8509961673999</v>
      </c>
    </row>
    <row r="341" spans="1:29" x14ac:dyDescent="0.35">
      <c r="A341" s="2" t="s">
        <v>351</v>
      </c>
      <c r="B341" s="4" t="s">
        <v>1366</v>
      </c>
      <c r="C341" s="4" t="s">
        <v>549</v>
      </c>
      <c r="D341" s="4" t="s">
        <v>550</v>
      </c>
      <c r="E341" s="4" t="s">
        <v>814</v>
      </c>
      <c r="F341" s="4" t="s">
        <v>1367</v>
      </c>
      <c r="G341" s="14">
        <v>75.69</v>
      </c>
      <c r="H341" s="10">
        <v>8.7426829999999995</v>
      </c>
      <c r="I341" s="10">
        <v>14.679341000000001</v>
      </c>
      <c r="J341" s="10" t="s">
        <v>534</v>
      </c>
      <c r="K341" s="15">
        <v>3.1708E-2</v>
      </c>
      <c r="L341" s="17">
        <v>16962.558540999999</v>
      </c>
      <c r="M341" s="4" t="s">
        <v>1368</v>
      </c>
      <c r="N341" s="19">
        <v>5.1562260000000002</v>
      </c>
      <c r="O341" s="19">
        <v>5.5791000000000004</v>
      </c>
      <c r="P341" s="19">
        <v>4.6500000000000004</v>
      </c>
      <c r="Q341" s="19">
        <v>5.2290000000000001</v>
      </c>
      <c r="R341" s="19">
        <v>4.78</v>
      </c>
      <c r="S341" s="19">
        <v>4.9657</v>
      </c>
      <c r="T341" s="19">
        <v>4.78</v>
      </c>
      <c r="U341" s="19">
        <v>4.5791000000000004</v>
      </c>
      <c r="V341" s="19">
        <v>4.24</v>
      </c>
      <c r="W341" s="19">
        <v>4.4665999999999997</v>
      </c>
      <c r="X341" s="19">
        <v>4.24</v>
      </c>
      <c r="Y341" s="19">
        <v>4.4665999999999997</v>
      </c>
      <c r="Z341" s="4"/>
      <c r="AA341" s="4"/>
      <c r="AB341" s="4" t="e">
        <f ca="1">_xll.ciqfunctions.udf.CIQ("^SPX", "IQ_PRICEDATE", "4/30/2015")</f>
        <v>#NAME?</v>
      </c>
      <c r="AC341" s="16">
        <v>2085.5136532975998</v>
      </c>
    </row>
    <row r="342" spans="1:29" x14ac:dyDescent="0.35">
      <c r="A342" s="2" t="s">
        <v>352</v>
      </c>
      <c r="B342" s="4" t="s">
        <v>1369</v>
      </c>
      <c r="C342" s="4" t="s">
        <v>669</v>
      </c>
      <c r="D342" s="4" t="s">
        <v>669</v>
      </c>
      <c r="E342" s="4" t="s">
        <v>670</v>
      </c>
      <c r="F342" s="4" t="s">
        <v>1206</v>
      </c>
      <c r="G342" s="14">
        <v>67.02</v>
      </c>
      <c r="H342" s="10">
        <v>16.309066000000001</v>
      </c>
      <c r="I342" s="10">
        <v>34.590521000000003</v>
      </c>
      <c r="J342" s="10">
        <v>4.8538249999999996</v>
      </c>
      <c r="K342" s="15">
        <v>4.9238999999999998E-2</v>
      </c>
      <c r="L342" s="17">
        <v>27561.939747</v>
      </c>
      <c r="M342" s="4" t="s">
        <v>1370</v>
      </c>
      <c r="N342" s="19">
        <v>1.9375249999999999</v>
      </c>
      <c r="O342" s="19">
        <v>2.8071999999999999</v>
      </c>
      <c r="P342" s="19">
        <v>1.29</v>
      </c>
      <c r="Q342" s="19">
        <v>2.08</v>
      </c>
      <c r="R342" s="19">
        <v>1.67</v>
      </c>
      <c r="S342" s="19">
        <v>1.6295999999999999</v>
      </c>
      <c r="T342" s="19">
        <v>1.67</v>
      </c>
      <c r="U342" s="19">
        <v>1.6425000000000001</v>
      </c>
      <c r="V342" s="19">
        <v>1.52</v>
      </c>
      <c r="W342" s="19">
        <v>1.7535000000000001</v>
      </c>
      <c r="X342" s="19">
        <v>1.52</v>
      </c>
      <c r="Y342" s="19">
        <v>1.7535000000000001</v>
      </c>
      <c r="Z342" s="4"/>
      <c r="AA342" s="4"/>
      <c r="AB342" s="4" t="e">
        <f ca="1">_xll.ciqfunctions.udf.CIQ("^SPX", "IQ_PRICEDATE", "5/1/2015")</f>
        <v>#NAME?</v>
      </c>
      <c r="AC342" s="16">
        <v>2108.2902805086001</v>
      </c>
    </row>
    <row r="343" spans="1:29" x14ac:dyDescent="0.35">
      <c r="A343" s="2" t="s">
        <v>353</v>
      </c>
      <c r="B343" s="4" t="s">
        <v>1371</v>
      </c>
      <c r="C343" s="4" t="s">
        <v>543</v>
      </c>
      <c r="D343" s="4" t="s">
        <v>544</v>
      </c>
      <c r="E343" s="4" t="s">
        <v>555</v>
      </c>
      <c r="F343" s="4" t="s">
        <v>782</v>
      </c>
      <c r="G343" s="14">
        <v>47.86</v>
      </c>
      <c r="H343" s="10">
        <v>11.143684</v>
      </c>
      <c r="I343" s="10">
        <v>50.465429</v>
      </c>
      <c r="J343" s="10" t="s">
        <v>534</v>
      </c>
      <c r="K343" s="15">
        <v>1.5879000000000001E-2</v>
      </c>
      <c r="L343" s="17">
        <v>181324.22214599999</v>
      </c>
      <c r="M343" s="4" t="s">
        <v>1372</v>
      </c>
      <c r="N343" s="19">
        <v>0.94837199999999999</v>
      </c>
      <c r="O343" s="19">
        <v>3.4506000000000001</v>
      </c>
      <c r="P343" s="19">
        <v>2.3073899999999998</v>
      </c>
      <c r="Q343" s="19">
        <v>3.0503999999999998</v>
      </c>
      <c r="R343" s="19">
        <v>2.0948920000000002</v>
      </c>
      <c r="S343" s="19">
        <v>2.6434000000000002</v>
      </c>
      <c r="T343" s="19">
        <v>2.0948920000000002</v>
      </c>
      <c r="U343" s="19">
        <v>2.6959</v>
      </c>
      <c r="V343" s="19">
        <v>2.4040140000000001</v>
      </c>
      <c r="W343" s="19">
        <v>3.0528</v>
      </c>
      <c r="X343" s="19">
        <v>2.4040140000000001</v>
      </c>
      <c r="Y343" s="19">
        <v>3.0528</v>
      </c>
      <c r="Z343" s="4"/>
      <c r="AA343" s="4"/>
      <c r="AB343" s="4" t="e">
        <f ca="1">_xll.ciqfunctions.udf.CIQ("^SPX", "IQ_PRICEDATE", "5/4/2015")</f>
        <v>#NAME?</v>
      </c>
      <c r="AC343" s="16">
        <v>2114.4864683408</v>
      </c>
    </row>
    <row r="344" spans="1:29" x14ac:dyDescent="0.35">
      <c r="A344" s="2" t="s">
        <v>354</v>
      </c>
      <c r="B344" s="4" t="s">
        <v>1373</v>
      </c>
      <c r="C344" s="4" t="s">
        <v>525</v>
      </c>
      <c r="D344" s="4" t="s">
        <v>526</v>
      </c>
      <c r="E344" s="4" t="s">
        <v>803</v>
      </c>
      <c r="F344" s="4" t="s">
        <v>804</v>
      </c>
      <c r="G344" s="14">
        <v>61.74</v>
      </c>
      <c r="H344" s="10">
        <v>9.0038529999999994</v>
      </c>
      <c r="I344" s="10">
        <v>10.554795</v>
      </c>
      <c r="J344" s="10">
        <v>2.4662519999999999</v>
      </c>
      <c r="K344" s="15">
        <v>3.7575999999999998E-2</v>
      </c>
      <c r="L344" s="17">
        <v>21642.540563999999</v>
      </c>
      <c r="M344" s="4" t="s">
        <v>1374</v>
      </c>
      <c r="N344" s="19">
        <v>5.8494739999999998</v>
      </c>
      <c r="O344" s="19">
        <v>6.1204999999999998</v>
      </c>
      <c r="P344" s="19">
        <v>4.75</v>
      </c>
      <c r="Q344" s="19">
        <v>4.6715</v>
      </c>
      <c r="R344" s="19">
        <v>1.48</v>
      </c>
      <c r="S344" s="19">
        <v>3.5116000000000001</v>
      </c>
      <c r="T344" s="19">
        <v>1.48</v>
      </c>
      <c r="U344" s="19">
        <v>4.2267999999999999</v>
      </c>
      <c r="V344" s="19">
        <v>3.82</v>
      </c>
      <c r="W344" s="19">
        <v>4.2896000000000001</v>
      </c>
      <c r="X344" s="19">
        <v>3.82</v>
      </c>
      <c r="Y344" s="19">
        <v>4.2896000000000001</v>
      </c>
      <c r="Z344" s="4"/>
      <c r="AA344" s="4"/>
      <c r="AB344" s="4" t="e">
        <f ca="1">_xll.ciqfunctions.udf.CIQ("^SPX", "IQ_PRICEDATE", "5/5/2015")</f>
        <v>#NAME?</v>
      </c>
      <c r="AC344" s="16">
        <v>2089.4601421030002</v>
      </c>
    </row>
    <row r="345" spans="1:29" x14ac:dyDescent="0.35">
      <c r="A345" s="2" t="s">
        <v>355</v>
      </c>
      <c r="B345" s="4" t="s">
        <v>1375</v>
      </c>
      <c r="C345" s="4" t="s">
        <v>586</v>
      </c>
      <c r="D345" s="4" t="s">
        <v>586</v>
      </c>
      <c r="E345" s="4" t="s">
        <v>726</v>
      </c>
      <c r="F345" s="4" t="s">
        <v>727</v>
      </c>
      <c r="G345" s="14">
        <v>90.91</v>
      </c>
      <c r="H345" s="10">
        <v>7.6609619999999996</v>
      </c>
      <c r="I345" s="10">
        <v>11.702617999999999</v>
      </c>
      <c r="J345" s="10">
        <v>7.6423420000000002</v>
      </c>
      <c r="K345" s="15">
        <v>3.4759000000000005E-2</v>
      </c>
      <c r="L345" s="17">
        <v>8522.7398630000007</v>
      </c>
      <c r="M345" s="4" t="s">
        <v>1376</v>
      </c>
      <c r="N345" s="19">
        <v>7.7683470000000003</v>
      </c>
      <c r="O345" s="19">
        <v>8.5388000000000002</v>
      </c>
      <c r="P345" s="19">
        <v>7.07</v>
      </c>
      <c r="Q345" s="19">
        <v>6.4749999999999996</v>
      </c>
      <c r="R345" s="19">
        <v>4.75</v>
      </c>
      <c r="S345" s="19">
        <v>5.5372000000000003</v>
      </c>
      <c r="T345" s="19">
        <v>4.75</v>
      </c>
      <c r="U345" s="19">
        <v>4.7121000000000004</v>
      </c>
      <c r="V345" s="19">
        <v>3.9886590000000002</v>
      </c>
      <c r="W345" s="19">
        <v>5.1288</v>
      </c>
      <c r="X345" s="19">
        <v>3.9886590000000002</v>
      </c>
      <c r="Y345" s="19">
        <v>5.1288</v>
      </c>
      <c r="Z345" s="4"/>
      <c r="AA345" s="4"/>
      <c r="AB345" s="4" t="e">
        <f ca="1">_xll.ciqfunctions.udf.CIQ("^SPX", "IQ_PRICEDATE", "5/6/2015")</f>
        <v>#NAME?</v>
      </c>
      <c r="AC345" s="16">
        <v>2080.1450500901001</v>
      </c>
    </row>
    <row r="346" spans="1:29" x14ac:dyDescent="0.35">
      <c r="A346" s="2" t="s">
        <v>356</v>
      </c>
      <c r="B346" s="4" t="s">
        <v>1377</v>
      </c>
      <c r="C346" s="4" t="s">
        <v>525</v>
      </c>
      <c r="D346" s="4" t="s">
        <v>526</v>
      </c>
      <c r="E346" s="4" t="s">
        <v>803</v>
      </c>
      <c r="F346" s="4" t="s">
        <v>948</v>
      </c>
      <c r="G346" s="14">
        <v>162.54</v>
      </c>
      <c r="H346" s="10">
        <v>10.33174</v>
      </c>
      <c r="I346" s="10">
        <v>20.758623</v>
      </c>
      <c r="J346" s="10" t="s">
        <v>534</v>
      </c>
      <c r="K346" s="15">
        <v>1.8703000000000001E-2</v>
      </c>
      <c r="L346" s="17">
        <v>21522.903629</v>
      </c>
      <c r="M346" s="4" t="s">
        <v>1378</v>
      </c>
      <c r="N346" s="19">
        <v>7.8299989999999999</v>
      </c>
      <c r="O346" s="19">
        <v>11.417590000000001</v>
      </c>
      <c r="P346" s="19">
        <v>6.4283330000000003</v>
      </c>
      <c r="Q346" s="19">
        <v>9.8341999999999992</v>
      </c>
      <c r="R346" s="19">
        <v>6.4823550000000001</v>
      </c>
      <c r="S346" s="19">
        <v>6.9569000000000001</v>
      </c>
      <c r="T346" s="19">
        <v>6.4823550000000001</v>
      </c>
      <c r="U346" s="19">
        <v>6.1521999999999997</v>
      </c>
      <c r="V346" s="19">
        <v>7.2502250000000004</v>
      </c>
      <c r="W346" s="19">
        <v>8.1905999999999999</v>
      </c>
      <c r="X346" s="19">
        <v>7.2502250000000004</v>
      </c>
      <c r="Y346" s="19">
        <v>8.1905999999999999</v>
      </c>
      <c r="Z346" s="4"/>
      <c r="AA346" s="4"/>
      <c r="AB346" s="4" t="e">
        <f ca="1">_xll.ciqfunctions.udf.CIQ("^SPX", "IQ_PRICEDATE", "5/7/2015")</f>
        <v>#NAME?</v>
      </c>
      <c r="AC346" s="16">
        <v>2087.9973305568001</v>
      </c>
    </row>
    <row r="347" spans="1:29" x14ac:dyDescent="0.35">
      <c r="A347" s="2" t="s">
        <v>357</v>
      </c>
      <c r="B347" s="4" t="s">
        <v>1379</v>
      </c>
      <c r="C347" s="4" t="s">
        <v>543</v>
      </c>
      <c r="D347" s="4" t="s">
        <v>544</v>
      </c>
      <c r="E347" s="4" t="s">
        <v>545</v>
      </c>
      <c r="F347" s="4" t="s">
        <v>616</v>
      </c>
      <c r="G347" s="14">
        <v>68.89</v>
      </c>
      <c r="H347" s="10">
        <v>16.944186999999999</v>
      </c>
      <c r="I347" s="10">
        <v>25.801971000000002</v>
      </c>
      <c r="J347" s="10">
        <v>17.196155000000001</v>
      </c>
      <c r="K347" s="15">
        <v>3.2515000000000002E-2</v>
      </c>
      <c r="L347" s="17">
        <v>24737.154847000002</v>
      </c>
      <c r="M347" s="4" t="s">
        <v>1380</v>
      </c>
      <c r="N347" s="19">
        <v>2.6699510000000002</v>
      </c>
      <c r="O347" s="19">
        <v>2.9075000000000002</v>
      </c>
      <c r="P347" s="19">
        <v>2.2698049999999999</v>
      </c>
      <c r="Q347" s="19">
        <v>2.6501000000000001</v>
      </c>
      <c r="R347" s="19">
        <v>2.1501570000000001</v>
      </c>
      <c r="S347" s="19">
        <v>2.3043</v>
      </c>
      <c r="T347" s="19">
        <v>2.1501570000000001</v>
      </c>
      <c r="U347" s="19">
        <v>2.125</v>
      </c>
      <c r="V347" s="19">
        <v>1.769779</v>
      </c>
      <c r="W347" s="19">
        <v>1.9277</v>
      </c>
      <c r="X347" s="19">
        <v>1.769779</v>
      </c>
      <c r="Y347" s="19">
        <v>1.9277</v>
      </c>
      <c r="Z347" s="4"/>
      <c r="AA347" s="4"/>
      <c r="AB347" s="4" t="e">
        <f ca="1">_xll.ciqfunctions.udf.CIQ("^SPX", "IQ_PRICEDATE", "5/8/2015")</f>
        <v>#NAME?</v>
      </c>
      <c r="AC347" s="16">
        <v>2116.0951116755</v>
      </c>
    </row>
    <row r="348" spans="1:29" x14ac:dyDescent="0.35">
      <c r="A348" s="2" t="s">
        <v>358</v>
      </c>
      <c r="B348" s="4" t="s">
        <v>1381</v>
      </c>
      <c r="C348" s="4" t="s">
        <v>543</v>
      </c>
      <c r="D348" s="4" t="s">
        <v>544</v>
      </c>
      <c r="E348" s="4" t="s">
        <v>545</v>
      </c>
      <c r="F348" s="4" t="s">
        <v>616</v>
      </c>
      <c r="G348" s="14">
        <v>80.09</v>
      </c>
      <c r="H348" s="10">
        <v>32.757137999999998</v>
      </c>
      <c r="I348" s="10">
        <v>47.700386999999999</v>
      </c>
      <c r="J348" s="10">
        <v>8.9772379999999998</v>
      </c>
      <c r="K348" s="15">
        <v>0</v>
      </c>
      <c r="L348" s="17">
        <v>94800.331166000004</v>
      </c>
      <c r="M348" s="4" t="s">
        <v>1382</v>
      </c>
      <c r="N348" s="19">
        <v>1.679022</v>
      </c>
      <c r="O348" s="19">
        <v>2.5468000000000002</v>
      </c>
      <c r="P348" s="19">
        <v>1.47</v>
      </c>
      <c r="Q348" s="19">
        <v>2.1452</v>
      </c>
      <c r="R348" s="19">
        <v>1.1499999999999999</v>
      </c>
      <c r="S348" s="19">
        <v>1.6547000000000001</v>
      </c>
      <c r="T348" s="19">
        <v>1.1499999999999999</v>
      </c>
      <c r="U348" s="19">
        <v>1.4307000000000001</v>
      </c>
      <c r="V348" s="19">
        <v>0.34</v>
      </c>
      <c r="W348" s="19">
        <v>0</v>
      </c>
      <c r="X348" s="19">
        <v>0.34</v>
      </c>
      <c r="Y348" s="19">
        <v>0</v>
      </c>
      <c r="Z348" s="4"/>
      <c r="AA348" s="4"/>
      <c r="AB348" s="4" t="e">
        <f ca="1">_xll.ciqfunctions.udf.CIQ("^SPX", "IQ_PRICEDATE", "5/11/2015")</f>
        <v>#NAME?</v>
      </c>
      <c r="AC348" s="16">
        <v>2105.3275425463999</v>
      </c>
    </row>
    <row r="349" spans="1:29" x14ac:dyDescent="0.35">
      <c r="A349" s="2" t="s">
        <v>359</v>
      </c>
      <c r="B349" s="4" t="s">
        <v>1383</v>
      </c>
      <c r="C349" s="4" t="s">
        <v>525</v>
      </c>
      <c r="D349" s="4" t="s">
        <v>526</v>
      </c>
      <c r="E349" s="4" t="s">
        <v>803</v>
      </c>
      <c r="F349" s="4" t="s">
        <v>948</v>
      </c>
      <c r="G349" s="14">
        <v>38.994999999999997</v>
      </c>
      <c r="H349" s="10">
        <v>7.4371559999999999</v>
      </c>
      <c r="I349" s="10">
        <v>11.725459000000001</v>
      </c>
      <c r="J349" s="10" t="s">
        <v>534</v>
      </c>
      <c r="K349" s="15">
        <v>1.787E-2</v>
      </c>
      <c r="L349" s="17">
        <v>6870.5694309999999</v>
      </c>
      <c r="M349" s="4" t="s">
        <v>1384</v>
      </c>
      <c r="N349" s="19">
        <v>3.3405939999999998</v>
      </c>
      <c r="O349" s="19">
        <v>2.4123000000000001</v>
      </c>
      <c r="P349" s="19">
        <v>2.61</v>
      </c>
      <c r="Q349" s="19">
        <v>3.8936000000000002</v>
      </c>
      <c r="R349" s="19">
        <v>2.4700000000000002</v>
      </c>
      <c r="S349" s="19">
        <v>3.3353000000000002</v>
      </c>
      <c r="T349" s="19">
        <v>2.4700000000000002</v>
      </c>
      <c r="U349" s="19">
        <v>4.0029000000000003</v>
      </c>
      <c r="V349" s="19">
        <v>1.84</v>
      </c>
      <c r="W349" s="19">
        <v>4.1447000000000003</v>
      </c>
      <c r="X349" s="19">
        <v>1.84</v>
      </c>
      <c r="Y349" s="19">
        <v>4.1447000000000003</v>
      </c>
      <c r="Z349" s="4"/>
      <c r="AA349" s="4"/>
      <c r="AB349" s="4" t="e">
        <f ca="1">_xll.ciqfunctions.udf.CIQ("^SPX", "IQ_PRICEDATE", "5/12/2015")</f>
        <v>#NAME?</v>
      </c>
      <c r="AC349" s="16">
        <v>2099.1159344456</v>
      </c>
    </row>
    <row r="350" spans="1:29" x14ac:dyDescent="0.35">
      <c r="A350" s="2" t="s">
        <v>360</v>
      </c>
      <c r="B350" s="4" t="s">
        <v>1385</v>
      </c>
      <c r="C350" s="4" t="s">
        <v>573</v>
      </c>
      <c r="D350" s="4" t="s">
        <v>737</v>
      </c>
      <c r="E350" s="4" t="s">
        <v>737</v>
      </c>
      <c r="F350" s="4" t="s">
        <v>743</v>
      </c>
      <c r="G350" s="14">
        <v>16.350000000000001</v>
      </c>
      <c r="H350" s="10">
        <v>0</v>
      </c>
      <c r="I350" s="10">
        <v>14.013439999999999</v>
      </c>
      <c r="J350" s="10">
        <v>1.811957</v>
      </c>
      <c r="K350" s="15">
        <v>4.2812999999999997E-2</v>
      </c>
      <c r="L350" s="17">
        <v>6056.4263010000004</v>
      </c>
      <c r="M350" s="4" t="s">
        <v>1386</v>
      </c>
      <c r="N350" s="19">
        <v>1.1667369999999999</v>
      </c>
      <c r="O350" s="19">
        <v>1.3675999999999999</v>
      </c>
      <c r="P350" s="19">
        <v>0.97</v>
      </c>
      <c r="Q350" s="19">
        <v>1.1198999999999999</v>
      </c>
      <c r="R350" s="19">
        <v>0.91817800000000005</v>
      </c>
      <c r="S350" s="19">
        <v>0.93940000000000001</v>
      </c>
      <c r="T350" s="19">
        <v>0.91817800000000005</v>
      </c>
      <c r="U350" s="19">
        <v>0.92410000000000003</v>
      </c>
      <c r="V350" s="19">
        <v>0.84</v>
      </c>
      <c r="W350" s="19">
        <v>0.85940000000000005</v>
      </c>
      <c r="X350" s="19">
        <v>0.84</v>
      </c>
      <c r="Y350" s="19">
        <v>0.85940000000000005</v>
      </c>
      <c r="Z350" s="4"/>
      <c r="AA350" s="4"/>
      <c r="AB350" s="4" t="e">
        <f ca="1">_xll.ciqfunctions.udf.CIQ("^SPX", "IQ_PRICEDATE", "5/13/2015")</f>
        <v>#NAME?</v>
      </c>
      <c r="AC350" s="16">
        <v>2098.4776424717002</v>
      </c>
    </row>
    <row r="351" spans="1:29" x14ac:dyDescent="0.35">
      <c r="A351" s="2" t="s">
        <v>361</v>
      </c>
      <c r="B351" s="4" t="s">
        <v>1387</v>
      </c>
      <c r="C351" s="4" t="s">
        <v>626</v>
      </c>
      <c r="D351" s="4" t="s">
        <v>627</v>
      </c>
      <c r="E351" s="4" t="s">
        <v>775</v>
      </c>
      <c r="F351" s="4" t="s">
        <v>1298</v>
      </c>
      <c r="G351" s="14">
        <v>108.31</v>
      </c>
      <c r="H351" s="10">
        <v>13.702133</v>
      </c>
      <c r="I351" s="10">
        <v>31.244959999999999</v>
      </c>
      <c r="J351" s="10" t="s">
        <v>534</v>
      </c>
      <c r="K351" s="15">
        <v>3.4252999999999999E-2</v>
      </c>
      <c r="L351" s="17">
        <v>152886.93007999999</v>
      </c>
      <c r="M351" s="4" t="s">
        <v>1388</v>
      </c>
      <c r="N351" s="19">
        <v>3.4664790000000001</v>
      </c>
      <c r="O351" s="19">
        <v>5.8837999999999999</v>
      </c>
      <c r="P351" s="19">
        <v>3.3776069999999998</v>
      </c>
      <c r="Q351" s="19">
        <v>5.4755000000000003</v>
      </c>
      <c r="R351" s="19">
        <v>4.3588149999999999</v>
      </c>
      <c r="S351" s="19">
        <v>5.0688000000000004</v>
      </c>
      <c r="T351" s="19">
        <v>4.3588149999999999</v>
      </c>
      <c r="U351" s="19">
        <v>4.6847000000000003</v>
      </c>
      <c r="V351" s="19">
        <v>4.265225</v>
      </c>
      <c r="W351" s="19">
        <v>4.7572999999999999</v>
      </c>
      <c r="X351" s="19">
        <v>4.265225</v>
      </c>
      <c r="Y351" s="19">
        <v>4.7572999999999999</v>
      </c>
      <c r="Z351" s="4"/>
      <c r="AA351" s="4"/>
      <c r="AB351" s="4" t="e">
        <f ca="1">_xll.ciqfunctions.udf.CIQ("^SPX", "IQ_PRICEDATE", "5/14/2015")</f>
        <v>#NAME?</v>
      </c>
      <c r="AC351" s="16">
        <v>2121.0952244886998</v>
      </c>
    </row>
    <row r="352" spans="1:29" x14ac:dyDescent="0.35">
      <c r="A352" s="2" t="s">
        <v>362</v>
      </c>
      <c r="B352" s="4" t="s">
        <v>1389</v>
      </c>
      <c r="C352" s="4" t="s">
        <v>530</v>
      </c>
      <c r="D352" s="4" t="s">
        <v>537</v>
      </c>
      <c r="E352" s="4" t="s">
        <v>583</v>
      </c>
      <c r="F352" s="4" t="s">
        <v>583</v>
      </c>
      <c r="G352" s="14">
        <v>90.09</v>
      </c>
      <c r="H352" s="10">
        <v>23.292202</v>
      </c>
      <c r="I352" s="10">
        <v>67.212857999999997</v>
      </c>
      <c r="J352" s="10" t="s">
        <v>534</v>
      </c>
      <c r="K352" s="15">
        <v>3.1050000000000001E-3</v>
      </c>
      <c r="L352" s="17">
        <v>9983.7784319999992</v>
      </c>
      <c r="M352" s="4" t="s">
        <v>1390</v>
      </c>
      <c r="N352" s="19">
        <v>1.34141</v>
      </c>
      <c r="O352" s="19">
        <v>3.8965999999999998</v>
      </c>
      <c r="P352" s="19">
        <v>1.42</v>
      </c>
      <c r="Q352" s="19">
        <v>3.2837999999999998</v>
      </c>
      <c r="R352" s="19">
        <v>1.7889029999999999</v>
      </c>
      <c r="S352" s="19">
        <v>2.9066999999999998</v>
      </c>
      <c r="T352" s="19">
        <v>1.7889029999999999</v>
      </c>
      <c r="U352" s="19">
        <v>2.7705000000000002</v>
      </c>
      <c r="V352" s="19">
        <v>1.1399999999999999</v>
      </c>
      <c r="W352" s="19">
        <v>2.6059000000000001</v>
      </c>
      <c r="X352" s="19">
        <v>1.1399999999999999</v>
      </c>
      <c r="Y352" s="19">
        <v>2.6059000000000001</v>
      </c>
      <c r="Z352" s="4"/>
      <c r="AA352" s="4"/>
      <c r="AB352" s="4" t="e">
        <f ca="1">_xll.ciqfunctions.udf.CIQ("^SPX", "IQ_PRICEDATE", "5/15/2015")</f>
        <v>#NAME?</v>
      </c>
      <c r="AC352" s="16">
        <v>2122.7341297664002</v>
      </c>
    </row>
    <row r="353" spans="1:29" x14ac:dyDescent="0.35">
      <c r="A353" s="2" t="s">
        <v>363</v>
      </c>
      <c r="B353" s="4" t="s">
        <v>1391</v>
      </c>
      <c r="C353" s="4" t="s">
        <v>530</v>
      </c>
      <c r="D353" s="4" t="s">
        <v>537</v>
      </c>
      <c r="E353" s="4" t="s">
        <v>613</v>
      </c>
      <c r="F353" s="4" t="s">
        <v>613</v>
      </c>
      <c r="G353" s="14">
        <v>73.87</v>
      </c>
      <c r="H353" s="10">
        <v>12.218610999999999</v>
      </c>
      <c r="I353" s="10">
        <v>44.208649000000001</v>
      </c>
      <c r="J353" s="10" t="s">
        <v>534</v>
      </c>
      <c r="K353" s="15">
        <v>1.0287999999999999E-2</v>
      </c>
      <c r="L353" s="17">
        <v>10107.823054</v>
      </c>
      <c r="M353" s="4" t="s">
        <v>1392</v>
      </c>
      <c r="N353" s="19">
        <v>1.6709400000000001</v>
      </c>
      <c r="O353" s="19">
        <v>4.9934000000000003</v>
      </c>
      <c r="P353" s="19">
        <v>0.84</v>
      </c>
      <c r="Q353" s="19">
        <v>5.1871</v>
      </c>
      <c r="R353" s="19">
        <v>-28.01</v>
      </c>
      <c r="S353" s="19">
        <v>7.1489000000000003</v>
      </c>
      <c r="T353" s="19">
        <v>-28.01</v>
      </c>
      <c r="U353" s="19">
        <v>9.0718999999999994</v>
      </c>
      <c r="V353" s="19">
        <v>2.565439</v>
      </c>
      <c r="W353" s="19">
        <v>0</v>
      </c>
      <c r="X353" s="19">
        <v>2.565439</v>
      </c>
      <c r="Y353" s="19">
        <v>0</v>
      </c>
      <c r="Z353" s="4"/>
      <c r="AA353" s="4"/>
      <c r="AB353" s="4" t="e">
        <f ca="1">_xll.ciqfunctions.udf.CIQ("^SPX", "IQ_PRICEDATE", "5/18/2015")</f>
        <v>#NAME?</v>
      </c>
      <c r="AC353" s="16">
        <v>2129.2039046988998</v>
      </c>
    </row>
    <row r="354" spans="1:29" x14ac:dyDescent="0.35">
      <c r="A354" s="2" t="s">
        <v>364</v>
      </c>
      <c r="B354" s="4" t="s">
        <v>1393</v>
      </c>
      <c r="C354" s="4" t="s">
        <v>530</v>
      </c>
      <c r="D354" s="4" t="s">
        <v>537</v>
      </c>
      <c r="E354" s="4" t="s">
        <v>613</v>
      </c>
      <c r="F354" s="4" t="s">
        <v>613</v>
      </c>
      <c r="G354" s="14">
        <v>44.57</v>
      </c>
      <c r="H354" s="10">
        <v>13.467200999999999</v>
      </c>
      <c r="I354" s="10">
        <v>11.905595</v>
      </c>
      <c r="J354" s="10" t="s">
        <v>534</v>
      </c>
      <c r="K354" s="15">
        <v>3.0512999999999998E-2</v>
      </c>
      <c r="L354" s="17">
        <v>261274.22054899999</v>
      </c>
      <c r="M354" s="4" t="s">
        <v>1394</v>
      </c>
      <c r="N354" s="19">
        <v>3.7436180000000001</v>
      </c>
      <c r="O354" s="19">
        <v>3.0602999999999998</v>
      </c>
      <c r="P354" s="19">
        <v>3.5170020000000002</v>
      </c>
      <c r="Q354" s="19">
        <v>2.6686000000000001</v>
      </c>
      <c r="R354" s="19">
        <v>1.17</v>
      </c>
      <c r="S354" s="19">
        <v>2.4758</v>
      </c>
      <c r="T354" s="19">
        <v>1.17</v>
      </c>
      <c r="U354" s="19">
        <v>2.3218000000000001</v>
      </c>
      <c r="V354" s="19">
        <v>1.4143829999999999</v>
      </c>
      <c r="W354" s="19">
        <v>2.1695000000000002</v>
      </c>
      <c r="X354" s="19">
        <v>1.4143829999999999</v>
      </c>
      <c r="Y354" s="19">
        <v>2.1695000000000002</v>
      </c>
      <c r="Z354" s="4"/>
      <c r="AA354" s="4"/>
      <c r="AB354" s="4" t="e">
        <f ca="1">_xll.ciqfunctions.udf.CIQ("^SPX", "IQ_PRICEDATE", "5/19/2015")</f>
        <v>#NAME?</v>
      </c>
      <c r="AC354" s="16">
        <v>2127.8250587712</v>
      </c>
    </row>
    <row r="355" spans="1:29" x14ac:dyDescent="0.35">
      <c r="A355" s="2" t="s">
        <v>365</v>
      </c>
      <c r="B355" s="4" t="s">
        <v>1395</v>
      </c>
      <c r="C355" s="4" t="s">
        <v>619</v>
      </c>
      <c r="D355" s="4" t="s">
        <v>619</v>
      </c>
      <c r="E355" s="4" t="s">
        <v>620</v>
      </c>
      <c r="F355" s="4" t="s">
        <v>620</v>
      </c>
      <c r="G355" s="14">
        <v>48.96</v>
      </c>
      <c r="H355" s="10">
        <v>7.8465959999999999</v>
      </c>
      <c r="I355" s="10">
        <v>208.86213599999999</v>
      </c>
      <c r="J355" s="10">
        <v>1.346023</v>
      </c>
      <c r="K355" s="15">
        <v>0</v>
      </c>
      <c r="L355" s="17">
        <v>25319.729459999999</v>
      </c>
      <c r="M355" s="4" t="s">
        <v>1396</v>
      </c>
      <c r="N355" s="19">
        <v>0.23441300000000001</v>
      </c>
      <c r="O355" s="19">
        <v>3.6970000000000001</v>
      </c>
      <c r="P355" s="19">
        <v>3.21</v>
      </c>
      <c r="Q355" s="19">
        <v>3.4001000000000001</v>
      </c>
      <c r="R355" s="19">
        <v>2.78</v>
      </c>
      <c r="S355" s="19">
        <v>3.7797000000000001</v>
      </c>
      <c r="T355" s="19">
        <v>2.78</v>
      </c>
      <c r="U355" s="19">
        <v>3.4639000000000002</v>
      </c>
      <c r="V355" s="19">
        <v>3.06</v>
      </c>
      <c r="W355" s="19">
        <v>3.2985000000000002</v>
      </c>
      <c r="X355" s="19">
        <v>3.06</v>
      </c>
      <c r="Y355" s="19">
        <v>3.2985000000000002</v>
      </c>
      <c r="Z355" s="4"/>
      <c r="AA355" s="4"/>
      <c r="AB355" s="4" t="e">
        <f ca="1">_xll.ciqfunctions.udf.CIQ("^SPX", "IQ_PRICEDATE", "5/20/2015")</f>
        <v>#NAME?</v>
      </c>
      <c r="AC355" s="16">
        <v>2125.8487640356998</v>
      </c>
    </row>
    <row r="356" spans="1:29" x14ac:dyDescent="0.35">
      <c r="A356" s="2" t="s">
        <v>366</v>
      </c>
      <c r="B356" s="4" t="s">
        <v>1397</v>
      </c>
      <c r="C356" s="4" t="s">
        <v>626</v>
      </c>
      <c r="D356" s="4" t="s">
        <v>627</v>
      </c>
      <c r="E356" s="4" t="s">
        <v>628</v>
      </c>
      <c r="F356" s="4" t="s">
        <v>628</v>
      </c>
      <c r="G356" s="14">
        <v>84.56</v>
      </c>
      <c r="H356" s="10">
        <v>12.273115000000001</v>
      </c>
      <c r="I356" s="10">
        <v>20.523150999999999</v>
      </c>
      <c r="J356" s="10" t="s">
        <v>534</v>
      </c>
      <c r="K356" s="15">
        <v>5.3926000000000002E-2</v>
      </c>
      <c r="L356" s="17">
        <v>131449.09881299999</v>
      </c>
      <c r="M356" s="4" t="s">
        <v>1398</v>
      </c>
      <c r="N356" s="19">
        <v>4.1202249999999996</v>
      </c>
      <c r="O356" s="19">
        <v>5.0110999999999999</v>
      </c>
      <c r="P356" s="19">
        <v>3.8795099999999998</v>
      </c>
      <c r="Q356" s="19">
        <v>5.1825999999999999</v>
      </c>
      <c r="R356" s="19">
        <v>4.4796899999999997</v>
      </c>
      <c r="S356" s="19">
        <v>4.7333999999999996</v>
      </c>
      <c r="T356" s="19">
        <v>4.4796899999999997</v>
      </c>
      <c r="U356" s="19">
        <v>4.4893999999999998</v>
      </c>
      <c r="V356" s="19">
        <v>4.76</v>
      </c>
      <c r="W356" s="19">
        <v>4.8090999999999999</v>
      </c>
      <c r="X356" s="19">
        <v>4.76</v>
      </c>
      <c r="Y356" s="19">
        <v>4.8090999999999999</v>
      </c>
      <c r="Z356" s="4"/>
      <c r="AA356" s="4"/>
      <c r="AB356" s="4" t="e">
        <f ca="1">_xll.ciqfunctions.udf.CIQ("^SPX", "IQ_PRICEDATE", "5/21/2015")</f>
        <v>#NAME?</v>
      </c>
      <c r="AC356" s="16">
        <v>2130.8168954618</v>
      </c>
    </row>
    <row r="357" spans="1:29" x14ac:dyDescent="0.35">
      <c r="A357" s="2" t="s">
        <v>367</v>
      </c>
      <c r="B357" s="4" t="s">
        <v>1399</v>
      </c>
      <c r="C357" s="4" t="s">
        <v>669</v>
      </c>
      <c r="D357" s="4" t="s">
        <v>669</v>
      </c>
      <c r="E357" s="4" t="s">
        <v>670</v>
      </c>
      <c r="F357" s="4" t="s">
        <v>1126</v>
      </c>
      <c r="G357" s="14">
        <v>108.78</v>
      </c>
      <c r="H357" s="10">
        <v>10.004242</v>
      </c>
      <c r="I357" s="10">
        <v>9.2006700000000006</v>
      </c>
      <c r="J357" s="10">
        <v>2.7446990000000002</v>
      </c>
      <c r="K357" s="15">
        <v>2.9416999999999999E-2</v>
      </c>
      <c r="L357" s="17">
        <v>50502.464959999998</v>
      </c>
      <c r="M357" s="4" t="s">
        <v>1400</v>
      </c>
      <c r="N357" s="19">
        <v>11.823051</v>
      </c>
      <c r="O357" s="19">
        <v>8.7157</v>
      </c>
      <c r="P357" s="19">
        <v>9.8474850000000007</v>
      </c>
      <c r="Q357" s="19">
        <v>6.2218999999999998</v>
      </c>
      <c r="R357" s="19">
        <v>2.9241640000000002</v>
      </c>
      <c r="S357" s="19">
        <v>5.0987999999999998</v>
      </c>
      <c r="T357" s="19">
        <v>2.9241640000000002</v>
      </c>
      <c r="U357" s="19">
        <v>7.4589999999999996</v>
      </c>
      <c r="V357" s="19">
        <v>7.0970630000000003</v>
      </c>
      <c r="W357" s="19">
        <v>6.7664999999999997</v>
      </c>
      <c r="X357" s="19">
        <v>7.0970630000000003</v>
      </c>
      <c r="Y357" s="19">
        <v>6.7664999999999997</v>
      </c>
      <c r="Z357" s="4"/>
      <c r="AA357" s="4"/>
      <c r="AB357" s="4" t="e">
        <f ca="1">_xll.ciqfunctions.udf.CIQ("^SPX", "IQ_PRICEDATE", "5/22/2015")</f>
        <v>#NAME?</v>
      </c>
      <c r="AC357" s="16">
        <v>2126.0614088692</v>
      </c>
    </row>
    <row r="358" spans="1:29" x14ac:dyDescent="0.35">
      <c r="A358" s="2" t="s">
        <v>368</v>
      </c>
      <c r="B358" s="4" t="s">
        <v>1401</v>
      </c>
      <c r="C358" s="4" t="s">
        <v>619</v>
      </c>
      <c r="D358" s="4" t="s">
        <v>619</v>
      </c>
      <c r="E358" s="4" t="s">
        <v>620</v>
      </c>
      <c r="F358" s="4" t="s">
        <v>620</v>
      </c>
      <c r="G358" s="14">
        <v>83.69</v>
      </c>
      <c r="H358" s="10">
        <v>9.9353280000000002</v>
      </c>
      <c r="I358" s="10">
        <v>20.122198999999998</v>
      </c>
      <c r="J358" s="10">
        <v>1.962518</v>
      </c>
      <c r="K358" s="15">
        <v>3.3216999999999997E-2</v>
      </c>
      <c r="L358" s="17">
        <v>9371.1156929999997</v>
      </c>
      <c r="M358" s="4" t="s">
        <v>1402</v>
      </c>
      <c r="N358" s="19">
        <v>4.1590879999999997</v>
      </c>
      <c r="O358" s="19">
        <v>4.6233000000000004</v>
      </c>
      <c r="P358" s="19">
        <v>4.3499990000000004</v>
      </c>
      <c r="Q358" s="19">
        <v>4.4267000000000003</v>
      </c>
      <c r="R358" s="19">
        <v>3.95</v>
      </c>
      <c r="S358" s="19">
        <v>4.3037000000000001</v>
      </c>
      <c r="T358" s="19">
        <v>3.95</v>
      </c>
      <c r="U358" s="19">
        <v>3.9756</v>
      </c>
      <c r="V358" s="19">
        <v>3.58</v>
      </c>
      <c r="W358" s="19">
        <v>3.8540000000000001</v>
      </c>
      <c r="X358" s="19">
        <v>3.58</v>
      </c>
      <c r="Y358" s="19">
        <v>3.8540000000000001</v>
      </c>
      <c r="Z358" s="4"/>
      <c r="AA358" s="4"/>
      <c r="AB358" s="4" t="e">
        <f ca="1">_xll.ciqfunctions.udf.CIQ("^SPX", "IQ_PRICEDATE", "5/26/2015")</f>
        <v>#NAME?</v>
      </c>
      <c r="AC358" s="16">
        <v>2104.1993725443999</v>
      </c>
    </row>
    <row r="359" spans="1:29" x14ac:dyDescent="0.35">
      <c r="A359" s="2" t="s">
        <v>369</v>
      </c>
      <c r="B359" s="4" t="s">
        <v>1403</v>
      </c>
      <c r="C359" s="4" t="s">
        <v>669</v>
      </c>
      <c r="D359" s="4" t="s">
        <v>669</v>
      </c>
      <c r="E359" s="4" t="s">
        <v>670</v>
      </c>
      <c r="F359" s="4" t="s">
        <v>671</v>
      </c>
      <c r="G359" s="14">
        <v>170.18</v>
      </c>
      <c r="H359" s="10">
        <v>15.654123</v>
      </c>
      <c r="I359" s="10">
        <v>33.024165000000004</v>
      </c>
      <c r="J359" s="10">
        <v>2.586176</v>
      </c>
      <c r="K359" s="15">
        <v>1.8799999999999999E-3</v>
      </c>
      <c r="L359" s="17">
        <v>28998.880300000001</v>
      </c>
      <c r="M359" s="4" t="s">
        <v>1404</v>
      </c>
      <c r="N359" s="19">
        <v>5.1531960000000003</v>
      </c>
      <c r="O359" s="19">
        <v>9.2149000000000001</v>
      </c>
      <c r="P359" s="19">
        <v>4.8499999999999996</v>
      </c>
      <c r="Q359" s="19">
        <v>3.3130999999999999</v>
      </c>
      <c r="R359" s="19">
        <v>-3.3493970000000002</v>
      </c>
      <c r="S359" s="19">
        <v>0.74819999999999998</v>
      </c>
      <c r="T359" s="19">
        <v>-3.3493970000000002</v>
      </c>
      <c r="U359" s="19">
        <v>-0.19969999999999999</v>
      </c>
      <c r="V359" s="19">
        <v>7.15</v>
      </c>
      <c r="W359" s="19">
        <v>4.4124999999999996</v>
      </c>
      <c r="X359" s="19">
        <v>7.15</v>
      </c>
      <c r="Y359" s="19">
        <v>4.4124999999999996</v>
      </c>
      <c r="Z359" s="4"/>
      <c r="AA359" s="4"/>
      <c r="AB359" s="4" t="e">
        <f ca="1">_xll.ciqfunctions.udf.CIQ("^SPX", "IQ_PRICEDATE", "5/27/2015")</f>
        <v>#NAME?</v>
      </c>
      <c r="AC359" s="16">
        <v>2123.4758687950002</v>
      </c>
    </row>
    <row r="360" spans="1:29" x14ac:dyDescent="0.35">
      <c r="A360" s="2" t="s">
        <v>370</v>
      </c>
      <c r="B360" s="4" t="s">
        <v>1405</v>
      </c>
      <c r="C360" s="4" t="s">
        <v>586</v>
      </c>
      <c r="D360" s="4" t="s">
        <v>586</v>
      </c>
      <c r="E360" s="4" t="s">
        <v>587</v>
      </c>
      <c r="F360" s="4" t="s">
        <v>598</v>
      </c>
      <c r="G360" s="14">
        <v>98.12</v>
      </c>
      <c r="H360" s="10">
        <v>11.401399</v>
      </c>
      <c r="I360" s="10">
        <v>19.969313</v>
      </c>
      <c r="J360" s="10" t="s">
        <v>534</v>
      </c>
      <c r="K360" s="15">
        <v>1.9567000000000001E-2</v>
      </c>
      <c r="L360" s="17">
        <v>23746.816363999998</v>
      </c>
      <c r="M360" s="4" t="s">
        <v>1406</v>
      </c>
      <c r="N360" s="19">
        <v>4.9135390000000001</v>
      </c>
      <c r="O360" s="19">
        <v>6.1002000000000001</v>
      </c>
      <c r="P360" s="19">
        <v>5.31</v>
      </c>
      <c r="Q360" s="19">
        <v>6.4161999999999999</v>
      </c>
      <c r="R360" s="19">
        <v>2.04</v>
      </c>
      <c r="S360" s="19">
        <v>6.1288999999999998</v>
      </c>
      <c r="T360" s="19">
        <v>2.04</v>
      </c>
      <c r="U360" s="19">
        <v>6.2786999999999997</v>
      </c>
      <c r="V360" s="19">
        <v>3.7646350000000002</v>
      </c>
      <c r="W360" s="19">
        <v>5.5399000000000003</v>
      </c>
      <c r="X360" s="19">
        <v>3.7646350000000002</v>
      </c>
      <c r="Y360" s="19">
        <v>5.5399000000000003</v>
      </c>
      <c r="Z360" s="4"/>
      <c r="AA360" s="4"/>
      <c r="AB360" s="4" t="e">
        <f ca="1">_xll.ciqfunctions.udf.CIQ("^SPX", "IQ_PRICEDATE", "5/28/2015")</f>
        <v>#NAME?</v>
      </c>
      <c r="AC360" s="16">
        <v>2120.7897623846002</v>
      </c>
    </row>
    <row r="361" spans="1:29" x14ac:dyDescent="0.35">
      <c r="A361" s="2" t="s">
        <v>371</v>
      </c>
      <c r="B361" s="4" t="s">
        <v>1407</v>
      </c>
      <c r="C361" s="4" t="s">
        <v>619</v>
      </c>
      <c r="D361" s="4" t="s">
        <v>619</v>
      </c>
      <c r="E361" s="4" t="s">
        <v>620</v>
      </c>
      <c r="F361" s="4" t="s">
        <v>620</v>
      </c>
      <c r="G361" s="14">
        <v>30.9</v>
      </c>
      <c r="H361" s="10">
        <v>10.155426</v>
      </c>
      <c r="I361" s="10">
        <v>15.328384</v>
      </c>
      <c r="J361" s="10">
        <v>2.9846720000000002</v>
      </c>
      <c r="K361" s="15">
        <v>5.3074000000000003E-2</v>
      </c>
      <c r="L361" s="17">
        <v>22234.733393999999</v>
      </c>
      <c r="M361" s="4" t="s">
        <v>1408</v>
      </c>
      <c r="N361" s="19">
        <v>2.0158680000000002</v>
      </c>
      <c r="O361" s="19">
        <v>2.3231999999999999</v>
      </c>
      <c r="P361" s="19">
        <v>1.64</v>
      </c>
      <c r="Q361" s="19">
        <v>2.2665000000000002</v>
      </c>
      <c r="R361" s="19">
        <v>2.79</v>
      </c>
      <c r="S361" s="19">
        <v>2.1981999999999999</v>
      </c>
      <c r="T361" s="19">
        <v>2.79</v>
      </c>
      <c r="U361" s="19">
        <v>2.2444999999999999</v>
      </c>
      <c r="V361" s="19">
        <v>2.1577449999999998</v>
      </c>
      <c r="W361" s="19">
        <v>2.3094000000000001</v>
      </c>
      <c r="X361" s="19">
        <v>2.1577449999999998</v>
      </c>
      <c r="Y361" s="19">
        <v>2.3094000000000001</v>
      </c>
      <c r="Z361" s="4"/>
      <c r="AA361" s="4"/>
      <c r="AB361" s="4" t="e">
        <f ca="1">_xll.ciqfunctions.udf.CIQ("^SPX", "IQ_PRICEDATE", "5/29/2015")</f>
        <v>#NAME?</v>
      </c>
      <c r="AC361" s="16">
        <v>2107.3895783551002</v>
      </c>
    </row>
    <row r="362" spans="1:29" x14ac:dyDescent="0.35">
      <c r="A362" s="2" t="s">
        <v>372</v>
      </c>
      <c r="B362" s="4" t="s">
        <v>1409</v>
      </c>
      <c r="C362" s="4" t="s">
        <v>586</v>
      </c>
      <c r="D362" s="4" t="s">
        <v>586</v>
      </c>
      <c r="E362" s="4" t="s">
        <v>587</v>
      </c>
      <c r="F362" s="4" t="s">
        <v>588</v>
      </c>
      <c r="G362" s="14">
        <v>159.79</v>
      </c>
      <c r="H362" s="10">
        <v>13.742234</v>
      </c>
      <c r="I362" s="10">
        <v>33.244315</v>
      </c>
      <c r="J362" s="10">
        <v>19.961658</v>
      </c>
      <c r="K362" s="15">
        <v>2.0652E-2</v>
      </c>
      <c r="L362" s="17">
        <v>45951.734525</v>
      </c>
      <c r="M362" s="4" t="s">
        <v>1410</v>
      </c>
      <c r="N362" s="19">
        <v>4.8065360000000004</v>
      </c>
      <c r="O362" s="19">
        <v>7.0350000000000001</v>
      </c>
      <c r="P362" s="19">
        <v>4.32</v>
      </c>
      <c r="Q362" s="19">
        <v>6.2965999999999998</v>
      </c>
      <c r="R362" s="19">
        <v>5.21</v>
      </c>
      <c r="S362" s="19">
        <v>5.8258999999999999</v>
      </c>
      <c r="T362" s="19">
        <v>5.21</v>
      </c>
      <c r="U362" s="19">
        <v>5.9588000000000001</v>
      </c>
      <c r="V362" s="19">
        <v>5.73</v>
      </c>
      <c r="W362" s="19">
        <v>6.6227</v>
      </c>
      <c r="X362" s="19">
        <v>5.73</v>
      </c>
      <c r="Y362" s="19">
        <v>6.6227</v>
      </c>
      <c r="Z362" s="4"/>
      <c r="AA362" s="4"/>
      <c r="AB362" s="4" t="e">
        <f ca="1">_xll.ciqfunctions.udf.CIQ("^SPX", "IQ_PRICEDATE", "6/1/2015")</f>
        <v>#NAME?</v>
      </c>
      <c r="AC362" s="16">
        <v>2111.7315555443001</v>
      </c>
    </row>
    <row r="363" spans="1:29" x14ac:dyDescent="0.35">
      <c r="A363" s="2" t="s">
        <v>373</v>
      </c>
      <c r="B363" s="4" t="s">
        <v>1411</v>
      </c>
      <c r="C363" s="4" t="s">
        <v>573</v>
      </c>
      <c r="D363" s="4" t="s">
        <v>579</v>
      </c>
      <c r="E363" s="4" t="s">
        <v>579</v>
      </c>
      <c r="F363" s="4" t="s">
        <v>580</v>
      </c>
      <c r="G363" s="14">
        <v>55.08</v>
      </c>
      <c r="H363" s="10">
        <v>6.0108459999999999</v>
      </c>
      <c r="I363" s="10">
        <v>6.4307720000000002</v>
      </c>
      <c r="J363" s="10">
        <v>1.7074689999999999</v>
      </c>
      <c r="K363" s="15">
        <v>3.8489000000000002E-2</v>
      </c>
      <c r="L363" s="17">
        <v>15683.961756000001</v>
      </c>
      <c r="M363" s="4" t="s">
        <v>1412</v>
      </c>
      <c r="N363" s="19">
        <v>8.5650680000000001</v>
      </c>
      <c r="O363" s="19">
        <v>6.0256999999999996</v>
      </c>
      <c r="P363" s="19">
        <v>7.88</v>
      </c>
      <c r="Q363" s="19">
        <v>5.4653999999999998</v>
      </c>
      <c r="R363" s="19">
        <v>4.5</v>
      </c>
      <c r="S363" s="19">
        <v>4.7317</v>
      </c>
      <c r="T363" s="19">
        <v>4.5</v>
      </c>
      <c r="U363" s="19">
        <v>4.29</v>
      </c>
      <c r="V363" s="19">
        <v>3.65</v>
      </c>
      <c r="W363" s="19">
        <v>4.2855999999999996</v>
      </c>
      <c r="X363" s="19">
        <v>3.65</v>
      </c>
      <c r="Y363" s="19">
        <v>4.2855999999999996</v>
      </c>
      <c r="Z363" s="4"/>
      <c r="AA363" s="4"/>
      <c r="AB363" s="4" t="e">
        <f ca="1">_xll.ciqfunctions.udf.CIQ("^SPX", "IQ_PRICEDATE", "6/2/2015")</f>
        <v>#NAME?</v>
      </c>
      <c r="AC363" s="16">
        <v>2109.5971932025</v>
      </c>
    </row>
    <row r="364" spans="1:29" x14ac:dyDescent="0.35">
      <c r="A364" s="2" t="s">
        <v>374</v>
      </c>
      <c r="B364" s="4" t="s">
        <v>1413</v>
      </c>
      <c r="C364" s="4" t="s">
        <v>601</v>
      </c>
      <c r="D364" s="4" t="s">
        <v>601</v>
      </c>
      <c r="E364" s="4" t="s">
        <v>602</v>
      </c>
      <c r="F364" s="4" t="s">
        <v>958</v>
      </c>
      <c r="G364" s="14">
        <v>62.86</v>
      </c>
      <c r="H364" s="10">
        <v>29.059937999999999</v>
      </c>
      <c r="I364" s="10">
        <v>25.663626000000001</v>
      </c>
      <c r="J364" s="10">
        <v>1.705268</v>
      </c>
      <c r="K364" s="15">
        <v>3.0543999999999998E-2</v>
      </c>
      <c r="L364" s="17">
        <v>39571.564339999997</v>
      </c>
      <c r="M364" s="4" t="s">
        <v>1414</v>
      </c>
      <c r="N364" s="19">
        <v>2.4493809999999998</v>
      </c>
      <c r="O364" s="19">
        <v>1.7458</v>
      </c>
      <c r="P364" s="19">
        <v>3.056692</v>
      </c>
      <c r="Q364" s="19">
        <v>1.5014000000000001</v>
      </c>
      <c r="R364" s="19">
        <v>2.2688380000000001</v>
      </c>
      <c r="S364" s="19">
        <v>1.1967000000000001</v>
      </c>
      <c r="T364" s="19">
        <v>2.2688380000000001</v>
      </c>
      <c r="U364" s="19">
        <v>0.42280000000000001</v>
      </c>
      <c r="V364" s="19">
        <v>1.2359439999999999</v>
      </c>
      <c r="W364" s="19">
        <v>0.45</v>
      </c>
      <c r="X364" s="19">
        <v>1.2359439999999999</v>
      </c>
      <c r="Y364" s="19">
        <v>0.45</v>
      </c>
      <c r="Z364" s="4"/>
      <c r="AA364" s="4"/>
      <c r="AB364" s="4" t="e">
        <f ca="1">_xll.ciqfunctions.udf.CIQ("^SPX", "IQ_PRICEDATE", "6/3/2015")</f>
        <v>#NAME?</v>
      </c>
      <c r="AC364" s="16">
        <v>2114.0673737123998</v>
      </c>
    </row>
    <row r="365" spans="1:29" x14ac:dyDescent="0.35">
      <c r="A365" s="2" t="s">
        <v>375</v>
      </c>
      <c r="B365" s="4" t="s">
        <v>1415</v>
      </c>
      <c r="C365" s="4" t="s">
        <v>573</v>
      </c>
      <c r="D365" s="4" t="s">
        <v>579</v>
      </c>
      <c r="E365" s="4" t="s">
        <v>579</v>
      </c>
      <c r="F365" s="4" t="s">
        <v>580</v>
      </c>
      <c r="G365" s="14">
        <v>99.7</v>
      </c>
      <c r="H365" s="10">
        <v>7.1693439999999997</v>
      </c>
      <c r="I365" s="10">
        <v>5.7440930000000003</v>
      </c>
      <c r="J365" s="10">
        <v>0.86344699999999996</v>
      </c>
      <c r="K365" s="15">
        <v>3.6108000000000001E-2</v>
      </c>
      <c r="L365" s="17">
        <v>41645.819701</v>
      </c>
      <c r="M365" s="4" t="s">
        <v>1416</v>
      </c>
      <c r="N365" s="19">
        <v>17.356960000000001</v>
      </c>
      <c r="O365" s="19">
        <v>12.6372</v>
      </c>
      <c r="P365" s="19">
        <v>17.857797999999999</v>
      </c>
      <c r="Q365" s="19">
        <v>11.2858</v>
      </c>
      <c r="R365" s="19">
        <v>9.7089110000000005</v>
      </c>
      <c r="S365" s="19">
        <v>10.2933</v>
      </c>
      <c r="T365" s="19">
        <v>9.7089110000000005</v>
      </c>
      <c r="U365" s="19">
        <v>9.9460999999999995</v>
      </c>
      <c r="V365" s="19">
        <v>2.8860480000000002</v>
      </c>
      <c r="W365" s="19">
        <v>9.8229000000000006</v>
      </c>
      <c r="X365" s="19">
        <v>2.8860480000000002</v>
      </c>
      <c r="Y365" s="19">
        <v>9.8229000000000006</v>
      </c>
      <c r="Z365" s="4"/>
      <c r="AA365" s="4"/>
      <c r="AB365" s="4" t="e">
        <f ca="1">_xll.ciqfunctions.udf.CIQ("^SPX", "IQ_PRICEDATE", "6/4/2015")</f>
        <v>#NAME?</v>
      </c>
      <c r="AC365" s="16">
        <v>2095.8440838400002</v>
      </c>
    </row>
    <row r="366" spans="1:29" x14ac:dyDescent="0.35">
      <c r="A366" s="2" t="s">
        <v>376</v>
      </c>
      <c r="B366" s="4" t="s">
        <v>1417</v>
      </c>
      <c r="C366" s="4" t="s">
        <v>619</v>
      </c>
      <c r="D366" s="4" t="s">
        <v>619</v>
      </c>
      <c r="E366" s="4" t="s">
        <v>634</v>
      </c>
      <c r="F366" s="4" t="s">
        <v>634</v>
      </c>
      <c r="G366" s="14">
        <v>53.65</v>
      </c>
      <c r="H366" s="10">
        <v>15.427460999999999</v>
      </c>
      <c r="I366" s="10">
        <v>12.505827</v>
      </c>
      <c r="J366" s="10">
        <v>1.929332</v>
      </c>
      <c r="K366" s="15">
        <v>3.3549999999999996E-2</v>
      </c>
      <c r="L366" s="17">
        <v>27110.596440000001</v>
      </c>
      <c r="M366" s="4" t="s">
        <v>1418</v>
      </c>
      <c r="N366" s="19">
        <v>4.29</v>
      </c>
      <c r="O366" s="19">
        <v>3.3405999999999998</v>
      </c>
      <c r="P366" s="19">
        <v>3.1</v>
      </c>
      <c r="Q366" s="19">
        <v>3.0203000000000002</v>
      </c>
      <c r="R366" s="19">
        <v>1.75</v>
      </c>
      <c r="S366" s="19">
        <v>2.9262999999999999</v>
      </c>
      <c r="T366" s="19">
        <v>1.75</v>
      </c>
      <c r="U366" s="19">
        <v>2.9211</v>
      </c>
      <c r="V366" s="19">
        <v>2.99</v>
      </c>
      <c r="W366" s="19">
        <v>2.7528000000000001</v>
      </c>
      <c r="X366" s="19">
        <v>2.99</v>
      </c>
      <c r="Y366" s="19">
        <v>2.7528000000000001</v>
      </c>
      <c r="Z366" s="4"/>
      <c r="AA366" s="4"/>
      <c r="AB366" s="4" t="e">
        <f ca="1">_xll.ciqfunctions.udf.CIQ("^SPX", "IQ_PRICEDATE", "6/5/2015")</f>
        <v>#NAME?</v>
      </c>
      <c r="AC366" s="16">
        <v>2092.8309484256001</v>
      </c>
    </row>
    <row r="367" spans="1:29" x14ac:dyDescent="0.35">
      <c r="A367" s="2" t="s">
        <v>377</v>
      </c>
      <c r="B367" s="4" t="s">
        <v>1419</v>
      </c>
      <c r="C367" s="4" t="s">
        <v>601</v>
      </c>
      <c r="D367" s="4" t="s">
        <v>601</v>
      </c>
      <c r="E367" s="4" t="s">
        <v>602</v>
      </c>
      <c r="F367" s="4" t="s">
        <v>647</v>
      </c>
      <c r="G367" s="14">
        <v>198.13</v>
      </c>
      <c r="H367" s="10">
        <v>19.940149000000002</v>
      </c>
      <c r="I367" s="10">
        <v>27.595341000000001</v>
      </c>
      <c r="J367" s="10">
        <v>7.3898929999999998</v>
      </c>
      <c r="K367" s="15">
        <v>4.0377000000000003E-2</v>
      </c>
      <c r="L367" s="17">
        <v>34522.255207000002</v>
      </c>
      <c r="M367" s="4" t="s">
        <v>1420</v>
      </c>
      <c r="N367" s="19">
        <v>7.1798349999999997</v>
      </c>
      <c r="O367" s="19">
        <v>7.4696999999999996</v>
      </c>
      <c r="P367" s="19">
        <v>6.73</v>
      </c>
      <c r="Q367" s="19">
        <v>7.4301000000000004</v>
      </c>
      <c r="R367" s="19">
        <v>6.81</v>
      </c>
      <c r="S367" s="19">
        <v>7.3371000000000004</v>
      </c>
      <c r="T367" s="19">
        <v>6.81</v>
      </c>
      <c r="U367" s="19">
        <v>6.7283999999999997</v>
      </c>
      <c r="V367" s="19">
        <v>5.25</v>
      </c>
      <c r="W367" s="19">
        <v>5.5126999999999997</v>
      </c>
      <c r="X367" s="19">
        <v>5.25</v>
      </c>
      <c r="Y367" s="19">
        <v>5.5126999999999997</v>
      </c>
      <c r="Z367" s="4"/>
      <c r="AA367" s="4"/>
      <c r="AB367" s="4" t="e">
        <f ca="1">_xll.ciqfunctions.udf.CIQ("^SPX", "IQ_PRICEDATE", "6/8/2015")</f>
        <v>#NAME?</v>
      </c>
      <c r="AC367" s="16">
        <v>2079.2803854418999</v>
      </c>
    </row>
    <row r="368" spans="1:29" x14ac:dyDescent="0.35">
      <c r="A368" s="2" t="s">
        <v>378</v>
      </c>
      <c r="B368" s="4" t="s">
        <v>1421</v>
      </c>
      <c r="C368" s="4" t="s">
        <v>559</v>
      </c>
      <c r="D368" s="4" t="s">
        <v>912</v>
      </c>
      <c r="E368" s="4" t="s">
        <v>913</v>
      </c>
      <c r="F368" s="4" t="s">
        <v>914</v>
      </c>
      <c r="G368" s="14">
        <v>22.82</v>
      </c>
      <c r="H368" s="10">
        <v>6.5710879999999996</v>
      </c>
      <c r="I368" s="10">
        <v>8.952045</v>
      </c>
      <c r="J368" s="10">
        <v>1.477282</v>
      </c>
      <c r="K368" s="15">
        <v>1.5774999999999997E-2</v>
      </c>
      <c r="L368" s="17">
        <v>6481.3036990000001</v>
      </c>
      <c r="M368" s="4" t="s">
        <v>1422</v>
      </c>
      <c r="N368" s="19">
        <v>2.5491380000000001</v>
      </c>
      <c r="O368" s="19">
        <v>3.6315</v>
      </c>
      <c r="P368" s="19">
        <v>1.4427890000000001</v>
      </c>
      <c r="Q368" s="19">
        <v>2.6408</v>
      </c>
      <c r="R368" s="19">
        <v>1.7479119999999999</v>
      </c>
      <c r="S368" s="19">
        <v>1.9226000000000001</v>
      </c>
      <c r="T368" s="19">
        <v>1.7479119999999999</v>
      </c>
      <c r="U368" s="19">
        <v>1.4933000000000001</v>
      </c>
      <c r="V368" s="19">
        <v>1.259314</v>
      </c>
      <c r="W368" s="19">
        <v>1.3675999999999999</v>
      </c>
      <c r="X368" s="19">
        <v>1.259314</v>
      </c>
      <c r="Y368" s="19">
        <v>1.3675999999999999</v>
      </c>
      <c r="Z368" s="4"/>
      <c r="AA368" s="4"/>
      <c r="AB368" s="4" t="e">
        <f ca="1">_xll.ciqfunctions.udf.CIQ("^SPX", "IQ_PRICEDATE", "6/9/2015")</f>
        <v>#NAME?</v>
      </c>
      <c r="AC368" s="16">
        <v>2080.1520763919998</v>
      </c>
    </row>
    <row r="369" spans="1:29" x14ac:dyDescent="0.35">
      <c r="A369" s="2" t="s">
        <v>379</v>
      </c>
      <c r="B369" s="4" t="s">
        <v>1423</v>
      </c>
      <c r="C369" s="4" t="s">
        <v>559</v>
      </c>
      <c r="D369" s="4" t="s">
        <v>912</v>
      </c>
      <c r="E369" s="4" t="s">
        <v>1097</v>
      </c>
      <c r="F369" s="4" t="s">
        <v>1098</v>
      </c>
      <c r="G369" s="14">
        <v>127.96</v>
      </c>
      <c r="H369" s="10">
        <v>10.616185</v>
      </c>
      <c r="I369" s="10">
        <v>14.450281</v>
      </c>
      <c r="J369" s="10" t="s">
        <v>534</v>
      </c>
      <c r="K369" s="15">
        <v>1.1720000000000001E-3</v>
      </c>
      <c r="L369" s="17">
        <v>9816.5094939999999</v>
      </c>
      <c r="M369" s="4" t="s">
        <v>1424</v>
      </c>
      <c r="N369" s="19">
        <v>8.8551909999999996</v>
      </c>
      <c r="O369" s="19">
        <v>9.8125</v>
      </c>
      <c r="P369" s="19">
        <v>6.7120579999999999</v>
      </c>
      <c r="Q369" s="19">
        <v>8.6102000000000007</v>
      </c>
      <c r="R369" s="19">
        <v>7.1465800000000002</v>
      </c>
      <c r="S369" s="19">
        <v>7.1961000000000004</v>
      </c>
      <c r="T369" s="19">
        <v>7.1465800000000002</v>
      </c>
      <c r="U369" s="19">
        <v>6.5484999999999998</v>
      </c>
      <c r="V369" s="19">
        <v>4.2196809999999996</v>
      </c>
      <c r="W369" s="19">
        <v>8.0885999999999996</v>
      </c>
      <c r="X369" s="19">
        <v>4.2196809999999996</v>
      </c>
      <c r="Y369" s="19">
        <v>8.0885999999999996</v>
      </c>
      <c r="Z369" s="4"/>
      <c r="AA369" s="4"/>
      <c r="AB369" s="4" t="e">
        <f ca="1">_xll.ciqfunctions.udf.CIQ("^SPX", "IQ_PRICEDATE", "6/10/2015")</f>
        <v>#NAME?</v>
      </c>
      <c r="AC369" s="16">
        <v>2105.2022673125998</v>
      </c>
    </row>
    <row r="370" spans="1:29" x14ac:dyDescent="0.35">
      <c r="A370" s="2" t="s">
        <v>380</v>
      </c>
      <c r="B370" s="4" t="s">
        <v>1425</v>
      </c>
      <c r="C370" s="4" t="s">
        <v>543</v>
      </c>
      <c r="D370" s="4" t="s">
        <v>565</v>
      </c>
      <c r="E370" s="4" t="s">
        <v>565</v>
      </c>
      <c r="F370" s="4" t="s">
        <v>566</v>
      </c>
      <c r="G370" s="14">
        <v>75.42</v>
      </c>
      <c r="H370" s="10">
        <v>11.11843</v>
      </c>
      <c r="I370" s="10" t="s">
        <v>534</v>
      </c>
      <c r="J370" s="10">
        <v>5.3367430000000002</v>
      </c>
      <c r="K370" s="15">
        <v>0</v>
      </c>
      <c r="L370" s="17">
        <v>9476.0162529999998</v>
      </c>
      <c r="M370" s="4" t="s">
        <v>1426</v>
      </c>
      <c r="N370" s="19">
        <v>-0.31903599999999999</v>
      </c>
      <c r="O370" s="19">
        <v>6.7069000000000001</v>
      </c>
      <c r="P370" s="19">
        <v>0.217893</v>
      </c>
      <c r="Q370" s="19">
        <v>6.2256</v>
      </c>
      <c r="R370" s="19">
        <v>-0.75099499999999997</v>
      </c>
      <c r="S370" s="19">
        <v>5.0407000000000002</v>
      </c>
      <c r="T370" s="19">
        <v>-0.75099499999999997</v>
      </c>
      <c r="U370" s="19">
        <v>4.8334000000000001</v>
      </c>
      <c r="V370" s="19">
        <v>2.5673659999999998</v>
      </c>
      <c r="W370" s="19">
        <v>0</v>
      </c>
      <c r="X370" s="19">
        <v>2.5673659999999998</v>
      </c>
      <c r="Y370" s="19">
        <v>0</v>
      </c>
      <c r="Z370" s="4"/>
      <c r="AA370" s="4"/>
      <c r="AB370" s="4" t="e">
        <f ca="1">_xll.ciqfunctions.udf.CIQ("^SPX", "IQ_PRICEDATE", "6/11/2015")</f>
        <v>#NAME?</v>
      </c>
      <c r="AC370" s="16">
        <v>2108.8561965326999</v>
      </c>
    </row>
    <row r="371" spans="1:29" x14ac:dyDescent="0.35">
      <c r="A371" s="2" t="s">
        <v>381</v>
      </c>
      <c r="B371" s="4" t="s">
        <v>1427</v>
      </c>
      <c r="C371" s="4" t="s">
        <v>543</v>
      </c>
      <c r="D371" s="4" t="s">
        <v>565</v>
      </c>
      <c r="E371" s="4" t="s">
        <v>565</v>
      </c>
      <c r="F371" s="4" t="s">
        <v>566</v>
      </c>
      <c r="G371" s="14">
        <v>66.099999999999994</v>
      </c>
      <c r="H371" s="10">
        <v>12.284266000000001</v>
      </c>
      <c r="I371" s="10" t="s">
        <v>534</v>
      </c>
      <c r="J371" s="10">
        <v>7.3206350000000002</v>
      </c>
      <c r="K371" s="15">
        <v>3.7517999999999996E-2</v>
      </c>
      <c r="L371" s="17">
        <v>97109.421281999996</v>
      </c>
      <c r="M371" s="4" t="s">
        <v>1428</v>
      </c>
      <c r="N371" s="19">
        <v>-2.8526340000000001</v>
      </c>
      <c r="O371" s="19">
        <v>3.7048999999999999</v>
      </c>
      <c r="P371" s="19">
        <v>-2.8315619999999999</v>
      </c>
      <c r="Q371" s="19">
        <v>3.6014900000000001</v>
      </c>
      <c r="R371" s="19">
        <v>3.278559</v>
      </c>
      <c r="S371" s="19">
        <v>4.7089600000000003</v>
      </c>
      <c r="T371" s="19">
        <v>3.278559</v>
      </c>
      <c r="U371" s="19">
        <v>4.1777199999999999</v>
      </c>
      <c r="V371" s="19">
        <v>4.7318119999999997</v>
      </c>
      <c r="W371" s="19">
        <v>5.2083199999999996</v>
      </c>
      <c r="X371" s="19">
        <v>4.7318119999999997</v>
      </c>
      <c r="Y371" s="19">
        <v>5.2083199999999996</v>
      </c>
      <c r="Z371" s="4"/>
      <c r="AA371" s="4"/>
      <c r="AB371" s="4" t="e">
        <f ca="1">_xll.ciqfunctions.udf.CIQ("^SPX", "IQ_PRICEDATE", "6/12/2015")</f>
        <v>#NAME?</v>
      </c>
      <c r="AC371" s="16">
        <v>2094.1056542483002</v>
      </c>
    </row>
    <row r="372" spans="1:29" x14ac:dyDescent="0.35">
      <c r="A372" s="2" t="s">
        <v>382</v>
      </c>
      <c r="B372" s="4" t="s">
        <v>1429</v>
      </c>
      <c r="C372" s="4" t="s">
        <v>525</v>
      </c>
      <c r="D372" s="4" t="s">
        <v>526</v>
      </c>
      <c r="E372" s="4" t="s">
        <v>1046</v>
      </c>
      <c r="F372" s="4" t="s">
        <v>1046</v>
      </c>
      <c r="G372" s="14">
        <v>32.58</v>
      </c>
      <c r="H372" s="10">
        <v>8.5303269999999998</v>
      </c>
      <c r="I372" s="10">
        <v>16.295328000000001</v>
      </c>
      <c r="J372" s="10">
        <v>3.1826050000000001</v>
      </c>
      <c r="K372" s="15">
        <v>0</v>
      </c>
      <c r="L372" s="17">
        <v>4863.9875730000003</v>
      </c>
      <c r="M372" s="4" t="s">
        <v>1430</v>
      </c>
      <c r="N372" s="19">
        <v>1.9993460000000001</v>
      </c>
      <c r="O372" s="19">
        <v>3.0196000000000001</v>
      </c>
      <c r="P372" s="19">
        <v>2</v>
      </c>
      <c r="Q372" s="19">
        <v>2.2818999999999998</v>
      </c>
      <c r="R372" s="19">
        <v>1.26</v>
      </c>
      <c r="S372" s="19">
        <v>2.0802</v>
      </c>
      <c r="T372" s="19">
        <v>1.26</v>
      </c>
      <c r="U372" s="19">
        <v>1.5874999999999999</v>
      </c>
      <c r="V372" s="19">
        <v>1.22</v>
      </c>
      <c r="W372" s="19">
        <v>2.1514000000000002</v>
      </c>
      <c r="X372" s="19">
        <v>1.22</v>
      </c>
      <c r="Y372" s="19">
        <v>2.1514000000000002</v>
      </c>
      <c r="Z372" s="4"/>
      <c r="AA372" s="4"/>
      <c r="AB372" s="4" t="e">
        <f ca="1">_xll.ciqfunctions.udf.CIQ("^SPX", "IQ_PRICEDATE", "6/15/2015")</f>
        <v>#NAME?</v>
      </c>
      <c r="AC372" s="16">
        <v>2084.4252841215998</v>
      </c>
    </row>
    <row r="373" spans="1:29" x14ac:dyDescent="0.35">
      <c r="A373" s="2" t="s">
        <v>383</v>
      </c>
      <c r="B373" s="4" t="s">
        <v>1431</v>
      </c>
      <c r="C373" s="4" t="s">
        <v>530</v>
      </c>
      <c r="D373" s="4" t="s">
        <v>531</v>
      </c>
      <c r="E373" s="4" t="s">
        <v>569</v>
      </c>
      <c r="F373" s="4" t="s">
        <v>909</v>
      </c>
      <c r="G373" s="14">
        <v>102.38</v>
      </c>
      <c r="H373" s="10">
        <v>11.041496</v>
      </c>
      <c r="I373" s="10">
        <v>17.619931999999999</v>
      </c>
      <c r="J373" s="10" t="s">
        <v>534</v>
      </c>
      <c r="K373" s="15">
        <v>1.9535E-2</v>
      </c>
      <c r="L373" s="17">
        <v>13991.934493999999</v>
      </c>
      <c r="M373" s="4" t="s">
        <v>1432</v>
      </c>
      <c r="N373" s="19">
        <v>5.8104649999999998</v>
      </c>
      <c r="O373" s="19">
        <v>6.7607999999999997</v>
      </c>
      <c r="P373" s="19">
        <v>5.5</v>
      </c>
      <c r="Q373" s="19">
        <v>5.7065000000000001</v>
      </c>
      <c r="R373" s="19">
        <v>4.51</v>
      </c>
      <c r="S373" s="19">
        <v>5.3535000000000004</v>
      </c>
      <c r="T373" s="19">
        <v>4.51</v>
      </c>
      <c r="U373" s="19">
        <v>4.9916999999999998</v>
      </c>
      <c r="V373" s="19">
        <v>3.78</v>
      </c>
      <c r="W373" s="19">
        <v>4.3490000000000002</v>
      </c>
      <c r="X373" s="19">
        <v>3.78</v>
      </c>
      <c r="Y373" s="19">
        <v>4.3490000000000002</v>
      </c>
      <c r="Z373" s="4"/>
      <c r="AA373" s="4"/>
      <c r="AB373" s="4" t="e">
        <f ca="1">_xll.ciqfunctions.udf.CIQ("^SPX", "IQ_PRICEDATE", "6/16/2015")</f>
        <v>#NAME?</v>
      </c>
      <c r="AC373" s="16">
        <v>2096.2923688098999</v>
      </c>
    </row>
    <row r="374" spans="1:29" x14ac:dyDescent="0.35">
      <c r="A374" s="2" t="s">
        <v>384</v>
      </c>
      <c r="B374" s="4" t="s">
        <v>1433</v>
      </c>
      <c r="C374" s="4" t="s">
        <v>559</v>
      </c>
      <c r="D374" s="4" t="s">
        <v>912</v>
      </c>
      <c r="E374" s="4" t="s">
        <v>1097</v>
      </c>
      <c r="F374" s="4" t="s">
        <v>1098</v>
      </c>
      <c r="G374" s="14">
        <v>128.16999999999999</v>
      </c>
      <c r="H374" s="10">
        <v>9.7130709999999993</v>
      </c>
      <c r="I374" s="10">
        <v>49.939976000000001</v>
      </c>
      <c r="J374" s="10">
        <v>4.498068</v>
      </c>
      <c r="K374" s="15">
        <v>1.9504999999999998E-2</v>
      </c>
      <c r="L374" s="17">
        <v>10398.446968</v>
      </c>
      <c r="M374" s="4" t="s">
        <v>1434</v>
      </c>
      <c r="N374" s="19">
        <v>2.566481</v>
      </c>
      <c r="O374" s="19">
        <v>6.7205000000000004</v>
      </c>
      <c r="P374" s="19">
        <v>-1.0085569999999999</v>
      </c>
      <c r="Q374" s="19">
        <v>5.6300999999999997</v>
      </c>
      <c r="R374" s="19">
        <v>1.7486139999999999</v>
      </c>
      <c r="S374" s="19">
        <v>5.4927000000000001</v>
      </c>
      <c r="T374" s="19">
        <v>1.7486139999999999</v>
      </c>
      <c r="U374" s="19">
        <v>7.1894</v>
      </c>
      <c r="V374" s="19">
        <v>8.1375340000000005</v>
      </c>
      <c r="W374" s="19">
        <v>9.1341000000000001</v>
      </c>
      <c r="X374" s="19">
        <v>8.1375340000000005</v>
      </c>
      <c r="Y374" s="19">
        <v>9.1341000000000001</v>
      </c>
      <c r="Z374" s="4"/>
      <c r="AA374" s="4"/>
      <c r="AB374" s="4" t="e">
        <f ca="1">_xll.ciqfunctions.udf.CIQ("^SPX", "IQ_PRICEDATE", "6/17/2015")</f>
        <v>#NAME?</v>
      </c>
      <c r="AC374" s="16">
        <v>2100.4437209033999</v>
      </c>
    </row>
    <row r="375" spans="1:29" x14ac:dyDescent="0.35">
      <c r="A375" s="2" t="s">
        <v>385</v>
      </c>
      <c r="B375" s="4" t="s">
        <v>1435</v>
      </c>
      <c r="C375" s="4" t="s">
        <v>573</v>
      </c>
      <c r="D375" s="4" t="s">
        <v>574</v>
      </c>
      <c r="E375" s="4" t="s">
        <v>575</v>
      </c>
      <c r="F375" s="4" t="s">
        <v>963</v>
      </c>
      <c r="G375" s="14">
        <v>89.18</v>
      </c>
      <c r="H375" s="10">
        <v>0</v>
      </c>
      <c r="I375" s="10">
        <v>16.845255999999999</v>
      </c>
      <c r="J375" s="10">
        <v>2.3547199999999999</v>
      </c>
      <c r="K375" s="15">
        <v>1.3455E-2</v>
      </c>
      <c r="L375" s="17">
        <v>12587.40028</v>
      </c>
      <c r="M375" s="4" t="s">
        <v>1436</v>
      </c>
      <c r="N375" s="19">
        <v>5.2940719999999999</v>
      </c>
      <c r="O375" s="19">
        <v>7.5509000000000004</v>
      </c>
      <c r="P375" s="19">
        <v>4.1229310000000003</v>
      </c>
      <c r="Q375" s="19">
        <v>6.0290699999999999</v>
      </c>
      <c r="R375" s="19">
        <v>3.9355730000000002</v>
      </c>
      <c r="S375" s="19">
        <v>4.3505000000000003</v>
      </c>
      <c r="T375" s="19">
        <v>3.9355730000000002</v>
      </c>
      <c r="U375" s="19">
        <v>3.85243</v>
      </c>
      <c r="V375" s="19">
        <v>3.3785249999999998</v>
      </c>
      <c r="W375" s="19">
        <v>3.6553100000000001</v>
      </c>
      <c r="X375" s="19">
        <v>3.3785249999999998</v>
      </c>
      <c r="Y375" s="19">
        <v>3.6553100000000001</v>
      </c>
      <c r="Z375" s="4"/>
      <c r="AA375" s="4"/>
      <c r="AB375" s="4" t="e">
        <f ca="1">_xll.ciqfunctions.udf.CIQ("^SPX", "IQ_PRICEDATE", "6/18/2015")</f>
        <v>#NAME?</v>
      </c>
      <c r="AC375" s="16">
        <v>2121.2354112715998</v>
      </c>
    </row>
    <row r="376" spans="1:29" x14ac:dyDescent="0.35">
      <c r="A376" s="2" t="s">
        <v>386</v>
      </c>
      <c r="B376" s="4" t="s">
        <v>1437</v>
      </c>
      <c r="C376" s="4" t="s">
        <v>525</v>
      </c>
      <c r="D376" s="4" t="s">
        <v>526</v>
      </c>
      <c r="E376" s="4" t="s">
        <v>703</v>
      </c>
      <c r="F376" s="4" t="s">
        <v>703</v>
      </c>
      <c r="G376" s="14">
        <v>193.12</v>
      </c>
      <c r="H376" s="10">
        <v>14.827256</v>
      </c>
      <c r="I376" s="10">
        <v>23.288088999999999</v>
      </c>
      <c r="J376" s="10" t="s">
        <v>534</v>
      </c>
      <c r="K376" s="15">
        <v>1.7967999999999998E-2</v>
      </c>
      <c r="L376" s="17">
        <v>55089.411200000002</v>
      </c>
      <c r="M376" s="4" t="s">
        <v>1438</v>
      </c>
      <c r="N376" s="19">
        <v>8.2926509999999993</v>
      </c>
      <c r="O376" s="19">
        <v>10.5326</v>
      </c>
      <c r="P376" s="19">
        <v>6.94</v>
      </c>
      <c r="Q376" s="19">
        <v>7.9721000000000002</v>
      </c>
      <c r="R376" s="19">
        <v>7.55</v>
      </c>
      <c r="S376" s="19">
        <v>6.9596</v>
      </c>
      <c r="T376" s="19">
        <v>7.55</v>
      </c>
      <c r="U376" s="19">
        <v>6.8864999999999998</v>
      </c>
      <c r="V376" s="19">
        <v>6.97</v>
      </c>
      <c r="W376" s="19">
        <v>6.8384999999999998</v>
      </c>
      <c r="X376" s="19">
        <v>6.97</v>
      </c>
      <c r="Y376" s="19">
        <v>6.8384999999999998</v>
      </c>
      <c r="Z376" s="4"/>
      <c r="AA376" s="4"/>
      <c r="AB376" s="4" t="e">
        <f ca="1">_xll.ciqfunctions.udf.CIQ("^SPX", "IQ_PRICEDATE", "6/19/2015")</f>
        <v>#NAME?</v>
      </c>
      <c r="AC376" s="16">
        <v>2109.9882780010998</v>
      </c>
    </row>
    <row r="377" spans="1:29" x14ac:dyDescent="0.35">
      <c r="A377" s="2" t="s">
        <v>387</v>
      </c>
      <c r="B377" s="4" t="s">
        <v>1439</v>
      </c>
      <c r="C377" s="4" t="s">
        <v>601</v>
      </c>
      <c r="D377" s="4" t="s">
        <v>601</v>
      </c>
      <c r="E377" s="4" t="s">
        <v>602</v>
      </c>
      <c r="F377" s="4" t="s">
        <v>1026</v>
      </c>
      <c r="G377" s="14">
        <v>58.04</v>
      </c>
      <c r="H377" s="10">
        <v>20.322717000000001</v>
      </c>
      <c r="I377" s="10">
        <v>49.958812000000002</v>
      </c>
      <c r="J377" s="10">
        <v>2.7009439999999998</v>
      </c>
      <c r="K377" s="15">
        <v>4.5589000000000005E-2</v>
      </c>
      <c r="L377" s="17">
        <v>16834.113131999999</v>
      </c>
      <c r="M377" s="4" t="s">
        <v>1440</v>
      </c>
      <c r="N377" s="19">
        <v>1.1617569999999999</v>
      </c>
      <c r="O377" s="19">
        <v>1.3156000000000001</v>
      </c>
      <c r="P377" s="19">
        <v>1.0999989999999999</v>
      </c>
      <c r="Q377" s="19">
        <v>1.2678</v>
      </c>
      <c r="R377" s="19">
        <v>1.1299999999999999</v>
      </c>
      <c r="S377" s="19">
        <v>1.2182999999999999</v>
      </c>
      <c r="T377" s="19">
        <v>1.1299999999999999</v>
      </c>
      <c r="U377" s="19">
        <v>1.0723</v>
      </c>
      <c r="V377" s="19">
        <v>1.0291539999999999</v>
      </c>
      <c r="W377" s="19">
        <v>0.96919999999999995</v>
      </c>
      <c r="X377" s="19">
        <v>1.0291539999999999</v>
      </c>
      <c r="Y377" s="19">
        <v>0.96919999999999995</v>
      </c>
      <c r="Z377" s="4"/>
      <c r="AA377" s="4"/>
      <c r="AB377" s="4" t="e">
        <f ca="1">_xll.ciqfunctions.udf.CIQ("^SPX", "IQ_PRICEDATE", "6/22/2015")</f>
        <v>#NAME?</v>
      </c>
      <c r="AC377" s="16">
        <v>2122.8467894445998</v>
      </c>
    </row>
    <row r="378" spans="1:29" x14ac:dyDescent="0.35">
      <c r="A378" s="2" t="s">
        <v>388</v>
      </c>
      <c r="B378" s="4" t="s">
        <v>1441</v>
      </c>
      <c r="C378" s="4" t="s">
        <v>543</v>
      </c>
      <c r="D378" s="4" t="s">
        <v>544</v>
      </c>
      <c r="E378" s="4" t="s">
        <v>555</v>
      </c>
      <c r="F378" s="4" t="s">
        <v>782</v>
      </c>
      <c r="G378" s="14">
        <v>124.84</v>
      </c>
      <c r="H378" s="10">
        <v>34.442061000000002</v>
      </c>
      <c r="I378" s="10">
        <v>81.723285000000004</v>
      </c>
      <c r="J378" s="10" t="s">
        <v>534</v>
      </c>
      <c r="K378" s="15">
        <v>0</v>
      </c>
      <c r="L378" s="17">
        <v>21968.553962000002</v>
      </c>
      <c r="M378" s="4" t="s">
        <v>1442</v>
      </c>
      <c r="N378" s="19">
        <v>1.5275939999999999</v>
      </c>
      <c r="O378" s="19">
        <v>3.7183999999999999</v>
      </c>
      <c r="P378" s="19">
        <v>1.852301</v>
      </c>
      <c r="Q378" s="19">
        <v>3.2326999999999999</v>
      </c>
      <c r="R378" s="19">
        <v>1.3097810000000001</v>
      </c>
      <c r="S378" s="19">
        <v>2.5049999999999999</v>
      </c>
      <c r="T378" s="19">
        <v>1.3097810000000001</v>
      </c>
      <c r="U378" s="19">
        <v>2.0676999999999999</v>
      </c>
      <c r="V378" s="19">
        <v>0.940052</v>
      </c>
      <c r="W378" s="19">
        <v>1.7611000000000001</v>
      </c>
      <c r="X378" s="19">
        <v>0.940052</v>
      </c>
      <c r="Y378" s="19">
        <v>1.7611000000000001</v>
      </c>
      <c r="Z378" s="4"/>
      <c r="AA378" s="4"/>
      <c r="AB378" s="4" t="e">
        <f ca="1">_xll.ciqfunctions.udf.CIQ("^SPX", "IQ_PRICEDATE", "6/23/2015")</f>
        <v>#NAME?</v>
      </c>
      <c r="AC378" s="16">
        <v>2124.1984754584</v>
      </c>
    </row>
    <row r="379" spans="1:29" x14ac:dyDescent="0.35">
      <c r="A379" s="2" t="s">
        <v>389</v>
      </c>
      <c r="B379" s="4" t="s">
        <v>1443</v>
      </c>
      <c r="C379" s="4" t="s">
        <v>601</v>
      </c>
      <c r="D379" s="4" t="s">
        <v>601</v>
      </c>
      <c r="E379" s="4" t="s">
        <v>602</v>
      </c>
      <c r="F379" s="4" t="s">
        <v>1026</v>
      </c>
      <c r="G379" s="14">
        <v>63.02</v>
      </c>
      <c r="H379" s="10">
        <v>19.780158</v>
      </c>
      <c r="I379" s="10">
        <v>43.796644999999998</v>
      </c>
      <c r="J379" s="10">
        <v>1.844967</v>
      </c>
      <c r="K379" s="15">
        <v>3.5226E-2</v>
      </c>
      <c r="L379" s="17">
        <v>10677.838191999999</v>
      </c>
      <c r="M379" s="4" t="s">
        <v>1444</v>
      </c>
      <c r="N379" s="19">
        <v>1.438923</v>
      </c>
      <c r="O379" s="19">
        <v>1.4756</v>
      </c>
      <c r="P379" s="19">
        <v>1</v>
      </c>
      <c r="Q379" s="19">
        <v>1.3922000000000001</v>
      </c>
      <c r="R379" s="19">
        <v>1.42</v>
      </c>
      <c r="S379" s="19">
        <v>1.5489999999999999</v>
      </c>
      <c r="T379" s="19">
        <v>1.42</v>
      </c>
      <c r="U379" s="19">
        <v>1.1554</v>
      </c>
      <c r="V379" s="19">
        <v>1.7957669999999999</v>
      </c>
      <c r="W379" s="19">
        <v>0.99760000000000004</v>
      </c>
      <c r="X379" s="19">
        <v>1.7957669999999999</v>
      </c>
      <c r="Y379" s="19">
        <v>0.99760000000000004</v>
      </c>
      <c r="Z379" s="4"/>
      <c r="AA379" s="4"/>
      <c r="AB379" s="4" t="e">
        <f ca="1">_xll.ciqfunctions.udf.CIQ("^SPX", "IQ_PRICEDATE", "6/24/2015")</f>
        <v>#NAME?</v>
      </c>
      <c r="AC379" s="16">
        <v>2108.5780593228001</v>
      </c>
    </row>
    <row r="380" spans="1:29" x14ac:dyDescent="0.35">
      <c r="A380" s="2" t="s">
        <v>390</v>
      </c>
      <c r="B380" s="4" t="s">
        <v>1445</v>
      </c>
      <c r="C380" s="4" t="s">
        <v>530</v>
      </c>
      <c r="D380" s="4" t="s">
        <v>537</v>
      </c>
      <c r="E380" s="4" t="s">
        <v>538</v>
      </c>
      <c r="F380" s="4" t="s">
        <v>538</v>
      </c>
      <c r="G380" s="14">
        <v>399.06</v>
      </c>
      <c r="H380" s="10">
        <v>17.321949</v>
      </c>
      <c r="I380" s="10">
        <v>28.973458999999998</v>
      </c>
      <c r="J380" s="10">
        <v>5.9860939999999996</v>
      </c>
      <c r="K380" s="15">
        <v>0</v>
      </c>
      <c r="L380" s="17">
        <v>43076.569212000002</v>
      </c>
      <c r="M380" s="4" t="s">
        <v>1446</v>
      </c>
      <c r="N380" s="19">
        <v>13.773294999999999</v>
      </c>
      <c r="O380" s="19">
        <v>20.823799999999999</v>
      </c>
      <c r="P380" s="19">
        <v>10.34</v>
      </c>
      <c r="Q380" s="19">
        <v>16.898900000000001</v>
      </c>
      <c r="R380" s="19">
        <v>7.6990809999999996</v>
      </c>
      <c r="S380" s="19">
        <v>13.571300000000001</v>
      </c>
      <c r="T380" s="19">
        <v>7.6990809999999996</v>
      </c>
      <c r="U380" s="19">
        <v>14.7066</v>
      </c>
      <c r="V380" s="19">
        <v>2.98</v>
      </c>
      <c r="W380" s="19">
        <v>10.794</v>
      </c>
      <c r="X380" s="19">
        <v>2.98</v>
      </c>
      <c r="Y380" s="19">
        <v>10.794</v>
      </c>
      <c r="Z380" s="4"/>
      <c r="AA380" s="4"/>
      <c r="AB380" s="4" t="e">
        <f ca="1">_xll.ciqfunctions.udf.CIQ("^SPX", "IQ_PRICEDATE", "6/25/2015")</f>
        <v>#NAME?</v>
      </c>
      <c r="AC380" s="16">
        <v>2102.3120563614002</v>
      </c>
    </row>
    <row r="381" spans="1:29" x14ac:dyDescent="0.35">
      <c r="A381" s="2" t="s">
        <v>391</v>
      </c>
      <c r="B381" s="4" t="s">
        <v>1447</v>
      </c>
      <c r="C381" s="4" t="s">
        <v>573</v>
      </c>
      <c r="D381" s="4" t="s">
        <v>737</v>
      </c>
      <c r="E381" s="4" t="s">
        <v>737</v>
      </c>
      <c r="F381" s="4" t="s">
        <v>743</v>
      </c>
      <c r="G381" s="14">
        <v>17.329999999999998</v>
      </c>
      <c r="H381" s="10">
        <v>0</v>
      </c>
      <c r="I381" s="10">
        <v>14.460537</v>
      </c>
      <c r="J381" s="10">
        <v>1.9513240000000001</v>
      </c>
      <c r="K381" s="15">
        <v>3.2313000000000001E-2</v>
      </c>
      <c r="L381" s="17">
        <v>19105.808375000001</v>
      </c>
      <c r="M381" s="4" t="s">
        <v>1448</v>
      </c>
      <c r="N381" s="19">
        <v>1.198434</v>
      </c>
      <c r="O381" s="19">
        <v>1.4888999999999999</v>
      </c>
      <c r="P381" s="19">
        <v>1</v>
      </c>
      <c r="Q381" s="19">
        <v>1.1037999999999999</v>
      </c>
      <c r="R381" s="19">
        <v>0.87</v>
      </c>
      <c r="S381" s="19">
        <v>0.94189999999999996</v>
      </c>
      <c r="T381" s="19">
        <v>0.87</v>
      </c>
      <c r="U381" s="19">
        <v>0.82430000000000003</v>
      </c>
      <c r="V381" s="19">
        <v>0.78</v>
      </c>
      <c r="W381" s="19">
        <v>0.85</v>
      </c>
      <c r="X381" s="19">
        <v>0.78</v>
      </c>
      <c r="Y381" s="19">
        <v>0.85</v>
      </c>
      <c r="Z381" s="4"/>
      <c r="AA381" s="4"/>
      <c r="AB381" s="4" t="e">
        <f ca="1">_xll.ciqfunctions.udf.CIQ("^SPX", "IQ_PRICEDATE", "6/26/2015")</f>
        <v>#NAME?</v>
      </c>
      <c r="AC381" s="16">
        <v>2101.4873869614999</v>
      </c>
    </row>
    <row r="382" spans="1:29" x14ac:dyDescent="0.35">
      <c r="A382" s="2" t="s">
        <v>392</v>
      </c>
      <c r="B382" s="4" t="s">
        <v>1449</v>
      </c>
      <c r="C382" s="4" t="s">
        <v>525</v>
      </c>
      <c r="D382" s="4" t="s">
        <v>855</v>
      </c>
      <c r="E382" s="4" t="s">
        <v>856</v>
      </c>
      <c r="F382" s="4" t="s">
        <v>1450</v>
      </c>
      <c r="G382" s="14">
        <v>71.959999999999994</v>
      </c>
      <c r="H382" s="10">
        <v>11.416579</v>
      </c>
      <c r="I382" s="10">
        <v>17.679811999999998</v>
      </c>
      <c r="J382" s="10" t="s">
        <v>534</v>
      </c>
      <c r="K382" s="15">
        <v>2.0844000000000001E-2</v>
      </c>
      <c r="L382" s="17">
        <v>23430.175999999999</v>
      </c>
      <c r="M382" s="4" t="s">
        <v>1451</v>
      </c>
      <c r="N382" s="19">
        <v>4.0701790000000004</v>
      </c>
      <c r="O382" s="19">
        <v>3.1497000000000002</v>
      </c>
      <c r="P382" s="19">
        <v>3.77</v>
      </c>
      <c r="Q382" s="19">
        <v>2.5028999999999999</v>
      </c>
      <c r="R382" s="19">
        <v>1.78</v>
      </c>
      <c r="S382" s="19">
        <v>2.3121999999999998</v>
      </c>
      <c r="T382" s="19">
        <v>1.78</v>
      </c>
      <c r="U382" s="19">
        <v>2.1122999999999998</v>
      </c>
      <c r="V382" s="19">
        <v>1.53</v>
      </c>
      <c r="W382" s="19">
        <v>2.0036</v>
      </c>
      <c r="X382" s="19">
        <v>1.53</v>
      </c>
      <c r="Y382" s="19">
        <v>2.0036</v>
      </c>
      <c r="Z382" s="4"/>
      <c r="AA382" s="4"/>
      <c r="AB382" s="4" t="e">
        <f ca="1">_xll.ciqfunctions.udf.CIQ("^SPX", "IQ_PRICEDATE", "6/29/2015")</f>
        <v>#NAME?</v>
      </c>
      <c r="AC382" s="16">
        <v>2057.6410918902002</v>
      </c>
    </row>
    <row r="383" spans="1:29" x14ac:dyDescent="0.35">
      <c r="A383" s="2" t="s">
        <v>393</v>
      </c>
      <c r="B383" s="4" t="s">
        <v>1452</v>
      </c>
      <c r="C383" s="4" t="s">
        <v>530</v>
      </c>
      <c r="D383" s="4" t="s">
        <v>531</v>
      </c>
      <c r="E383" s="4" t="s">
        <v>532</v>
      </c>
      <c r="F383" s="4" t="s">
        <v>533</v>
      </c>
      <c r="G383" s="14">
        <v>106.66</v>
      </c>
      <c r="H383" s="10">
        <v>22.510649999999998</v>
      </c>
      <c r="I383" s="10">
        <v>48.703195999999998</v>
      </c>
      <c r="J383" s="10">
        <v>19.640149999999998</v>
      </c>
      <c r="K383" s="15">
        <v>1.3875E-2</v>
      </c>
      <c r="L383" s="17">
        <v>15219.508988</v>
      </c>
      <c r="M383" s="4" t="s">
        <v>1453</v>
      </c>
      <c r="N383" s="19">
        <v>2.19</v>
      </c>
      <c r="O383" s="19">
        <v>3.7151100000000001</v>
      </c>
      <c r="P383" s="19">
        <v>1.987322</v>
      </c>
      <c r="Q383" s="19">
        <v>3.1392000000000002</v>
      </c>
      <c r="R383" s="19">
        <v>2.3097089999999998</v>
      </c>
      <c r="S383" s="19">
        <v>2.82</v>
      </c>
      <c r="T383" s="19">
        <v>2.3097089999999998</v>
      </c>
      <c r="U383" s="19">
        <v>2.7869999999999999</v>
      </c>
      <c r="V383" s="19">
        <v>2.4607209999999999</v>
      </c>
      <c r="W383" s="19">
        <v>2.6614</v>
      </c>
      <c r="X383" s="19">
        <v>2.4607209999999999</v>
      </c>
      <c r="Y383" s="19">
        <v>2.6614</v>
      </c>
      <c r="Z383" s="4"/>
      <c r="AA383" s="4"/>
      <c r="AB383" s="4" t="e">
        <f ca="1">_xll.ciqfunctions.udf.CIQ("^SPX", "IQ_PRICEDATE", "6/30/2015")</f>
        <v>#NAME?</v>
      </c>
      <c r="AC383" s="16">
        <v>2063.1118322236998</v>
      </c>
    </row>
    <row r="384" spans="1:29" x14ac:dyDescent="0.35">
      <c r="A384" s="2" t="s">
        <v>394</v>
      </c>
      <c r="B384" s="4" t="s">
        <v>1454</v>
      </c>
      <c r="C384" s="4" t="s">
        <v>525</v>
      </c>
      <c r="D384" s="4" t="s">
        <v>855</v>
      </c>
      <c r="E384" s="4" t="s">
        <v>990</v>
      </c>
      <c r="F384" s="4" t="s">
        <v>1455</v>
      </c>
      <c r="G384" s="14">
        <v>64.55</v>
      </c>
      <c r="H384" s="10">
        <v>12.243043999999999</v>
      </c>
      <c r="I384" s="10">
        <v>23.514814000000001</v>
      </c>
      <c r="J384" s="10">
        <v>8.7478300000000004</v>
      </c>
      <c r="K384" s="15">
        <v>1.7350000000000001E-2</v>
      </c>
      <c r="L384" s="17">
        <v>7768.2052000000003</v>
      </c>
      <c r="M384" s="4" t="s">
        <v>1456</v>
      </c>
      <c r="N384" s="19">
        <v>2.7450779999999999</v>
      </c>
      <c r="O384" s="19">
        <v>3.6137000000000001</v>
      </c>
      <c r="P384" s="19">
        <v>2.33</v>
      </c>
      <c r="Q384" s="19">
        <v>3.0674000000000001</v>
      </c>
      <c r="R384" s="19">
        <v>2.67</v>
      </c>
      <c r="S384" s="19">
        <v>2.7521</v>
      </c>
      <c r="T384" s="19">
        <v>2.67</v>
      </c>
      <c r="U384" s="19">
        <v>2.9569999999999999</v>
      </c>
      <c r="V384" s="19">
        <v>2.2599999999999998</v>
      </c>
      <c r="W384" s="19">
        <v>2.5206</v>
      </c>
      <c r="X384" s="19">
        <v>2.2599999999999998</v>
      </c>
      <c r="Y384" s="19">
        <v>2.5206</v>
      </c>
      <c r="Z384" s="4"/>
      <c r="AA384" s="4"/>
      <c r="AB384" s="4" t="e">
        <f ca="1">_xll.ciqfunctions.udf.CIQ("^SPX", "IQ_PRICEDATE", "7/1/2015")</f>
        <v>#NAME?</v>
      </c>
      <c r="AC384" s="16">
        <v>2077.4243417120001</v>
      </c>
    </row>
    <row r="385" spans="1:29" x14ac:dyDescent="0.35">
      <c r="A385" s="2" t="s">
        <v>395</v>
      </c>
      <c r="B385" s="4" t="s">
        <v>1457</v>
      </c>
      <c r="C385" s="4" t="s">
        <v>525</v>
      </c>
      <c r="D385" s="4" t="s">
        <v>526</v>
      </c>
      <c r="E385" s="4" t="s">
        <v>658</v>
      </c>
      <c r="F385" s="4" t="s">
        <v>659</v>
      </c>
      <c r="G385" s="14">
        <v>171.52</v>
      </c>
      <c r="H385" s="10">
        <v>15.32572</v>
      </c>
      <c r="I385" s="10">
        <v>55.878953000000003</v>
      </c>
      <c r="J385" s="10">
        <v>147.522639</v>
      </c>
      <c r="K385" s="15">
        <v>2.1455000000000002E-2</v>
      </c>
      <c r="L385" s="17">
        <v>21125.235586999999</v>
      </c>
      <c r="M385" s="4" t="s">
        <v>1458</v>
      </c>
      <c r="N385" s="19">
        <v>3.0694919999999999</v>
      </c>
      <c r="O385" s="19">
        <v>8.7108000000000008</v>
      </c>
      <c r="P385" s="19">
        <v>2.8949769999999999</v>
      </c>
      <c r="Q385" s="19">
        <v>7.4127400000000003</v>
      </c>
      <c r="R385" s="19">
        <v>5.8084829999999998</v>
      </c>
      <c r="S385" s="19">
        <v>6.0611100000000002</v>
      </c>
      <c r="T385" s="19">
        <v>5.8084829999999998</v>
      </c>
      <c r="U385" s="19">
        <v>6.0425500000000003</v>
      </c>
      <c r="V385" s="19">
        <v>6.0596209999999999</v>
      </c>
      <c r="W385" s="19">
        <v>6.7373399999999997</v>
      </c>
      <c r="X385" s="19">
        <v>6.0596209999999999</v>
      </c>
      <c r="Y385" s="19">
        <v>6.7373399999999997</v>
      </c>
      <c r="Z385" s="4"/>
      <c r="AA385" s="4"/>
      <c r="AB385" s="4" t="e">
        <f ca="1">_xll.ciqfunctions.udf.CIQ("^SPX", "IQ_PRICEDATE", "7/2/2015")</f>
        <v>#NAME?</v>
      </c>
      <c r="AC385" s="16">
        <v>2076.7757002570002</v>
      </c>
    </row>
    <row r="386" spans="1:29" x14ac:dyDescent="0.35">
      <c r="A386" s="2" t="s">
        <v>396</v>
      </c>
      <c r="B386" s="4" t="s">
        <v>1459</v>
      </c>
      <c r="C386" s="4" t="s">
        <v>525</v>
      </c>
      <c r="D386" s="4" t="s">
        <v>526</v>
      </c>
      <c r="E386" s="4" t="s">
        <v>703</v>
      </c>
      <c r="F386" s="4" t="s">
        <v>703</v>
      </c>
      <c r="G386" s="14">
        <v>133.59</v>
      </c>
      <c r="H386" s="10">
        <v>15.769275</v>
      </c>
      <c r="I386" s="10">
        <v>21.987825000000001</v>
      </c>
      <c r="J386" s="10" t="s">
        <v>534</v>
      </c>
      <c r="K386" s="15">
        <v>9.8799999999999999E-3</v>
      </c>
      <c r="L386" s="17">
        <v>21957.619340000001</v>
      </c>
      <c r="M386" s="4" t="s">
        <v>1460</v>
      </c>
      <c r="N386" s="19">
        <v>6.0756350000000001</v>
      </c>
      <c r="O386" s="19">
        <v>8.1076999999999995</v>
      </c>
      <c r="P386" s="19">
        <v>5.3962649999999996</v>
      </c>
      <c r="Q386" s="19">
        <v>6.9805999999999999</v>
      </c>
      <c r="R386" s="19">
        <v>5.6025780000000003</v>
      </c>
      <c r="S386" s="19">
        <v>5.43682</v>
      </c>
      <c r="T386" s="19">
        <v>5.6025780000000003</v>
      </c>
      <c r="U386" s="19">
        <v>5.37425</v>
      </c>
      <c r="V386" s="19">
        <v>4.7990300000000001</v>
      </c>
      <c r="W386" s="19">
        <v>5.03308</v>
      </c>
      <c r="X386" s="19">
        <v>4.7990300000000001</v>
      </c>
      <c r="Y386" s="19">
        <v>5.03308</v>
      </c>
      <c r="Z386" s="4"/>
      <c r="AA386" s="4"/>
      <c r="AB386" s="4" t="e">
        <f ca="1">_xll.ciqfunctions.udf.CIQ("^SPX", "IQ_PRICEDATE", "7/6/2015")</f>
        <v>#NAME?</v>
      </c>
      <c r="AC386" s="16">
        <v>2068.7566460202002</v>
      </c>
    </row>
    <row r="387" spans="1:29" x14ac:dyDescent="0.35">
      <c r="A387" s="2" t="s">
        <v>397</v>
      </c>
      <c r="B387" s="4" t="s">
        <v>1461</v>
      </c>
      <c r="C387" s="4" t="s">
        <v>525</v>
      </c>
      <c r="D387" s="4" t="s">
        <v>855</v>
      </c>
      <c r="E387" s="4" t="s">
        <v>856</v>
      </c>
      <c r="F387" s="4" t="s">
        <v>1450</v>
      </c>
      <c r="G387" s="14">
        <v>57.37</v>
      </c>
      <c r="H387" s="10">
        <v>34.270729000000003</v>
      </c>
      <c r="I387" s="10">
        <v>63.040145000000003</v>
      </c>
      <c r="J387" s="10">
        <v>138.66866400000001</v>
      </c>
      <c r="K387" s="15">
        <v>1.1504E-2</v>
      </c>
      <c r="L387" s="17">
        <v>12516.679269</v>
      </c>
      <c r="M387" s="4" t="s">
        <v>1462</v>
      </c>
      <c r="N387" s="19">
        <v>0.91005499999999995</v>
      </c>
      <c r="O387" s="19">
        <v>1.1359999999999999</v>
      </c>
      <c r="P387" s="19">
        <v>0.82</v>
      </c>
      <c r="Q387" s="19">
        <v>0.92649999999999999</v>
      </c>
      <c r="R387" s="19">
        <v>0.76688900000000004</v>
      </c>
      <c r="S387" s="19">
        <v>0.82320000000000004</v>
      </c>
      <c r="T387" s="19">
        <v>0.76688900000000004</v>
      </c>
      <c r="U387" s="19">
        <v>0.74860000000000004</v>
      </c>
      <c r="V387" s="19">
        <v>0.62947900000000001</v>
      </c>
      <c r="W387" s="19">
        <v>0.69330000000000003</v>
      </c>
      <c r="X387" s="19">
        <v>0.62947900000000001</v>
      </c>
      <c r="Y387" s="19">
        <v>0.69330000000000003</v>
      </c>
      <c r="Z387" s="4"/>
      <c r="AA387" s="4"/>
      <c r="AB387" s="4" t="e">
        <f ca="1">_xll.ciqfunctions.udf.CIQ("^SPX", "IQ_PRICEDATE", "7/7/2015")</f>
        <v>#NAME?</v>
      </c>
      <c r="AC387" s="16">
        <v>2081.340933767</v>
      </c>
    </row>
    <row r="388" spans="1:29" x14ac:dyDescent="0.35">
      <c r="A388" s="2" t="s">
        <v>398</v>
      </c>
      <c r="B388" s="4" t="s">
        <v>1463</v>
      </c>
      <c r="C388" s="4" t="s">
        <v>525</v>
      </c>
      <c r="D388" s="4" t="s">
        <v>526</v>
      </c>
      <c r="E388" s="4" t="s">
        <v>1077</v>
      </c>
      <c r="F388" s="4" t="s">
        <v>1077</v>
      </c>
      <c r="G388" s="14">
        <v>284.32</v>
      </c>
      <c r="H388" s="10">
        <v>20.785246000000001</v>
      </c>
      <c r="I388" s="10">
        <v>27.531662000000001</v>
      </c>
      <c r="J388" s="10" t="s">
        <v>534</v>
      </c>
      <c r="K388" s="15">
        <v>5.803E-3</v>
      </c>
      <c r="L388" s="17">
        <v>29383.158157000002</v>
      </c>
      <c r="M388" s="4" t="s">
        <v>1464</v>
      </c>
      <c r="N388" s="19">
        <v>10.327019</v>
      </c>
      <c r="O388" s="19">
        <v>11.9902</v>
      </c>
      <c r="P388" s="19">
        <v>9.39</v>
      </c>
      <c r="Q388" s="19">
        <v>9.9524000000000008</v>
      </c>
      <c r="R388" s="19">
        <v>6.43</v>
      </c>
      <c r="S388" s="19">
        <v>7.8586999999999998</v>
      </c>
      <c r="T388" s="19">
        <v>6.43</v>
      </c>
      <c r="U388" s="19">
        <v>7.2096</v>
      </c>
      <c r="V388" s="19">
        <v>6.4</v>
      </c>
      <c r="W388" s="19">
        <v>6.7225000000000001</v>
      </c>
      <c r="X388" s="19">
        <v>6.4</v>
      </c>
      <c r="Y388" s="19">
        <v>6.7225000000000001</v>
      </c>
      <c r="Z388" s="4"/>
      <c r="AA388" s="4"/>
      <c r="AB388" s="4" t="e">
        <f ca="1">_xll.ciqfunctions.udf.CIQ("^SPX", "IQ_PRICEDATE", "7/8/2015")</f>
        <v>#NAME?</v>
      </c>
      <c r="AC388" s="16">
        <v>2046.6840334527001</v>
      </c>
    </row>
    <row r="389" spans="1:29" x14ac:dyDescent="0.35">
      <c r="A389" s="2" t="s">
        <v>399</v>
      </c>
      <c r="B389" s="4" t="s">
        <v>1465</v>
      </c>
      <c r="C389" s="4" t="s">
        <v>559</v>
      </c>
      <c r="D389" s="4" t="s">
        <v>560</v>
      </c>
      <c r="E389" s="4" t="s">
        <v>561</v>
      </c>
      <c r="F389" s="4" t="s">
        <v>1051</v>
      </c>
      <c r="G389" s="14">
        <v>96.96</v>
      </c>
      <c r="H389" s="10">
        <v>14.566182</v>
      </c>
      <c r="I389" s="10">
        <v>23.878373</v>
      </c>
      <c r="J389" s="10">
        <v>11.382944999999999</v>
      </c>
      <c r="K389" s="15">
        <v>9.2820000000000003E-3</v>
      </c>
      <c r="L389" s="17">
        <v>36201.537012000001</v>
      </c>
      <c r="M389" s="4" t="s">
        <v>1466</v>
      </c>
      <c r="N389" s="19">
        <v>4.0605779999999996</v>
      </c>
      <c r="O389" s="19">
        <v>4.3414000000000001</v>
      </c>
      <c r="P389" s="19">
        <v>3.1314730000000002</v>
      </c>
      <c r="Q389" s="19">
        <v>3.5348999999999999</v>
      </c>
      <c r="R389" s="19">
        <v>2.7201879999999998</v>
      </c>
      <c r="S389" s="19">
        <v>3.0390999999999999</v>
      </c>
      <c r="T389" s="19">
        <v>2.7201879999999998</v>
      </c>
      <c r="U389" s="19">
        <v>2.6808000000000001</v>
      </c>
      <c r="V389" s="19">
        <v>2.1200749999999999</v>
      </c>
      <c r="W389" s="19">
        <v>2.3216999999999999</v>
      </c>
      <c r="X389" s="19">
        <v>2.1200749999999999</v>
      </c>
      <c r="Y389" s="19">
        <v>2.3216999999999999</v>
      </c>
      <c r="Z389" s="4"/>
      <c r="AA389" s="4"/>
      <c r="AB389" s="4" t="e">
        <f ca="1">_xll.ciqfunctions.udf.CIQ("^SPX", "IQ_PRICEDATE", "7/9/2015")</f>
        <v>#NAME?</v>
      </c>
      <c r="AC389" s="16">
        <v>2051.3113582238002</v>
      </c>
    </row>
    <row r="390" spans="1:29" x14ac:dyDescent="0.35">
      <c r="A390" s="2" t="s">
        <v>400</v>
      </c>
      <c r="B390" s="4" t="s">
        <v>1467</v>
      </c>
      <c r="C390" s="4" t="s">
        <v>559</v>
      </c>
      <c r="D390" s="4" t="s">
        <v>798</v>
      </c>
      <c r="E390" s="4" t="s">
        <v>799</v>
      </c>
      <c r="F390" s="4" t="s">
        <v>800</v>
      </c>
      <c r="G390" s="14">
        <v>120.59</v>
      </c>
      <c r="H390" s="10">
        <v>11.372239</v>
      </c>
      <c r="I390" s="10">
        <v>14.996243</v>
      </c>
      <c r="J390" s="10">
        <v>2.4207719999999999</v>
      </c>
      <c r="K390" s="15">
        <v>2.3219E-2</v>
      </c>
      <c r="L390" s="17">
        <v>25199.695435000001</v>
      </c>
      <c r="M390" s="4" t="s">
        <v>1468</v>
      </c>
      <c r="N390" s="19">
        <v>8.041347</v>
      </c>
      <c r="O390" s="19">
        <v>9.2256</v>
      </c>
      <c r="P390" s="19">
        <v>7.53</v>
      </c>
      <c r="Q390" s="19">
        <v>8.1911000000000005</v>
      </c>
      <c r="R390" s="19">
        <v>5.93</v>
      </c>
      <c r="S390" s="19">
        <v>6.5033000000000003</v>
      </c>
      <c r="T390" s="19">
        <v>5.93</v>
      </c>
      <c r="U390" s="19">
        <v>5.9537000000000004</v>
      </c>
      <c r="V390" s="19">
        <v>3.43</v>
      </c>
      <c r="W390" s="19">
        <v>4.5311000000000003</v>
      </c>
      <c r="X390" s="19">
        <v>3.43</v>
      </c>
      <c r="Y390" s="19">
        <v>4.5311000000000003</v>
      </c>
      <c r="Z390" s="4"/>
      <c r="AA390" s="4"/>
      <c r="AB390" s="4" t="e">
        <f ca="1">_xll.ciqfunctions.udf.CIQ("^SPX", "IQ_PRICEDATE", "7/10/2015")</f>
        <v>#NAME?</v>
      </c>
      <c r="AC390" s="16">
        <v>2076.6183523557002</v>
      </c>
    </row>
    <row r="391" spans="1:29" x14ac:dyDescent="0.35">
      <c r="A391" s="2" t="s">
        <v>401</v>
      </c>
      <c r="B391" s="4" t="s">
        <v>1469</v>
      </c>
      <c r="C391" s="4" t="s">
        <v>573</v>
      </c>
      <c r="D391" s="4" t="s">
        <v>574</v>
      </c>
      <c r="E391" s="4" t="s">
        <v>575</v>
      </c>
      <c r="F391" s="4" t="s">
        <v>807</v>
      </c>
      <c r="G391" s="14">
        <v>190.63</v>
      </c>
      <c r="H391" s="10">
        <v>16.667462</v>
      </c>
      <c r="I391" s="10">
        <v>29.930627999999999</v>
      </c>
      <c r="J391" s="10" t="s">
        <v>534</v>
      </c>
      <c r="K391" s="15">
        <v>1.0490999999999999E-2</v>
      </c>
      <c r="L391" s="17">
        <v>47943.445</v>
      </c>
      <c r="M391" s="4" t="s">
        <v>1470</v>
      </c>
      <c r="N391" s="19">
        <v>6.3690610000000003</v>
      </c>
      <c r="O391" s="19">
        <v>8.9459</v>
      </c>
      <c r="P391" s="19">
        <v>5.78</v>
      </c>
      <c r="Q391" s="19">
        <v>7.0751999999999997</v>
      </c>
      <c r="R391" s="19">
        <v>7.94</v>
      </c>
      <c r="S391" s="19">
        <v>5.6291000000000002</v>
      </c>
      <c r="T391" s="19">
        <v>7.94</v>
      </c>
      <c r="U391" s="19">
        <v>4.7160000000000002</v>
      </c>
      <c r="V391" s="19">
        <v>-1.08</v>
      </c>
      <c r="W391" s="19">
        <v>4.1563999999999997</v>
      </c>
      <c r="X391" s="19">
        <v>-1.08</v>
      </c>
      <c r="Y391" s="19">
        <v>4.1563999999999997</v>
      </c>
      <c r="Z391" s="4"/>
      <c r="AA391" s="4"/>
      <c r="AB391" s="4" t="e">
        <f ca="1">_xll.ciqfunctions.udf.CIQ("^SPX", "IQ_PRICEDATE", "7/13/2015")</f>
        <v>#NAME?</v>
      </c>
      <c r="AC391" s="16">
        <v>2099.5991931722001</v>
      </c>
    </row>
    <row r="392" spans="1:29" x14ac:dyDescent="0.35">
      <c r="A392" s="2" t="s">
        <v>402</v>
      </c>
      <c r="B392" s="4" t="s">
        <v>1471</v>
      </c>
      <c r="C392" s="4" t="s">
        <v>543</v>
      </c>
      <c r="D392" s="4" t="s">
        <v>544</v>
      </c>
      <c r="E392" s="4" t="s">
        <v>555</v>
      </c>
      <c r="F392" s="4" t="s">
        <v>556</v>
      </c>
      <c r="G392" s="14">
        <v>147.01</v>
      </c>
      <c r="H392" s="10">
        <v>101.765415</v>
      </c>
      <c r="I392" s="10">
        <v>153.290783</v>
      </c>
      <c r="J392" s="10" t="s">
        <v>534</v>
      </c>
      <c r="K392" s="15">
        <v>0</v>
      </c>
      <c r="L392" s="17">
        <v>111242.467</v>
      </c>
      <c r="M392" s="4" t="s">
        <v>1472</v>
      </c>
      <c r="N392" s="19">
        <v>0.95902699999999996</v>
      </c>
      <c r="O392" s="19">
        <v>2.3761000000000001</v>
      </c>
      <c r="P392" s="19">
        <v>6.5492999999999996E-2</v>
      </c>
      <c r="Q392" s="19">
        <v>1.5885</v>
      </c>
      <c r="R392" s="19">
        <v>0.29475400000000002</v>
      </c>
      <c r="S392" s="19">
        <v>1.1863999999999999</v>
      </c>
      <c r="T392" s="19">
        <v>0.29475400000000002</v>
      </c>
      <c r="U392" s="19">
        <v>0.90739999999999998</v>
      </c>
      <c r="V392" s="19">
        <v>-0.51642699999999997</v>
      </c>
      <c r="W392" s="19">
        <v>0.63560000000000005</v>
      </c>
      <c r="X392" s="19">
        <v>-0.51642699999999997</v>
      </c>
      <c r="Y392" s="19">
        <v>0.63560000000000005</v>
      </c>
      <c r="Z392" s="4"/>
      <c r="AA392" s="4"/>
      <c r="AB392" s="4" t="e">
        <f ca="1">_xll.ciqfunctions.udf.CIQ("^SPX", "IQ_PRICEDATE", "7/14/2015")</f>
        <v>#NAME?</v>
      </c>
      <c r="AC392" s="16">
        <v>2108.9549682367001</v>
      </c>
    </row>
    <row r="393" spans="1:29" x14ac:dyDescent="0.35">
      <c r="A393" s="2" t="s">
        <v>403</v>
      </c>
      <c r="B393" s="4" t="s">
        <v>1473</v>
      </c>
      <c r="C393" s="4" t="s">
        <v>601</v>
      </c>
      <c r="D393" s="4" t="s">
        <v>601</v>
      </c>
      <c r="E393" s="4" t="s">
        <v>602</v>
      </c>
      <c r="F393" s="4" t="s">
        <v>647</v>
      </c>
      <c r="G393" s="14">
        <v>152.34</v>
      </c>
      <c r="H393" s="10">
        <v>22.840526000000001</v>
      </c>
      <c r="I393" s="10" t="s">
        <v>534</v>
      </c>
      <c r="J393" s="10" t="s">
        <v>534</v>
      </c>
      <c r="K393" s="15">
        <v>0</v>
      </c>
      <c r="L393" s="17">
        <v>17495.386602999999</v>
      </c>
      <c r="M393" s="4" t="s">
        <v>1474</v>
      </c>
      <c r="N393" s="19">
        <v>0.26447799999999999</v>
      </c>
      <c r="O393" s="19">
        <v>1.1674</v>
      </c>
      <c r="P393" s="19">
        <v>0.86</v>
      </c>
      <c r="Q393" s="19">
        <v>1.0752999999999999</v>
      </c>
      <c r="R393" s="19">
        <v>0.61</v>
      </c>
      <c r="S393" s="19">
        <v>1.004</v>
      </c>
      <c r="T393" s="19">
        <v>0.61</v>
      </c>
      <c r="U393" s="19">
        <v>0.47020000000000001</v>
      </c>
      <c r="V393" s="19">
        <v>-0.19</v>
      </c>
      <c r="W393" s="19">
        <v>-3.3500000000000002E-2</v>
      </c>
      <c r="X393" s="19">
        <v>-0.19</v>
      </c>
      <c r="Y393" s="19">
        <v>-3.3500000000000002E-2</v>
      </c>
      <c r="Z393" s="4"/>
      <c r="AA393" s="4"/>
      <c r="AB393" s="4" t="e">
        <f ca="1">_xll.ciqfunctions.udf.CIQ("^SPX", "IQ_PRICEDATE", "7/15/2015")</f>
        <v>#NAME?</v>
      </c>
      <c r="AC393" s="16">
        <v>2107.4030475322002</v>
      </c>
    </row>
    <row r="394" spans="1:29" x14ac:dyDescent="0.35">
      <c r="A394" s="2" t="s">
        <v>404</v>
      </c>
      <c r="B394" s="4" t="s">
        <v>1475</v>
      </c>
      <c r="C394" s="4" t="s">
        <v>619</v>
      </c>
      <c r="D394" s="4" t="s">
        <v>619</v>
      </c>
      <c r="E394" s="4" t="s">
        <v>634</v>
      </c>
      <c r="F394" s="4" t="s">
        <v>634</v>
      </c>
      <c r="G394" s="14">
        <v>40.08</v>
      </c>
      <c r="H394" s="10">
        <v>9.1816010000000006</v>
      </c>
      <c r="I394" s="10" t="s">
        <v>534</v>
      </c>
      <c r="J394" s="10">
        <v>1.114965</v>
      </c>
      <c r="K394" s="15">
        <v>1.2345E-2</v>
      </c>
      <c r="L394" s="17">
        <v>5716.4266729999999</v>
      </c>
      <c r="M394" s="4" t="s">
        <v>1476</v>
      </c>
      <c r="N394" s="19">
        <v>-1.636363</v>
      </c>
      <c r="O394" s="19">
        <v>2.9784999999999999</v>
      </c>
      <c r="P394" s="19">
        <v>-0.83216699999999999</v>
      </c>
      <c r="Q394" s="19">
        <v>3.4148000000000001</v>
      </c>
      <c r="R394" s="19">
        <v>4.16</v>
      </c>
      <c r="S394" s="19">
        <v>4.1891999999999996</v>
      </c>
      <c r="T394" s="19">
        <v>4.16</v>
      </c>
      <c r="U394" s="19">
        <v>3.9243999999999999</v>
      </c>
      <c r="V394" s="19">
        <v>3.79</v>
      </c>
      <c r="W394" s="19">
        <v>3.722</v>
      </c>
      <c r="X394" s="19">
        <v>3.79</v>
      </c>
      <c r="Y394" s="19">
        <v>3.722</v>
      </c>
      <c r="Z394" s="4"/>
      <c r="AA394" s="4"/>
      <c r="AB394" s="4" t="e">
        <f ca="1">_xll.ciqfunctions.udf.CIQ("^SPX", "IQ_PRICEDATE", "7/16/2015")</f>
        <v>#NAME?</v>
      </c>
      <c r="AC394" s="16">
        <v>2124.2864594386001</v>
      </c>
    </row>
    <row r="395" spans="1:29" x14ac:dyDescent="0.35">
      <c r="A395" s="2" t="s">
        <v>405</v>
      </c>
      <c r="B395" s="4" t="s">
        <v>1477</v>
      </c>
      <c r="C395" s="4" t="s">
        <v>669</v>
      </c>
      <c r="D395" s="4" t="s">
        <v>669</v>
      </c>
      <c r="E395" s="4" t="s">
        <v>730</v>
      </c>
      <c r="F395" s="4" t="s">
        <v>731</v>
      </c>
      <c r="G395" s="14">
        <v>59.24</v>
      </c>
      <c r="H395" s="10">
        <v>13.833671000000001</v>
      </c>
      <c r="I395" s="10" t="s">
        <v>534</v>
      </c>
      <c r="J395" s="10">
        <v>51.732027000000002</v>
      </c>
      <c r="K395" s="15">
        <v>3.3759999999999998E-2</v>
      </c>
      <c r="L395" s="17">
        <v>81995.204287999994</v>
      </c>
      <c r="M395" s="4" t="s">
        <v>1478</v>
      </c>
      <c r="N395" s="19">
        <v>-0.544929</v>
      </c>
      <c r="O395" s="19">
        <v>1.9111</v>
      </c>
      <c r="P395" s="19">
        <v>-1.084293</v>
      </c>
      <c r="Q395" s="19">
        <v>1.9665999999999999</v>
      </c>
      <c r="R395" s="19">
        <v>-1.2431829999999999</v>
      </c>
      <c r="S395" s="19">
        <v>1.5141</v>
      </c>
      <c r="T395" s="19">
        <v>-1.2431829999999999</v>
      </c>
      <c r="U395" s="19">
        <v>2.4939</v>
      </c>
      <c r="V395" s="19">
        <v>4.3099999999999996</v>
      </c>
      <c r="W395" s="19">
        <v>5.3281000000000001</v>
      </c>
      <c r="X395" s="19">
        <v>4.3099999999999996</v>
      </c>
      <c r="Y395" s="19">
        <v>5.3281000000000001</v>
      </c>
      <c r="Z395" s="4"/>
      <c r="AA395" s="4"/>
      <c r="AB395" s="4" t="e">
        <f ca="1">_xll.ciqfunctions.udf.CIQ("^SPX", "IQ_PRICEDATE", "7/17/2015")</f>
        <v>#NAME?</v>
      </c>
      <c r="AC395" s="16">
        <v>2126.6439439241999</v>
      </c>
    </row>
    <row r="396" spans="1:29" x14ac:dyDescent="0.35">
      <c r="A396" s="2" t="s">
        <v>406</v>
      </c>
      <c r="B396" s="4" t="s">
        <v>1479</v>
      </c>
      <c r="C396" s="4" t="s">
        <v>543</v>
      </c>
      <c r="D396" s="4" t="s">
        <v>664</v>
      </c>
      <c r="E396" s="4" t="s">
        <v>688</v>
      </c>
      <c r="F396" s="4" t="s">
        <v>688</v>
      </c>
      <c r="G396" s="14">
        <v>44.12</v>
      </c>
      <c r="H396" s="10">
        <v>6.7305109999999999</v>
      </c>
      <c r="I396" s="10">
        <v>10.893827</v>
      </c>
      <c r="J396" s="10">
        <v>52.791538000000003</v>
      </c>
      <c r="K396" s="15">
        <v>5.7116E-2</v>
      </c>
      <c r="L396" s="17">
        <v>12702.629790000001</v>
      </c>
      <c r="M396" s="4" t="s">
        <v>1480</v>
      </c>
      <c r="N396" s="19">
        <v>4.05</v>
      </c>
      <c r="O396" s="19">
        <v>6.1776299999999997</v>
      </c>
      <c r="P396" s="19">
        <v>2.1981009999999999</v>
      </c>
      <c r="Q396" s="19">
        <v>4.0801999999999996</v>
      </c>
      <c r="R396" s="19">
        <v>1.7144900000000001</v>
      </c>
      <c r="S396" s="19">
        <v>3.7997000000000001</v>
      </c>
      <c r="T396" s="19">
        <v>1.7144900000000001</v>
      </c>
      <c r="U396" s="19">
        <v>3.496</v>
      </c>
      <c r="V396" s="19">
        <v>4.487457</v>
      </c>
      <c r="W396" s="19">
        <v>5.2712000000000003</v>
      </c>
      <c r="X396" s="19">
        <v>4.487457</v>
      </c>
      <c r="Y396" s="19">
        <v>5.2712000000000003</v>
      </c>
      <c r="Z396" s="4"/>
      <c r="AA396" s="4"/>
      <c r="AB396" s="4" t="e">
        <f ca="1">_xll.ciqfunctions.udf.CIQ("^SPX", "IQ_PRICEDATE", "7/20/2015")</f>
        <v>#NAME?</v>
      </c>
      <c r="AC396" s="16">
        <v>2128.2835669705</v>
      </c>
    </row>
    <row r="397" spans="1:29" x14ac:dyDescent="0.35">
      <c r="A397" s="2" t="s">
        <v>407</v>
      </c>
      <c r="B397" s="4" t="s">
        <v>1481</v>
      </c>
      <c r="C397" s="4" t="s">
        <v>586</v>
      </c>
      <c r="D397" s="4" t="s">
        <v>586</v>
      </c>
      <c r="E397" s="4" t="s">
        <v>726</v>
      </c>
      <c r="F397" s="4" t="s">
        <v>727</v>
      </c>
      <c r="G397" s="14">
        <v>35.28</v>
      </c>
      <c r="H397" s="10">
        <v>11.106391</v>
      </c>
      <c r="I397" s="10" t="s">
        <v>534</v>
      </c>
      <c r="J397" s="10" t="s">
        <v>534</v>
      </c>
      <c r="K397" s="15">
        <v>1.814E-2</v>
      </c>
      <c r="L397" s="17">
        <v>5602.9004139999997</v>
      </c>
      <c r="M397" s="4" t="s">
        <v>1482</v>
      </c>
      <c r="N397" s="19">
        <v>-0.245777</v>
      </c>
      <c r="O397" s="19">
        <v>2.6915</v>
      </c>
      <c r="P397" s="19">
        <v>0.30852800000000002</v>
      </c>
      <c r="Q397" s="19">
        <v>2.3214000000000001</v>
      </c>
      <c r="R397" s="19">
        <v>1.4757199999999999</v>
      </c>
      <c r="S397" s="19">
        <v>2.8933</v>
      </c>
      <c r="T397" s="19">
        <v>1.4757199999999999</v>
      </c>
      <c r="U397" s="19">
        <v>2.4399000000000002</v>
      </c>
      <c r="V397" s="19">
        <v>1.1996249999999999</v>
      </c>
      <c r="W397" s="19">
        <v>1.9958</v>
      </c>
      <c r="X397" s="19">
        <v>1.1996249999999999</v>
      </c>
      <c r="Y397" s="19">
        <v>1.9958</v>
      </c>
      <c r="Z397" s="4"/>
      <c r="AA397" s="4"/>
      <c r="AB397" s="4" t="e">
        <f ca="1">_xll.ciqfunctions.udf.CIQ("^SPX", "IQ_PRICEDATE", "7/21/2015")</f>
        <v>#NAME?</v>
      </c>
      <c r="AC397" s="16">
        <v>2119.2099513663002</v>
      </c>
    </row>
    <row r="398" spans="1:29" x14ac:dyDescent="0.35">
      <c r="A398" s="2" t="s">
        <v>408</v>
      </c>
      <c r="B398" s="4" t="s">
        <v>1483</v>
      </c>
      <c r="C398" s="4" t="s">
        <v>619</v>
      </c>
      <c r="D398" s="4" t="s">
        <v>619</v>
      </c>
      <c r="E398" s="4" t="s">
        <v>634</v>
      </c>
      <c r="F398" s="4" t="s">
        <v>634</v>
      </c>
      <c r="G398" s="14">
        <v>115.3</v>
      </c>
      <c r="H398" s="10">
        <v>16.099806000000001</v>
      </c>
      <c r="I398" s="10" t="s">
        <v>534</v>
      </c>
      <c r="J398" s="10">
        <v>2.7174070000000001</v>
      </c>
      <c r="K398" s="15">
        <v>3.1049000000000004E-2</v>
      </c>
      <c r="L398" s="17">
        <v>31529.758938999999</v>
      </c>
      <c r="M398" s="4" t="s">
        <v>1484</v>
      </c>
      <c r="N398" s="19">
        <v>-2.5682659999999999</v>
      </c>
      <c r="O398" s="19">
        <v>5.6677</v>
      </c>
      <c r="P398" s="19">
        <v>1.01</v>
      </c>
      <c r="Q398" s="19">
        <v>5.4333</v>
      </c>
      <c r="R398" s="19">
        <v>5.46</v>
      </c>
      <c r="S398" s="19">
        <v>5.0349000000000004</v>
      </c>
      <c r="T398" s="19">
        <v>5.46</v>
      </c>
      <c r="U398" s="19">
        <v>5.2542999999999997</v>
      </c>
      <c r="V398" s="19">
        <v>4.63</v>
      </c>
      <c r="W398" s="19">
        <v>4.7480000000000002</v>
      </c>
      <c r="X398" s="19">
        <v>4.63</v>
      </c>
      <c r="Y398" s="19">
        <v>4.7480000000000002</v>
      </c>
      <c r="Z398" s="4"/>
      <c r="AA398" s="4"/>
      <c r="AB398" s="4" t="e">
        <f ca="1">_xll.ciqfunctions.udf.CIQ("^SPX", "IQ_PRICEDATE", "7/22/2015")</f>
        <v>#NAME?</v>
      </c>
      <c r="AC398" s="16">
        <v>2114.1512378338002</v>
      </c>
    </row>
    <row r="399" spans="1:29" x14ac:dyDescent="0.35">
      <c r="A399" s="2" t="s">
        <v>409</v>
      </c>
      <c r="B399" s="4" t="s">
        <v>1485</v>
      </c>
      <c r="C399" s="4" t="s">
        <v>601</v>
      </c>
      <c r="D399" s="4" t="s">
        <v>601</v>
      </c>
      <c r="E399" s="4" t="s">
        <v>602</v>
      </c>
      <c r="F399" s="4" t="s">
        <v>1026</v>
      </c>
      <c r="G399" s="14">
        <v>172.75</v>
      </c>
      <c r="H399" s="10">
        <v>16.715260000000001</v>
      </c>
      <c r="I399" s="10">
        <v>23.805133000000001</v>
      </c>
      <c r="J399" s="10">
        <v>16.050348</v>
      </c>
      <c r="K399" s="15">
        <v>4.6308999999999996E-2</v>
      </c>
      <c r="L399" s="17">
        <v>53417.354738000002</v>
      </c>
      <c r="M399" s="4" t="s">
        <v>1486</v>
      </c>
      <c r="N399" s="19">
        <v>7.2568380000000001</v>
      </c>
      <c r="O399" s="19">
        <v>7.2000999999999999</v>
      </c>
      <c r="P399" s="19">
        <v>6.24</v>
      </c>
      <c r="Q399" s="19">
        <v>6.5951000000000004</v>
      </c>
      <c r="R399" s="19">
        <v>5.87</v>
      </c>
      <c r="S399" s="19">
        <v>6.6962999999999999</v>
      </c>
      <c r="T399" s="19">
        <v>5.87</v>
      </c>
      <c r="U399" s="19">
        <v>5.9370000000000003</v>
      </c>
      <c r="V399" s="19">
        <v>4.4279130000000002</v>
      </c>
      <c r="W399" s="19">
        <v>5.2740999999999998</v>
      </c>
      <c r="X399" s="19">
        <v>4.4279130000000002</v>
      </c>
      <c r="Y399" s="19">
        <v>5.2740999999999998</v>
      </c>
      <c r="Z399" s="4"/>
      <c r="AA399" s="4"/>
      <c r="AB399" s="4" t="e">
        <f ca="1">_xll.ciqfunctions.udf.CIQ("^SPX", "IQ_PRICEDATE", "7/23/2015")</f>
        <v>#NAME?</v>
      </c>
      <c r="AC399" s="16">
        <v>2102.1479844647001</v>
      </c>
    </row>
    <row r="400" spans="1:29" x14ac:dyDescent="0.35">
      <c r="A400" s="2" t="s">
        <v>410</v>
      </c>
      <c r="B400" s="4" t="s">
        <v>1487</v>
      </c>
      <c r="C400" s="4" t="s">
        <v>543</v>
      </c>
      <c r="D400" s="4" t="s">
        <v>565</v>
      </c>
      <c r="E400" s="4" t="s">
        <v>565</v>
      </c>
      <c r="F400" s="4" t="s">
        <v>566</v>
      </c>
      <c r="G400" s="14">
        <v>88.38</v>
      </c>
      <c r="H400" s="10">
        <v>8.9610749999999992</v>
      </c>
      <c r="I400" s="10">
        <v>17.842344000000001</v>
      </c>
      <c r="J400" s="10">
        <v>5.057925</v>
      </c>
      <c r="K400" s="15">
        <v>1.4482E-2</v>
      </c>
      <c r="L400" s="17">
        <v>15818.388946999999</v>
      </c>
      <c r="M400" s="4" t="s">
        <v>1488</v>
      </c>
      <c r="N400" s="19">
        <v>4.9533849999999999</v>
      </c>
      <c r="O400" s="19">
        <v>7.6551</v>
      </c>
      <c r="P400" s="19">
        <v>4.413761</v>
      </c>
      <c r="Q400" s="19">
        <v>7.2417400000000001</v>
      </c>
      <c r="R400" s="19">
        <v>4.7264020000000002</v>
      </c>
      <c r="S400" s="19">
        <v>6.15604</v>
      </c>
      <c r="T400" s="19">
        <v>4.7264020000000002</v>
      </c>
      <c r="U400" s="19">
        <v>6.26959</v>
      </c>
      <c r="V400" s="19">
        <v>2.38</v>
      </c>
      <c r="W400" s="19">
        <v>4.4965000000000002</v>
      </c>
      <c r="X400" s="19">
        <v>2.38</v>
      </c>
      <c r="Y400" s="19">
        <v>4.4965000000000002</v>
      </c>
      <c r="Z400" s="4"/>
      <c r="AA400" s="4"/>
      <c r="AB400" s="4" t="e">
        <f ca="1">_xll.ciqfunctions.udf.CIQ("^SPX", "IQ_PRICEDATE", "7/24/2015")</f>
        <v>#NAME?</v>
      </c>
      <c r="AC400" s="16">
        <v>2079.6492126245998</v>
      </c>
    </row>
    <row r="401" spans="1:29" x14ac:dyDescent="0.35">
      <c r="A401" s="2" t="s">
        <v>411</v>
      </c>
      <c r="B401" s="4" t="s">
        <v>1489</v>
      </c>
      <c r="C401" s="4" t="s">
        <v>601</v>
      </c>
      <c r="D401" s="4" t="s">
        <v>601</v>
      </c>
      <c r="E401" s="4" t="s">
        <v>602</v>
      </c>
      <c r="F401" s="4" t="s">
        <v>603</v>
      </c>
      <c r="G401" s="14">
        <v>92.17</v>
      </c>
      <c r="H401" s="10">
        <v>20.455514999999998</v>
      </c>
      <c r="I401" s="10">
        <v>26.907028</v>
      </c>
      <c r="J401" s="10">
        <v>1.3171660000000001</v>
      </c>
      <c r="K401" s="15">
        <v>3.526E-2</v>
      </c>
      <c r="L401" s="17">
        <v>7889.1989800000001</v>
      </c>
      <c r="M401" s="4" t="s">
        <v>1490</v>
      </c>
      <c r="N401" s="19">
        <v>3.4254989999999998</v>
      </c>
      <c r="O401" s="19">
        <v>1.4849000000000001</v>
      </c>
      <c r="P401" s="19">
        <v>0.87443300000000002</v>
      </c>
      <c r="Q401" s="19">
        <v>2.1</v>
      </c>
      <c r="R401" s="19">
        <v>2.3367619999999998</v>
      </c>
      <c r="S401" s="19">
        <v>1.2424999999999999</v>
      </c>
      <c r="T401" s="19">
        <v>2.3367619999999998</v>
      </c>
      <c r="U401" s="19">
        <v>0.65110000000000001</v>
      </c>
      <c r="V401" s="19">
        <v>3.3513269999999999</v>
      </c>
      <c r="W401" s="19">
        <v>1.8984000000000001</v>
      </c>
      <c r="X401" s="19">
        <v>3.3513269999999999</v>
      </c>
      <c r="Y401" s="19">
        <v>1.8984000000000001</v>
      </c>
      <c r="Z401" s="4"/>
      <c r="AA401" s="4"/>
      <c r="AB401" s="4" t="e">
        <f ca="1">_xll.ciqfunctions.udf.CIQ("^SPX", "IQ_PRICEDATE", "7/27/2015")</f>
        <v>#NAME?</v>
      </c>
      <c r="AC401" s="16">
        <v>2067.6418261434001</v>
      </c>
    </row>
    <row r="402" spans="1:29" x14ac:dyDescent="0.35">
      <c r="A402" s="2" t="s">
        <v>412</v>
      </c>
      <c r="B402" s="4" t="s">
        <v>1491</v>
      </c>
      <c r="C402" s="4" t="s">
        <v>525</v>
      </c>
      <c r="D402" s="4" t="s">
        <v>526</v>
      </c>
      <c r="E402" s="4" t="s">
        <v>803</v>
      </c>
      <c r="F402" s="4" t="s">
        <v>948</v>
      </c>
      <c r="G402" s="14">
        <v>167.57</v>
      </c>
      <c r="H402" s="10">
        <v>10.087440000000001</v>
      </c>
      <c r="I402" s="10">
        <v>16.020188000000001</v>
      </c>
      <c r="J402" s="10">
        <v>4.8684079999999996</v>
      </c>
      <c r="K402" s="15">
        <v>1.9573E-2</v>
      </c>
      <c r="L402" s="17">
        <v>9451.3134699999991</v>
      </c>
      <c r="M402" s="4" t="s">
        <v>1492</v>
      </c>
      <c r="N402" s="19">
        <v>10.459927</v>
      </c>
      <c r="O402" s="19">
        <v>12.326700000000001</v>
      </c>
      <c r="P402" s="19">
        <v>9.52</v>
      </c>
      <c r="Q402" s="19">
        <v>10.6473</v>
      </c>
      <c r="R402" s="19">
        <v>9.1999999999999993</v>
      </c>
      <c r="S402" s="19">
        <v>9.8010999999999999</v>
      </c>
      <c r="T402" s="19">
        <v>9.1999999999999993</v>
      </c>
      <c r="U402" s="19">
        <v>8.8339999999999996</v>
      </c>
      <c r="V402" s="19">
        <v>6.7795030000000001</v>
      </c>
      <c r="W402" s="19">
        <v>7.5033000000000003</v>
      </c>
      <c r="X402" s="19">
        <v>6.7795030000000001</v>
      </c>
      <c r="Y402" s="19">
        <v>7.5033000000000003</v>
      </c>
      <c r="Z402" s="4"/>
      <c r="AA402" s="4"/>
      <c r="AB402" s="4" t="e">
        <f ca="1">_xll.ciqfunctions.udf.CIQ("^SPX", "IQ_PRICEDATE", "7/28/2015")</f>
        <v>#NAME?</v>
      </c>
      <c r="AC402" s="16">
        <v>2093.253342511</v>
      </c>
    </row>
    <row r="403" spans="1:29" x14ac:dyDescent="0.35">
      <c r="A403" s="2" t="s">
        <v>413</v>
      </c>
      <c r="B403" s="4" t="s">
        <v>1493</v>
      </c>
      <c r="C403" s="4" t="s">
        <v>525</v>
      </c>
      <c r="D403" s="4" t="s">
        <v>594</v>
      </c>
      <c r="E403" s="4" t="s">
        <v>595</v>
      </c>
      <c r="F403" s="4" t="s">
        <v>595</v>
      </c>
      <c r="G403" s="14">
        <v>59.2</v>
      </c>
      <c r="H403" s="10">
        <v>8.0103709999999992</v>
      </c>
      <c r="I403" s="10">
        <v>9.6756700000000002</v>
      </c>
      <c r="J403" s="10">
        <v>3.934895</v>
      </c>
      <c r="K403" s="15">
        <v>1.081E-2</v>
      </c>
      <c r="L403" s="17">
        <v>33922.736047999999</v>
      </c>
      <c r="M403" s="4" t="s">
        <v>1494</v>
      </c>
      <c r="N403" s="19">
        <v>6.1184390000000004</v>
      </c>
      <c r="O403" s="19">
        <v>4.5202999999999998</v>
      </c>
      <c r="P403" s="19">
        <v>5.79</v>
      </c>
      <c r="Q403" s="19">
        <v>4.2991999999999999</v>
      </c>
      <c r="R403" s="19">
        <v>3.5481829999999999</v>
      </c>
      <c r="S403" s="19">
        <v>3.4277000000000002</v>
      </c>
      <c r="T403" s="19">
        <v>3.5481829999999999</v>
      </c>
      <c r="U403" s="19">
        <v>4.0465</v>
      </c>
      <c r="V403" s="19">
        <v>1.637931</v>
      </c>
      <c r="W403" s="19">
        <v>2.7282999999999999</v>
      </c>
      <c r="X403" s="19">
        <v>1.637931</v>
      </c>
      <c r="Y403" s="19">
        <v>2.7282999999999999</v>
      </c>
      <c r="Z403" s="4"/>
      <c r="AA403" s="4"/>
      <c r="AB403" s="4" t="e">
        <f ca="1">_xll.ciqfunctions.udf.CIQ("^SPX", "IQ_PRICEDATE", "7/29/2015")</f>
        <v>#NAME?</v>
      </c>
      <c r="AC403" s="16">
        <v>2108.5685642213002</v>
      </c>
    </row>
    <row r="404" spans="1:29" x14ac:dyDescent="0.35">
      <c r="A404" s="2" t="s">
        <v>414</v>
      </c>
      <c r="B404" s="4" t="s">
        <v>1495</v>
      </c>
      <c r="C404" s="4" t="s">
        <v>525</v>
      </c>
      <c r="D404" s="4" t="s">
        <v>526</v>
      </c>
      <c r="E404" s="4" t="s">
        <v>803</v>
      </c>
      <c r="F404" s="4" t="s">
        <v>948</v>
      </c>
      <c r="G404" s="14">
        <v>123.57</v>
      </c>
      <c r="H404" s="10">
        <v>11.257039000000001</v>
      </c>
      <c r="I404" s="10">
        <v>18.57386</v>
      </c>
      <c r="J404" s="10" t="s">
        <v>534</v>
      </c>
      <c r="K404" s="15">
        <v>2.1364000000000001E-2</v>
      </c>
      <c r="L404" s="17">
        <v>18907.421356999999</v>
      </c>
      <c r="M404" s="4" t="s">
        <v>1496</v>
      </c>
      <c r="N404" s="19">
        <v>6.6528980000000004</v>
      </c>
      <c r="O404" s="19">
        <v>8.4849999999999994</v>
      </c>
      <c r="P404" s="19">
        <v>8.0399999999999991</v>
      </c>
      <c r="Q404" s="19">
        <v>8.1202000000000005</v>
      </c>
      <c r="R404" s="19">
        <v>6.51</v>
      </c>
      <c r="S404" s="19">
        <v>6.7171000000000003</v>
      </c>
      <c r="T404" s="19">
        <v>6.51</v>
      </c>
      <c r="U404" s="19">
        <v>6.4880000000000004</v>
      </c>
      <c r="V404" s="19">
        <v>4.4186930000000002</v>
      </c>
      <c r="W404" s="19">
        <v>5.9595000000000002</v>
      </c>
      <c r="X404" s="19">
        <v>4.4186930000000002</v>
      </c>
      <c r="Y404" s="19">
        <v>5.9595000000000002</v>
      </c>
      <c r="Z404" s="4"/>
      <c r="AA404" s="4"/>
      <c r="AB404" s="4" t="e">
        <f ca="1">_xll.ciqfunctions.udf.CIQ("^SPX", "IQ_PRICEDATE", "7/30/2015")</f>
        <v>#NAME?</v>
      </c>
      <c r="AC404" s="16">
        <v>2108.6299535420999</v>
      </c>
    </row>
    <row r="405" spans="1:29" x14ac:dyDescent="0.35">
      <c r="A405" s="2" t="s">
        <v>415</v>
      </c>
      <c r="B405" s="4" t="s">
        <v>1497</v>
      </c>
      <c r="C405" s="4" t="s">
        <v>559</v>
      </c>
      <c r="D405" s="4" t="s">
        <v>798</v>
      </c>
      <c r="E405" s="4" t="s">
        <v>799</v>
      </c>
      <c r="F405" s="4" t="s">
        <v>839</v>
      </c>
      <c r="G405" s="14">
        <v>59.1</v>
      </c>
      <c r="H405" s="10">
        <v>15.665952000000001</v>
      </c>
      <c r="I405" s="10">
        <v>18.452586</v>
      </c>
      <c r="J405" s="10" t="s">
        <v>534</v>
      </c>
      <c r="K405" s="15">
        <v>2.4365000000000001E-2</v>
      </c>
      <c r="L405" s="17">
        <v>79731.81</v>
      </c>
      <c r="M405" s="4" t="s">
        <v>1498</v>
      </c>
      <c r="N405" s="19">
        <v>3.2028029999999998</v>
      </c>
      <c r="O405" s="19">
        <v>2.5272000000000001</v>
      </c>
      <c r="P405" s="19">
        <v>3.016486</v>
      </c>
      <c r="Q405" s="19">
        <v>2.3214899999999998</v>
      </c>
      <c r="R405" s="19">
        <v>1.9</v>
      </c>
      <c r="S405" s="19">
        <v>2.1384500000000002</v>
      </c>
      <c r="T405" s="19">
        <v>1.9</v>
      </c>
      <c r="U405" s="19">
        <v>1.8896599999999999</v>
      </c>
      <c r="V405" s="19">
        <v>1.6437349999999999</v>
      </c>
      <c r="W405" s="19">
        <v>1.5526800000000001</v>
      </c>
      <c r="X405" s="19">
        <v>1.6437349999999999</v>
      </c>
      <c r="Y405" s="19">
        <v>1.5526800000000001</v>
      </c>
      <c r="Z405" s="4"/>
      <c r="AA405" s="4"/>
      <c r="AB405" s="4" t="e">
        <f ca="1">_xll.ciqfunctions.udf.CIQ("^SPX", "IQ_PRICEDATE", "7/31/2015")</f>
        <v>#NAME?</v>
      </c>
      <c r="AC405" s="16">
        <v>2103.8353651370999</v>
      </c>
    </row>
    <row r="406" spans="1:29" x14ac:dyDescent="0.35">
      <c r="A406" s="2" t="s">
        <v>416</v>
      </c>
      <c r="B406" s="4" t="s">
        <v>1499</v>
      </c>
      <c r="C406" s="4" t="s">
        <v>573</v>
      </c>
      <c r="D406" s="4" t="s">
        <v>574</v>
      </c>
      <c r="E406" s="4" t="s">
        <v>575</v>
      </c>
      <c r="F406" s="4" t="s">
        <v>576</v>
      </c>
      <c r="G406" s="14">
        <v>82.15</v>
      </c>
      <c r="H406" s="10">
        <v>0</v>
      </c>
      <c r="I406" s="10">
        <v>13.574719999999999</v>
      </c>
      <c r="J406" s="10">
        <v>2.5250149999999998</v>
      </c>
      <c r="K406" s="15">
        <v>2.2884000000000002E-2</v>
      </c>
      <c r="L406" s="17">
        <v>31168.977164</v>
      </c>
      <c r="M406" s="4" t="s">
        <v>1500</v>
      </c>
      <c r="N406" s="19">
        <v>6.0516899999999998</v>
      </c>
      <c r="O406" s="19">
        <v>7.7119999999999997</v>
      </c>
      <c r="P406" s="19">
        <v>5.24</v>
      </c>
      <c r="Q406" s="19">
        <v>6.907</v>
      </c>
      <c r="R406" s="19">
        <v>4.97</v>
      </c>
      <c r="S406" s="19">
        <v>5.5077999999999996</v>
      </c>
      <c r="T406" s="19">
        <v>4.97</v>
      </c>
      <c r="U406" s="19">
        <v>5.0037000000000003</v>
      </c>
      <c r="V406" s="19">
        <v>4.53</v>
      </c>
      <c r="W406" s="19">
        <v>5.1422999999999996</v>
      </c>
      <c r="X406" s="19">
        <v>4.53</v>
      </c>
      <c r="Y406" s="19">
        <v>5.1422999999999996</v>
      </c>
      <c r="Z406" s="4"/>
      <c r="AA406" s="4"/>
      <c r="AB406" s="4" t="e">
        <f ca="1">_xll.ciqfunctions.udf.CIQ("^SPX", "IQ_PRICEDATE", "8/3/2015")</f>
        <v>#NAME?</v>
      </c>
      <c r="AC406" s="16">
        <v>2098.0396633670998</v>
      </c>
    </row>
    <row r="407" spans="1:29" x14ac:dyDescent="0.35">
      <c r="A407" s="2" t="s">
        <v>417</v>
      </c>
      <c r="B407" s="4" t="s">
        <v>1501</v>
      </c>
      <c r="C407" s="4" t="s">
        <v>525</v>
      </c>
      <c r="D407" s="4" t="s">
        <v>855</v>
      </c>
      <c r="E407" s="4" t="s">
        <v>856</v>
      </c>
      <c r="F407" s="4" t="s">
        <v>1450</v>
      </c>
      <c r="G407" s="14">
        <v>53.75</v>
      </c>
      <c r="H407" s="10">
        <v>10.560729</v>
      </c>
      <c r="I407" s="10">
        <v>27.860004</v>
      </c>
      <c r="J407" s="10" t="s">
        <v>534</v>
      </c>
      <c r="K407" s="15">
        <v>0</v>
      </c>
      <c r="L407" s="17">
        <v>4616.468175</v>
      </c>
      <c r="M407" s="4" t="s">
        <v>1502</v>
      </c>
      <c r="N407" s="19">
        <v>1.929289</v>
      </c>
      <c r="O407" s="19">
        <v>4.3295000000000003</v>
      </c>
      <c r="P407" s="19">
        <v>0.27</v>
      </c>
      <c r="Q407" s="19">
        <v>4.4885000000000002</v>
      </c>
      <c r="R407" s="19">
        <v>2.08</v>
      </c>
      <c r="S407" s="19">
        <v>4.6181000000000001</v>
      </c>
      <c r="T407" s="19">
        <v>2.08</v>
      </c>
      <c r="U407" s="19">
        <v>4.7899000000000003</v>
      </c>
      <c r="V407" s="19">
        <v>3.7899989999999999</v>
      </c>
      <c r="W407" s="19">
        <v>4.6071</v>
      </c>
      <c r="X407" s="19">
        <v>3.7899989999999999</v>
      </c>
      <c r="Y407" s="19">
        <v>4.6071</v>
      </c>
      <c r="Z407" s="4"/>
      <c r="AA407" s="4"/>
      <c r="AB407" s="4" t="e">
        <f ca="1">_xll.ciqfunctions.udf.CIQ("^SPX", "IQ_PRICEDATE", "8/4/2015")</f>
        <v>#NAME?</v>
      </c>
      <c r="AC407" s="16">
        <v>2093.3239169262001</v>
      </c>
    </row>
    <row r="408" spans="1:29" x14ac:dyDescent="0.35">
      <c r="A408" s="2" t="s">
        <v>418</v>
      </c>
      <c r="B408" s="4" t="s">
        <v>1503</v>
      </c>
      <c r="C408" s="4" t="s">
        <v>530</v>
      </c>
      <c r="D408" s="4" t="s">
        <v>531</v>
      </c>
      <c r="E408" s="4" t="s">
        <v>532</v>
      </c>
      <c r="F408" s="4" t="s">
        <v>533</v>
      </c>
      <c r="G408" s="14">
        <v>176.23</v>
      </c>
      <c r="H408" s="10">
        <v>19.974844000000001</v>
      </c>
      <c r="I408" s="10">
        <v>62.233204999999998</v>
      </c>
      <c r="J408" s="10" t="s">
        <v>534</v>
      </c>
      <c r="K408" s="15">
        <v>1.0666999999999999E-2</v>
      </c>
      <c r="L408" s="17">
        <v>65908.344758000007</v>
      </c>
      <c r="M408" s="4" t="s">
        <v>1504</v>
      </c>
      <c r="N408" s="19">
        <v>2.8317679999999998</v>
      </c>
      <c r="O408" s="19">
        <v>7.5571000000000002</v>
      </c>
      <c r="P408" s="19">
        <v>2.68</v>
      </c>
      <c r="Q408" s="19">
        <v>6.9295999999999998</v>
      </c>
      <c r="R408" s="19">
        <v>4.3499999999999996</v>
      </c>
      <c r="S408" s="19">
        <v>6.2773000000000003</v>
      </c>
      <c r="T408" s="19">
        <v>4.3499999999999996</v>
      </c>
      <c r="U408" s="19">
        <v>5.4596999999999998</v>
      </c>
      <c r="V408" s="19">
        <v>1.34</v>
      </c>
      <c r="W408" s="19">
        <v>5.0968</v>
      </c>
      <c r="X408" s="19">
        <v>1.34</v>
      </c>
      <c r="Y408" s="19">
        <v>5.0968</v>
      </c>
      <c r="Z408" s="4"/>
      <c r="AA408" s="4"/>
      <c r="AB408" s="4" t="e">
        <f ca="1">_xll.ciqfunctions.udf.CIQ("^SPX", "IQ_PRICEDATE", "8/5/2015")</f>
        <v>#NAME?</v>
      </c>
      <c r="AC408" s="16">
        <v>2099.8422217912998</v>
      </c>
    </row>
    <row r="409" spans="1:29" x14ac:dyDescent="0.35">
      <c r="A409" s="2" t="s">
        <v>419</v>
      </c>
      <c r="B409" s="4" t="s">
        <v>1505</v>
      </c>
      <c r="C409" s="4" t="s">
        <v>573</v>
      </c>
      <c r="D409" s="4" t="s">
        <v>737</v>
      </c>
      <c r="E409" s="4" t="s">
        <v>737</v>
      </c>
      <c r="F409" s="4" t="s">
        <v>743</v>
      </c>
      <c r="G409" s="14">
        <v>62.42</v>
      </c>
      <c r="H409" s="10">
        <v>0</v>
      </c>
      <c r="I409" s="10">
        <v>11.747455</v>
      </c>
      <c r="J409" s="10">
        <v>1.8328139999999999</v>
      </c>
      <c r="K409" s="15">
        <v>3.2041E-2</v>
      </c>
      <c r="L409" s="17">
        <v>28758.766599999999</v>
      </c>
      <c r="M409" s="4" t="s">
        <v>1506</v>
      </c>
      <c r="N409" s="19">
        <v>5.313491</v>
      </c>
      <c r="O409" s="19">
        <v>5.5731999999999999</v>
      </c>
      <c r="P409" s="19">
        <v>4.47</v>
      </c>
      <c r="Q409" s="19">
        <v>4.3282999999999996</v>
      </c>
      <c r="R409" s="19">
        <v>3.6</v>
      </c>
      <c r="S409" s="19">
        <v>3.6676000000000002</v>
      </c>
      <c r="T409" s="19">
        <v>3.6</v>
      </c>
      <c r="U409" s="19">
        <v>3.5158</v>
      </c>
      <c r="V409" s="19">
        <v>3.23</v>
      </c>
      <c r="W409" s="19">
        <v>3.1966000000000001</v>
      </c>
      <c r="X409" s="19">
        <v>3.23</v>
      </c>
      <c r="Y409" s="19">
        <v>3.1966000000000001</v>
      </c>
      <c r="Z409" s="4"/>
      <c r="AA409" s="4"/>
      <c r="AB409" s="4" t="e">
        <f ca="1">_xll.ciqfunctions.udf.CIQ("^SPX", "IQ_PRICEDATE", "8/6/2015")</f>
        <v>#NAME?</v>
      </c>
      <c r="AC409" s="16">
        <v>2083.5585172903002</v>
      </c>
    </row>
    <row r="410" spans="1:29" x14ac:dyDescent="0.35">
      <c r="A410" s="2" t="s">
        <v>420</v>
      </c>
      <c r="B410" s="4" t="s">
        <v>1507</v>
      </c>
      <c r="C410" s="4" t="s">
        <v>573</v>
      </c>
      <c r="D410" s="4" t="s">
        <v>737</v>
      </c>
      <c r="E410" s="4" t="s">
        <v>737</v>
      </c>
      <c r="F410" s="4" t="s">
        <v>743</v>
      </c>
      <c r="G410" s="14">
        <v>296.98</v>
      </c>
      <c r="H410" s="10">
        <v>0</v>
      </c>
      <c r="I410" s="10">
        <v>22.780117000000001</v>
      </c>
      <c r="J410" s="10">
        <v>3.392801</v>
      </c>
      <c r="K410" s="15">
        <v>0</v>
      </c>
      <c r="L410" s="17">
        <v>15803.415614</v>
      </c>
      <c r="M410" s="4" t="s">
        <v>1508</v>
      </c>
      <c r="N410" s="19">
        <v>13.036807</v>
      </c>
      <c r="O410" s="19">
        <v>19.271699999999999</v>
      </c>
      <c r="P410" s="19">
        <v>9.1999999999999993</v>
      </c>
      <c r="Q410" s="19">
        <v>11.307</v>
      </c>
      <c r="R410" s="19">
        <v>7.31</v>
      </c>
      <c r="S410" s="19">
        <v>7.7786</v>
      </c>
      <c r="T410" s="19">
        <v>7.31</v>
      </c>
      <c r="U410" s="19">
        <v>6.8251999999999997</v>
      </c>
      <c r="V410" s="19">
        <v>5.31</v>
      </c>
      <c r="W410" s="19">
        <v>5.3982999999999999</v>
      </c>
      <c r="X410" s="19">
        <v>5.31</v>
      </c>
      <c r="Y410" s="19">
        <v>5.3982999999999999</v>
      </c>
      <c r="Z410" s="4"/>
      <c r="AA410" s="4"/>
      <c r="AB410" s="4" t="e">
        <f ca="1">_xll.ciqfunctions.udf.CIQ("^SPX", "IQ_PRICEDATE", "8/7/2015")</f>
        <v>#NAME?</v>
      </c>
      <c r="AC410" s="16">
        <v>2077.5684171683001</v>
      </c>
    </row>
    <row r="411" spans="1:29" x14ac:dyDescent="0.35">
      <c r="A411" s="2" t="s">
        <v>421</v>
      </c>
      <c r="B411" s="4" t="s">
        <v>1509</v>
      </c>
      <c r="C411" s="4" t="s">
        <v>543</v>
      </c>
      <c r="D411" s="4" t="s">
        <v>544</v>
      </c>
      <c r="E411" s="4" t="s">
        <v>555</v>
      </c>
      <c r="F411" s="4" t="s">
        <v>782</v>
      </c>
      <c r="G411" s="14">
        <v>20.57</v>
      </c>
      <c r="H411" s="10">
        <v>12.554335</v>
      </c>
      <c r="I411" s="10">
        <v>11.577239000000001</v>
      </c>
      <c r="J411" s="10" t="s">
        <v>534</v>
      </c>
      <c r="K411" s="15">
        <v>1.4584E-2</v>
      </c>
      <c r="L411" s="17">
        <v>12785.049988999999</v>
      </c>
      <c r="M411" s="4" t="s">
        <v>1510</v>
      </c>
      <c r="N411" s="19">
        <v>1.776762</v>
      </c>
      <c r="O411" s="19">
        <v>1.5720000000000001</v>
      </c>
      <c r="P411" s="19">
        <v>1.5471250000000001</v>
      </c>
      <c r="Q411" s="19">
        <v>1.83</v>
      </c>
      <c r="R411" s="19">
        <v>-1.7213579999999999</v>
      </c>
      <c r="S411" s="19">
        <v>1.3633999999999999</v>
      </c>
      <c r="T411" s="19">
        <v>-1.7213579999999999</v>
      </c>
      <c r="U411" s="19">
        <v>1.0382</v>
      </c>
      <c r="V411" s="19">
        <v>0.83640300000000001</v>
      </c>
      <c r="W411" s="19">
        <v>1.952</v>
      </c>
      <c r="X411" s="19">
        <v>0.83640300000000001</v>
      </c>
      <c r="Y411" s="19">
        <v>1.952</v>
      </c>
      <c r="Z411" s="4"/>
      <c r="AA411" s="4"/>
      <c r="AB411" s="4" t="e">
        <f ca="1">_xll.ciqfunctions.udf.CIQ("^SPX", "IQ_PRICEDATE", "8/10/2015")</f>
        <v>#NAME?</v>
      </c>
      <c r="AC411" s="16">
        <v>2104.1825034717999</v>
      </c>
    </row>
    <row r="412" spans="1:29" x14ac:dyDescent="0.35">
      <c r="A412" s="2" t="s">
        <v>422</v>
      </c>
      <c r="B412" s="4" t="s">
        <v>1511</v>
      </c>
      <c r="C412" s="4" t="s">
        <v>573</v>
      </c>
      <c r="D412" s="4" t="s">
        <v>574</v>
      </c>
      <c r="E412" s="4" t="s">
        <v>641</v>
      </c>
      <c r="F412" s="4" t="s">
        <v>641</v>
      </c>
      <c r="G412" s="14">
        <v>30.07</v>
      </c>
      <c r="H412" s="10">
        <v>0</v>
      </c>
      <c r="I412" s="10">
        <v>10.258984999999999</v>
      </c>
      <c r="J412" s="10">
        <v>1.785873</v>
      </c>
      <c r="K412" s="15">
        <v>2.7934E-2</v>
      </c>
      <c r="L412" s="17">
        <v>22272.431388000001</v>
      </c>
      <c r="M412" s="4" t="s">
        <v>1512</v>
      </c>
      <c r="N412" s="19">
        <v>2.9310890000000001</v>
      </c>
      <c r="O412" s="19">
        <v>3.6911999999999998</v>
      </c>
      <c r="P412" s="19">
        <v>2.42</v>
      </c>
      <c r="Q412" s="19">
        <v>2.9068000000000001</v>
      </c>
      <c r="R412" s="19">
        <v>2.71</v>
      </c>
      <c r="S412" s="19">
        <v>2.9849000000000001</v>
      </c>
      <c r="T412" s="19">
        <v>2.71</v>
      </c>
      <c r="U412" s="19">
        <v>2.75</v>
      </c>
      <c r="V412" s="19">
        <v>2.78</v>
      </c>
      <c r="W412" s="19">
        <v>2.5200999999999998</v>
      </c>
      <c r="X412" s="19">
        <v>2.78</v>
      </c>
      <c r="Y412" s="19">
        <v>2.5200999999999998</v>
      </c>
      <c r="Z412" s="4"/>
      <c r="AA412" s="4"/>
      <c r="AB412" s="4" t="e">
        <f ca="1">_xll.ciqfunctions.udf.CIQ("^SPX", "IQ_PRICEDATE", "8/11/2015")</f>
        <v>#NAME?</v>
      </c>
      <c r="AC412" s="16">
        <v>2084.0735079156998</v>
      </c>
    </row>
    <row r="413" spans="1:29" x14ac:dyDescent="0.35">
      <c r="A413" s="2" t="s">
        <v>423</v>
      </c>
      <c r="B413" s="4" t="s">
        <v>1513</v>
      </c>
      <c r="C413" s="4" t="s">
        <v>543</v>
      </c>
      <c r="D413" s="4" t="s">
        <v>544</v>
      </c>
      <c r="E413" s="4" t="s">
        <v>555</v>
      </c>
      <c r="F413" s="4" t="s">
        <v>556</v>
      </c>
      <c r="G413" s="14">
        <v>89.57</v>
      </c>
      <c r="H413" s="10">
        <v>25.671937</v>
      </c>
      <c r="I413" s="10">
        <v>241.57442699999999</v>
      </c>
      <c r="J413" s="10" t="s">
        <v>534</v>
      </c>
      <c r="K413" s="15">
        <v>0</v>
      </c>
      <c r="L413" s="17">
        <v>13309.036744000001</v>
      </c>
      <c r="M413" s="4" t="s">
        <v>1514</v>
      </c>
      <c r="N413" s="19">
        <v>0.37077599999999999</v>
      </c>
      <c r="O413" s="19">
        <v>3.9087000000000001</v>
      </c>
      <c r="P413" s="19">
        <v>0.88</v>
      </c>
      <c r="Q413" s="19">
        <v>3.5009999999999999</v>
      </c>
      <c r="R413" s="19">
        <v>1.73</v>
      </c>
      <c r="S413" s="19">
        <v>3.2007500000000002</v>
      </c>
      <c r="T413" s="19">
        <v>1.73</v>
      </c>
      <c r="U413" s="19">
        <v>2.9549099999999999</v>
      </c>
      <c r="V413" s="19">
        <v>1.64</v>
      </c>
      <c r="W413" s="19">
        <v>2.69</v>
      </c>
      <c r="X413" s="19">
        <v>1.64</v>
      </c>
      <c r="Y413" s="19">
        <v>2.69</v>
      </c>
      <c r="Z413" s="4"/>
      <c r="AA413" s="4"/>
      <c r="AB413" s="4" t="e">
        <f ca="1">_xll.ciqfunctions.udf.CIQ("^SPX", "IQ_PRICEDATE", "8/12/2015")</f>
        <v>#NAME?</v>
      </c>
      <c r="AC413" s="16">
        <v>2086.0464367455002</v>
      </c>
    </row>
    <row r="414" spans="1:29" x14ac:dyDescent="0.35">
      <c r="A414" s="2" t="s">
        <v>424</v>
      </c>
      <c r="B414" s="4" t="s">
        <v>1515</v>
      </c>
      <c r="C414" s="4" t="s">
        <v>626</v>
      </c>
      <c r="D414" s="4" t="s">
        <v>894</v>
      </c>
      <c r="E414" s="4" t="s">
        <v>894</v>
      </c>
      <c r="F414" s="4" t="s">
        <v>1516</v>
      </c>
      <c r="G414" s="14">
        <v>70.38</v>
      </c>
      <c r="H414" s="10">
        <v>13.652329999999999</v>
      </c>
      <c r="I414" s="10">
        <v>26.066666000000001</v>
      </c>
      <c r="J414" s="10" t="s">
        <v>534</v>
      </c>
      <c r="K414" s="15">
        <v>2.0459999999999999E-2</v>
      </c>
      <c r="L414" s="17">
        <v>36646.111455999999</v>
      </c>
      <c r="M414" s="4" t="s">
        <v>1517</v>
      </c>
      <c r="N414" s="19">
        <v>2.7</v>
      </c>
      <c r="O414" s="19">
        <v>3.5036</v>
      </c>
      <c r="P414" s="19">
        <v>2.226518</v>
      </c>
      <c r="Q414" s="19">
        <v>2.8266</v>
      </c>
      <c r="R414" s="19">
        <v>1.834436</v>
      </c>
      <c r="S414" s="19">
        <v>2.5177999999999998</v>
      </c>
      <c r="T414" s="19">
        <v>1.834436</v>
      </c>
      <c r="U414" s="19">
        <v>1.9779</v>
      </c>
      <c r="V414" s="19">
        <v>1.470086</v>
      </c>
      <c r="W414" s="19">
        <v>1.9001999999999999</v>
      </c>
      <c r="X414" s="19">
        <v>1.470086</v>
      </c>
      <c r="Y414" s="19">
        <v>1.9001999999999999</v>
      </c>
      <c r="Z414" s="4"/>
      <c r="AA414" s="4"/>
      <c r="AB414" s="4" t="e">
        <f ca="1">_xll.ciqfunctions.udf.CIQ("^SPX", "IQ_PRICEDATE", "8/13/2015")</f>
        <v>#NAME?</v>
      </c>
      <c r="AC414" s="16">
        <v>2083.3873035974002</v>
      </c>
    </row>
    <row r="415" spans="1:29" x14ac:dyDescent="0.35">
      <c r="A415" s="2" t="s">
        <v>425</v>
      </c>
      <c r="B415" s="4" t="s">
        <v>1518</v>
      </c>
      <c r="C415" s="4" t="s">
        <v>573</v>
      </c>
      <c r="D415" s="4" t="s">
        <v>574</v>
      </c>
      <c r="E415" s="4" t="s">
        <v>575</v>
      </c>
      <c r="F415" s="4" t="s">
        <v>576</v>
      </c>
      <c r="G415" s="14">
        <v>102.66</v>
      </c>
      <c r="H415" s="10">
        <v>10.073513999999999</v>
      </c>
      <c r="I415" s="10">
        <v>15.833651</v>
      </c>
      <c r="J415" s="10">
        <v>4.5816319999999999</v>
      </c>
      <c r="K415" s="15">
        <v>2.7274E-2</v>
      </c>
      <c r="L415" s="17">
        <v>24965.957569999999</v>
      </c>
      <c r="M415" s="4" t="s">
        <v>1519</v>
      </c>
      <c r="N415" s="19">
        <v>6.4836590000000003</v>
      </c>
      <c r="O415" s="19">
        <v>7.5735000000000001</v>
      </c>
      <c r="P415" s="19">
        <v>5.97</v>
      </c>
      <c r="Q415" s="19">
        <v>5.6021000000000001</v>
      </c>
      <c r="R415" s="19">
        <v>4.75</v>
      </c>
      <c r="S415" s="19">
        <v>4.8513999999999999</v>
      </c>
      <c r="T415" s="19">
        <v>4.75</v>
      </c>
      <c r="U415" s="19">
        <v>4.5837000000000003</v>
      </c>
      <c r="V415" s="19">
        <v>4.55</v>
      </c>
      <c r="W415" s="19">
        <v>4.7064000000000004</v>
      </c>
      <c r="X415" s="19">
        <v>4.55</v>
      </c>
      <c r="Y415" s="19">
        <v>4.7064000000000004</v>
      </c>
      <c r="Z415" s="4"/>
      <c r="AA415" s="4"/>
      <c r="AB415" s="4" t="e">
        <f ca="1">_xll.ciqfunctions.udf.CIQ("^SPX", "IQ_PRICEDATE", "8/14/2015")</f>
        <v>#NAME?</v>
      </c>
      <c r="AC415" s="16">
        <v>2091.5436408942001</v>
      </c>
    </row>
    <row r="416" spans="1:29" x14ac:dyDescent="0.35">
      <c r="A416" s="2" t="s">
        <v>426</v>
      </c>
      <c r="B416" s="4" t="s">
        <v>1520</v>
      </c>
      <c r="C416" s="4" t="s">
        <v>549</v>
      </c>
      <c r="D416" s="4" t="s">
        <v>550</v>
      </c>
      <c r="E416" s="4" t="s">
        <v>551</v>
      </c>
      <c r="F416" s="4" t="s">
        <v>552</v>
      </c>
      <c r="G416" s="14">
        <v>132.06</v>
      </c>
      <c r="H416" s="10">
        <v>59.969042000000002</v>
      </c>
      <c r="I416" s="10">
        <v>82.561235999999994</v>
      </c>
      <c r="J416" s="10">
        <v>22.838864000000001</v>
      </c>
      <c r="K416" s="15">
        <v>0</v>
      </c>
      <c r="L416" s="17">
        <v>15032.154337</v>
      </c>
      <c r="M416" s="4" t="s">
        <v>1521</v>
      </c>
      <c r="N416" s="19">
        <v>1.59954</v>
      </c>
      <c r="O416" s="19">
        <v>5.4131999999999998</v>
      </c>
      <c r="P416" s="19">
        <v>1.633982</v>
      </c>
      <c r="Q416" s="19">
        <v>3.8226</v>
      </c>
      <c r="R416" s="19">
        <v>0.16561600000000001</v>
      </c>
      <c r="S416" s="19">
        <v>1.6736</v>
      </c>
      <c r="T416" s="19">
        <v>0.16561600000000001</v>
      </c>
      <c r="U416" s="19">
        <v>1.1617999999999999</v>
      </c>
      <c r="V416" s="19">
        <v>-0.83181799999999995</v>
      </c>
      <c r="W416" s="19">
        <v>1.8036000000000001</v>
      </c>
      <c r="X416" s="19">
        <v>-0.83181799999999995</v>
      </c>
      <c r="Y416" s="19">
        <v>1.8036000000000001</v>
      </c>
      <c r="Z416" s="4"/>
      <c r="AA416" s="4"/>
      <c r="AB416" s="4" t="e">
        <f ca="1">_xll.ciqfunctions.udf.CIQ("^SPX", "IQ_PRICEDATE", "8/17/2015")</f>
        <v>#NAME?</v>
      </c>
      <c r="AC416" s="16">
        <v>2102.4363504756002</v>
      </c>
    </row>
    <row r="417" spans="1:29" x14ac:dyDescent="0.35">
      <c r="A417" s="2" t="s">
        <v>427</v>
      </c>
      <c r="B417" s="4" t="s">
        <v>1522</v>
      </c>
      <c r="C417" s="4" t="s">
        <v>559</v>
      </c>
      <c r="D417" s="4" t="s">
        <v>912</v>
      </c>
      <c r="E417" s="4" t="s">
        <v>1097</v>
      </c>
      <c r="F417" s="4" t="s">
        <v>1098</v>
      </c>
      <c r="G417" s="14">
        <v>43.99</v>
      </c>
      <c r="H417" s="10">
        <v>11.194981</v>
      </c>
      <c r="I417" s="10">
        <v>31.876811</v>
      </c>
      <c r="J417" s="10" t="s">
        <v>534</v>
      </c>
      <c r="K417" s="15">
        <v>3.0688E-2</v>
      </c>
      <c r="L417" s="17">
        <v>12740.810855</v>
      </c>
      <c r="M417" s="4" t="s">
        <v>1523</v>
      </c>
      <c r="N417" s="19">
        <v>1.38</v>
      </c>
      <c r="O417" s="19">
        <v>2.7761100000000001</v>
      </c>
      <c r="P417" s="19">
        <v>1.116808</v>
      </c>
      <c r="Q417" s="19">
        <v>2.4628000000000001</v>
      </c>
      <c r="R417" s="19">
        <v>1.8221339999999999</v>
      </c>
      <c r="S417" s="19">
        <v>2.1831</v>
      </c>
      <c r="T417" s="19">
        <v>1.8221339999999999</v>
      </c>
      <c r="U417" s="19">
        <v>1.9338</v>
      </c>
      <c r="V417" s="19">
        <v>2.0517210000000001</v>
      </c>
      <c r="W417" s="19">
        <v>1.8629</v>
      </c>
      <c r="X417" s="19">
        <v>2.0517210000000001</v>
      </c>
      <c r="Y417" s="19">
        <v>1.8629</v>
      </c>
      <c r="Z417" s="4"/>
      <c r="AA417" s="4"/>
      <c r="AB417" s="4" t="e">
        <f ca="1">_xll.ciqfunctions.udf.CIQ("^SPX", "IQ_PRICEDATE", "8/18/2015")</f>
        <v>#NAME?</v>
      </c>
      <c r="AC417" s="16">
        <v>2096.9193711046</v>
      </c>
    </row>
    <row r="418" spans="1:29" x14ac:dyDescent="0.35">
      <c r="A418" s="2" t="s">
        <v>428</v>
      </c>
      <c r="B418" s="4" t="s">
        <v>1524</v>
      </c>
      <c r="C418" s="4" t="s">
        <v>559</v>
      </c>
      <c r="D418" s="4" t="s">
        <v>560</v>
      </c>
      <c r="E418" s="4" t="s">
        <v>940</v>
      </c>
      <c r="F418" s="4" t="s">
        <v>941</v>
      </c>
      <c r="G418" s="14">
        <v>84.42</v>
      </c>
      <c r="H418" s="10">
        <v>8.2758509999999994</v>
      </c>
      <c r="I418" s="10">
        <v>14.801658</v>
      </c>
      <c r="J418" s="10">
        <v>3.9772940000000001</v>
      </c>
      <c r="K418" s="15">
        <v>3.0324E-2</v>
      </c>
      <c r="L418" s="17">
        <v>44434.550323000003</v>
      </c>
      <c r="M418" s="4" t="s">
        <v>1525</v>
      </c>
      <c r="N418" s="19">
        <v>5.7034149999999997</v>
      </c>
      <c r="O418" s="19">
        <v>5.5453000000000001</v>
      </c>
      <c r="P418" s="19">
        <v>4.7610070000000002</v>
      </c>
      <c r="Q418" s="19">
        <v>4.2606000000000002</v>
      </c>
      <c r="R418" s="19">
        <v>5.4889349999999997</v>
      </c>
      <c r="S418" s="19">
        <v>5.4146000000000001</v>
      </c>
      <c r="T418" s="19">
        <v>5.4889349999999997</v>
      </c>
      <c r="U418" s="19">
        <v>5.0492999999999997</v>
      </c>
      <c r="V418" s="19">
        <v>4.2760059999999998</v>
      </c>
      <c r="W418" s="19">
        <v>3.7113999999999998</v>
      </c>
      <c r="X418" s="19">
        <v>4.2760059999999998</v>
      </c>
      <c r="Y418" s="19">
        <v>3.7113999999999998</v>
      </c>
      <c r="Z418" s="4"/>
      <c r="AA418" s="4"/>
      <c r="AB418" s="4" t="e">
        <f ca="1">_xll.ciqfunctions.udf.CIQ("^SPX", "IQ_PRICEDATE", "8/19/2015")</f>
        <v>#NAME?</v>
      </c>
      <c r="AC418" s="16">
        <v>2079.6106568018999</v>
      </c>
    </row>
    <row r="419" spans="1:29" x14ac:dyDescent="0.35">
      <c r="A419" s="2" t="s">
        <v>429</v>
      </c>
      <c r="B419" s="4" t="s">
        <v>1526</v>
      </c>
      <c r="C419" s="4" t="s">
        <v>543</v>
      </c>
      <c r="D419" s="4" t="s">
        <v>664</v>
      </c>
      <c r="E419" s="4" t="s">
        <v>665</v>
      </c>
      <c r="F419" s="4" t="s">
        <v>1174</v>
      </c>
      <c r="G419" s="14">
        <v>79.55</v>
      </c>
      <c r="H419" s="10">
        <v>9.9439469999999996</v>
      </c>
      <c r="I419" s="10">
        <v>21.150727</v>
      </c>
      <c r="J419" s="10">
        <v>12.725485000000001</v>
      </c>
      <c r="K419" s="15">
        <v>2.2124000000000001E-2</v>
      </c>
      <c r="L419" s="17">
        <v>27719.892767000001</v>
      </c>
      <c r="M419" s="4" t="s">
        <v>1527</v>
      </c>
      <c r="N419" s="19">
        <v>3.7610999999999999</v>
      </c>
      <c r="O419" s="19">
        <v>5.7514000000000003</v>
      </c>
      <c r="P419" s="19">
        <v>3.4455290000000001</v>
      </c>
      <c r="Q419" s="19">
        <v>5.2727899999999996</v>
      </c>
      <c r="R419" s="19">
        <v>5.5997500000000002</v>
      </c>
      <c r="S419" s="19">
        <v>4.35914</v>
      </c>
      <c r="T419" s="19">
        <v>5.5997500000000002</v>
      </c>
      <c r="U419" s="19">
        <v>3.9870299999999999</v>
      </c>
      <c r="V419" s="19">
        <v>4.1699270000000004</v>
      </c>
      <c r="W419" s="19">
        <v>4.2041700000000004</v>
      </c>
      <c r="X419" s="19">
        <v>4.1699270000000004</v>
      </c>
      <c r="Y419" s="19">
        <v>4.2041700000000004</v>
      </c>
      <c r="Z419" s="4"/>
      <c r="AA419" s="4"/>
      <c r="AB419" s="4" t="e">
        <f ca="1">_xll.ciqfunctions.udf.CIQ("^SPX", "IQ_PRICEDATE", "8/20/2015")</f>
        <v>#NAME?</v>
      </c>
      <c r="AC419" s="16">
        <v>2035.7341442458001</v>
      </c>
    </row>
    <row r="420" spans="1:29" x14ac:dyDescent="0.35">
      <c r="A420" s="2" t="s">
        <v>430</v>
      </c>
      <c r="B420" s="4" t="s">
        <v>1528</v>
      </c>
      <c r="C420" s="4" t="s">
        <v>669</v>
      </c>
      <c r="D420" s="4" t="s">
        <v>669</v>
      </c>
      <c r="E420" s="4" t="s">
        <v>730</v>
      </c>
      <c r="F420" s="4" t="s">
        <v>731</v>
      </c>
      <c r="G420" s="14">
        <v>29.75</v>
      </c>
      <c r="H420" s="10">
        <v>6.1323049999999997</v>
      </c>
      <c r="I420" s="10">
        <v>83.140270000000001</v>
      </c>
      <c r="J420" s="10">
        <v>4.9993210000000001</v>
      </c>
      <c r="K420" s="15">
        <v>1.7478E-2</v>
      </c>
      <c r="L420" s="17">
        <v>13367.502199</v>
      </c>
      <c r="M420" s="4" t="s">
        <v>1529</v>
      </c>
      <c r="N420" s="19">
        <v>0.35782900000000001</v>
      </c>
      <c r="O420" s="19">
        <v>1.4746999999999999</v>
      </c>
      <c r="P420" s="19">
        <v>0.24</v>
      </c>
      <c r="Q420" s="19">
        <v>1.4136</v>
      </c>
      <c r="R420" s="19">
        <v>3.155875</v>
      </c>
      <c r="S420" s="19">
        <v>0</v>
      </c>
      <c r="T420" s="19">
        <v>3.155875</v>
      </c>
      <c r="U420" s="19">
        <v>0</v>
      </c>
      <c r="V420" s="19">
        <v>4.4177049999999998</v>
      </c>
      <c r="W420" s="19">
        <v>0</v>
      </c>
      <c r="X420" s="19">
        <v>4.4177049999999998</v>
      </c>
      <c r="Y420" s="19">
        <v>0</v>
      </c>
      <c r="Z420" s="4"/>
      <c r="AA420" s="4"/>
      <c r="AB420" s="4" t="e">
        <f ca="1">_xll.ciqfunctions.udf.CIQ("^SPX", "IQ_PRICEDATE", "8/21/2015")</f>
        <v>#NAME?</v>
      </c>
      <c r="AC420" s="16">
        <v>1970.8890645414001</v>
      </c>
    </row>
    <row r="421" spans="1:29" x14ac:dyDescent="0.35">
      <c r="A421" s="2" t="s">
        <v>431</v>
      </c>
      <c r="B421" s="4" t="s">
        <v>1530</v>
      </c>
      <c r="C421" s="4" t="s">
        <v>543</v>
      </c>
      <c r="D421" s="4" t="s">
        <v>565</v>
      </c>
      <c r="E421" s="4" t="s">
        <v>565</v>
      </c>
      <c r="F421" s="4" t="s">
        <v>566</v>
      </c>
      <c r="G421" s="14">
        <v>101.54</v>
      </c>
      <c r="H421" s="10">
        <v>13.291926999999999</v>
      </c>
      <c r="I421" s="10">
        <v>23.360717000000001</v>
      </c>
      <c r="J421" s="10">
        <v>18.376128000000001</v>
      </c>
      <c r="K421" s="15">
        <v>3.0331999999999998E-2</v>
      </c>
      <c r="L421" s="17">
        <v>98716.687611000001</v>
      </c>
      <c r="M421" s="4" t="s">
        <v>1531</v>
      </c>
      <c r="N421" s="19">
        <v>4.3466129999999996</v>
      </c>
      <c r="O421" s="19">
        <v>5.9795999999999996</v>
      </c>
      <c r="P421" s="19">
        <v>3.605731</v>
      </c>
      <c r="Q421" s="19">
        <v>4.6287000000000003</v>
      </c>
      <c r="R421" s="19">
        <v>3.4779620000000002</v>
      </c>
      <c r="S421" s="19">
        <v>3.5226999999999999</v>
      </c>
      <c r="T421" s="19">
        <v>3.4779620000000002</v>
      </c>
      <c r="U421" s="19">
        <v>3.0630999999999999</v>
      </c>
      <c r="V421" s="19">
        <v>2.572222</v>
      </c>
      <c r="W421" s="19">
        <v>3.0369000000000002</v>
      </c>
      <c r="X421" s="19">
        <v>2.572222</v>
      </c>
      <c r="Y421" s="19">
        <v>3.0369000000000002</v>
      </c>
      <c r="Z421" s="4"/>
      <c r="AA421" s="4"/>
      <c r="AB421" s="4" t="e">
        <f ca="1">_xll.ciqfunctions.udf.CIQ("^SPX", "IQ_PRICEDATE", "8/24/2015")</f>
        <v>#NAME?</v>
      </c>
      <c r="AC421" s="16">
        <v>1893.2139388332</v>
      </c>
    </row>
    <row r="422" spans="1:29" x14ac:dyDescent="0.35">
      <c r="A422" s="2" t="s">
        <v>432</v>
      </c>
      <c r="B422" s="4" t="s">
        <v>1532</v>
      </c>
      <c r="C422" s="4" t="s">
        <v>525</v>
      </c>
      <c r="D422" s="4" t="s">
        <v>526</v>
      </c>
      <c r="E422" s="4" t="s">
        <v>703</v>
      </c>
      <c r="F422" s="4" t="s">
        <v>703</v>
      </c>
      <c r="G422" s="14">
        <v>64.78</v>
      </c>
      <c r="H422" s="10">
        <v>12.349684</v>
      </c>
      <c r="I422" s="10">
        <v>36.645721999999999</v>
      </c>
      <c r="J422" s="10">
        <v>5.110741</v>
      </c>
      <c r="K422" s="15">
        <v>1.2339999999999999E-3</v>
      </c>
      <c r="L422" s="17">
        <v>16092.053631999999</v>
      </c>
      <c r="M422" s="4" t="s">
        <v>1533</v>
      </c>
      <c r="N422" s="19">
        <v>1.7677369999999999</v>
      </c>
      <c r="O422" s="19">
        <v>3.4117999999999999</v>
      </c>
      <c r="P422" s="19">
        <v>1.1399999999999999</v>
      </c>
      <c r="Q422" s="19">
        <v>2.6858</v>
      </c>
      <c r="R422" s="19">
        <v>3.09</v>
      </c>
      <c r="S422" s="19">
        <v>2.8826999999999998</v>
      </c>
      <c r="T422" s="19">
        <v>3.09</v>
      </c>
      <c r="U422" s="19">
        <v>2.7608000000000001</v>
      </c>
      <c r="V422" s="19">
        <v>1.9911080000000001</v>
      </c>
      <c r="W422" s="19">
        <v>2.4639000000000002</v>
      </c>
      <c r="X422" s="19">
        <v>1.9911080000000001</v>
      </c>
      <c r="Y422" s="19">
        <v>2.4639000000000002</v>
      </c>
      <c r="Z422" s="4"/>
      <c r="AA422" s="4"/>
      <c r="AB422" s="4" t="e">
        <f ca="1">_xll.ciqfunctions.udf.CIQ("^SPX", "IQ_PRICEDATE", "8/25/2015")</f>
        <v>#NAME?</v>
      </c>
      <c r="AC422" s="16">
        <v>1867.6109248626999</v>
      </c>
    </row>
    <row r="423" spans="1:29" x14ac:dyDescent="0.35">
      <c r="A423" s="2" t="s">
        <v>433</v>
      </c>
      <c r="B423" s="4" t="s">
        <v>1534</v>
      </c>
      <c r="C423" s="4" t="s">
        <v>619</v>
      </c>
      <c r="D423" s="4" t="s">
        <v>619</v>
      </c>
      <c r="E423" s="4" t="s">
        <v>1354</v>
      </c>
      <c r="F423" s="4" t="s">
        <v>1355</v>
      </c>
      <c r="G423" s="14">
        <v>15.08</v>
      </c>
      <c r="H423" s="10">
        <v>8.4477840000000004</v>
      </c>
      <c r="I423" s="10">
        <v>40.654460999999998</v>
      </c>
      <c r="J423" s="10">
        <v>5.2256970000000003</v>
      </c>
      <c r="K423" s="15">
        <v>3.4481999999999999E-2</v>
      </c>
      <c r="L423" s="17">
        <v>9978.1866669999999</v>
      </c>
      <c r="M423" s="4" t="s">
        <v>1535</v>
      </c>
      <c r="N423" s="19">
        <v>0.37093100000000001</v>
      </c>
      <c r="O423" s="19">
        <v>1.3411</v>
      </c>
      <c r="P423" s="19">
        <v>-0.77</v>
      </c>
      <c r="Q423" s="19">
        <v>1.2398</v>
      </c>
      <c r="R423" s="19">
        <v>-0.04</v>
      </c>
      <c r="S423" s="19">
        <v>1.252</v>
      </c>
      <c r="T423" s="19">
        <v>-0.04</v>
      </c>
      <c r="U423" s="19">
        <v>1.2125999999999999</v>
      </c>
      <c r="V423" s="19">
        <v>0.97</v>
      </c>
      <c r="W423" s="19">
        <v>1.2941</v>
      </c>
      <c r="X423" s="19">
        <v>0.97</v>
      </c>
      <c r="Y423" s="19">
        <v>1.2941</v>
      </c>
      <c r="Z423" s="4"/>
      <c r="AA423" s="4"/>
      <c r="AB423" s="4" t="e">
        <f ca="1">_xll.ciqfunctions.udf.CIQ("^SPX", "IQ_PRICEDATE", "8/26/2015")</f>
        <v>#NAME?</v>
      </c>
      <c r="AC423" s="16">
        <v>1940.5107172512</v>
      </c>
    </row>
    <row r="424" spans="1:29" x14ac:dyDescent="0.35">
      <c r="A424" s="2" t="s">
        <v>434</v>
      </c>
      <c r="B424" s="4" t="s">
        <v>1536</v>
      </c>
      <c r="C424" s="4" t="s">
        <v>573</v>
      </c>
      <c r="D424" s="4" t="s">
        <v>579</v>
      </c>
      <c r="E424" s="4" t="s">
        <v>579</v>
      </c>
      <c r="F424" s="4" t="s">
        <v>842</v>
      </c>
      <c r="G424" s="14">
        <v>95.75</v>
      </c>
      <c r="H424" s="10">
        <v>7.9077229999999998</v>
      </c>
      <c r="I424" s="10">
        <v>10.059168</v>
      </c>
      <c r="J424" s="10">
        <v>1.8381879999999999</v>
      </c>
      <c r="K424" s="15">
        <v>1.9216E-2</v>
      </c>
      <c r="L424" s="17">
        <v>33151.747990999997</v>
      </c>
      <c r="M424" s="4" t="s">
        <v>1537</v>
      </c>
      <c r="N424" s="19">
        <v>9.5186790000000006</v>
      </c>
      <c r="O424" s="19">
        <v>8.8592999999999993</v>
      </c>
      <c r="P424" s="19">
        <v>8.36</v>
      </c>
      <c r="Q424" s="19">
        <v>6.9157000000000002</v>
      </c>
      <c r="R424" s="19">
        <v>4.67</v>
      </c>
      <c r="S424" s="19">
        <v>5.8446999999999996</v>
      </c>
      <c r="T424" s="19">
        <v>4.67</v>
      </c>
      <c r="U424" s="19">
        <v>5.1920000000000002</v>
      </c>
      <c r="V424" s="19">
        <v>6.27</v>
      </c>
      <c r="W424" s="19">
        <v>5.6212</v>
      </c>
      <c r="X424" s="19">
        <v>6.27</v>
      </c>
      <c r="Y424" s="19">
        <v>5.6212</v>
      </c>
      <c r="Z424" s="4"/>
      <c r="AA424" s="4"/>
      <c r="AB424" s="4" t="e">
        <f ca="1">_xll.ciqfunctions.udf.CIQ("^SPX", "IQ_PRICEDATE", "8/27/2015")</f>
        <v>#NAME?</v>
      </c>
      <c r="AC424" s="16">
        <v>1987.6624923115</v>
      </c>
    </row>
    <row r="425" spans="1:29" x14ac:dyDescent="0.35">
      <c r="A425" s="2" t="s">
        <v>435</v>
      </c>
      <c r="B425" s="4" t="s">
        <v>1538</v>
      </c>
      <c r="C425" s="4" t="s">
        <v>573</v>
      </c>
      <c r="D425" s="4" t="s">
        <v>574</v>
      </c>
      <c r="E425" s="4" t="s">
        <v>575</v>
      </c>
      <c r="F425" s="4" t="s">
        <v>576</v>
      </c>
      <c r="G425" s="14">
        <v>49.15</v>
      </c>
      <c r="H425" s="10">
        <v>0</v>
      </c>
      <c r="I425" s="10">
        <v>11.81385</v>
      </c>
      <c r="J425" s="10">
        <v>3.1329940000000001</v>
      </c>
      <c r="K425" s="15">
        <v>2.2787000000000002E-2</v>
      </c>
      <c r="L425" s="17">
        <v>49147.276450999998</v>
      </c>
      <c r="M425" s="4" t="s">
        <v>1539</v>
      </c>
      <c r="N425" s="19">
        <v>4.1603709999999996</v>
      </c>
      <c r="O425" s="19">
        <v>4.2137000000000002</v>
      </c>
      <c r="P425" s="19">
        <v>3.72</v>
      </c>
      <c r="Q425" s="19">
        <v>3.8774999999999999</v>
      </c>
      <c r="R425" s="19">
        <v>3.15</v>
      </c>
      <c r="S425" s="19">
        <v>3.4152</v>
      </c>
      <c r="T425" s="19">
        <v>3.15</v>
      </c>
      <c r="U425" s="19">
        <v>2.9577</v>
      </c>
      <c r="V425" s="19">
        <v>2.15</v>
      </c>
      <c r="W425" s="19">
        <v>2.5171000000000001</v>
      </c>
      <c r="X425" s="19">
        <v>2.15</v>
      </c>
      <c r="Y425" s="19">
        <v>2.5171000000000001</v>
      </c>
      <c r="Z425" s="4"/>
      <c r="AA425" s="4"/>
      <c r="AB425" s="4" t="e">
        <f ca="1">_xll.ciqfunctions.udf.CIQ("^SPX", "IQ_PRICEDATE", "8/28/2015")</f>
        <v>#NAME?</v>
      </c>
      <c r="AC425" s="16">
        <v>1988.8714072271</v>
      </c>
    </row>
    <row r="426" spans="1:29" x14ac:dyDescent="0.35">
      <c r="A426" s="2" t="s">
        <v>436</v>
      </c>
      <c r="B426" s="4" t="s">
        <v>1540</v>
      </c>
      <c r="C426" s="4" t="s">
        <v>525</v>
      </c>
      <c r="D426" s="4" t="s">
        <v>526</v>
      </c>
      <c r="E426" s="4" t="s">
        <v>703</v>
      </c>
      <c r="F426" s="4" t="s">
        <v>703</v>
      </c>
      <c r="G426" s="14">
        <v>365.5</v>
      </c>
      <c r="H426" s="10">
        <v>16.268211999999998</v>
      </c>
      <c r="I426" s="10">
        <v>22.956282999999999</v>
      </c>
      <c r="J426" s="10" t="s">
        <v>534</v>
      </c>
      <c r="K426" s="15">
        <v>1.8713999999999998E-2</v>
      </c>
      <c r="L426" s="17">
        <v>209982.78876699999</v>
      </c>
      <c r="M426" s="4" t="s">
        <v>1541</v>
      </c>
      <c r="N426" s="19">
        <v>15.921567</v>
      </c>
      <c r="O426" s="19">
        <v>15.833299999999999</v>
      </c>
      <c r="P426" s="19">
        <v>13.43</v>
      </c>
      <c r="Q426" s="19">
        <v>10.849</v>
      </c>
      <c r="R426" s="19">
        <v>7.61</v>
      </c>
      <c r="S426" s="19">
        <v>9.0985999999999994</v>
      </c>
      <c r="T426" s="19">
        <v>7.61</v>
      </c>
      <c r="U426" s="19">
        <v>9.1153999999999993</v>
      </c>
      <c r="V426" s="19">
        <v>7.38</v>
      </c>
      <c r="W426" s="19">
        <v>8.4928000000000008</v>
      </c>
      <c r="X426" s="19">
        <v>7.38</v>
      </c>
      <c r="Y426" s="19">
        <v>8.4928000000000008</v>
      </c>
      <c r="Z426" s="4"/>
      <c r="AA426" s="4"/>
      <c r="AB426" s="4" t="e">
        <f ca="1">_xll.ciqfunctions.udf.CIQ("^SPX", "IQ_PRICEDATE", "8/31/2015")</f>
        <v>#NAME?</v>
      </c>
      <c r="AC426" s="16">
        <v>1972.1846887109</v>
      </c>
    </row>
    <row r="427" spans="1:29" x14ac:dyDescent="0.35">
      <c r="A427" s="2" t="s">
        <v>437</v>
      </c>
      <c r="B427" s="4" t="s">
        <v>1542</v>
      </c>
      <c r="C427" s="4" t="s">
        <v>573</v>
      </c>
      <c r="D427" s="4" t="s">
        <v>574</v>
      </c>
      <c r="E427" s="4" t="s">
        <v>575</v>
      </c>
      <c r="F427" s="4" t="s">
        <v>963</v>
      </c>
      <c r="G427" s="14">
        <v>48.04</v>
      </c>
      <c r="H427" s="10">
        <v>0</v>
      </c>
      <c r="I427" s="10">
        <v>21.928412999999999</v>
      </c>
      <c r="J427" s="10">
        <v>3.1202899999999998</v>
      </c>
      <c r="K427" s="15">
        <v>1.0824E-2</v>
      </c>
      <c r="L427" s="17">
        <v>64905.056095</v>
      </c>
      <c r="M427" s="4" t="s">
        <v>1543</v>
      </c>
      <c r="N427" s="19">
        <v>2.1907649999999999</v>
      </c>
      <c r="O427" s="19">
        <v>2.7970000000000002</v>
      </c>
      <c r="P427" s="19">
        <v>1.61</v>
      </c>
      <c r="Q427" s="19">
        <v>1.8414999999999999</v>
      </c>
      <c r="R427" s="19">
        <v>1.31</v>
      </c>
      <c r="S427" s="19">
        <v>1.5119</v>
      </c>
      <c r="T427" s="19">
        <v>1.31</v>
      </c>
      <c r="U427" s="19">
        <v>1.2218</v>
      </c>
      <c r="V427" s="19">
        <v>0.95</v>
      </c>
      <c r="W427" s="19">
        <v>1.0673999999999999</v>
      </c>
      <c r="X427" s="19">
        <v>0.95</v>
      </c>
      <c r="Y427" s="19">
        <v>1.0673999999999999</v>
      </c>
      <c r="Z427" s="4"/>
      <c r="AA427" s="4"/>
      <c r="AB427" s="4" t="e">
        <f ca="1">_xll.ciqfunctions.udf.CIQ("^SPX", "IQ_PRICEDATE", "9/1/2015")</f>
        <v>#NAME?</v>
      </c>
      <c r="AC427" s="16">
        <v>1913.8526947388</v>
      </c>
    </row>
    <row r="428" spans="1:29" x14ac:dyDescent="0.35">
      <c r="A428" s="2" t="s">
        <v>438</v>
      </c>
      <c r="B428" s="4" t="s">
        <v>1544</v>
      </c>
      <c r="C428" s="4" t="s">
        <v>626</v>
      </c>
      <c r="D428" s="4" t="s">
        <v>845</v>
      </c>
      <c r="E428" s="4" t="s">
        <v>846</v>
      </c>
      <c r="F428" s="4" t="s">
        <v>846</v>
      </c>
      <c r="G428" s="14">
        <v>149.43</v>
      </c>
      <c r="H428" s="10">
        <v>16.537621000000001</v>
      </c>
      <c r="I428" s="10">
        <v>23.870607</v>
      </c>
      <c r="J428" s="10" t="s">
        <v>534</v>
      </c>
      <c r="K428" s="15">
        <v>2.5697000000000001E-2</v>
      </c>
      <c r="L428" s="17">
        <v>19080.757345000002</v>
      </c>
      <c r="M428" s="4" t="s">
        <v>1545</v>
      </c>
      <c r="N428" s="19">
        <v>6.26</v>
      </c>
      <c r="O428" s="19">
        <v>6.4449699999999996</v>
      </c>
      <c r="P428" s="19">
        <v>6.0693510000000002</v>
      </c>
      <c r="Q428" s="19">
        <v>5.6807999999999996</v>
      </c>
      <c r="R428" s="19">
        <v>4.9698950000000002</v>
      </c>
      <c r="S428" s="19">
        <v>5.4089999999999998</v>
      </c>
      <c r="T428" s="19">
        <v>4.9698950000000002</v>
      </c>
      <c r="U428" s="19">
        <v>4.9394</v>
      </c>
      <c r="V428" s="19">
        <v>4.5105890000000004</v>
      </c>
      <c r="W428" s="19">
        <v>4.5160999999999998</v>
      </c>
      <c r="X428" s="19">
        <v>4.5105890000000004</v>
      </c>
      <c r="Y428" s="19">
        <v>4.5160999999999998</v>
      </c>
      <c r="Z428" s="4"/>
      <c r="AA428" s="4"/>
      <c r="AB428" s="4" t="e">
        <f ca="1">_xll.ciqfunctions.udf.CIQ("^SPX", "IQ_PRICEDATE", "9/2/2015")</f>
        <v>#NAME?</v>
      </c>
      <c r="AC428" s="16">
        <v>1948.8626025962999</v>
      </c>
    </row>
    <row r="429" spans="1:29" x14ac:dyDescent="0.35">
      <c r="A429" s="2" t="s">
        <v>439</v>
      </c>
      <c r="B429" s="4" t="s">
        <v>1546</v>
      </c>
      <c r="C429" s="4" t="s">
        <v>626</v>
      </c>
      <c r="D429" s="4" t="s">
        <v>627</v>
      </c>
      <c r="E429" s="4" t="s">
        <v>775</v>
      </c>
      <c r="F429" s="4" t="s">
        <v>1298</v>
      </c>
      <c r="G429" s="14">
        <v>45.86</v>
      </c>
      <c r="H429" s="10">
        <v>18.702285</v>
      </c>
      <c r="I429" s="10">
        <v>90.363106999999999</v>
      </c>
      <c r="J429" s="10">
        <v>133.49945500000001</v>
      </c>
      <c r="K429" s="15">
        <v>3.4016000000000005E-2</v>
      </c>
      <c r="L429" s="17">
        <v>195039.023419</v>
      </c>
      <c r="M429" s="4" t="s">
        <v>1547</v>
      </c>
      <c r="N429" s="19">
        <v>0.50750799999999996</v>
      </c>
      <c r="O429" s="19">
        <v>2.1431</v>
      </c>
      <c r="P429" s="19">
        <v>0.26849200000000001</v>
      </c>
      <c r="Q429" s="19">
        <v>1.9507000000000001</v>
      </c>
      <c r="R429" s="19">
        <v>1.49</v>
      </c>
      <c r="S429" s="19">
        <v>1.9345000000000001</v>
      </c>
      <c r="T429" s="19">
        <v>1.49</v>
      </c>
      <c r="U429" s="19">
        <v>2.0082</v>
      </c>
      <c r="V429" s="19">
        <v>1.6</v>
      </c>
      <c r="W429" s="19">
        <v>2.0051000000000001</v>
      </c>
      <c r="X429" s="19">
        <v>1.6</v>
      </c>
      <c r="Y429" s="19">
        <v>2.0051000000000001</v>
      </c>
      <c r="Z429" s="4"/>
      <c r="AA429" s="4"/>
      <c r="AB429" s="4" t="e">
        <f ca="1">_xll.ciqfunctions.udf.CIQ("^SPX", "IQ_PRICEDATE", "9/3/2015")</f>
        <v>#NAME?</v>
      </c>
      <c r="AC429" s="16">
        <v>1951.1277803734999</v>
      </c>
    </row>
    <row r="430" spans="1:29" x14ac:dyDescent="0.35">
      <c r="A430" s="2" t="s">
        <v>440</v>
      </c>
      <c r="B430" s="4" t="s">
        <v>1548</v>
      </c>
      <c r="C430" s="4" t="s">
        <v>530</v>
      </c>
      <c r="D430" s="4" t="s">
        <v>531</v>
      </c>
      <c r="E430" s="4" t="s">
        <v>532</v>
      </c>
      <c r="F430" s="4" t="s">
        <v>608</v>
      </c>
      <c r="G430" s="14">
        <v>264.27999999999997</v>
      </c>
      <c r="H430" s="10">
        <v>19.112124000000001</v>
      </c>
      <c r="I430" s="10">
        <v>102.52654099999999</v>
      </c>
      <c r="J430" s="10" t="s">
        <v>534</v>
      </c>
      <c r="K430" s="15">
        <v>2.2700000000000002E-4</v>
      </c>
      <c r="L430" s="17">
        <v>12986.635158999999</v>
      </c>
      <c r="M430" s="4" t="s">
        <v>1549</v>
      </c>
      <c r="N430" s="19">
        <v>2.577674</v>
      </c>
      <c r="O430" s="19">
        <v>11.926</v>
      </c>
      <c r="P430" s="19">
        <v>7.52</v>
      </c>
      <c r="Q430" s="19">
        <v>11.5067</v>
      </c>
      <c r="R430" s="19">
        <v>5.59</v>
      </c>
      <c r="S430" s="19">
        <v>9.1911199999999997</v>
      </c>
      <c r="T430" s="19">
        <v>5.59</v>
      </c>
      <c r="U430" s="19">
        <v>7.7448600000000001</v>
      </c>
      <c r="V430" s="19">
        <v>5.51</v>
      </c>
      <c r="W430" s="19">
        <v>7.5372700000000004</v>
      </c>
      <c r="X430" s="19">
        <v>5.51</v>
      </c>
      <c r="Y430" s="19">
        <v>7.5372700000000004</v>
      </c>
      <c r="Z430" s="4"/>
      <c r="AA430" s="4"/>
      <c r="AB430" s="4" t="e">
        <f ca="1">_xll.ciqfunctions.udf.CIQ("^SPX", "IQ_PRICEDATE", "9/4/2015")</f>
        <v>#NAME?</v>
      </c>
      <c r="AC430" s="16">
        <v>1921.2244033136001</v>
      </c>
    </row>
    <row r="431" spans="1:29" x14ac:dyDescent="0.35">
      <c r="A431" s="2" t="s">
        <v>441</v>
      </c>
      <c r="B431" s="4" t="s">
        <v>1550</v>
      </c>
      <c r="C431" s="4" t="s">
        <v>626</v>
      </c>
      <c r="D431" s="4" t="s">
        <v>845</v>
      </c>
      <c r="E431" s="4" t="s">
        <v>898</v>
      </c>
      <c r="F431" s="4" t="s">
        <v>898</v>
      </c>
      <c r="G431" s="14">
        <v>128.82</v>
      </c>
      <c r="H431" s="10">
        <v>17.230432</v>
      </c>
      <c r="I431" s="10">
        <v>43.667796000000003</v>
      </c>
      <c r="J431" s="10">
        <v>31.827508999999999</v>
      </c>
      <c r="K431" s="15">
        <v>1.1798999999999999E-2</v>
      </c>
      <c r="L431" s="17">
        <v>47204.676488999998</v>
      </c>
      <c r="M431" s="4" t="s">
        <v>1551</v>
      </c>
      <c r="N431" s="19">
        <v>2.95</v>
      </c>
      <c r="O431" s="19">
        <v>4.7648099999999998</v>
      </c>
      <c r="P431" s="19">
        <v>2.8703150000000002</v>
      </c>
      <c r="Q431" s="19">
        <v>4.2493999999999996</v>
      </c>
      <c r="R431" s="19">
        <v>2.8938329999999999</v>
      </c>
      <c r="S431" s="19">
        <v>3.4948000000000001</v>
      </c>
      <c r="T431" s="19">
        <v>2.8938329999999999</v>
      </c>
      <c r="U431" s="19">
        <v>3.2808000000000002</v>
      </c>
      <c r="V431" s="19">
        <v>2.9039860000000002</v>
      </c>
      <c r="W431" s="19">
        <v>3.0964</v>
      </c>
      <c r="X431" s="19">
        <v>2.9039860000000002</v>
      </c>
      <c r="Y431" s="19">
        <v>3.0964</v>
      </c>
      <c r="Z431" s="4"/>
      <c r="AA431" s="4"/>
      <c r="AB431" s="4" t="e">
        <f ca="1">_xll.ciqfunctions.udf.CIQ("^SPX", "IQ_PRICEDATE", "9/8/2015")</f>
        <v>#NAME?</v>
      </c>
      <c r="AC431" s="16">
        <v>1969.4145121332001</v>
      </c>
    </row>
    <row r="432" spans="1:29" x14ac:dyDescent="0.35">
      <c r="A432" s="2" t="s">
        <v>442</v>
      </c>
      <c r="B432" s="4" t="s">
        <v>1552</v>
      </c>
      <c r="C432" s="4" t="s">
        <v>559</v>
      </c>
      <c r="D432" s="4" t="s">
        <v>560</v>
      </c>
      <c r="E432" s="4" t="s">
        <v>561</v>
      </c>
      <c r="F432" s="4" t="s">
        <v>1051</v>
      </c>
      <c r="G432" s="14">
        <v>27.13</v>
      </c>
      <c r="H432" s="10">
        <v>5.1922379999999997</v>
      </c>
      <c r="I432" s="10">
        <v>11.899122</v>
      </c>
      <c r="J432" s="10">
        <v>3.1272600000000002</v>
      </c>
      <c r="K432" s="15">
        <v>3.5753E-2</v>
      </c>
      <c r="L432" s="17">
        <v>10437.135745</v>
      </c>
      <c r="M432" s="4" t="s">
        <v>1553</v>
      </c>
      <c r="N432" s="19">
        <v>2.2799999999999998</v>
      </c>
      <c r="O432" s="19">
        <v>2.6046999999999998</v>
      </c>
      <c r="P432" s="19">
        <v>2.1695669999999998</v>
      </c>
      <c r="Q432" s="19">
        <v>2.1579000000000002</v>
      </c>
      <c r="R432" s="19">
        <v>1.6796</v>
      </c>
      <c r="S432" s="19">
        <v>2.0004</v>
      </c>
      <c r="T432" s="19">
        <v>1.6796</v>
      </c>
      <c r="U432" s="19">
        <v>2.3855</v>
      </c>
      <c r="V432" s="19">
        <v>2.7887849999999998</v>
      </c>
      <c r="W432" s="19">
        <v>2.9359999999999999</v>
      </c>
      <c r="X432" s="19">
        <v>2.7887849999999998</v>
      </c>
      <c r="Y432" s="19">
        <v>2.9359999999999999</v>
      </c>
      <c r="Z432" s="4"/>
      <c r="AA432" s="4"/>
      <c r="AB432" s="4" t="e">
        <f ca="1">_xll.ciqfunctions.udf.CIQ("^SPX", "IQ_PRICEDATE", "9/9/2015")</f>
        <v>#NAME?</v>
      </c>
      <c r="AC432" s="16">
        <v>1942.0378135220001</v>
      </c>
    </row>
    <row r="433" spans="1:29" x14ac:dyDescent="0.35">
      <c r="A433" s="2" t="s">
        <v>443</v>
      </c>
      <c r="B433" s="4" t="s">
        <v>1554</v>
      </c>
      <c r="C433" s="4" t="s">
        <v>573</v>
      </c>
      <c r="D433" s="4" t="s">
        <v>574</v>
      </c>
      <c r="E433" s="4" t="s">
        <v>575</v>
      </c>
      <c r="F433" s="4" t="s">
        <v>963</v>
      </c>
      <c r="G433" s="14">
        <v>228.28</v>
      </c>
      <c r="H433" s="10">
        <v>0</v>
      </c>
      <c r="I433" s="10">
        <v>16.653438999999999</v>
      </c>
      <c r="J433" s="10">
        <v>1.16072</v>
      </c>
      <c r="K433" s="15">
        <v>1.4017E-2</v>
      </c>
      <c r="L433" s="17">
        <v>86188.535271000001</v>
      </c>
      <c r="M433" s="4" t="s">
        <v>1555</v>
      </c>
      <c r="N433" s="19">
        <v>13.707679000000001</v>
      </c>
      <c r="O433" s="19">
        <v>24.1952</v>
      </c>
      <c r="P433" s="19">
        <v>9.0075769999999995</v>
      </c>
      <c r="Q433" s="19">
        <v>19.676500000000001</v>
      </c>
      <c r="R433" s="19">
        <v>16.288208999999998</v>
      </c>
      <c r="S433" s="19">
        <v>17.8263</v>
      </c>
      <c r="T433" s="19">
        <v>16.288208999999998</v>
      </c>
      <c r="U433" s="19">
        <v>18.084700000000002</v>
      </c>
      <c r="V433" s="19">
        <v>17.068892000000002</v>
      </c>
      <c r="W433" s="19">
        <v>16.5594</v>
      </c>
      <c r="X433" s="19">
        <v>17.068892000000002</v>
      </c>
      <c r="Y433" s="19">
        <v>16.5594</v>
      </c>
      <c r="Z433" s="4"/>
      <c r="AA433" s="4"/>
      <c r="AB433" s="4" t="e">
        <f ca="1">_xll.ciqfunctions.udf.CIQ("^SPX", "IQ_PRICEDATE", "9/10/2015")</f>
        <v>#NAME?</v>
      </c>
      <c r="AC433" s="16">
        <v>1952.2868084032</v>
      </c>
    </row>
    <row r="434" spans="1:29" x14ac:dyDescent="0.35">
      <c r="A434" s="2" t="s">
        <v>444</v>
      </c>
      <c r="B434" s="4" t="s">
        <v>1556</v>
      </c>
      <c r="C434" s="4" t="s">
        <v>559</v>
      </c>
      <c r="D434" s="4" t="s">
        <v>694</v>
      </c>
      <c r="E434" s="4" t="s">
        <v>695</v>
      </c>
      <c r="F434" s="4" t="s">
        <v>1557</v>
      </c>
      <c r="G434" s="14">
        <v>21.45</v>
      </c>
      <c r="H434" s="10">
        <v>5.3609790000000004</v>
      </c>
      <c r="I434" s="10">
        <v>19.983733000000001</v>
      </c>
      <c r="J434" s="10">
        <v>1.2959430000000001</v>
      </c>
      <c r="K434" s="15">
        <v>2.9836000000000001E-2</v>
      </c>
      <c r="L434" s="17">
        <v>5083.9877299999998</v>
      </c>
      <c r="M434" s="4" t="s">
        <v>1558</v>
      </c>
      <c r="N434" s="19">
        <v>1.0733729999999999</v>
      </c>
      <c r="O434" s="19">
        <v>3.2141000000000002</v>
      </c>
      <c r="P434" s="19">
        <v>1.37</v>
      </c>
      <c r="Q434" s="19">
        <v>3.4752999999999998</v>
      </c>
      <c r="R434" s="19">
        <v>4.74</v>
      </c>
      <c r="S434" s="19">
        <v>4.1307</v>
      </c>
      <c r="T434" s="19">
        <v>4.74</v>
      </c>
      <c r="U434" s="19">
        <v>3.7967</v>
      </c>
      <c r="V434" s="19">
        <v>8.7885299999999997</v>
      </c>
      <c r="W434" s="19">
        <v>3.0832999999999999</v>
      </c>
      <c r="X434" s="19">
        <v>8.7885299999999997</v>
      </c>
      <c r="Y434" s="19">
        <v>3.0832999999999999</v>
      </c>
      <c r="Z434" s="4"/>
      <c r="AA434" s="4"/>
      <c r="AB434" s="4" t="e">
        <f ca="1">_xll.ciqfunctions.udf.CIQ("^SPX", "IQ_PRICEDATE", "9/11/2015")</f>
        <v>#NAME?</v>
      </c>
      <c r="AC434" s="16">
        <v>1961.0456719107001</v>
      </c>
    </row>
    <row r="435" spans="1:29" x14ac:dyDescent="0.35">
      <c r="A435" s="2" t="s">
        <v>445</v>
      </c>
      <c r="B435" s="4" t="s">
        <v>1559</v>
      </c>
      <c r="C435" s="4" t="s">
        <v>573</v>
      </c>
      <c r="D435" s="4" t="s">
        <v>579</v>
      </c>
      <c r="E435" s="4" t="s">
        <v>579</v>
      </c>
      <c r="F435" s="4" t="s">
        <v>644</v>
      </c>
      <c r="G435" s="14">
        <v>46.76</v>
      </c>
      <c r="H435" s="10">
        <v>8.8489000000000004</v>
      </c>
      <c r="I435" s="10">
        <v>37.314295999999999</v>
      </c>
      <c r="J435" s="10">
        <v>1.582778</v>
      </c>
      <c r="K435" s="15">
        <v>2.5661999999999997E-2</v>
      </c>
      <c r="L435" s="17">
        <v>16759.677958</v>
      </c>
      <c r="M435" s="4" t="s">
        <v>1560</v>
      </c>
      <c r="N435" s="19">
        <v>1.253139</v>
      </c>
      <c r="O435" s="19">
        <v>4.7042999999999999</v>
      </c>
      <c r="P435" s="19">
        <v>-0.72037300000000004</v>
      </c>
      <c r="Q435" s="19">
        <v>3.7298</v>
      </c>
      <c r="R435" s="19">
        <v>1.55</v>
      </c>
      <c r="S435" s="19">
        <v>3.8207</v>
      </c>
      <c r="T435" s="19">
        <v>1.55</v>
      </c>
      <c r="U435" s="19">
        <v>3.8062</v>
      </c>
      <c r="V435" s="19">
        <v>2.93</v>
      </c>
      <c r="W435" s="19">
        <v>3.6341999999999999</v>
      </c>
      <c r="X435" s="19">
        <v>2.93</v>
      </c>
      <c r="Y435" s="19">
        <v>3.6341999999999999</v>
      </c>
      <c r="Z435" s="4"/>
      <c r="AA435" s="4"/>
      <c r="AB435" s="4" t="e">
        <f ca="1">_xll.ciqfunctions.udf.CIQ("^SPX", "IQ_PRICEDATE", "9/14/2015")</f>
        <v>#NAME?</v>
      </c>
      <c r="AC435" s="16">
        <v>1953.0260841301999</v>
      </c>
    </row>
    <row r="436" spans="1:29" x14ac:dyDescent="0.35">
      <c r="A436" s="2" t="s">
        <v>446</v>
      </c>
      <c r="B436" s="4" t="s">
        <v>1561</v>
      </c>
      <c r="C436" s="4" t="s">
        <v>626</v>
      </c>
      <c r="D436" s="4" t="s">
        <v>627</v>
      </c>
      <c r="E436" s="4" t="s">
        <v>699</v>
      </c>
      <c r="F436" s="4" t="s">
        <v>789</v>
      </c>
      <c r="G436" s="14">
        <v>105.19</v>
      </c>
      <c r="H436" s="10">
        <v>13.619052</v>
      </c>
      <c r="I436" s="10">
        <v>21.644304000000002</v>
      </c>
      <c r="J436" s="10" t="s">
        <v>534</v>
      </c>
      <c r="K436" s="15">
        <v>2.7454999999999997E-2</v>
      </c>
      <c r="L436" s="17">
        <v>22017.604175</v>
      </c>
      <c r="M436" s="4" t="s">
        <v>1562</v>
      </c>
      <c r="N436" s="19">
        <v>4.8599389999999998</v>
      </c>
      <c r="O436" s="19">
        <v>5.5034000000000001</v>
      </c>
      <c r="P436" s="19">
        <v>3.66</v>
      </c>
      <c r="Q436" s="19">
        <v>5.0721999999999996</v>
      </c>
      <c r="R436" s="19">
        <v>3.34</v>
      </c>
      <c r="S436" s="19">
        <v>4.5460000000000003</v>
      </c>
      <c r="T436" s="19">
        <v>3.34</v>
      </c>
      <c r="U436" s="19">
        <v>4.2995999999999999</v>
      </c>
      <c r="V436" s="19">
        <v>3.77</v>
      </c>
      <c r="W436" s="19">
        <v>4.3806000000000003</v>
      </c>
      <c r="X436" s="19">
        <v>3.77</v>
      </c>
      <c r="Y436" s="19">
        <v>4.3806000000000003</v>
      </c>
      <c r="Z436" s="4"/>
      <c r="AA436" s="4"/>
      <c r="AB436" s="4" t="e">
        <f ca="1">_xll.ciqfunctions.udf.CIQ("^SPX", "IQ_PRICEDATE", "9/15/2015")</f>
        <v>#NAME?</v>
      </c>
      <c r="AC436" s="16">
        <v>1978.0866505581</v>
      </c>
    </row>
    <row r="437" spans="1:29" x14ac:dyDescent="0.35">
      <c r="A437" s="2" t="s">
        <v>447</v>
      </c>
      <c r="B437" s="4" t="s">
        <v>1563</v>
      </c>
      <c r="C437" s="4" t="s">
        <v>559</v>
      </c>
      <c r="D437" s="4" t="s">
        <v>560</v>
      </c>
      <c r="E437" s="4" t="s">
        <v>561</v>
      </c>
      <c r="F437" s="4" t="s">
        <v>1235</v>
      </c>
      <c r="G437" s="14">
        <v>185.17</v>
      </c>
      <c r="H437" s="10">
        <v>13.549714</v>
      </c>
      <c r="I437" s="10">
        <v>21.832609000000001</v>
      </c>
      <c r="J437" s="10" t="s">
        <v>534</v>
      </c>
      <c r="K437" s="15">
        <v>2.2248999999999998E-2</v>
      </c>
      <c r="L437" s="17">
        <v>211860.06771599999</v>
      </c>
      <c r="M437" s="4" t="s">
        <v>1564</v>
      </c>
      <c r="N437" s="19">
        <v>8.4813500000000008</v>
      </c>
      <c r="O437" s="19">
        <v>9.9509000000000007</v>
      </c>
      <c r="P437" s="19">
        <v>7.1997479999999996</v>
      </c>
      <c r="Q437" s="19">
        <v>8.0988000000000007</v>
      </c>
      <c r="R437" s="19">
        <v>6.1596469999999997</v>
      </c>
      <c r="S437" s="19">
        <v>6.9504999999999999</v>
      </c>
      <c r="T437" s="19">
        <v>6.1596469999999997</v>
      </c>
      <c r="U437" s="19">
        <v>5.9935999999999998</v>
      </c>
      <c r="V437" s="19">
        <v>4.3822999999999999</v>
      </c>
      <c r="W437" s="19">
        <v>5.0602999999999998</v>
      </c>
      <c r="X437" s="19">
        <v>4.3822999999999999</v>
      </c>
      <c r="Y437" s="19">
        <v>5.0602999999999998</v>
      </c>
      <c r="Z437" s="4"/>
      <c r="AA437" s="4"/>
      <c r="AB437" s="4" t="e">
        <f ca="1">_xll.ciqfunctions.udf.CIQ("^SPX", "IQ_PRICEDATE", "9/16/2015")</f>
        <v>#NAME?</v>
      </c>
      <c r="AC437" s="16">
        <v>1995.3107086494999</v>
      </c>
    </row>
    <row r="438" spans="1:29" x14ac:dyDescent="0.35">
      <c r="A438" s="2" t="s">
        <v>448</v>
      </c>
      <c r="B438" s="4" t="s">
        <v>1565</v>
      </c>
      <c r="C438" s="4" t="s">
        <v>549</v>
      </c>
      <c r="D438" s="4" t="s">
        <v>550</v>
      </c>
      <c r="E438" s="4" t="s">
        <v>814</v>
      </c>
      <c r="F438" s="4" t="s">
        <v>1367</v>
      </c>
      <c r="G438" s="14">
        <v>22.2</v>
      </c>
      <c r="H438" s="10">
        <v>8.8184699999999996</v>
      </c>
      <c r="I438" s="10">
        <v>14.991481</v>
      </c>
      <c r="J438" s="10" t="s">
        <v>534</v>
      </c>
      <c r="K438" s="15">
        <v>3.7837000000000003E-2</v>
      </c>
      <c r="L438" s="17">
        <v>8520.0363240000006</v>
      </c>
      <c r="M438" s="4" t="s">
        <v>1566</v>
      </c>
      <c r="N438" s="19">
        <v>1.4808410000000001</v>
      </c>
      <c r="O438" s="19">
        <v>1.7865</v>
      </c>
      <c r="P438" s="19">
        <v>1.46</v>
      </c>
      <c r="Q438" s="19">
        <v>1.5042</v>
      </c>
      <c r="R438" s="19">
        <v>1.49</v>
      </c>
      <c r="S438" s="19">
        <v>1.3581000000000001</v>
      </c>
      <c r="T438" s="19">
        <v>1.49</v>
      </c>
      <c r="U438" s="19">
        <v>1.2754000000000001</v>
      </c>
      <c r="V438" s="19">
        <v>1.1200000000000001</v>
      </c>
      <c r="W438" s="19">
        <v>1.111</v>
      </c>
      <c r="X438" s="19">
        <v>1.1200000000000001</v>
      </c>
      <c r="Y438" s="19">
        <v>1.111</v>
      </c>
      <c r="Z438" s="4"/>
      <c r="AA438" s="4"/>
      <c r="AB438" s="4" t="e">
        <f ca="1">_xll.ciqfunctions.udf.CIQ("^SPX", "IQ_PRICEDATE", "9/17/2015")</f>
        <v>#NAME?</v>
      </c>
      <c r="AC438" s="16">
        <v>1990.2042737638001</v>
      </c>
    </row>
    <row r="439" spans="1:29" x14ac:dyDescent="0.35">
      <c r="A439" s="2" t="s">
        <v>449</v>
      </c>
      <c r="B439" s="4" t="s">
        <v>1567</v>
      </c>
      <c r="C439" s="4" t="s">
        <v>626</v>
      </c>
      <c r="D439" s="4" t="s">
        <v>627</v>
      </c>
      <c r="E439" s="4" t="s">
        <v>699</v>
      </c>
      <c r="F439" s="4" t="s">
        <v>789</v>
      </c>
      <c r="G439" s="14">
        <v>103.8</v>
      </c>
      <c r="H439" s="10">
        <v>11.016263</v>
      </c>
      <c r="I439" s="10">
        <v>8.7798149999999993</v>
      </c>
      <c r="J439" s="10" t="s">
        <v>534</v>
      </c>
      <c r="K439" s="15">
        <v>3.2754999999999999E-2</v>
      </c>
      <c r="L439" s="17">
        <v>11805.958728</v>
      </c>
      <c r="M439" s="4" t="s">
        <v>1568</v>
      </c>
      <c r="N439" s="19">
        <v>11.822571999999999</v>
      </c>
      <c r="O439" s="19">
        <v>8.4360999999999997</v>
      </c>
      <c r="P439" s="19">
        <v>4.9415750000000003</v>
      </c>
      <c r="Q439" s="19">
        <v>8.1940000000000008</v>
      </c>
      <c r="R439" s="19">
        <v>6.1326689999999999</v>
      </c>
      <c r="S439" s="19">
        <v>7.8440000000000003</v>
      </c>
      <c r="T439" s="19">
        <v>6.1326689999999999</v>
      </c>
      <c r="U439" s="19">
        <v>6.1154999999999999</v>
      </c>
      <c r="V439" s="19">
        <v>5.4619790000000004</v>
      </c>
      <c r="W439" s="19">
        <v>5.7008000000000001</v>
      </c>
      <c r="X439" s="19">
        <v>5.4619790000000004</v>
      </c>
      <c r="Y439" s="19">
        <v>5.7008000000000001</v>
      </c>
      <c r="Z439" s="4"/>
      <c r="AA439" s="4"/>
      <c r="AB439" s="4" t="e">
        <f ca="1">_xll.ciqfunctions.udf.CIQ("^SPX", "IQ_PRICEDATE", "9/18/2015")</f>
        <v>#NAME?</v>
      </c>
      <c r="AC439" s="16">
        <v>1958.0328294343999</v>
      </c>
    </row>
    <row r="440" spans="1:29" x14ac:dyDescent="0.35">
      <c r="A440" s="2" t="s">
        <v>450</v>
      </c>
      <c r="B440" s="4" t="s">
        <v>1569</v>
      </c>
      <c r="C440" s="4" t="s">
        <v>626</v>
      </c>
      <c r="D440" s="4" t="s">
        <v>627</v>
      </c>
      <c r="E440" s="4" t="s">
        <v>699</v>
      </c>
      <c r="F440" s="4" t="s">
        <v>789</v>
      </c>
      <c r="G440" s="14">
        <v>56.4</v>
      </c>
      <c r="H440" s="10">
        <v>12.288691</v>
      </c>
      <c r="I440" s="10">
        <v>6.4719179999999996</v>
      </c>
      <c r="J440" s="10" t="s">
        <v>534</v>
      </c>
      <c r="K440" s="15">
        <v>4.4325999999999997E-2</v>
      </c>
      <c r="L440" s="17">
        <v>68765.600227999996</v>
      </c>
      <c r="M440" s="4" t="s">
        <v>1570</v>
      </c>
      <c r="N440" s="19">
        <v>8.7145720000000004</v>
      </c>
      <c r="O440" s="19">
        <v>3.7258</v>
      </c>
      <c r="P440" s="19">
        <v>8.9499999999999993</v>
      </c>
      <c r="Q440" s="19">
        <v>3.8</v>
      </c>
      <c r="R440" s="19">
        <v>2.81</v>
      </c>
      <c r="S440" s="19">
        <v>3.7938999999999998</v>
      </c>
      <c r="T440" s="19">
        <v>2.81</v>
      </c>
      <c r="U440" s="19">
        <v>2.6663000000000001</v>
      </c>
      <c r="V440" s="19">
        <v>-0.17</v>
      </c>
      <c r="W440" s="19">
        <v>0</v>
      </c>
      <c r="X440" s="19">
        <v>-0.17</v>
      </c>
      <c r="Y440" s="19">
        <v>0</v>
      </c>
      <c r="Z440" s="4"/>
      <c r="AA440" s="4"/>
      <c r="AB440" s="4" t="e">
        <f ca="1">_xll.ciqfunctions.udf.CIQ("^SPX", "IQ_PRICEDATE", "9/21/2015")</f>
        <v>#NAME?</v>
      </c>
      <c r="AC440" s="16">
        <v>1966.9702715327001</v>
      </c>
    </row>
    <row r="441" spans="1:29" x14ac:dyDescent="0.35">
      <c r="A441" s="2" t="s">
        <v>451</v>
      </c>
      <c r="B441" s="4" t="s">
        <v>1571</v>
      </c>
      <c r="C441" s="4" t="s">
        <v>626</v>
      </c>
      <c r="D441" s="4" t="s">
        <v>894</v>
      </c>
      <c r="E441" s="4" t="s">
        <v>894</v>
      </c>
      <c r="F441" s="4" t="s">
        <v>1572</v>
      </c>
      <c r="G441" s="14">
        <v>27.29</v>
      </c>
      <c r="H441" s="10">
        <v>7.1209189999999998</v>
      </c>
      <c r="I441" s="10">
        <v>6.2582389999999997</v>
      </c>
      <c r="J441" s="10">
        <v>7.0870410000000001</v>
      </c>
      <c r="K441" s="15">
        <v>2.052E-2</v>
      </c>
      <c r="L441" s="17">
        <v>21761.557087000001</v>
      </c>
      <c r="M441" s="4" t="s">
        <v>1573</v>
      </c>
      <c r="N441" s="19">
        <v>4.3606509999999998</v>
      </c>
      <c r="O441" s="19">
        <v>2.1631</v>
      </c>
      <c r="P441" s="19">
        <v>1.6846129999999999</v>
      </c>
      <c r="Q441" s="19">
        <v>2.0297000000000001</v>
      </c>
      <c r="R441" s="19">
        <v>2.0807440000000001</v>
      </c>
      <c r="S441" s="19">
        <v>2.1358000000000001</v>
      </c>
      <c r="T441" s="19">
        <v>2.0807440000000001</v>
      </c>
      <c r="U441" s="19">
        <v>2.1724999999999999</v>
      </c>
      <c r="V441" s="19">
        <v>1.605483</v>
      </c>
      <c r="W441" s="19">
        <v>1.7989999999999999</v>
      </c>
      <c r="X441" s="19">
        <v>1.605483</v>
      </c>
      <c r="Y441" s="19">
        <v>1.7989999999999999</v>
      </c>
      <c r="Z441" s="4"/>
      <c r="AA441" s="4"/>
      <c r="AB441" s="4" t="e">
        <f ca="1">_xll.ciqfunctions.udf.CIQ("^SPX", "IQ_PRICEDATE", "9/22/2015")</f>
        <v>#NAME?</v>
      </c>
      <c r="AC441" s="16">
        <v>1942.7441268069999</v>
      </c>
    </row>
    <row r="442" spans="1:29" x14ac:dyDescent="0.35">
      <c r="A442" s="2" t="s">
        <v>452</v>
      </c>
      <c r="B442" s="4" t="s">
        <v>1574</v>
      </c>
      <c r="C442" s="4" t="s">
        <v>586</v>
      </c>
      <c r="D442" s="4" t="s">
        <v>586</v>
      </c>
      <c r="E442" s="4" t="s">
        <v>587</v>
      </c>
      <c r="F442" s="4" t="s">
        <v>830</v>
      </c>
      <c r="G442" s="14">
        <v>33.049999999999997</v>
      </c>
      <c r="H442" s="10">
        <v>11.300969</v>
      </c>
      <c r="I442" s="10" t="s">
        <v>534</v>
      </c>
      <c r="J442" s="10">
        <v>1.506122</v>
      </c>
      <c r="K442" s="15">
        <v>3.0249999999999999E-3</v>
      </c>
      <c r="L442" s="17">
        <v>12739.383</v>
      </c>
      <c r="M442" s="4" t="s">
        <v>1575</v>
      </c>
      <c r="N442" s="19">
        <v>-0.25414900000000001</v>
      </c>
      <c r="O442" s="19">
        <v>2.2004999999999999</v>
      </c>
      <c r="P442" s="19">
        <v>-0.31</v>
      </c>
      <c r="Q442" s="19">
        <v>1.0253000000000001</v>
      </c>
      <c r="R442" s="19">
        <v>0.849885</v>
      </c>
      <c r="S442" s="19">
        <v>0.85129999999999995</v>
      </c>
      <c r="T442" s="19">
        <v>0.849885</v>
      </c>
      <c r="U442" s="19">
        <v>2.5206</v>
      </c>
      <c r="V442" s="19">
        <v>2.68</v>
      </c>
      <c r="W442" s="19">
        <v>2.9106000000000001</v>
      </c>
      <c r="X442" s="19">
        <v>2.68</v>
      </c>
      <c r="Y442" s="19">
        <v>2.9106000000000001</v>
      </c>
      <c r="Z442" s="4"/>
      <c r="AA442" s="4"/>
      <c r="AB442" s="4" t="e">
        <f ca="1">_xll.ciqfunctions.udf.CIQ("^SPX", "IQ_PRICEDATE", "9/23/2015")</f>
        <v>#NAME?</v>
      </c>
      <c r="AC442" s="16">
        <v>1938.7592864579999</v>
      </c>
    </row>
    <row r="443" spans="1:29" x14ac:dyDescent="0.35">
      <c r="A443" s="2" t="s">
        <v>453</v>
      </c>
      <c r="B443" s="4" t="s">
        <v>1576</v>
      </c>
      <c r="C443" s="4" t="s">
        <v>573</v>
      </c>
      <c r="D443" s="4" t="s">
        <v>737</v>
      </c>
      <c r="E443" s="4" t="s">
        <v>737</v>
      </c>
      <c r="F443" s="4" t="s">
        <v>743</v>
      </c>
      <c r="G443" s="14">
        <v>127.33</v>
      </c>
      <c r="H443" s="10">
        <v>0</v>
      </c>
      <c r="I443" s="10">
        <v>10.470926</v>
      </c>
      <c r="J443" s="10">
        <v>1.55461</v>
      </c>
      <c r="K443" s="15">
        <v>2.9843000000000001E-2</v>
      </c>
      <c r="L443" s="17">
        <v>58826.46</v>
      </c>
      <c r="M443" s="4" t="s">
        <v>1577</v>
      </c>
      <c r="N443" s="19">
        <v>12.160337</v>
      </c>
      <c r="O443" s="19">
        <v>11.237299999999999</v>
      </c>
      <c r="P443" s="19">
        <v>10.364197000000001</v>
      </c>
      <c r="Q443" s="19">
        <v>9.1697000000000006</v>
      </c>
      <c r="R443" s="19">
        <v>7.3</v>
      </c>
      <c r="S443" s="19">
        <v>7.4806999999999997</v>
      </c>
      <c r="T443" s="19">
        <v>7.3</v>
      </c>
      <c r="U443" s="19">
        <v>7.1966000000000001</v>
      </c>
      <c r="V443" s="19">
        <v>7.2960890000000003</v>
      </c>
      <c r="W443" s="19">
        <v>7.0872000000000002</v>
      </c>
      <c r="X443" s="19">
        <v>7.2960890000000003</v>
      </c>
      <c r="Y443" s="19">
        <v>7.0872000000000002</v>
      </c>
      <c r="Z443" s="4"/>
      <c r="AA443" s="4"/>
      <c r="AB443" s="4" t="e">
        <f ca="1">_xll.ciqfunctions.udf.CIQ("^SPX", "IQ_PRICEDATE", "9/24/2015")</f>
        <v>#NAME?</v>
      </c>
      <c r="AC443" s="16">
        <v>1932.2411739508</v>
      </c>
    </row>
    <row r="444" spans="1:29" x14ac:dyDescent="0.35">
      <c r="A444" s="2" t="s">
        <v>454</v>
      </c>
      <c r="B444" s="4" t="s">
        <v>1578</v>
      </c>
      <c r="C444" s="4" t="s">
        <v>626</v>
      </c>
      <c r="D444" s="4" t="s">
        <v>845</v>
      </c>
      <c r="E444" s="4" t="s">
        <v>846</v>
      </c>
      <c r="F444" s="4" t="s">
        <v>846</v>
      </c>
      <c r="G444" s="14">
        <v>81.142799999999994</v>
      </c>
      <c r="H444" s="10">
        <v>12.759328</v>
      </c>
      <c r="I444" s="10">
        <v>22.305382999999999</v>
      </c>
      <c r="J444" s="10" t="s">
        <v>534</v>
      </c>
      <c r="K444" s="15">
        <v>3.5045E-2</v>
      </c>
      <c r="L444" s="17">
        <v>203762.57595900001</v>
      </c>
      <c r="M444" s="4" t="s">
        <v>1579</v>
      </c>
      <c r="N444" s="19">
        <v>3.6699660000000001</v>
      </c>
      <c r="O444" s="19">
        <v>4.3838400000000002</v>
      </c>
      <c r="P444" s="19">
        <v>3.7485819999999999</v>
      </c>
      <c r="Q444" s="19">
        <v>4.2313000000000001</v>
      </c>
      <c r="R444" s="19">
        <v>3.454097</v>
      </c>
      <c r="S444" s="19">
        <v>3.9472999999999998</v>
      </c>
      <c r="T444" s="19">
        <v>3.454097</v>
      </c>
      <c r="U444" s="19">
        <v>3.8786</v>
      </c>
      <c r="V444" s="19">
        <v>3.5824760000000002</v>
      </c>
      <c r="W444" s="19">
        <v>4.4438000000000004</v>
      </c>
      <c r="X444" s="19">
        <v>3.5824760000000002</v>
      </c>
      <c r="Y444" s="19">
        <v>4.4438000000000004</v>
      </c>
      <c r="Z444" s="4"/>
      <c r="AA444" s="4"/>
      <c r="AB444" s="4" t="e">
        <f ca="1">_xll.ciqfunctions.udf.CIQ("^SPX", "IQ_PRICEDATE", "9/25/2015")</f>
        <v>#NAME?</v>
      </c>
      <c r="AC444" s="16">
        <v>1931.3399031875999</v>
      </c>
    </row>
    <row r="445" spans="1:29" x14ac:dyDescent="0.35">
      <c r="A445" s="2" t="s">
        <v>455</v>
      </c>
      <c r="B445" s="4" t="s">
        <v>1580</v>
      </c>
      <c r="C445" s="4" t="s">
        <v>573</v>
      </c>
      <c r="D445" s="4" t="s">
        <v>579</v>
      </c>
      <c r="E445" s="4" t="s">
        <v>579</v>
      </c>
      <c r="F445" s="4" t="s">
        <v>842</v>
      </c>
      <c r="G445" s="14">
        <v>70.63</v>
      </c>
      <c r="H445" s="10">
        <v>11.252679000000001</v>
      </c>
      <c r="I445" s="10">
        <v>14.210038000000001</v>
      </c>
      <c r="J445" s="10">
        <v>3.7124760000000001</v>
      </c>
      <c r="K445" s="15">
        <v>1.5923E-2</v>
      </c>
      <c r="L445" s="17">
        <v>41184.353000000003</v>
      </c>
      <c r="M445" s="4" t="s">
        <v>1581</v>
      </c>
      <c r="N445" s="19">
        <v>4.9704300000000003</v>
      </c>
      <c r="O445" s="19">
        <v>4.5716999999999999</v>
      </c>
      <c r="P445" s="19">
        <v>2.72</v>
      </c>
      <c r="Q445" s="19">
        <v>2.8906999999999998</v>
      </c>
      <c r="R445" s="19">
        <v>1.76</v>
      </c>
      <c r="S445" s="19">
        <v>1.9379</v>
      </c>
      <c r="T445" s="19">
        <v>1.76</v>
      </c>
      <c r="U445" s="19">
        <v>1.9179999999999999</v>
      </c>
      <c r="V445" s="19">
        <v>2.15</v>
      </c>
      <c r="W445" s="19">
        <v>1.7692000000000001</v>
      </c>
      <c r="X445" s="19">
        <v>2.15</v>
      </c>
      <c r="Y445" s="19">
        <v>1.7692000000000001</v>
      </c>
      <c r="Z445" s="4"/>
      <c r="AA445" s="4"/>
      <c r="AB445" s="4" t="e">
        <f ca="1">_xll.ciqfunctions.udf.CIQ("^SPX", "IQ_PRICEDATE", "9/28/2015")</f>
        <v>#NAME?</v>
      </c>
      <c r="AC445" s="16">
        <v>1881.7689706629001</v>
      </c>
    </row>
    <row r="446" spans="1:29" x14ac:dyDescent="0.35">
      <c r="A446" s="2" t="s">
        <v>456</v>
      </c>
      <c r="B446" s="4" t="s">
        <v>1582</v>
      </c>
      <c r="C446" s="4" t="s">
        <v>586</v>
      </c>
      <c r="D446" s="4" t="s">
        <v>586</v>
      </c>
      <c r="E446" s="4" t="s">
        <v>587</v>
      </c>
      <c r="F446" s="4" t="s">
        <v>598</v>
      </c>
      <c r="G446" s="14">
        <v>410.67</v>
      </c>
      <c r="H446" s="10">
        <v>17.408747999999999</v>
      </c>
      <c r="I446" s="10">
        <v>20.940460999999999</v>
      </c>
      <c r="J446" s="10" t="s">
        <v>534</v>
      </c>
      <c r="K446" s="15">
        <v>8.3759999999999998E-3</v>
      </c>
      <c r="L446" s="17">
        <v>38147.440196000003</v>
      </c>
      <c r="M446" s="4" t="s">
        <v>1583</v>
      </c>
      <c r="N446" s="19">
        <v>19.611315999999999</v>
      </c>
      <c r="O446" s="19">
        <v>20.756699999999999</v>
      </c>
      <c r="P446" s="19">
        <v>19.109998999999998</v>
      </c>
      <c r="Q446" s="19">
        <v>17.8202</v>
      </c>
      <c r="R446" s="19">
        <v>11.989998999999999</v>
      </c>
      <c r="S446" s="19">
        <v>13.2418</v>
      </c>
      <c r="T446" s="19">
        <v>11.989998999999999</v>
      </c>
      <c r="U446" s="19">
        <v>12.311400000000001</v>
      </c>
      <c r="V446" s="19">
        <v>8.7699990000000003</v>
      </c>
      <c r="W446" s="19">
        <v>10.5313</v>
      </c>
      <c r="X446" s="19">
        <v>8.7699990000000003</v>
      </c>
      <c r="Y446" s="19">
        <v>10.5313</v>
      </c>
      <c r="Z446" s="4"/>
      <c r="AA446" s="4"/>
      <c r="AB446" s="4" t="e">
        <f ca="1">_xll.ciqfunctions.udf.CIQ("^SPX", "IQ_PRICEDATE", "9/29/2015")</f>
        <v>#NAME?</v>
      </c>
      <c r="AC446" s="16">
        <v>1884.0851818742001</v>
      </c>
    </row>
    <row r="447" spans="1:29" x14ac:dyDescent="0.35">
      <c r="A447" s="2" t="s">
        <v>457</v>
      </c>
      <c r="B447" s="4" t="s">
        <v>1584</v>
      </c>
      <c r="C447" s="4" t="s">
        <v>619</v>
      </c>
      <c r="D447" s="4" t="s">
        <v>619</v>
      </c>
      <c r="E447" s="4" t="s">
        <v>620</v>
      </c>
      <c r="F447" s="4" t="s">
        <v>620</v>
      </c>
      <c r="G447" s="14">
        <v>44.31</v>
      </c>
      <c r="H447" s="10">
        <v>11.736205</v>
      </c>
      <c r="I447" s="10">
        <v>19.181211999999999</v>
      </c>
      <c r="J447" s="10">
        <v>2.550449</v>
      </c>
      <c r="K447" s="15">
        <v>5.4162999999999996E-2</v>
      </c>
      <c r="L447" s="17">
        <v>44936.369837999999</v>
      </c>
      <c r="M447" s="4" t="s">
        <v>1585</v>
      </c>
      <c r="N447" s="19">
        <v>2.310073</v>
      </c>
      <c r="O447" s="19">
        <v>2.8071999999999999</v>
      </c>
      <c r="P447" s="19">
        <v>0.84</v>
      </c>
      <c r="Q447" s="19">
        <v>3.0775999999999999</v>
      </c>
      <c r="R447" s="19">
        <v>2.5499999999999998</v>
      </c>
      <c r="S447" s="19">
        <v>3.0072000000000001</v>
      </c>
      <c r="T447" s="19">
        <v>2.5499999999999998</v>
      </c>
      <c r="U447" s="19">
        <v>2.9157999999999999</v>
      </c>
      <c r="V447" s="19">
        <v>2.1800000000000002</v>
      </c>
      <c r="W447" s="19">
        <v>2.7951000000000001</v>
      </c>
      <c r="X447" s="19">
        <v>2.1800000000000002</v>
      </c>
      <c r="Y447" s="19">
        <v>2.7951000000000001</v>
      </c>
      <c r="Z447" s="4"/>
      <c r="AA447" s="4"/>
      <c r="AB447" s="4" t="e">
        <f ca="1">_xll.ciqfunctions.udf.CIQ("^SPX", "IQ_PRICEDATE", "9/30/2015")</f>
        <v>#NAME?</v>
      </c>
      <c r="AC447" s="16">
        <v>1920.0265516397001</v>
      </c>
    </row>
    <row r="448" spans="1:29" x14ac:dyDescent="0.35">
      <c r="A448" s="2" t="s">
        <v>458</v>
      </c>
      <c r="B448" s="4" t="s">
        <v>1586</v>
      </c>
      <c r="C448" s="4" t="s">
        <v>559</v>
      </c>
      <c r="D448" s="4" t="s">
        <v>560</v>
      </c>
      <c r="E448" s="4" t="s">
        <v>561</v>
      </c>
      <c r="F448" s="4" t="s">
        <v>1051</v>
      </c>
      <c r="G448" s="14">
        <v>110.8</v>
      </c>
      <c r="H448" s="10">
        <v>13.657080000000001</v>
      </c>
      <c r="I448" s="10">
        <v>23.691801999999999</v>
      </c>
      <c r="J448" s="10">
        <v>13.410314</v>
      </c>
      <c r="K448" s="15">
        <v>1.4079E-2</v>
      </c>
      <c r="L448" s="17">
        <v>68559.096296000003</v>
      </c>
      <c r="M448" s="4" t="s">
        <v>1587</v>
      </c>
      <c r="N448" s="19">
        <v>4.676723</v>
      </c>
      <c r="O448" s="19">
        <v>5.1369999999999996</v>
      </c>
      <c r="P448" s="19">
        <v>3.7037079999999998</v>
      </c>
      <c r="Q448" s="19">
        <v>4.1898999999999997</v>
      </c>
      <c r="R448" s="19">
        <v>3.4140440000000001</v>
      </c>
      <c r="S448" s="19">
        <v>3.7023999999999999</v>
      </c>
      <c r="T448" s="19">
        <v>3.4140440000000001</v>
      </c>
      <c r="U448" s="19">
        <v>3.5104000000000002</v>
      </c>
      <c r="V448" s="19">
        <v>3.02162</v>
      </c>
      <c r="W448" s="19">
        <v>3.4154</v>
      </c>
      <c r="X448" s="19">
        <v>3.02162</v>
      </c>
      <c r="Y448" s="19">
        <v>3.4154</v>
      </c>
      <c r="Z448" s="4"/>
      <c r="AA448" s="4"/>
      <c r="AB448" s="4" t="e">
        <f ca="1">_xll.ciqfunctions.udf.CIQ("^SPX", "IQ_PRICEDATE", "10/1/2015")</f>
        <v>#NAME?</v>
      </c>
      <c r="AC448" s="16">
        <v>1923.8200536917</v>
      </c>
    </row>
    <row r="449" spans="1:29" x14ac:dyDescent="0.35">
      <c r="A449" s="2" t="s">
        <v>459</v>
      </c>
      <c r="B449" s="4" t="s">
        <v>1588</v>
      </c>
      <c r="C449" s="4" t="s">
        <v>573</v>
      </c>
      <c r="D449" s="4" t="s">
        <v>579</v>
      </c>
      <c r="E449" s="4" t="s">
        <v>579</v>
      </c>
      <c r="F449" s="4" t="s">
        <v>842</v>
      </c>
      <c r="G449" s="14">
        <v>126.44</v>
      </c>
      <c r="H449" s="10">
        <v>10.579386</v>
      </c>
      <c r="I449" s="10">
        <v>17.132691000000001</v>
      </c>
      <c r="J449" s="10">
        <v>1.845985</v>
      </c>
      <c r="K449" s="15">
        <v>2.4359000000000002E-2</v>
      </c>
      <c r="L449" s="17">
        <v>33845.867727999997</v>
      </c>
      <c r="M449" s="4" t="s">
        <v>1589</v>
      </c>
      <c r="N449" s="19">
        <v>7.3800429999999997</v>
      </c>
      <c r="O449" s="19">
        <v>10.9533</v>
      </c>
      <c r="P449" s="19">
        <v>7.33</v>
      </c>
      <c r="Q449" s="19">
        <v>8.6235999999999997</v>
      </c>
      <c r="R449" s="19">
        <v>10.28</v>
      </c>
      <c r="S449" s="19">
        <v>9.4224999999999994</v>
      </c>
      <c r="T449" s="19">
        <v>10.28</v>
      </c>
      <c r="U449" s="19">
        <v>9.6561000000000003</v>
      </c>
      <c r="V449" s="19">
        <v>10.7</v>
      </c>
      <c r="W449" s="19">
        <v>9.0736000000000008</v>
      </c>
      <c r="X449" s="19">
        <v>10.7</v>
      </c>
      <c r="Y449" s="19">
        <v>9.0736000000000008</v>
      </c>
      <c r="Z449" s="4"/>
      <c r="AA449" s="4"/>
      <c r="AB449" s="4" t="e">
        <f ca="1">_xll.ciqfunctions.udf.CIQ("^SPX", "IQ_PRICEDATE", "10/2/2015")</f>
        <v>#NAME?</v>
      </c>
      <c r="AC449" s="16">
        <v>1951.3598314296</v>
      </c>
    </row>
    <row r="450" spans="1:29" x14ac:dyDescent="0.35">
      <c r="A450" s="2" t="s">
        <v>460</v>
      </c>
      <c r="B450" s="4" t="s">
        <v>1590</v>
      </c>
      <c r="C450" s="4" t="s">
        <v>549</v>
      </c>
      <c r="D450" s="4" t="s">
        <v>550</v>
      </c>
      <c r="E450" s="4" t="s">
        <v>551</v>
      </c>
      <c r="F450" s="4" t="s">
        <v>1319</v>
      </c>
      <c r="G450" s="14">
        <v>117.13</v>
      </c>
      <c r="H450" s="10">
        <v>11.327843</v>
      </c>
      <c r="I450" s="10">
        <v>14.786587000000001</v>
      </c>
      <c r="J450" s="10">
        <v>22.268059999999998</v>
      </c>
      <c r="K450" s="15">
        <v>1.4343E-2</v>
      </c>
      <c r="L450" s="17">
        <v>174200.72526899999</v>
      </c>
      <c r="M450" s="4" t="s">
        <v>1591</v>
      </c>
      <c r="N450" s="19">
        <v>7.9213680000000002</v>
      </c>
      <c r="O450" s="19">
        <v>7.3235000000000001</v>
      </c>
      <c r="P450" s="19">
        <v>7.0114150000000004</v>
      </c>
      <c r="Q450" s="19">
        <v>6.2363600000000003</v>
      </c>
      <c r="R450" s="19">
        <v>5.5402740000000001</v>
      </c>
      <c r="S450" s="19">
        <v>5.9319699999999997</v>
      </c>
      <c r="T450" s="19">
        <v>5.5402740000000001</v>
      </c>
      <c r="U450" s="19">
        <v>5.6629300000000002</v>
      </c>
      <c r="V450" s="19">
        <v>4.4978670000000003</v>
      </c>
      <c r="W450" s="19">
        <v>4.6808100000000001</v>
      </c>
      <c r="X450" s="19">
        <v>4.4978670000000003</v>
      </c>
      <c r="Y450" s="19">
        <v>4.6808100000000001</v>
      </c>
      <c r="Z450" s="4"/>
      <c r="AA450" s="4"/>
      <c r="AB450" s="4" t="e">
        <f ca="1">_xll.ciqfunctions.udf.CIQ("^SPX", "IQ_PRICEDATE", "10/5/2015")</f>
        <v>#NAME?</v>
      </c>
      <c r="AC450" s="16">
        <v>1987.0541437813999</v>
      </c>
    </row>
    <row r="451" spans="1:29" x14ac:dyDescent="0.35">
      <c r="A451" s="2" t="s">
        <v>461</v>
      </c>
      <c r="B451" s="4" t="s">
        <v>1592</v>
      </c>
      <c r="C451" s="4" t="s">
        <v>543</v>
      </c>
      <c r="D451" s="4" t="s">
        <v>544</v>
      </c>
      <c r="E451" s="4" t="s">
        <v>545</v>
      </c>
      <c r="F451" s="4" t="s">
        <v>616</v>
      </c>
      <c r="G451" s="14">
        <v>18.420000000000002</v>
      </c>
      <c r="H451" s="10">
        <v>7.8900360000000003</v>
      </c>
      <c r="I451" s="10" t="s">
        <v>534</v>
      </c>
      <c r="J451" s="10" t="s">
        <v>534</v>
      </c>
      <c r="K451" s="15">
        <v>4.1258999999999997E-2</v>
      </c>
      <c r="L451" s="17">
        <v>8238.3570099999997</v>
      </c>
      <c r="M451" s="4" t="s">
        <v>1593</v>
      </c>
      <c r="N451" s="19">
        <v>-0.99375199999999997</v>
      </c>
      <c r="O451" s="19">
        <v>1.8697999999999999</v>
      </c>
      <c r="P451" s="19">
        <v>-1.190639</v>
      </c>
      <c r="Q451" s="19">
        <v>1.8042</v>
      </c>
      <c r="R451" s="19">
        <v>0.51</v>
      </c>
      <c r="S451" s="19">
        <v>1.7021999999999999</v>
      </c>
      <c r="T451" s="19">
        <v>0.51</v>
      </c>
      <c r="U451" s="19">
        <v>1.722</v>
      </c>
      <c r="V451" s="19">
        <v>1.59</v>
      </c>
      <c r="W451" s="19">
        <v>1.5556000000000001</v>
      </c>
      <c r="X451" s="19">
        <v>1.59</v>
      </c>
      <c r="Y451" s="19">
        <v>1.5556000000000001</v>
      </c>
      <c r="Z451" s="4"/>
      <c r="AA451" s="4"/>
      <c r="AB451" s="4" t="e">
        <f ca="1">_xll.ciqfunctions.udf.CIQ("^SPX", "IQ_PRICEDATE", "10/6/2015")</f>
        <v>#NAME?</v>
      </c>
      <c r="AC451" s="16">
        <v>1979.9150477426001</v>
      </c>
    </row>
    <row r="452" spans="1:29" x14ac:dyDescent="0.35">
      <c r="A452" s="2" t="s">
        <v>462</v>
      </c>
      <c r="B452" s="4" t="s">
        <v>1594</v>
      </c>
      <c r="C452" s="4" t="s">
        <v>669</v>
      </c>
      <c r="D452" s="4" t="s">
        <v>669</v>
      </c>
      <c r="E452" s="4" t="s">
        <v>670</v>
      </c>
      <c r="F452" s="4" t="s">
        <v>1206</v>
      </c>
      <c r="G452" s="14">
        <v>26.88</v>
      </c>
      <c r="H452" s="10">
        <v>15.143402999999999</v>
      </c>
      <c r="I452" s="10">
        <v>11.118823000000001</v>
      </c>
      <c r="J452" s="10">
        <v>23.673870999999998</v>
      </c>
      <c r="K452" s="15">
        <v>5.0595000000000001E-2</v>
      </c>
      <c r="L452" s="17">
        <v>32507.865600000001</v>
      </c>
      <c r="M452" s="4" t="s">
        <v>1595</v>
      </c>
      <c r="N452" s="19">
        <v>2.4175219999999999</v>
      </c>
      <c r="O452" s="19">
        <v>1.0054000000000001</v>
      </c>
      <c r="P452" s="19">
        <v>2.62</v>
      </c>
      <c r="Q452" s="19">
        <v>0.88419999999999999</v>
      </c>
      <c r="R452" s="19">
        <v>-0.56999999999999995</v>
      </c>
      <c r="S452" s="19">
        <v>0.78600000000000003</v>
      </c>
      <c r="T452" s="19">
        <v>-0.56999999999999995</v>
      </c>
      <c r="U452" s="19">
        <v>1.3778999999999999</v>
      </c>
      <c r="V452" s="19">
        <v>2.91</v>
      </c>
      <c r="W452" s="19">
        <v>1.2786999999999999</v>
      </c>
      <c r="X452" s="19">
        <v>2.91</v>
      </c>
      <c r="Y452" s="19">
        <v>1.2786999999999999</v>
      </c>
      <c r="Z452" s="4"/>
      <c r="AA452" s="4"/>
      <c r="AB452" s="4" t="e">
        <f ca="1">_xll.ciqfunctions.udf.CIQ("^SPX", "IQ_PRICEDATE", "10/7/2015")</f>
        <v>#NAME?</v>
      </c>
      <c r="AC452" s="16">
        <v>1995.8264815445</v>
      </c>
    </row>
    <row r="453" spans="1:29" x14ac:dyDescent="0.35">
      <c r="A453" s="2" t="s">
        <v>463</v>
      </c>
      <c r="B453" s="4" t="s">
        <v>1596</v>
      </c>
      <c r="C453" s="4" t="s">
        <v>530</v>
      </c>
      <c r="D453" s="4" t="s">
        <v>537</v>
      </c>
      <c r="E453" s="4" t="s">
        <v>583</v>
      </c>
      <c r="F453" s="4" t="s">
        <v>583</v>
      </c>
      <c r="G453" s="14">
        <v>234.65</v>
      </c>
      <c r="H453" s="10">
        <v>19.576395000000002</v>
      </c>
      <c r="I453" s="10">
        <v>39.594447000000002</v>
      </c>
      <c r="J453" s="10" t="s">
        <v>534</v>
      </c>
      <c r="K453" s="15">
        <v>2.8970000000000003E-3</v>
      </c>
      <c r="L453" s="17">
        <v>94516.140297000005</v>
      </c>
      <c r="M453" s="4" t="s">
        <v>1597</v>
      </c>
      <c r="N453" s="19">
        <v>5.926336</v>
      </c>
      <c r="O453" s="19">
        <v>11.6022</v>
      </c>
      <c r="P453" s="19">
        <v>5.6</v>
      </c>
      <c r="Q453" s="19">
        <v>10.3156</v>
      </c>
      <c r="R453" s="19">
        <v>5.0999999999999996</v>
      </c>
      <c r="S453" s="19">
        <v>8.9893999999999998</v>
      </c>
      <c r="T453" s="19">
        <v>5.0999999999999996</v>
      </c>
      <c r="U453" s="19">
        <v>7.9717000000000002</v>
      </c>
      <c r="V453" s="19">
        <v>4.71</v>
      </c>
      <c r="W453" s="19">
        <v>7.5541999999999998</v>
      </c>
      <c r="X453" s="19">
        <v>4.71</v>
      </c>
      <c r="Y453" s="19">
        <v>7.5541999999999998</v>
      </c>
      <c r="Z453" s="4"/>
      <c r="AA453" s="4"/>
      <c r="AB453" s="4" t="e">
        <f ca="1">_xll.ciqfunctions.udf.CIQ("^SPX", "IQ_PRICEDATE", "10/8/2015")</f>
        <v>#NAME?</v>
      </c>
      <c r="AC453" s="16">
        <v>2013.4308976294001</v>
      </c>
    </row>
    <row r="454" spans="1:29" x14ac:dyDescent="0.35">
      <c r="A454" s="2" t="s">
        <v>464</v>
      </c>
      <c r="B454" s="4" t="s">
        <v>1598</v>
      </c>
      <c r="C454" s="4" t="s">
        <v>559</v>
      </c>
      <c r="D454" s="4" t="s">
        <v>560</v>
      </c>
      <c r="E454" s="4" t="s">
        <v>561</v>
      </c>
      <c r="F454" s="4" t="s">
        <v>1599</v>
      </c>
      <c r="G454" s="14">
        <v>112</v>
      </c>
      <c r="H454" s="10">
        <v>12.95468</v>
      </c>
      <c r="I454" s="10">
        <v>31.044820999999999</v>
      </c>
      <c r="J454" s="10">
        <v>4.484947</v>
      </c>
      <c r="K454" s="15">
        <v>1.9642E-2</v>
      </c>
      <c r="L454" s="17">
        <v>13710.03592</v>
      </c>
      <c r="M454" s="4" t="s">
        <v>1600</v>
      </c>
      <c r="N454" s="19">
        <v>3.6076869999999999</v>
      </c>
      <c r="O454" s="19">
        <v>5.0213999999999999</v>
      </c>
      <c r="P454" s="19">
        <v>3.7218010000000001</v>
      </c>
      <c r="Q454" s="19">
        <v>4.1689999999999996</v>
      </c>
      <c r="R454" s="19">
        <v>3.571342</v>
      </c>
      <c r="S454" s="19">
        <v>3.8713000000000002</v>
      </c>
      <c r="T454" s="19">
        <v>3.571342</v>
      </c>
      <c r="U454" s="19">
        <v>4.1371000000000002</v>
      </c>
      <c r="V454" s="19">
        <v>1.4300409999999999</v>
      </c>
      <c r="W454" s="19">
        <v>4.6894999999999998</v>
      </c>
      <c r="X454" s="19">
        <v>1.4300409999999999</v>
      </c>
      <c r="Y454" s="19">
        <v>4.6894999999999998</v>
      </c>
      <c r="Z454" s="4"/>
      <c r="AA454" s="4"/>
      <c r="AB454" s="4" t="e">
        <f ca="1">_xll.ciqfunctions.udf.CIQ("^SPX", "IQ_PRICEDATE", "10/9/2015")</f>
        <v>#NAME?</v>
      </c>
      <c r="AC454" s="16">
        <v>2014.8926461318999</v>
      </c>
    </row>
    <row r="455" spans="1:29" x14ac:dyDescent="0.35">
      <c r="A455" s="2" t="s">
        <v>465</v>
      </c>
      <c r="B455" s="4" t="s">
        <v>1601</v>
      </c>
      <c r="C455" s="4" t="s">
        <v>573</v>
      </c>
      <c r="D455" s="4" t="s">
        <v>579</v>
      </c>
      <c r="E455" s="4" t="s">
        <v>579</v>
      </c>
      <c r="F455" s="4" t="s">
        <v>580</v>
      </c>
      <c r="G455" s="14">
        <v>85.83</v>
      </c>
      <c r="H455" s="10">
        <v>11.337294999999999</v>
      </c>
      <c r="I455" s="10">
        <v>6.5372880000000002</v>
      </c>
      <c r="J455" s="10">
        <v>1.8893150000000001</v>
      </c>
      <c r="K455" s="15">
        <v>7.4560000000000008E-3</v>
      </c>
      <c r="L455" s="17">
        <v>9638.416577</v>
      </c>
      <c r="M455" s="4" t="s">
        <v>1602</v>
      </c>
      <c r="N455" s="19">
        <v>13.129296</v>
      </c>
      <c r="O455" s="19">
        <v>6.2961999999999998</v>
      </c>
      <c r="P455" s="19">
        <v>12.259999000000001</v>
      </c>
      <c r="Q455" s="19">
        <v>5.0377000000000001</v>
      </c>
      <c r="R455" s="19">
        <v>4.41</v>
      </c>
      <c r="S455" s="19">
        <v>4.6266999999999996</v>
      </c>
      <c r="T455" s="19">
        <v>4.41</v>
      </c>
      <c r="U455" s="19">
        <v>4.3547000000000002</v>
      </c>
      <c r="V455" s="19">
        <v>3.9799989999999998</v>
      </c>
      <c r="W455" s="19">
        <v>4.2285000000000004</v>
      </c>
      <c r="X455" s="19">
        <v>3.9799989999999998</v>
      </c>
      <c r="Y455" s="19">
        <v>4.2285000000000004</v>
      </c>
      <c r="Z455" s="4"/>
      <c r="AA455" s="4"/>
      <c r="AB455" s="4" t="e">
        <f ca="1">_xll.ciqfunctions.udf.CIQ("^SPX", "IQ_PRICEDATE", "10/12/2015")</f>
        <v>#NAME?</v>
      </c>
      <c r="AC455" s="16">
        <v>2017.4562247174999</v>
      </c>
    </row>
    <row r="456" spans="1:29" x14ac:dyDescent="0.35">
      <c r="A456" s="2" t="s">
        <v>466</v>
      </c>
      <c r="B456" s="4" t="s">
        <v>1603</v>
      </c>
      <c r="C456" s="4" t="s">
        <v>543</v>
      </c>
      <c r="D456" s="4" t="s">
        <v>544</v>
      </c>
      <c r="E456" s="4" t="s">
        <v>545</v>
      </c>
      <c r="F456" s="4" t="s">
        <v>616</v>
      </c>
      <c r="G456" s="14">
        <v>95.35</v>
      </c>
      <c r="H456" s="10">
        <v>19.469083999999999</v>
      </c>
      <c r="I456" s="10">
        <v>27.096589000000002</v>
      </c>
      <c r="J456" s="10" t="s">
        <v>534</v>
      </c>
      <c r="K456" s="15">
        <v>5.4530000000000004E-3</v>
      </c>
      <c r="L456" s="17">
        <v>17393.559923000001</v>
      </c>
      <c r="M456" s="4" t="s">
        <v>1604</v>
      </c>
      <c r="N456" s="19">
        <v>3.5188929999999998</v>
      </c>
      <c r="O456" s="19">
        <v>4.5712000000000002</v>
      </c>
      <c r="P456" s="19">
        <v>3.161219</v>
      </c>
      <c r="Q456" s="19">
        <v>3.6002000000000001</v>
      </c>
      <c r="R456" s="19">
        <v>1.7329429999999999</v>
      </c>
      <c r="S456" s="19">
        <v>3.0804999999999998</v>
      </c>
      <c r="T456" s="19">
        <v>1.7329429999999999</v>
      </c>
      <c r="U456" s="19">
        <v>2.5766</v>
      </c>
      <c r="V456" s="19">
        <v>1.45852</v>
      </c>
      <c r="W456" s="19">
        <v>2.1427999999999998</v>
      </c>
      <c r="X456" s="19">
        <v>1.45852</v>
      </c>
      <c r="Y456" s="19">
        <v>2.1427999999999998</v>
      </c>
      <c r="Z456" s="4"/>
      <c r="AA456" s="4"/>
      <c r="AB456" s="4" t="e">
        <f ca="1">_xll.ciqfunctions.udf.CIQ("^SPX", "IQ_PRICEDATE", "10/13/2015")</f>
        <v>#NAME?</v>
      </c>
      <c r="AC456" s="16">
        <v>2003.6902857436</v>
      </c>
    </row>
    <row r="457" spans="1:29" x14ac:dyDescent="0.35">
      <c r="A457" s="2" t="s">
        <v>467</v>
      </c>
      <c r="B457" s="4" t="s">
        <v>1605</v>
      </c>
      <c r="C457" s="4" t="s">
        <v>559</v>
      </c>
      <c r="D457" s="4" t="s">
        <v>560</v>
      </c>
      <c r="E457" s="4" t="s">
        <v>561</v>
      </c>
      <c r="F457" s="4" t="s">
        <v>1599</v>
      </c>
      <c r="G457" s="14">
        <v>88.06</v>
      </c>
      <c r="H457" s="10">
        <v>12.881307</v>
      </c>
      <c r="I457" s="10">
        <v>22.919858000000001</v>
      </c>
      <c r="J457" s="10">
        <v>8.3700810000000008</v>
      </c>
      <c r="K457" s="15">
        <v>1.4081E-2</v>
      </c>
      <c r="L457" s="17">
        <v>10726.119857</v>
      </c>
      <c r="M457" s="4" t="s">
        <v>1606</v>
      </c>
      <c r="N457" s="19">
        <v>3.8420830000000001</v>
      </c>
      <c r="O457" s="19">
        <v>4.3891999999999998</v>
      </c>
      <c r="P457" s="19">
        <v>3.3</v>
      </c>
      <c r="Q457" s="19">
        <v>3.4685000000000001</v>
      </c>
      <c r="R457" s="19">
        <v>3.27</v>
      </c>
      <c r="S457" s="19">
        <v>3.4594999999999998</v>
      </c>
      <c r="T457" s="19">
        <v>3.27</v>
      </c>
      <c r="U457" s="19">
        <v>3.4003999999999999</v>
      </c>
      <c r="V457" s="19">
        <v>2.66</v>
      </c>
      <c r="W457" s="19">
        <v>2.9098999999999999</v>
      </c>
      <c r="X457" s="19">
        <v>2.66</v>
      </c>
      <c r="Y457" s="19">
        <v>2.9098999999999999</v>
      </c>
      <c r="Z457" s="4"/>
      <c r="AA457" s="4"/>
      <c r="AB457" s="4" t="e">
        <f ca="1">_xll.ciqfunctions.udf.CIQ("^SPX", "IQ_PRICEDATE", "10/14/2015")</f>
        <v>#NAME?</v>
      </c>
      <c r="AC457" s="16">
        <v>1994.2423705799999</v>
      </c>
    </row>
    <row r="458" spans="1:29" x14ac:dyDescent="0.35">
      <c r="A458" s="2" t="s">
        <v>468</v>
      </c>
      <c r="B458" s="4" t="s">
        <v>1607</v>
      </c>
      <c r="C458" s="4" t="s">
        <v>525</v>
      </c>
      <c r="D458" s="4" t="s">
        <v>526</v>
      </c>
      <c r="E458" s="4" t="s">
        <v>703</v>
      </c>
      <c r="F458" s="4" t="s">
        <v>703</v>
      </c>
      <c r="G458" s="14">
        <v>347.78</v>
      </c>
      <c r="H458" s="10">
        <v>16.753229999999999</v>
      </c>
      <c r="I458" s="10">
        <v>24.205611999999999</v>
      </c>
      <c r="J458" s="10" t="s">
        <v>534</v>
      </c>
      <c r="K458" s="15">
        <v>0</v>
      </c>
      <c r="L458" s="17">
        <v>18303.207199</v>
      </c>
      <c r="M458" s="4" t="s">
        <v>1608</v>
      </c>
      <c r="N458" s="19">
        <v>14.367742</v>
      </c>
      <c r="O458" s="19">
        <v>16.288699999999999</v>
      </c>
      <c r="P458" s="19">
        <v>12.69909</v>
      </c>
      <c r="Q458" s="19">
        <v>13.372640000000001</v>
      </c>
      <c r="R458" s="19">
        <v>8.5559060000000002</v>
      </c>
      <c r="S458" s="19">
        <v>12.1408</v>
      </c>
      <c r="T458" s="19">
        <v>8.5559060000000002</v>
      </c>
      <c r="U458" s="19">
        <v>10.626720000000001</v>
      </c>
      <c r="V458" s="19">
        <v>3.3478279999999998</v>
      </c>
      <c r="W458" s="19">
        <v>8.3816699999999997</v>
      </c>
      <c r="X458" s="19">
        <v>3.3478279999999998</v>
      </c>
      <c r="Y458" s="19">
        <v>8.3816699999999997</v>
      </c>
      <c r="Z458" s="4"/>
      <c r="AA458" s="4"/>
      <c r="AB458" s="4" t="e">
        <f ca="1">_xll.ciqfunctions.udf.CIQ("^SPX", "IQ_PRICEDATE", "10/15/2015")</f>
        <v>#NAME?</v>
      </c>
      <c r="AC458" s="16">
        <v>2023.8617836236999</v>
      </c>
    </row>
    <row r="459" spans="1:29" x14ac:dyDescent="0.35">
      <c r="A459" s="2" t="s">
        <v>469</v>
      </c>
      <c r="B459" s="4" t="s">
        <v>1609</v>
      </c>
      <c r="C459" s="4" t="s">
        <v>549</v>
      </c>
      <c r="D459" s="4" t="s">
        <v>550</v>
      </c>
      <c r="E459" s="4" t="s">
        <v>623</v>
      </c>
      <c r="F459" s="4" t="s">
        <v>623</v>
      </c>
      <c r="G459" s="14">
        <v>47.16</v>
      </c>
      <c r="H459" s="10">
        <v>34.371181999999997</v>
      </c>
      <c r="I459" s="10" t="s">
        <v>534</v>
      </c>
      <c r="J459" s="10">
        <v>14.541498000000001</v>
      </c>
      <c r="K459" s="15">
        <v>0</v>
      </c>
      <c r="L459" s="17">
        <v>6486.7297719999997</v>
      </c>
      <c r="M459" s="4" t="s">
        <v>1610</v>
      </c>
      <c r="N459" s="19">
        <v>-0.16770399999999999</v>
      </c>
      <c r="O459" s="19">
        <v>1.4690000000000001</v>
      </c>
      <c r="P459" s="19">
        <v>-0.14000000000000001</v>
      </c>
      <c r="Q459" s="19">
        <v>1.0461</v>
      </c>
      <c r="R459" s="19">
        <v>0.82</v>
      </c>
      <c r="S459" s="19">
        <v>1.5522</v>
      </c>
      <c r="T459" s="19">
        <v>0.82</v>
      </c>
      <c r="U459" s="19">
        <v>2.157</v>
      </c>
      <c r="V459" s="19">
        <v>1.55</v>
      </c>
      <c r="W459" s="19">
        <v>2.4192999999999998</v>
      </c>
      <c r="X459" s="19">
        <v>1.55</v>
      </c>
      <c r="Y459" s="19">
        <v>2.4192999999999998</v>
      </c>
      <c r="Z459" s="4"/>
      <c r="AA459" s="4"/>
      <c r="AB459" s="4" t="e">
        <f ca="1">_xll.ciqfunctions.udf.CIQ("^SPX", "IQ_PRICEDATE", "10/16/2015")</f>
        <v>#NAME?</v>
      </c>
      <c r="AC459" s="16">
        <v>2033.1103965692</v>
      </c>
    </row>
    <row r="460" spans="1:29" x14ac:dyDescent="0.35">
      <c r="A460" s="2" t="s">
        <v>470</v>
      </c>
      <c r="B460" s="4" t="s">
        <v>1611</v>
      </c>
      <c r="C460" s="4" t="s">
        <v>549</v>
      </c>
      <c r="D460" s="4" t="s">
        <v>550</v>
      </c>
      <c r="E460" s="4" t="s">
        <v>551</v>
      </c>
      <c r="F460" s="4" t="s">
        <v>1319</v>
      </c>
      <c r="G460" s="14">
        <v>45.46</v>
      </c>
      <c r="H460" s="10">
        <v>14.55697</v>
      </c>
      <c r="I460" s="10">
        <v>0</v>
      </c>
      <c r="J460" s="10">
        <v>0</v>
      </c>
      <c r="K460" s="15">
        <v>0</v>
      </c>
      <c r="L460" s="17">
        <v>84608.020678999994</v>
      </c>
      <c r="M460" s="4" t="s">
        <v>1331</v>
      </c>
      <c r="N460" s="19">
        <v>2.41</v>
      </c>
      <c r="O460" s="19">
        <v>2.0968399999999998</v>
      </c>
      <c r="P460" s="19">
        <v>2.1397729999999999</v>
      </c>
      <c r="Q460" s="19">
        <v>2.0568</v>
      </c>
      <c r="R460" s="19">
        <v>1.6462760000000001</v>
      </c>
      <c r="S460" s="19">
        <v>1.929</v>
      </c>
      <c r="T460" s="19">
        <v>1.6462760000000001</v>
      </c>
      <c r="U460" s="19">
        <v>1.9152</v>
      </c>
      <c r="V460" s="19">
        <v>4.213857</v>
      </c>
      <c r="W460" s="19">
        <v>1.78</v>
      </c>
      <c r="X460" s="19">
        <v>4.213857</v>
      </c>
      <c r="Y460" s="19">
        <v>1.78</v>
      </c>
      <c r="Z460" s="4"/>
      <c r="AA460" s="4"/>
      <c r="AB460" s="4" t="e">
        <f ca="1">_xll.ciqfunctions.udf.CIQ("^SPX", "IQ_PRICEDATE", "10/19/2015")</f>
        <v>#NAME?</v>
      </c>
      <c r="AC460" s="16">
        <v>2033.6644048101</v>
      </c>
    </row>
    <row r="461" spans="1:29" x14ac:dyDescent="0.35">
      <c r="A461" s="2" t="s">
        <v>471</v>
      </c>
      <c r="B461" s="4" t="s">
        <v>1611</v>
      </c>
      <c r="C461" s="4" t="s">
        <v>549</v>
      </c>
      <c r="D461" s="4" t="s">
        <v>550</v>
      </c>
      <c r="E461" s="4" t="s">
        <v>551</v>
      </c>
      <c r="F461" s="4" t="s">
        <v>1319</v>
      </c>
      <c r="G461" s="14">
        <v>45.83</v>
      </c>
      <c r="H461" s="10">
        <v>14.55697</v>
      </c>
      <c r="I461" s="10">
        <v>19.016597000000001</v>
      </c>
      <c r="J461" s="10" t="s">
        <v>534</v>
      </c>
      <c r="K461" s="15">
        <v>7.8549999999999991E-3</v>
      </c>
      <c r="L461" s="17">
        <v>84608.020678999994</v>
      </c>
      <c r="M461" s="4" t="s">
        <v>1331</v>
      </c>
      <c r="N461" s="19">
        <v>2.41</v>
      </c>
      <c r="O461" s="19">
        <v>2.0968399999999998</v>
      </c>
      <c r="P461" s="19">
        <v>2.1397729999999999</v>
      </c>
      <c r="Q461" s="19">
        <v>2.0568</v>
      </c>
      <c r="R461" s="19">
        <v>1.6462760000000001</v>
      </c>
      <c r="S461" s="19">
        <v>1.929</v>
      </c>
      <c r="T461" s="19">
        <v>1.6462760000000001</v>
      </c>
      <c r="U461" s="19">
        <v>1.9152</v>
      </c>
      <c r="V461" s="19">
        <v>4.213857</v>
      </c>
      <c r="W461" s="19">
        <v>1.7846</v>
      </c>
      <c r="X461" s="19">
        <v>4.213857</v>
      </c>
      <c r="Y461" s="19">
        <v>1.7846</v>
      </c>
      <c r="Z461" s="4"/>
      <c r="AA461" s="4"/>
      <c r="AB461" s="4" t="e">
        <f ca="1">_xll.ciqfunctions.udf.CIQ("^SPX", "IQ_PRICEDATE", "10/20/2015")</f>
        <v>#NAME?</v>
      </c>
      <c r="AC461" s="16">
        <v>2030.7671635219001</v>
      </c>
    </row>
    <row r="462" spans="1:29" x14ac:dyDescent="0.35">
      <c r="A462" s="2" t="s">
        <v>472</v>
      </c>
      <c r="B462" s="4" t="s">
        <v>1612</v>
      </c>
      <c r="C462" s="4" t="s">
        <v>549</v>
      </c>
      <c r="D462" s="4" t="s">
        <v>550</v>
      </c>
      <c r="E462" s="4" t="s">
        <v>623</v>
      </c>
      <c r="F462" s="4" t="s">
        <v>623</v>
      </c>
      <c r="G462" s="14">
        <v>29.55</v>
      </c>
      <c r="H462" s="10">
        <v>33.006252000000003</v>
      </c>
      <c r="I462" s="10">
        <v>95.597655000000003</v>
      </c>
      <c r="J462" s="10">
        <v>5.1907290000000001</v>
      </c>
      <c r="K462" s="15">
        <v>0</v>
      </c>
      <c r="L462" s="17">
        <v>22308.772499999999</v>
      </c>
      <c r="M462" s="4" t="s">
        <v>1613</v>
      </c>
      <c r="N462" s="19">
        <v>0.30910799999999999</v>
      </c>
      <c r="O462" s="19">
        <v>0.6915</v>
      </c>
      <c r="P462" s="19">
        <v>-0.15</v>
      </c>
      <c r="Q462" s="19">
        <v>0.42959999999999998</v>
      </c>
      <c r="R462" s="19">
        <v>-0.65069100000000002</v>
      </c>
      <c r="S462" s="19">
        <v>0.55520000000000003</v>
      </c>
      <c r="T462" s="19">
        <v>-0.65069100000000002</v>
      </c>
      <c r="U462" s="19">
        <v>0.43809999999999999</v>
      </c>
      <c r="V462" s="19">
        <v>-0.96</v>
      </c>
      <c r="W462" s="19">
        <v>0.24909999999999999</v>
      </c>
      <c r="X462" s="19">
        <v>-0.96</v>
      </c>
      <c r="Y462" s="19">
        <v>0.24909999999999999</v>
      </c>
      <c r="Z462" s="4"/>
      <c r="AA462" s="4"/>
      <c r="AB462" s="4" t="e">
        <f ca="1">_xll.ciqfunctions.udf.CIQ("^SPX", "IQ_PRICEDATE", "10/21/2015")</f>
        <v>#NAME?</v>
      </c>
      <c r="AC462" s="16">
        <v>2018.941033007</v>
      </c>
    </row>
    <row r="463" spans="1:29" x14ac:dyDescent="0.35">
      <c r="A463" s="2" t="s">
        <v>473</v>
      </c>
      <c r="B463" s="4" t="s">
        <v>1614</v>
      </c>
      <c r="C463" s="4" t="s">
        <v>626</v>
      </c>
      <c r="D463" s="4" t="s">
        <v>627</v>
      </c>
      <c r="E463" s="4" t="s">
        <v>699</v>
      </c>
      <c r="F463" s="4" t="s">
        <v>789</v>
      </c>
      <c r="G463" s="14">
        <v>61.97</v>
      </c>
      <c r="H463" s="10">
        <v>7.8864830000000001</v>
      </c>
      <c r="I463" s="10">
        <v>7.9492050000000001</v>
      </c>
      <c r="J463" s="10" t="s">
        <v>534</v>
      </c>
      <c r="K463" s="15">
        <v>1.9363999999999999E-2</v>
      </c>
      <c r="L463" s="17">
        <v>22676.699452000001</v>
      </c>
      <c r="M463" s="4" t="s">
        <v>1615</v>
      </c>
      <c r="N463" s="19">
        <v>7.7957479999999997</v>
      </c>
      <c r="O463" s="19">
        <v>5.7884000000000002</v>
      </c>
      <c r="P463" s="19">
        <v>7.6092820000000003</v>
      </c>
      <c r="Q463" s="19">
        <v>5.8586299999999998</v>
      </c>
      <c r="R463" s="19">
        <v>4.9569989999999997</v>
      </c>
      <c r="S463" s="19">
        <v>4.8356599999999998</v>
      </c>
      <c r="T463" s="19">
        <v>4.9569989999999997</v>
      </c>
      <c r="U463" s="19">
        <v>3.6011600000000001</v>
      </c>
      <c r="V463" s="19">
        <v>2.4127529999999999</v>
      </c>
      <c r="W463" s="19">
        <v>3.4053800000000001</v>
      </c>
      <c r="X463" s="19">
        <v>2.4127529999999999</v>
      </c>
      <c r="Y463" s="19">
        <v>3.4053800000000001</v>
      </c>
      <c r="Z463" s="4"/>
      <c r="AA463" s="4"/>
      <c r="AB463" s="4" t="e">
        <f ca="1">_xll.ciqfunctions.udf.CIQ("^SPX", "IQ_PRICEDATE", "10/22/2015")</f>
        <v>#NAME?</v>
      </c>
      <c r="AC463" s="16">
        <v>2052.5088261477999</v>
      </c>
    </row>
    <row r="464" spans="1:29" x14ac:dyDescent="0.35">
      <c r="A464" s="2" t="s">
        <v>474</v>
      </c>
      <c r="B464" s="4" t="s">
        <v>1616</v>
      </c>
      <c r="C464" s="4" t="s">
        <v>573</v>
      </c>
      <c r="D464" s="4" t="s">
        <v>737</v>
      </c>
      <c r="E464" s="4" t="s">
        <v>737</v>
      </c>
      <c r="F464" s="4" t="s">
        <v>738</v>
      </c>
      <c r="G464" s="14">
        <v>52.9</v>
      </c>
      <c r="H464" s="10">
        <v>0</v>
      </c>
      <c r="I464" s="10">
        <v>13.809882999999999</v>
      </c>
      <c r="J464" s="10">
        <v>2.529703</v>
      </c>
      <c r="K464" s="15">
        <v>2.7976999999999998E-2</v>
      </c>
      <c r="L464" s="17">
        <v>85856.7</v>
      </c>
      <c r="M464" s="4" t="s">
        <v>1617</v>
      </c>
      <c r="N464" s="19">
        <v>4.0007149999999996</v>
      </c>
      <c r="O464" s="19">
        <v>4.1962000000000002</v>
      </c>
      <c r="P464" s="19">
        <v>3.51</v>
      </c>
      <c r="Q464" s="19">
        <v>3.6615000000000002</v>
      </c>
      <c r="R464" s="19">
        <v>3.24</v>
      </c>
      <c r="S464" s="19">
        <v>3.3683000000000001</v>
      </c>
      <c r="T464" s="19">
        <v>3.24</v>
      </c>
      <c r="U464" s="19">
        <v>3.3271000000000002</v>
      </c>
      <c r="V464" s="19">
        <v>3.08</v>
      </c>
      <c r="W464" s="19">
        <v>3.2099000000000002</v>
      </c>
      <c r="X464" s="19">
        <v>3.08</v>
      </c>
      <c r="Y464" s="19">
        <v>3.2099000000000002</v>
      </c>
      <c r="Z464" s="4"/>
      <c r="AA464" s="4"/>
      <c r="AB464" s="4" t="e">
        <f ca="1">_xll.ciqfunctions.udf.CIQ("^SPX", "IQ_PRICEDATE", "10/23/2015")</f>
        <v>#NAME?</v>
      </c>
      <c r="AC464" s="16">
        <v>2075.1512780694002</v>
      </c>
    </row>
    <row r="465" spans="1:29" x14ac:dyDescent="0.35">
      <c r="A465" s="2" t="s">
        <v>475</v>
      </c>
      <c r="B465" s="4" t="s">
        <v>1618</v>
      </c>
      <c r="C465" s="4" t="s">
        <v>601</v>
      </c>
      <c r="D465" s="4" t="s">
        <v>601</v>
      </c>
      <c r="E465" s="4" t="s">
        <v>602</v>
      </c>
      <c r="F465" s="4" t="s">
        <v>685</v>
      </c>
      <c r="G465" s="14">
        <v>39.049999999999997</v>
      </c>
      <c r="H465" s="10">
        <v>23.943628</v>
      </c>
      <c r="I465" s="10">
        <v>57.430692999999998</v>
      </c>
      <c r="J465" s="10">
        <v>3.8551389999999999</v>
      </c>
      <c r="K465" s="15">
        <v>3.3034000000000001E-2</v>
      </c>
      <c r="L465" s="17">
        <v>10452.861161999999</v>
      </c>
      <c r="M465" s="4" t="s">
        <v>1619</v>
      </c>
      <c r="N465" s="19">
        <v>0.67995000000000005</v>
      </c>
      <c r="O465" s="19">
        <v>0.30149999999999999</v>
      </c>
      <c r="P465" s="19">
        <v>0.44</v>
      </c>
      <c r="Q465" s="19">
        <v>0.30809999999999998</v>
      </c>
      <c r="R465" s="19">
        <v>1.08</v>
      </c>
      <c r="S465" s="19">
        <v>0.23449999999999999</v>
      </c>
      <c r="T465" s="19">
        <v>1.08</v>
      </c>
      <c r="U465" s="19">
        <v>0.32969999999999999</v>
      </c>
      <c r="V465" s="19">
        <v>0.59</v>
      </c>
      <c r="W465" s="19">
        <v>0.14799999999999999</v>
      </c>
      <c r="X465" s="19">
        <v>0.59</v>
      </c>
      <c r="Y465" s="19">
        <v>0.14799999999999999</v>
      </c>
      <c r="Z465" s="4"/>
      <c r="AA465" s="4"/>
      <c r="AB465" s="4" t="e">
        <f ca="1">_xll.ciqfunctions.udf.CIQ("^SPX", "IQ_PRICEDATE", "10/26/2015")</f>
        <v>#NAME?</v>
      </c>
      <c r="AC465" s="16">
        <v>2071.1815203360002</v>
      </c>
    </row>
    <row r="466" spans="1:29" x14ac:dyDescent="0.35">
      <c r="A466" s="2" t="s">
        <v>476</v>
      </c>
      <c r="B466" s="4" t="s">
        <v>1620</v>
      </c>
      <c r="C466" s="4" t="s">
        <v>559</v>
      </c>
      <c r="D466" s="4" t="s">
        <v>560</v>
      </c>
      <c r="E466" s="4" t="s">
        <v>561</v>
      </c>
      <c r="F466" s="4" t="s">
        <v>1599</v>
      </c>
      <c r="G466" s="14">
        <v>281.92</v>
      </c>
      <c r="H466" s="10">
        <v>15.164898000000001</v>
      </c>
      <c r="I466" s="10">
        <v>27.505901000000001</v>
      </c>
      <c r="J466" s="10">
        <v>9.3127270000000006</v>
      </c>
      <c r="K466" s="15">
        <v>0</v>
      </c>
      <c r="L466" s="17">
        <v>16850.470885999999</v>
      </c>
      <c r="M466" s="4" t="s">
        <v>1621</v>
      </c>
      <c r="N466" s="19">
        <v>10.249437</v>
      </c>
      <c r="O466" s="19">
        <v>11.7638</v>
      </c>
      <c r="P466" s="19">
        <v>7.8250469999999996</v>
      </c>
      <c r="Q466" s="19">
        <v>9.4501000000000008</v>
      </c>
      <c r="R466" s="19">
        <v>5.9660380000000002</v>
      </c>
      <c r="S466" s="19">
        <v>7.4290000000000003</v>
      </c>
      <c r="T466" s="19">
        <v>5.9660380000000002</v>
      </c>
      <c r="U466" s="19">
        <v>5.4147999999999996</v>
      </c>
      <c r="V466" s="19">
        <v>3.729069</v>
      </c>
      <c r="W466" s="19">
        <v>4.3217999999999996</v>
      </c>
      <c r="X466" s="19">
        <v>3.729069</v>
      </c>
      <c r="Y466" s="19">
        <v>4.3217999999999996</v>
      </c>
      <c r="Z466" s="4"/>
      <c r="AA466" s="4"/>
      <c r="AB466" s="4" t="e">
        <f ca="1">_xll.ciqfunctions.udf.CIQ("^SPX", "IQ_PRICEDATE", "10/27/2015")</f>
        <v>#NAME?</v>
      </c>
      <c r="AC466" s="16">
        <v>2065.8922884034</v>
      </c>
    </row>
    <row r="467" spans="1:29" x14ac:dyDescent="0.35">
      <c r="A467" s="2" t="s">
        <v>477</v>
      </c>
      <c r="B467" s="4" t="s">
        <v>1622</v>
      </c>
      <c r="C467" s="4" t="s">
        <v>559</v>
      </c>
      <c r="D467" s="4" t="s">
        <v>912</v>
      </c>
      <c r="E467" s="4" t="s">
        <v>1097</v>
      </c>
      <c r="F467" s="4" t="s">
        <v>1098</v>
      </c>
      <c r="G467" s="14">
        <v>17.559999999999999</v>
      </c>
      <c r="H467" s="10">
        <v>26.577881000000001</v>
      </c>
      <c r="I467" s="10">
        <v>0</v>
      </c>
      <c r="J467" s="10">
        <v>0</v>
      </c>
      <c r="K467" s="15">
        <v>0</v>
      </c>
      <c r="L467" s="17">
        <v>8157.1402959999996</v>
      </c>
      <c r="M467" s="4" t="s">
        <v>1623</v>
      </c>
      <c r="N467" s="19">
        <v>-0.36042000000000002</v>
      </c>
      <c r="O467" s="19">
        <v>0.27500000000000002</v>
      </c>
      <c r="P467" s="19">
        <v>-0.11</v>
      </c>
      <c r="Q467" s="19">
        <v>0.15</v>
      </c>
      <c r="R467" s="19">
        <v>0.45</v>
      </c>
      <c r="S467" s="19">
        <v>0.65780000000000005</v>
      </c>
      <c r="T467" s="19">
        <v>0.45</v>
      </c>
      <c r="U467" s="19">
        <v>0</v>
      </c>
      <c r="V467" s="19">
        <v>0.47</v>
      </c>
      <c r="W467" s="19">
        <v>0</v>
      </c>
      <c r="X467" s="19">
        <v>0.47</v>
      </c>
      <c r="Y467" s="19">
        <v>0</v>
      </c>
      <c r="Z467" s="4"/>
      <c r="AA467" s="4"/>
      <c r="AB467" s="4" t="e">
        <f ca="1">_xll.ciqfunctions.udf.CIQ("^SPX", "IQ_PRICEDATE", "10/28/2015")</f>
        <v>#NAME?</v>
      </c>
      <c r="AC467" s="16">
        <v>2090.3538814400999</v>
      </c>
    </row>
    <row r="468" spans="1:29" x14ac:dyDescent="0.35">
      <c r="A468" s="2" t="s">
        <v>478</v>
      </c>
      <c r="B468" s="4" t="s">
        <v>1622</v>
      </c>
      <c r="C468" s="4" t="s">
        <v>559</v>
      </c>
      <c r="D468" s="4" t="s">
        <v>912</v>
      </c>
      <c r="E468" s="4" t="s">
        <v>1097</v>
      </c>
      <c r="F468" s="4" t="s">
        <v>1098</v>
      </c>
      <c r="G468" s="14">
        <v>19.12</v>
      </c>
      <c r="H468" s="10">
        <v>26.577881000000001</v>
      </c>
      <c r="I468" s="10" t="s">
        <v>534</v>
      </c>
      <c r="J468" s="10">
        <v>6.4106880000000004</v>
      </c>
      <c r="K468" s="15">
        <v>0</v>
      </c>
      <c r="L468" s="17">
        <v>8157.1402959999996</v>
      </c>
      <c r="M468" s="4" t="s">
        <v>1623</v>
      </c>
      <c r="N468" s="19">
        <v>-0.36042000000000002</v>
      </c>
      <c r="O468" s="19">
        <v>0.2432</v>
      </c>
      <c r="P468" s="19">
        <v>-0.11</v>
      </c>
      <c r="Q468" s="19">
        <v>0.14019999999999999</v>
      </c>
      <c r="R468" s="19">
        <v>0.45</v>
      </c>
      <c r="S468" s="19">
        <v>0.63149999999999995</v>
      </c>
      <c r="T468" s="19">
        <v>0.45</v>
      </c>
      <c r="U468" s="19">
        <v>0.60629999999999995</v>
      </c>
      <c r="V468" s="19">
        <v>0.47</v>
      </c>
      <c r="W468" s="19">
        <v>0.55289999999999995</v>
      </c>
      <c r="X468" s="19">
        <v>0.47</v>
      </c>
      <c r="Y468" s="19">
        <v>0.55289999999999995</v>
      </c>
      <c r="Z468" s="4"/>
      <c r="AA468" s="4"/>
      <c r="AB468" s="4" t="e">
        <f ca="1">_xll.ciqfunctions.udf.CIQ("^SPX", "IQ_PRICEDATE", "10/29/2015")</f>
        <v>#NAME?</v>
      </c>
      <c r="AC468" s="16">
        <v>2089.4074019073</v>
      </c>
    </row>
    <row r="469" spans="1:29" x14ac:dyDescent="0.35">
      <c r="A469" s="2" t="s">
        <v>479</v>
      </c>
      <c r="B469" s="4" t="s">
        <v>1624</v>
      </c>
      <c r="C469" s="4" t="s">
        <v>525</v>
      </c>
      <c r="D469" s="4" t="s">
        <v>594</v>
      </c>
      <c r="E469" s="4" t="s">
        <v>903</v>
      </c>
      <c r="F469" s="4" t="s">
        <v>904</v>
      </c>
      <c r="G469" s="14">
        <v>149.88999999999999</v>
      </c>
      <c r="H469" s="10">
        <v>12.510600999999999</v>
      </c>
      <c r="I469" s="10">
        <v>10.383309000000001</v>
      </c>
      <c r="J469" s="10">
        <v>5.7536160000000001</v>
      </c>
      <c r="K469" s="15">
        <v>2.1347999999999999E-2</v>
      </c>
      <c r="L469" s="17">
        <v>110842.822961</v>
      </c>
      <c r="M469" s="4" t="s">
        <v>1625</v>
      </c>
      <c r="N469" s="19">
        <v>14.435667</v>
      </c>
      <c r="O469" s="19">
        <v>8.2949999999999999</v>
      </c>
      <c r="P469" s="19">
        <v>13.36</v>
      </c>
      <c r="Q469" s="19">
        <v>6.2483000000000004</v>
      </c>
      <c r="R469" s="19">
        <v>5.07</v>
      </c>
      <c r="S469" s="19">
        <v>5.4150999999999998</v>
      </c>
      <c r="T469" s="19">
        <v>5.07</v>
      </c>
      <c r="U469" s="19">
        <v>5.8707000000000003</v>
      </c>
      <c r="V469" s="19">
        <v>5.75</v>
      </c>
      <c r="W469" s="19">
        <v>6.2869999999999999</v>
      </c>
      <c r="X469" s="19">
        <v>5.75</v>
      </c>
      <c r="Y469" s="19">
        <v>6.2869999999999999</v>
      </c>
      <c r="Z469" s="4"/>
      <c r="AA469" s="4"/>
      <c r="AB469" s="4" t="e">
        <f ca="1">_xll.ciqfunctions.udf.CIQ("^SPX", "IQ_PRICEDATE", "10/30/2015")</f>
        <v>#NAME?</v>
      </c>
      <c r="AC469" s="16">
        <v>2079.3598374672001</v>
      </c>
    </row>
    <row r="470" spans="1:29" x14ac:dyDescent="0.35">
      <c r="A470" s="2" t="s">
        <v>480</v>
      </c>
      <c r="B470" s="4" t="s">
        <v>1626</v>
      </c>
      <c r="C470" s="4" t="s">
        <v>525</v>
      </c>
      <c r="D470" s="4" t="s">
        <v>594</v>
      </c>
      <c r="E470" s="4" t="s">
        <v>595</v>
      </c>
      <c r="F470" s="4" t="s">
        <v>595</v>
      </c>
      <c r="G470" s="14">
        <v>88.49</v>
      </c>
      <c r="H470" s="10">
        <v>6.0404059999999999</v>
      </c>
      <c r="I470" s="10">
        <v>11.162362</v>
      </c>
      <c r="J470" s="10">
        <v>33.695047000000002</v>
      </c>
      <c r="K470" s="15">
        <v>0</v>
      </c>
      <c r="L470" s="17">
        <v>24110.375818</v>
      </c>
      <c r="M470" s="4" t="s">
        <v>1627</v>
      </c>
      <c r="N470" s="19">
        <v>7.9275330000000004</v>
      </c>
      <c r="O470" s="19">
        <v>8.7324000000000002</v>
      </c>
      <c r="P470" s="19">
        <v>7.02</v>
      </c>
      <c r="Q470" s="19">
        <v>6.2331000000000003</v>
      </c>
      <c r="R470" s="19">
        <v>6.85</v>
      </c>
      <c r="S470" s="19">
        <v>6.5766</v>
      </c>
      <c r="T470" s="19">
        <v>6.85</v>
      </c>
      <c r="U470" s="19">
        <v>9.4006000000000007</v>
      </c>
      <c r="V470" s="19">
        <v>2.9330250000000002</v>
      </c>
      <c r="W470" s="19">
        <v>7.9301000000000004</v>
      </c>
      <c r="X470" s="19">
        <v>2.9330250000000002</v>
      </c>
      <c r="Y470" s="19">
        <v>7.9301000000000004</v>
      </c>
      <c r="Z470" s="4"/>
      <c r="AA470" s="4"/>
      <c r="AB470" s="4" t="e">
        <f ca="1">_xll.ciqfunctions.udf.CIQ("^SPX", "IQ_PRICEDATE", "11/2/2015")</f>
        <v>#NAME?</v>
      </c>
      <c r="AC470" s="16">
        <v>2104.0490473793998</v>
      </c>
    </row>
    <row r="471" spans="1:29" x14ac:dyDescent="0.35">
      <c r="A471" s="2" t="s">
        <v>481</v>
      </c>
      <c r="B471" s="4" t="s">
        <v>1628</v>
      </c>
      <c r="C471" s="4" t="s">
        <v>525</v>
      </c>
      <c r="D471" s="4" t="s">
        <v>594</v>
      </c>
      <c r="E471" s="4" t="s">
        <v>779</v>
      </c>
      <c r="F471" s="4" t="s">
        <v>779</v>
      </c>
      <c r="G471" s="14">
        <v>118.01</v>
      </c>
      <c r="H471" s="10">
        <v>12.263819</v>
      </c>
      <c r="I471" s="10">
        <v>19.838377000000001</v>
      </c>
      <c r="J471" s="10" t="s">
        <v>534</v>
      </c>
      <c r="K471" s="15">
        <v>3.0844E-2</v>
      </c>
      <c r="L471" s="17">
        <v>101529.280289</v>
      </c>
      <c r="M471" s="4" t="s">
        <v>1629</v>
      </c>
      <c r="N471" s="19">
        <v>5.9485710000000003</v>
      </c>
      <c r="O471" s="19">
        <v>7.4805000000000001</v>
      </c>
      <c r="P471" s="19">
        <v>5.61</v>
      </c>
      <c r="Q471" s="19">
        <v>6.3202999999999996</v>
      </c>
      <c r="R471" s="19">
        <v>3.87</v>
      </c>
      <c r="S471" s="19">
        <v>6.0423999999999998</v>
      </c>
      <c r="T471" s="19">
        <v>3.87</v>
      </c>
      <c r="U471" s="19">
        <v>5.5875000000000004</v>
      </c>
      <c r="V471" s="19">
        <v>3.28</v>
      </c>
      <c r="W471" s="19">
        <v>5.4767000000000001</v>
      </c>
      <c r="X471" s="19">
        <v>3.28</v>
      </c>
      <c r="Y471" s="19">
        <v>5.4767000000000001</v>
      </c>
      <c r="Z471" s="4"/>
      <c r="AA471" s="4"/>
      <c r="AB471" s="4" t="e">
        <f ca="1">_xll.ciqfunctions.udf.CIQ("^SPX", "IQ_PRICEDATE", "11/3/2015")</f>
        <v>#NAME?</v>
      </c>
      <c r="AC471" s="16">
        <v>2109.7875229148999</v>
      </c>
    </row>
    <row r="472" spans="1:29" x14ac:dyDescent="0.35">
      <c r="A472" s="2" t="s">
        <v>482</v>
      </c>
      <c r="B472" s="4" t="s">
        <v>1630</v>
      </c>
      <c r="C472" s="4" t="s">
        <v>525</v>
      </c>
      <c r="D472" s="4" t="s">
        <v>526</v>
      </c>
      <c r="E472" s="4" t="s">
        <v>1023</v>
      </c>
      <c r="F472" s="4" t="s">
        <v>1023</v>
      </c>
      <c r="G472" s="14">
        <v>139.04</v>
      </c>
      <c r="H472" s="10">
        <v>8.6262190000000007</v>
      </c>
      <c r="I472" s="10">
        <v>6.98733</v>
      </c>
      <c r="J472" s="10" t="s">
        <v>534</v>
      </c>
      <c r="K472" s="15">
        <v>0</v>
      </c>
      <c r="L472" s="17">
        <v>11276.508562999999</v>
      </c>
      <c r="M472" s="4" t="s">
        <v>1631</v>
      </c>
      <c r="N472" s="19">
        <v>19.898873999999999</v>
      </c>
      <c r="O472" s="19">
        <v>16.346900000000002</v>
      </c>
      <c r="P472" s="19">
        <v>15.73</v>
      </c>
      <c r="Q472" s="19">
        <v>12.0929</v>
      </c>
      <c r="R472" s="19">
        <v>6.45</v>
      </c>
      <c r="S472" s="19">
        <v>8.5184999999999995</v>
      </c>
      <c r="T472" s="19">
        <v>6.45</v>
      </c>
      <c r="U472" s="19">
        <v>8.6806000000000001</v>
      </c>
      <c r="V472" s="19">
        <v>5.15</v>
      </c>
      <c r="W472" s="19">
        <v>7.9267000000000003</v>
      </c>
      <c r="X472" s="19">
        <v>5.15</v>
      </c>
      <c r="Y472" s="19">
        <v>7.9267000000000003</v>
      </c>
      <c r="Z472" s="4"/>
      <c r="AA472" s="4"/>
      <c r="AB472" s="4" t="e">
        <f ca="1">_xll.ciqfunctions.udf.CIQ("^SPX", "IQ_PRICEDATE", "11/4/2015")</f>
        <v>#NAME?</v>
      </c>
      <c r="AC472" s="16">
        <v>2102.3136815055</v>
      </c>
    </row>
    <row r="473" spans="1:29" x14ac:dyDescent="0.35">
      <c r="A473" s="2" t="s">
        <v>483</v>
      </c>
      <c r="B473" s="4" t="s">
        <v>1632</v>
      </c>
      <c r="C473" s="4" t="s">
        <v>525</v>
      </c>
      <c r="D473" s="4" t="s">
        <v>526</v>
      </c>
      <c r="E473" s="4" t="s">
        <v>703</v>
      </c>
      <c r="F473" s="4" t="s">
        <v>703</v>
      </c>
      <c r="G473" s="14">
        <v>130.07</v>
      </c>
      <c r="H473" s="10">
        <v>11.715342</v>
      </c>
      <c r="I473" s="10">
        <v>20.481677000000001</v>
      </c>
      <c r="J473" s="10" t="s">
        <v>534</v>
      </c>
      <c r="K473" s="15">
        <v>2.1526E-2</v>
      </c>
      <c r="L473" s="17">
        <v>104068.13357999999</v>
      </c>
      <c r="M473" s="4" t="s">
        <v>1633</v>
      </c>
      <c r="N473" s="19">
        <v>6.3505539999999998</v>
      </c>
      <c r="O473" s="19">
        <v>7.3339999999999996</v>
      </c>
      <c r="P473" s="19">
        <v>5.7</v>
      </c>
      <c r="Q473" s="19">
        <v>6.6734</v>
      </c>
      <c r="R473" s="19">
        <v>6.13</v>
      </c>
      <c r="S473" s="19">
        <v>6.4573</v>
      </c>
      <c r="T473" s="19">
        <v>6.13</v>
      </c>
      <c r="U473" s="19">
        <v>6.3377999999999997</v>
      </c>
      <c r="V473" s="19">
        <v>6.65</v>
      </c>
      <c r="W473" s="19">
        <v>6.8353000000000002</v>
      </c>
      <c r="X473" s="19">
        <v>6.65</v>
      </c>
      <c r="Y473" s="19">
        <v>6.8353000000000002</v>
      </c>
      <c r="Z473" s="4"/>
      <c r="AA473" s="4"/>
      <c r="AB473" s="4" t="e">
        <f ca="1">_xll.ciqfunctions.udf.CIQ("^SPX", "IQ_PRICEDATE", "11/5/2015")</f>
        <v>#NAME?</v>
      </c>
      <c r="AC473" s="16">
        <v>2099.9291454118002</v>
      </c>
    </row>
    <row r="474" spans="1:29" x14ac:dyDescent="0.35">
      <c r="A474" s="2" t="s">
        <v>484</v>
      </c>
      <c r="B474" s="4" t="s">
        <v>1634</v>
      </c>
      <c r="C474" s="4" t="s">
        <v>530</v>
      </c>
      <c r="D474" s="4" t="s">
        <v>531</v>
      </c>
      <c r="E474" s="4" t="s">
        <v>569</v>
      </c>
      <c r="F474" s="4" t="s">
        <v>570</v>
      </c>
      <c r="G474" s="14">
        <v>267.3</v>
      </c>
      <c r="H474" s="10">
        <v>15.143921000000001</v>
      </c>
      <c r="I474" s="10">
        <v>20.972270000000002</v>
      </c>
      <c r="J474" s="10">
        <v>4.9957390000000004</v>
      </c>
      <c r="K474" s="15">
        <v>1.3468000000000001E-2</v>
      </c>
      <c r="L474" s="17">
        <v>257269.12993</v>
      </c>
      <c r="M474" s="4" t="s">
        <v>1635</v>
      </c>
      <c r="N474" s="19">
        <v>12.745400999999999</v>
      </c>
      <c r="O474" s="19">
        <v>13.480700000000001</v>
      </c>
      <c r="P474" s="19">
        <v>10.72</v>
      </c>
      <c r="Q474" s="19">
        <v>10.5776</v>
      </c>
      <c r="R474" s="19">
        <v>7.25</v>
      </c>
      <c r="S474" s="19">
        <v>9.1264000000000003</v>
      </c>
      <c r="T474" s="19">
        <v>7.25</v>
      </c>
      <c r="U474" s="19">
        <v>7.1228999999999996</v>
      </c>
      <c r="V474" s="19">
        <v>5.7</v>
      </c>
      <c r="W474" s="19">
        <v>6.0094000000000003</v>
      </c>
      <c r="X474" s="19">
        <v>5.7</v>
      </c>
      <c r="Y474" s="19">
        <v>6.0094000000000003</v>
      </c>
      <c r="Z474" s="4"/>
      <c r="AA474" s="4"/>
      <c r="AB474" s="4" t="e">
        <f ca="1">_xll.ciqfunctions.udf.CIQ("^SPX", "IQ_PRICEDATE", "11/6/2015")</f>
        <v>#NAME?</v>
      </c>
      <c r="AC474" s="16">
        <v>2099.2034899273999</v>
      </c>
    </row>
    <row r="475" spans="1:29" x14ac:dyDescent="0.35">
      <c r="A475" s="2" t="s">
        <v>485</v>
      </c>
      <c r="B475" s="4" t="s">
        <v>1636</v>
      </c>
      <c r="C475" s="4" t="s">
        <v>530</v>
      </c>
      <c r="D475" s="4" t="s">
        <v>531</v>
      </c>
      <c r="E475" s="4" t="s">
        <v>569</v>
      </c>
      <c r="F475" s="4" t="s">
        <v>1109</v>
      </c>
      <c r="G475" s="14">
        <v>125.64</v>
      </c>
      <c r="H475" s="10">
        <v>9.2370059999999992</v>
      </c>
      <c r="I475" s="10">
        <v>14.724497</v>
      </c>
      <c r="J475" s="10">
        <v>7.8062399999999998</v>
      </c>
      <c r="K475" s="15">
        <v>3.1830000000000001E-3</v>
      </c>
      <c r="L475" s="17">
        <v>11727.777281999999</v>
      </c>
      <c r="M475" s="4" t="s">
        <v>1637</v>
      </c>
      <c r="N475" s="19">
        <v>8.5327190000000002</v>
      </c>
      <c r="O475" s="19">
        <v>9.8560999999999996</v>
      </c>
      <c r="P475" s="19">
        <v>7.81</v>
      </c>
      <c r="Q475" s="19">
        <v>7.7785000000000002</v>
      </c>
      <c r="R475" s="19">
        <v>7.14</v>
      </c>
      <c r="S475" s="19">
        <v>7.8731999999999998</v>
      </c>
      <c r="T475" s="19">
        <v>7.14</v>
      </c>
      <c r="U475" s="19">
        <v>7.2564000000000002</v>
      </c>
      <c r="V475" s="19">
        <v>5.42</v>
      </c>
      <c r="W475" s="19">
        <v>6.2946999999999997</v>
      </c>
      <c r="X475" s="19">
        <v>5.42</v>
      </c>
      <c r="Y475" s="19">
        <v>6.2946999999999997</v>
      </c>
      <c r="Z475" s="4"/>
      <c r="AA475" s="4"/>
      <c r="AB475" s="4" t="e">
        <f ca="1">_xll.ciqfunctions.udf.CIQ("^SPX", "IQ_PRICEDATE", "11/9/2015")</f>
        <v>#NAME?</v>
      </c>
      <c r="AC475" s="16">
        <v>2078.5799955810999</v>
      </c>
    </row>
    <row r="476" spans="1:29" x14ac:dyDescent="0.35">
      <c r="A476" s="2" t="s">
        <v>486</v>
      </c>
      <c r="B476" s="4" t="s">
        <v>1638</v>
      </c>
      <c r="C476" s="4" t="s">
        <v>573</v>
      </c>
      <c r="D476" s="4" t="s">
        <v>579</v>
      </c>
      <c r="E476" s="4" t="s">
        <v>579</v>
      </c>
      <c r="F476" s="4" t="s">
        <v>580</v>
      </c>
      <c r="G476" s="14">
        <v>37.99</v>
      </c>
      <c r="H476" s="10">
        <v>6.8335710000000001</v>
      </c>
      <c r="I476" s="10">
        <v>7.8813599999999999</v>
      </c>
      <c r="J476" s="10">
        <v>0.91294699999999995</v>
      </c>
      <c r="K476" s="15">
        <v>2.7374999999999997E-2</v>
      </c>
      <c r="L476" s="17">
        <v>8308.6141950000001</v>
      </c>
      <c r="M476" s="4" t="s">
        <v>1639</v>
      </c>
      <c r="N476" s="19">
        <v>4.8202340000000001</v>
      </c>
      <c r="O476" s="19">
        <v>5.2515000000000001</v>
      </c>
      <c r="P476" s="19">
        <v>4.37</v>
      </c>
      <c r="Q476" s="19">
        <v>4.3682999999999996</v>
      </c>
      <c r="R476" s="19">
        <v>3.95</v>
      </c>
      <c r="S476" s="19">
        <v>4.0128000000000004</v>
      </c>
      <c r="T476" s="19">
        <v>3.95</v>
      </c>
      <c r="U476" s="19">
        <v>3.7507999999999999</v>
      </c>
      <c r="V476" s="19">
        <v>1.57</v>
      </c>
      <c r="W476" s="19">
        <v>3.5983999999999998</v>
      </c>
      <c r="X476" s="19">
        <v>1.57</v>
      </c>
      <c r="Y476" s="19">
        <v>3.5983999999999998</v>
      </c>
      <c r="Z476" s="4"/>
      <c r="AA476" s="4"/>
      <c r="AB476" s="4" t="e">
        <f ca="1">_xll.ciqfunctions.udf.CIQ("^SPX", "IQ_PRICEDATE", "11/10/2015")</f>
        <v>#NAME?</v>
      </c>
      <c r="AC476" s="16">
        <v>2081.7171869949998</v>
      </c>
    </row>
    <row r="477" spans="1:29" x14ac:dyDescent="0.35">
      <c r="A477" s="2" t="s">
        <v>487</v>
      </c>
      <c r="B477" s="4" t="s">
        <v>1640</v>
      </c>
      <c r="C477" s="4" t="s">
        <v>559</v>
      </c>
      <c r="D477" s="4" t="s">
        <v>912</v>
      </c>
      <c r="E477" s="4" t="s">
        <v>1097</v>
      </c>
      <c r="F477" s="4" t="s">
        <v>1098</v>
      </c>
      <c r="G477" s="14">
        <v>89.28</v>
      </c>
      <c r="H477" s="10">
        <v>22.716733000000001</v>
      </c>
      <c r="I477" s="10">
        <v>32.698134000000003</v>
      </c>
      <c r="J477" s="10" t="s">
        <v>534</v>
      </c>
      <c r="K477" s="15">
        <v>2.0609000000000002E-2</v>
      </c>
      <c r="L477" s="17">
        <v>35396.040044000001</v>
      </c>
      <c r="M477" s="4" t="s">
        <v>1641</v>
      </c>
      <c r="N477" s="19">
        <v>2.7304309999999998</v>
      </c>
      <c r="O477" s="19">
        <v>3.7210999999999999</v>
      </c>
      <c r="P477" s="19">
        <v>1.79</v>
      </c>
      <c r="Q477" s="19">
        <v>0</v>
      </c>
      <c r="R477" s="19">
        <v>2.56</v>
      </c>
      <c r="S477" s="19">
        <v>3.3176000000000001</v>
      </c>
      <c r="T477" s="19">
        <v>2.56</v>
      </c>
      <c r="U477" s="19">
        <v>3.3953000000000002</v>
      </c>
      <c r="V477" s="19">
        <v>2.9210950000000002</v>
      </c>
      <c r="W477" s="19">
        <v>3.3620999999999999</v>
      </c>
      <c r="X477" s="19">
        <v>2.9210950000000002</v>
      </c>
      <c r="Y477" s="19">
        <v>3.3620999999999999</v>
      </c>
      <c r="Z477" s="4"/>
      <c r="AA477" s="4"/>
      <c r="AB477" s="4" t="e">
        <f ca="1">_xll.ciqfunctions.udf.CIQ("^SPX", "IQ_PRICEDATE", "11/11/2015")</f>
        <v>#NAME?</v>
      </c>
      <c r="AC477" s="16">
        <v>2075.0031674296001</v>
      </c>
    </row>
    <row r="478" spans="1:29" x14ac:dyDescent="0.35">
      <c r="A478" s="2" t="s">
        <v>488</v>
      </c>
      <c r="B478" s="4" t="s">
        <v>1642</v>
      </c>
      <c r="C478" s="4" t="s">
        <v>669</v>
      </c>
      <c r="D478" s="4" t="s">
        <v>669</v>
      </c>
      <c r="E478" s="4" t="s">
        <v>670</v>
      </c>
      <c r="F478" s="4" t="s">
        <v>1126</v>
      </c>
      <c r="G478" s="14">
        <v>103.74</v>
      </c>
      <c r="H478" s="10">
        <v>7.8735460000000002</v>
      </c>
      <c r="I478" s="10">
        <v>9.9935130000000001</v>
      </c>
      <c r="J478" s="10">
        <v>2.0416460000000001</v>
      </c>
      <c r="K478" s="15">
        <v>3.0845999999999998E-2</v>
      </c>
      <c r="L478" s="17">
        <v>44338.271321</v>
      </c>
      <c r="M478" s="4" t="s">
        <v>1643</v>
      </c>
      <c r="N478" s="19">
        <v>10.380732999999999</v>
      </c>
      <c r="O478" s="19">
        <v>7.9870000000000001</v>
      </c>
      <c r="P478" s="19">
        <v>9.155405</v>
      </c>
      <c r="Q478" s="19">
        <v>6.4138000000000002</v>
      </c>
      <c r="R478" s="19">
        <v>4.9331889999999996</v>
      </c>
      <c r="S478" s="19">
        <v>5.3204000000000002</v>
      </c>
      <c r="T478" s="19">
        <v>4.9331889999999996</v>
      </c>
      <c r="U478" s="19">
        <v>7.7972999999999999</v>
      </c>
      <c r="V478" s="19">
        <v>6.969811</v>
      </c>
      <c r="W478" s="19">
        <v>5.5865</v>
      </c>
      <c r="X478" s="19">
        <v>6.969811</v>
      </c>
      <c r="Y478" s="19">
        <v>5.5865</v>
      </c>
      <c r="Z478" s="4"/>
      <c r="AA478" s="4"/>
      <c r="AB478" s="4" t="e">
        <f ca="1">_xll.ciqfunctions.udf.CIQ("^SPX", "IQ_PRICEDATE", "11/12/2015")</f>
        <v>#NAME?</v>
      </c>
      <c r="AC478" s="16">
        <v>2045.9655657082999</v>
      </c>
    </row>
    <row r="479" spans="1:29" x14ac:dyDescent="0.35">
      <c r="A479" s="2" t="s">
        <v>489</v>
      </c>
      <c r="B479" s="4" t="s">
        <v>1644</v>
      </c>
      <c r="C479" s="4" t="s">
        <v>530</v>
      </c>
      <c r="D479" s="4" t="s">
        <v>531</v>
      </c>
      <c r="E479" s="4" t="s">
        <v>532</v>
      </c>
      <c r="F479" s="4" t="s">
        <v>533</v>
      </c>
      <c r="G479" s="14">
        <v>108.65</v>
      </c>
      <c r="H479" s="10">
        <v>15.774485</v>
      </c>
      <c r="I479" s="10">
        <v>70.377876999999998</v>
      </c>
      <c r="J479" s="10">
        <v>8.4399990000000003</v>
      </c>
      <c r="K479" s="15">
        <v>0</v>
      </c>
      <c r="L479" s="17">
        <v>9946.6328329999997</v>
      </c>
      <c r="M479" s="4" t="s">
        <v>1645</v>
      </c>
      <c r="N479" s="19">
        <v>1.543809</v>
      </c>
      <c r="O479" s="19">
        <v>4.6231</v>
      </c>
      <c r="P479" s="19">
        <v>1.4744889999999999</v>
      </c>
      <c r="Q479" s="19">
        <v>4.3349200000000003</v>
      </c>
      <c r="R479" s="19">
        <v>2.7396310000000001</v>
      </c>
      <c r="S479" s="19">
        <v>4.9473099999999999</v>
      </c>
      <c r="T479" s="19">
        <v>2.7396310000000001</v>
      </c>
      <c r="U479" s="19">
        <v>4.4569799999999997</v>
      </c>
      <c r="V479" s="19">
        <v>3.83</v>
      </c>
      <c r="W479" s="19">
        <v>4.28667</v>
      </c>
      <c r="X479" s="19">
        <v>3.83</v>
      </c>
      <c r="Y479" s="19">
        <v>4.28667</v>
      </c>
      <c r="Z479" s="4"/>
      <c r="AA479" s="4"/>
      <c r="AB479" s="4" t="e">
        <f ca="1">_xll.ciqfunctions.udf.CIQ("^SPX", "IQ_PRICEDATE", "11/13/2015")</f>
        <v>#NAME?</v>
      </c>
      <c r="AC479" s="16">
        <v>2023.0394329712001</v>
      </c>
    </row>
    <row r="480" spans="1:29" x14ac:dyDescent="0.35">
      <c r="A480" s="2" t="s">
        <v>490</v>
      </c>
      <c r="B480" s="4" t="s">
        <v>1646</v>
      </c>
      <c r="C480" s="4" t="s">
        <v>601</v>
      </c>
      <c r="D480" s="4" t="s">
        <v>601</v>
      </c>
      <c r="E480" s="4" t="s">
        <v>602</v>
      </c>
      <c r="F480" s="4" t="s">
        <v>1112</v>
      </c>
      <c r="G480" s="14">
        <v>55.34</v>
      </c>
      <c r="H480" s="10">
        <v>16.212135</v>
      </c>
      <c r="I480" s="10">
        <v>15.912929999999999</v>
      </c>
      <c r="J480" s="10">
        <v>2.210531</v>
      </c>
      <c r="K480" s="15">
        <v>5.7100999999999999E-2</v>
      </c>
      <c r="L480" s="17">
        <v>19725.335310999999</v>
      </c>
      <c r="M480" s="4" t="s">
        <v>1647</v>
      </c>
      <c r="N480" s="19">
        <v>3.4776750000000001</v>
      </c>
      <c r="O480" s="19">
        <v>1.458</v>
      </c>
      <c r="P480" s="19">
        <v>3.7803059999999999</v>
      </c>
      <c r="Q480" s="19">
        <v>2.1423999999999999</v>
      </c>
      <c r="R480" s="19">
        <v>1.862646</v>
      </c>
      <c r="S480" s="19">
        <v>1.7329000000000001</v>
      </c>
      <c r="T480" s="19">
        <v>1.862646</v>
      </c>
      <c r="U480" s="19">
        <v>2.2925</v>
      </c>
      <c r="V480" s="19">
        <v>1.26</v>
      </c>
      <c r="W480" s="19">
        <v>1.7635000000000001</v>
      </c>
      <c r="X480" s="19">
        <v>1.26</v>
      </c>
      <c r="Y480" s="19">
        <v>1.7635000000000001</v>
      </c>
      <c r="Z480" s="4"/>
      <c r="AA480" s="4"/>
      <c r="AB480" s="4" t="e">
        <f ca="1">_xll.ciqfunctions.udf.CIQ("^SPX", "IQ_PRICEDATE", "11/16/2015")</f>
        <v>#NAME?</v>
      </c>
      <c r="AC480" s="16">
        <v>2053.1850023665002</v>
      </c>
    </row>
    <row r="481" spans="1:29" x14ac:dyDescent="0.35">
      <c r="A481" s="2" t="s">
        <v>491</v>
      </c>
      <c r="B481" s="4" t="s">
        <v>1648</v>
      </c>
      <c r="C481" s="4" t="s">
        <v>543</v>
      </c>
      <c r="D481" s="4" t="s">
        <v>544</v>
      </c>
      <c r="E481" s="4" t="s">
        <v>545</v>
      </c>
      <c r="F481" s="4" t="s">
        <v>591</v>
      </c>
      <c r="G481" s="14">
        <v>145.88999999999999</v>
      </c>
      <c r="H481" s="10">
        <v>23.443836000000001</v>
      </c>
      <c r="I481" s="10">
        <v>37.612108999999997</v>
      </c>
      <c r="J481" s="10" t="s">
        <v>534</v>
      </c>
      <c r="K481" s="15">
        <v>0</v>
      </c>
      <c r="L481" s="17">
        <v>17786.702219999999</v>
      </c>
      <c r="M481" s="4" t="s">
        <v>1649</v>
      </c>
      <c r="N481" s="19">
        <v>3.8788040000000001</v>
      </c>
      <c r="O481" s="19">
        <v>4.9401999999999999</v>
      </c>
      <c r="P481" s="19">
        <v>3.68</v>
      </c>
      <c r="Q481" s="19">
        <v>4.1257000000000001</v>
      </c>
      <c r="R481" s="19">
        <v>3.42</v>
      </c>
      <c r="S481" s="19">
        <v>3.7134999999999998</v>
      </c>
      <c r="T481" s="19">
        <v>3.42</v>
      </c>
      <c r="U481" s="19">
        <v>3.3492999999999999</v>
      </c>
      <c r="V481" s="19">
        <v>2.52</v>
      </c>
      <c r="W481" s="19">
        <v>2.9845999999999999</v>
      </c>
      <c r="X481" s="19">
        <v>2.52</v>
      </c>
      <c r="Y481" s="19">
        <v>2.9845999999999999</v>
      </c>
      <c r="Z481" s="4"/>
      <c r="AA481" s="4"/>
      <c r="AB481" s="4" t="e">
        <f ca="1">_xll.ciqfunctions.udf.CIQ("^SPX", "IQ_PRICEDATE", "11/17/2015")</f>
        <v>#NAME?</v>
      </c>
      <c r="AC481" s="16">
        <v>2050.4358729730002</v>
      </c>
    </row>
    <row r="482" spans="1:29" x14ac:dyDescent="0.35">
      <c r="A482" s="2" t="s">
        <v>492</v>
      </c>
      <c r="B482" s="4" t="s">
        <v>1650</v>
      </c>
      <c r="C482" s="4" t="s">
        <v>525</v>
      </c>
      <c r="D482" s="4" t="s">
        <v>855</v>
      </c>
      <c r="E482" s="4" t="s">
        <v>990</v>
      </c>
      <c r="F482" s="4" t="s">
        <v>991</v>
      </c>
      <c r="G482" s="14">
        <v>117.08</v>
      </c>
      <c r="H482" s="10">
        <v>20.977004000000001</v>
      </c>
      <c r="I482" s="10">
        <v>32.241213000000002</v>
      </c>
      <c r="J482" s="10" t="s">
        <v>534</v>
      </c>
      <c r="K482" s="15">
        <v>0</v>
      </c>
      <c r="L482" s="17">
        <v>19284.06076</v>
      </c>
      <c r="M482" s="4" t="s">
        <v>1651</v>
      </c>
      <c r="N482" s="19">
        <v>3.6313770000000001</v>
      </c>
      <c r="O482" s="19">
        <v>4.3449</v>
      </c>
      <c r="P482" s="19">
        <v>3.29</v>
      </c>
      <c r="Q482" s="19">
        <v>3.4033000000000002</v>
      </c>
      <c r="R482" s="19">
        <v>2.639999</v>
      </c>
      <c r="S482" s="19">
        <v>3.2696999999999998</v>
      </c>
      <c r="T482" s="19">
        <v>2.639999</v>
      </c>
      <c r="U482" s="19">
        <v>3.1248</v>
      </c>
      <c r="V482" s="19">
        <v>2.0999989999999999</v>
      </c>
      <c r="W482" s="19">
        <v>2.6181999999999999</v>
      </c>
      <c r="X482" s="19">
        <v>2.0999989999999999</v>
      </c>
      <c r="Y482" s="19">
        <v>2.6181999999999999</v>
      </c>
      <c r="Z482" s="4"/>
      <c r="AA482" s="4"/>
      <c r="AB482" s="4" t="e">
        <f ca="1">_xll.ciqfunctions.udf.CIQ("^SPX", "IQ_PRICEDATE", "11/18/2015")</f>
        <v>#NAME?</v>
      </c>
      <c r="AC482" s="16">
        <v>2083.5810116775001</v>
      </c>
    </row>
    <row r="483" spans="1:29" x14ac:dyDescent="0.35">
      <c r="A483" s="2" t="s">
        <v>493</v>
      </c>
      <c r="B483" s="4" t="s">
        <v>1652</v>
      </c>
      <c r="C483" s="4" t="s">
        <v>549</v>
      </c>
      <c r="D483" s="4" t="s">
        <v>713</v>
      </c>
      <c r="E483" s="4" t="s">
        <v>714</v>
      </c>
      <c r="F483" s="4" t="s">
        <v>715</v>
      </c>
      <c r="G483" s="14">
        <v>53.96</v>
      </c>
      <c r="H483" s="10">
        <v>7.2628959999999996</v>
      </c>
      <c r="I483" s="10">
        <v>7.1606040000000002</v>
      </c>
      <c r="J483" s="10" t="s">
        <v>534</v>
      </c>
      <c r="K483" s="15">
        <v>4.4662E-2</v>
      </c>
      <c r="L483" s="17">
        <v>222959.24530000001</v>
      </c>
      <c r="M483" s="4" t="s">
        <v>1653</v>
      </c>
      <c r="N483" s="19">
        <v>7.5356769999999997</v>
      </c>
      <c r="O483" s="19">
        <v>4.6574999999999998</v>
      </c>
      <c r="P483" s="19">
        <v>7.36</v>
      </c>
      <c r="Q483" s="19">
        <v>3.8620000000000001</v>
      </c>
      <c r="R483" s="19">
        <v>3.21</v>
      </c>
      <c r="S483" s="19">
        <v>3.9784000000000002</v>
      </c>
      <c r="T483" s="19">
        <v>3.21</v>
      </c>
      <c r="U483" s="19">
        <v>3.9689999999999999</v>
      </c>
      <c r="V483" s="19">
        <v>2.42</v>
      </c>
      <c r="W483" s="19">
        <v>3.6232000000000002</v>
      </c>
      <c r="X483" s="19">
        <v>2.42</v>
      </c>
      <c r="Y483" s="19">
        <v>3.6232000000000002</v>
      </c>
      <c r="Z483" s="4"/>
      <c r="AA483" s="4"/>
      <c r="AB483" s="4" t="e">
        <f ca="1">_xll.ciqfunctions.udf.CIQ("^SPX", "IQ_PRICEDATE", "11/19/2015")</f>
        <v>#NAME?</v>
      </c>
      <c r="AC483" s="16">
        <v>2081.2376959506</v>
      </c>
    </row>
    <row r="484" spans="1:29" x14ac:dyDescent="0.35">
      <c r="A484" s="2" t="s">
        <v>494</v>
      </c>
      <c r="B484" s="4" t="s">
        <v>1654</v>
      </c>
      <c r="C484" s="4" t="s">
        <v>530</v>
      </c>
      <c r="D484" s="4" t="s">
        <v>537</v>
      </c>
      <c r="E484" s="4" t="s">
        <v>538</v>
      </c>
      <c r="F484" s="4" t="s">
        <v>538</v>
      </c>
      <c r="G484" s="14">
        <v>185.48</v>
      </c>
      <c r="H484" s="10">
        <v>77.546757999999997</v>
      </c>
      <c r="I484" s="10">
        <v>114.964044</v>
      </c>
      <c r="J484" s="10">
        <v>18.135213</v>
      </c>
      <c r="K484" s="15">
        <v>0</v>
      </c>
      <c r="L484" s="17">
        <v>47401.257486000002</v>
      </c>
      <c r="M484" s="4" t="s">
        <v>1655</v>
      </c>
      <c r="N484" s="19">
        <v>1.6133740000000001</v>
      </c>
      <c r="O484" s="19">
        <v>4.2511000000000001</v>
      </c>
      <c r="P484" s="19">
        <v>1.0393760000000001</v>
      </c>
      <c r="Q484" s="19">
        <v>2.4992999999999999</v>
      </c>
      <c r="R484" s="19">
        <v>-0.46</v>
      </c>
      <c r="S484" s="19">
        <v>1.4767999999999999</v>
      </c>
      <c r="T484" s="19">
        <v>-0.46</v>
      </c>
      <c r="U484" s="19">
        <v>2.0221</v>
      </c>
      <c r="V484" s="19">
        <v>-3.14</v>
      </c>
      <c r="W484" s="19">
        <v>-1.1392</v>
      </c>
      <c r="X484" s="19">
        <v>-3.14</v>
      </c>
      <c r="Y484" s="19">
        <v>-1.1392</v>
      </c>
      <c r="Z484" s="4"/>
      <c r="AA484" s="4"/>
      <c r="AB484" s="4" t="e">
        <f ca="1">_xll.ciqfunctions.udf.CIQ("^SPX", "IQ_PRICEDATE", "11/20/2015")</f>
        <v>#NAME?</v>
      </c>
      <c r="AC484" s="16">
        <v>2089.1662231912001</v>
      </c>
    </row>
    <row r="485" spans="1:29" x14ac:dyDescent="0.35">
      <c r="A485" s="2" t="s">
        <v>495</v>
      </c>
      <c r="B485" s="4" t="s">
        <v>1656</v>
      </c>
      <c r="C485" s="4" t="s">
        <v>549</v>
      </c>
      <c r="D485" s="4" t="s">
        <v>550</v>
      </c>
      <c r="E485" s="4" t="s">
        <v>551</v>
      </c>
      <c r="F485" s="4" t="s">
        <v>1319</v>
      </c>
      <c r="G485" s="14">
        <v>33.409999999999997</v>
      </c>
      <c r="H485" s="10">
        <v>7.8846720000000001</v>
      </c>
      <c r="I485" s="10">
        <v>6.8094950000000001</v>
      </c>
      <c r="J485" s="10" t="s">
        <v>534</v>
      </c>
      <c r="K485" s="15">
        <v>2.3944E-2</v>
      </c>
      <c r="L485" s="17">
        <v>13601.552202000001</v>
      </c>
      <c r="M485" s="4" t="s">
        <v>1657</v>
      </c>
      <c r="N485" s="19">
        <v>4.9063840000000001</v>
      </c>
      <c r="O485" s="19">
        <v>4.2169999999999996</v>
      </c>
      <c r="P485" s="19">
        <v>4.9987180000000002</v>
      </c>
      <c r="Q485" s="19">
        <v>3.71123</v>
      </c>
      <c r="R485" s="19">
        <v>3.479705</v>
      </c>
      <c r="S485" s="19">
        <v>3.8408199999999999</v>
      </c>
      <c r="T485" s="19">
        <v>3.479705</v>
      </c>
      <c r="U485" s="19">
        <v>5.8085000000000004</v>
      </c>
      <c r="V485" s="19">
        <v>5.4438579999999996</v>
      </c>
      <c r="W485" s="19">
        <v>5.9686500000000002</v>
      </c>
      <c r="X485" s="19">
        <v>5.4438579999999996</v>
      </c>
      <c r="Y485" s="19">
        <v>5.9686500000000002</v>
      </c>
      <c r="Z485" s="4"/>
      <c r="AA485" s="4"/>
      <c r="AB485" s="4" t="e">
        <f ca="1">_xll.ciqfunctions.udf.CIQ("^SPX", "IQ_PRICEDATE", "11/23/2015")</f>
        <v>#NAME?</v>
      </c>
      <c r="AC485" s="16">
        <v>2086.5899735126</v>
      </c>
    </row>
    <row r="486" spans="1:29" x14ac:dyDescent="0.35">
      <c r="A486" s="2" t="s">
        <v>496</v>
      </c>
      <c r="B486" s="4" t="s">
        <v>1658</v>
      </c>
      <c r="C486" s="4" t="s">
        <v>543</v>
      </c>
      <c r="D486" s="4" t="s">
        <v>544</v>
      </c>
      <c r="E486" s="4" t="s">
        <v>545</v>
      </c>
      <c r="F486" s="4" t="s">
        <v>616</v>
      </c>
      <c r="G486" s="14">
        <v>142.44999999999999</v>
      </c>
      <c r="H486" s="10">
        <v>23.925962999999999</v>
      </c>
      <c r="I486" s="10">
        <v>34.781806000000003</v>
      </c>
      <c r="J486" s="10" t="s">
        <v>534</v>
      </c>
      <c r="K486" s="15">
        <v>5.8960000000000002E-3</v>
      </c>
      <c r="L486" s="17">
        <v>316967.62491200003</v>
      </c>
      <c r="M486" s="4" t="s">
        <v>1659</v>
      </c>
      <c r="N486" s="19">
        <v>4.0955320000000004</v>
      </c>
      <c r="O486" s="19">
        <v>5.0887000000000002</v>
      </c>
      <c r="P486" s="19">
        <v>3.0100920000000002</v>
      </c>
      <c r="Q486" s="19">
        <v>4.0919999999999996</v>
      </c>
      <c r="R486" s="19">
        <v>2.534287</v>
      </c>
      <c r="S486" s="19">
        <v>3.2856100000000001</v>
      </c>
      <c r="T486" s="19">
        <v>2.534287</v>
      </c>
      <c r="U486" s="19">
        <v>2.86551</v>
      </c>
      <c r="V486" s="19">
        <v>2.2663869999999999</v>
      </c>
      <c r="W486" s="19">
        <v>2.6007699999999998</v>
      </c>
      <c r="X486" s="19">
        <v>2.2663869999999999</v>
      </c>
      <c r="Y486" s="19">
        <v>2.6007699999999998</v>
      </c>
      <c r="Z486" s="4"/>
      <c r="AA486" s="4"/>
      <c r="AB486" s="4" t="e">
        <f ca="1">_xll.ciqfunctions.udf.CIQ("^SPX", "IQ_PRICEDATE", "11/24/2015")</f>
        <v>#NAME?</v>
      </c>
      <c r="AC486" s="16">
        <v>2089.1399159965999</v>
      </c>
    </row>
    <row r="487" spans="1:29" x14ac:dyDescent="0.35">
      <c r="A487" s="2" t="s">
        <v>497</v>
      </c>
      <c r="B487" s="4" t="s">
        <v>1660</v>
      </c>
      <c r="C487" s="4" t="s">
        <v>601</v>
      </c>
      <c r="D487" s="4" t="s">
        <v>601</v>
      </c>
      <c r="E487" s="4" t="s">
        <v>602</v>
      </c>
      <c r="F487" s="4" t="s">
        <v>603</v>
      </c>
      <c r="G487" s="14">
        <v>68.349999999999994</v>
      </c>
      <c r="H487" s="10">
        <v>24.936315</v>
      </c>
      <c r="I487" s="10">
        <v>94.639275999999995</v>
      </c>
      <c r="J487" s="10">
        <v>4.0080280000000004</v>
      </c>
      <c r="K487" s="15">
        <v>3.6868999999999999E-2</v>
      </c>
      <c r="L487" s="17">
        <v>13002.764361</v>
      </c>
      <c r="M487" s="4" t="s">
        <v>1661</v>
      </c>
      <c r="N487" s="19">
        <v>0.72221599999999997</v>
      </c>
      <c r="O487" s="19">
        <v>1.8225</v>
      </c>
      <c r="P487" s="19">
        <v>0.91723699999999997</v>
      </c>
      <c r="Q487" s="19">
        <v>0.87250000000000005</v>
      </c>
      <c r="R487" s="19">
        <v>2.2058330000000002</v>
      </c>
      <c r="S487" s="19">
        <v>1.9</v>
      </c>
      <c r="T487" s="19">
        <v>2.2058330000000002</v>
      </c>
      <c r="U487" s="19">
        <v>1.8129</v>
      </c>
      <c r="V487" s="19">
        <v>1.0476650000000001</v>
      </c>
      <c r="W487" s="19">
        <v>2.3056000000000001</v>
      </c>
      <c r="X487" s="19">
        <v>1.0476650000000001</v>
      </c>
      <c r="Y487" s="19">
        <v>2.3056000000000001</v>
      </c>
      <c r="Z487" s="4"/>
      <c r="AA487" s="4"/>
      <c r="AB487" s="4" t="e">
        <f ca="1">_xll.ciqfunctions.udf.CIQ("^SPX", "IQ_PRICEDATE", "11/25/2015")</f>
        <v>#NAME?</v>
      </c>
      <c r="AC487" s="16">
        <v>2088.8725782168999</v>
      </c>
    </row>
    <row r="488" spans="1:29" x14ac:dyDescent="0.35">
      <c r="A488" s="2" t="s">
        <v>498</v>
      </c>
      <c r="B488" s="4" t="s">
        <v>1662</v>
      </c>
      <c r="C488" s="4" t="s">
        <v>586</v>
      </c>
      <c r="D488" s="4" t="s">
        <v>586</v>
      </c>
      <c r="E488" s="4" t="s">
        <v>1255</v>
      </c>
      <c r="F488" s="4" t="s">
        <v>1255</v>
      </c>
      <c r="G488" s="14">
        <v>96.23</v>
      </c>
      <c r="H488" s="10">
        <v>15.757125</v>
      </c>
      <c r="I488" s="10">
        <v>19.865272000000001</v>
      </c>
      <c r="J488" s="10">
        <v>18.188842000000001</v>
      </c>
      <c r="K488" s="15">
        <v>1.1637999999999999E-2</v>
      </c>
      <c r="L488" s="17">
        <v>12728.167826999999</v>
      </c>
      <c r="M488" s="4" t="s">
        <v>1663</v>
      </c>
      <c r="N488" s="19">
        <v>4.8441320000000001</v>
      </c>
      <c r="O488" s="19">
        <v>4.5279999999999996</v>
      </c>
      <c r="P488" s="19">
        <v>4.4000000000000004</v>
      </c>
      <c r="Q488" s="19">
        <v>3.6493000000000002</v>
      </c>
      <c r="R488" s="19">
        <v>3.11</v>
      </c>
      <c r="S488" s="19">
        <v>3.8281000000000001</v>
      </c>
      <c r="T488" s="19">
        <v>3.11</v>
      </c>
      <c r="U488" s="19">
        <v>3.0171999999999999</v>
      </c>
      <c r="V488" s="19">
        <v>1.56</v>
      </c>
      <c r="W488" s="19">
        <v>1.6067</v>
      </c>
      <c r="X488" s="19">
        <v>1.56</v>
      </c>
      <c r="Y488" s="19">
        <v>1.6067</v>
      </c>
      <c r="Z488" s="4"/>
      <c r="AA488" s="4"/>
      <c r="AB488" s="4" t="e">
        <f ca="1">_xll.ciqfunctions.udf.CIQ("^SPX", "IQ_PRICEDATE", "11/27/2015")</f>
        <v>#NAME?</v>
      </c>
      <c r="AC488" s="16">
        <v>2090.1067763177998</v>
      </c>
    </row>
    <row r="489" spans="1:29" x14ac:dyDescent="0.35">
      <c r="A489" s="2" t="s">
        <v>499</v>
      </c>
      <c r="B489" s="4" t="s">
        <v>1664</v>
      </c>
      <c r="C489" s="4" t="s">
        <v>525</v>
      </c>
      <c r="D489" s="4" t="s">
        <v>526</v>
      </c>
      <c r="E489" s="4" t="s">
        <v>1023</v>
      </c>
      <c r="F489" s="4" t="s">
        <v>1023</v>
      </c>
      <c r="G489" s="14">
        <v>279.33999999999997</v>
      </c>
      <c r="H489" s="10">
        <v>11.163596</v>
      </c>
      <c r="I489" s="10">
        <v>22.046399999999998</v>
      </c>
      <c r="J489" s="10">
        <v>13.212698</v>
      </c>
      <c r="K489" s="15">
        <v>1.9474000000000002E-2</v>
      </c>
      <c r="L489" s="17">
        <v>15732.558134000001</v>
      </c>
      <c r="M489" s="4" t="s">
        <v>1665</v>
      </c>
      <c r="N489" s="19">
        <v>12.670548999999999</v>
      </c>
      <c r="O489" s="19">
        <v>16.826599999999999</v>
      </c>
      <c r="P489" s="19">
        <v>10.021217999999999</v>
      </c>
      <c r="Q489" s="19">
        <v>10.725300000000001</v>
      </c>
      <c r="R489" s="19">
        <v>9.8705239999999996</v>
      </c>
      <c r="S489" s="19">
        <v>11.629099999999999</v>
      </c>
      <c r="T489" s="19">
        <v>9.8705239999999996</v>
      </c>
      <c r="U489" s="19">
        <v>11.494400000000001</v>
      </c>
      <c r="V489" s="19">
        <v>11.448254</v>
      </c>
      <c r="W489" s="19">
        <v>13.0946</v>
      </c>
      <c r="X489" s="19">
        <v>11.448254</v>
      </c>
      <c r="Y489" s="19">
        <v>13.0946</v>
      </c>
      <c r="Z489" s="4"/>
      <c r="AA489" s="4"/>
      <c r="AB489" s="4" t="e">
        <f ca="1">_xll.ciqfunctions.udf.CIQ("^SPX", "IQ_PRICEDATE", "11/30/2015")</f>
        <v>#NAME?</v>
      </c>
      <c r="AC489" s="16">
        <v>2080.4068286182001</v>
      </c>
    </row>
    <row r="490" spans="1:29" x14ac:dyDescent="0.35">
      <c r="A490" s="2" t="s">
        <v>500</v>
      </c>
      <c r="B490" s="4" t="s">
        <v>1666</v>
      </c>
      <c r="C490" s="4" t="s">
        <v>626</v>
      </c>
      <c r="D490" s="4" t="s">
        <v>894</v>
      </c>
      <c r="E490" s="4" t="s">
        <v>894</v>
      </c>
      <c r="F490" s="4" t="s">
        <v>1667</v>
      </c>
      <c r="G490" s="14">
        <v>76.98</v>
      </c>
      <c r="H490" s="10">
        <v>10.75353</v>
      </c>
      <c r="I490" s="10">
        <v>15.243563999999999</v>
      </c>
      <c r="J490" s="10" t="s">
        <v>534</v>
      </c>
      <c r="K490" s="15">
        <v>2.2863000000000001E-2</v>
      </c>
      <c r="L490" s="17">
        <v>73066.684288000004</v>
      </c>
      <c r="M490" s="4" t="s">
        <v>1668</v>
      </c>
      <c r="N490" s="19">
        <v>5.05</v>
      </c>
      <c r="O490" s="19">
        <v>6.4755200000000004</v>
      </c>
      <c r="P490" s="19">
        <v>3.6254430000000002</v>
      </c>
      <c r="Q490" s="19">
        <v>5.5603199999999999</v>
      </c>
      <c r="R490" s="19">
        <v>3.779487</v>
      </c>
      <c r="S490" s="19">
        <v>5.0083799999999998</v>
      </c>
      <c r="T490" s="19">
        <v>3.779487</v>
      </c>
      <c r="U490" s="19">
        <v>4.43675</v>
      </c>
      <c r="V490" s="19">
        <v>2.1374249999999999</v>
      </c>
      <c r="W490" s="19">
        <v>3.7660999999999998</v>
      </c>
      <c r="X490" s="19">
        <v>2.1374249999999999</v>
      </c>
      <c r="Y490" s="19">
        <v>3.7660999999999998</v>
      </c>
      <c r="Z490" s="4"/>
      <c r="AA490" s="4"/>
      <c r="AB490" s="4" t="e">
        <f ca="1">_xll.ciqfunctions.udf.CIQ("^SPX", "IQ_PRICEDATE", "12/1/2015")</f>
        <v>#NAME?</v>
      </c>
      <c r="AC490" s="16">
        <v>2102.6326700487998</v>
      </c>
    </row>
    <row r="491" spans="1:29" x14ac:dyDescent="0.35">
      <c r="A491" s="2" t="s">
        <v>501</v>
      </c>
      <c r="B491" s="4" t="s">
        <v>1669</v>
      </c>
      <c r="C491" s="4" t="s">
        <v>626</v>
      </c>
      <c r="D491" s="4" t="s">
        <v>894</v>
      </c>
      <c r="E491" s="4" t="s">
        <v>894</v>
      </c>
      <c r="F491" s="4" t="s">
        <v>895</v>
      </c>
      <c r="G491" s="14">
        <v>96.56</v>
      </c>
      <c r="H491" s="10">
        <v>9.9191029999999998</v>
      </c>
      <c r="I491" s="10">
        <v>55.231521999999998</v>
      </c>
      <c r="J491" s="10">
        <v>5.3126550000000003</v>
      </c>
      <c r="K491" s="15">
        <v>2.1541000000000001E-2</v>
      </c>
      <c r="L491" s="17">
        <v>282798.610659</v>
      </c>
      <c r="M491" s="4" t="s">
        <v>1670</v>
      </c>
      <c r="N491" s="19">
        <v>1.7482770000000001</v>
      </c>
      <c r="O491" s="19">
        <v>4.6669999999999998</v>
      </c>
      <c r="P491" s="19">
        <v>3.7670509999999999</v>
      </c>
      <c r="Q491" s="19">
        <v>4.6426999999999996</v>
      </c>
      <c r="R491" s="19">
        <v>4.6100260000000004</v>
      </c>
      <c r="S491" s="19">
        <v>4.2832999999999997</v>
      </c>
      <c r="T491" s="19">
        <v>4.6100260000000004</v>
      </c>
      <c r="U491" s="19">
        <v>4.2538999999999998</v>
      </c>
      <c r="V491" s="19">
        <v>4.750127</v>
      </c>
      <c r="W491" s="19">
        <v>5.1368999999999998</v>
      </c>
      <c r="X491" s="19">
        <v>4.750127</v>
      </c>
      <c r="Y491" s="19">
        <v>5.1368999999999998</v>
      </c>
      <c r="Z491" s="4"/>
      <c r="AA491" s="4"/>
      <c r="AB491" s="4" t="e">
        <f ca="1">_xll.ciqfunctions.udf.CIQ("^SPX", "IQ_PRICEDATE", "12/2/2015")</f>
        <v>#NAME?</v>
      </c>
      <c r="AC491" s="16">
        <v>2079.5062206969001</v>
      </c>
    </row>
    <row r="492" spans="1:29" x14ac:dyDescent="0.35">
      <c r="A492" s="2" t="s">
        <v>502</v>
      </c>
      <c r="B492" s="4" t="s">
        <v>1671</v>
      </c>
      <c r="C492" s="4" t="s">
        <v>525</v>
      </c>
      <c r="D492" s="4" t="s">
        <v>855</v>
      </c>
      <c r="E492" s="4" t="s">
        <v>856</v>
      </c>
      <c r="F492" s="4" t="s">
        <v>1450</v>
      </c>
      <c r="G492" s="14">
        <v>90.14</v>
      </c>
      <c r="H492" s="10">
        <v>11.949517</v>
      </c>
      <c r="I492" s="10">
        <v>18.051817</v>
      </c>
      <c r="J492" s="10" t="s">
        <v>534</v>
      </c>
      <c r="K492" s="15">
        <v>2.0634E-2</v>
      </c>
      <c r="L492" s="17">
        <v>38644.546774000002</v>
      </c>
      <c r="M492" s="4" t="s">
        <v>1672</v>
      </c>
      <c r="N492" s="19">
        <v>4.9934029999999998</v>
      </c>
      <c r="O492" s="19">
        <v>4.2054999999999998</v>
      </c>
      <c r="P492" s="19">
        <v>4.41</v>
      </c>
      <c r="Q492" s="19">
        <v>3.4104999999999999</v>
      </c>
      <c r="R492" s="19">
        <v>2.65</v>
      </c>
      <c r="S492" s="19">
        <v>3.0979000000000001</v>
      </c>
      <c r="T492" s="19">
        <v>2.65</v>
      </c>
      <c r="U492" s="19">
        <v>2.7223999999999999</v>
      </c>
      <c r="V492" s="19">
        <v>2.79</v>
      </c>
      <c r="W492" s="19">
        <v>2.4539</v>
      </c>
      <c r="X492" s="19">
        <v>2.79</v>
      </c>
      <c r="Y492" s="19">
        <v>2.4539</v>
      </c>
      <c r="Z492" s="4"/>
      <c r="AA492" s="4"/>
      <c r="AB492" s="4" t="e">
        <f ca="1">_xll.ciqfunctions.udf.CIQ("^SPX", "IQ_PRICEDATE", "12/3/2015")</f>
        <v>#NAME?</v>
      </c>
      <c r="AC492" s="16">
        <v>2049.6156274238001</v>
      </c>
    </row>
    <row r="493" spans="1:29" x14ac:dyDescent="0.35">
      <c r="A493" s="2" t="s">
        <v>503</v>
      </c>
      <c r="B493" s="4" t="s">
        <v>1673</v>
      </c>
      <c r="C493" s="4" t="s">
        <v>530</v>
      </c>
      <c r="D493" s="4" t="s">
        <v>537</v>
      </c>
      <c r="E493" s="4" t="s">
        <v>583</v>
      </c>
      <c r="F493" s="4" t="s">
        <v>583</v>
      </c>
      <c r="G493" s="14">
        <v>188.98</v>
      </c>
      <c r="H493" s="10">
        <v>16.346229999999998</v>
      </c>
      <c r="I493" s="10">
        <v>297.58146099999999</v>
      </c>
      <c r="J493" s="10">
        <v>10.402588</v>
      </c>
      <c r="K493" s="15">
        <v>0</v>
      </c>
      <c r="L493" s="17">
        <v>14564.122227</v>
      </c>
      <c r="M493" s="4" t="s">
        <v>1674</v>
      </c>
      <c r="N493" s="19">
        <v>0.63505299999999998</v>
      </c>
      <c r="O493" s="19">
        <v>8.4959000000000007</v>
      </c>
      <c r="P493" s="19">
        <v>0.25</v>
      </c>
      <c r="Q493" s="19">
        <v>7.8643000000000001</v>
      </c>
      <c r="R493" s="19">
        <v>6.41</v>
      </c>
      <c r="S493" s="19">
        <v>6.9462000000000002</v>
      </c>
      <c r="T493" s="19">
        <v>6.41</v>
      </c>
      <c r="U493" s="19">
        <v>6.2279999999999998</v>
      </c>
      <c r="V493" s="19">
        <v>5.07</v>
      </c>
      <c r="W493" s="19">
        <v>5.7339000000000002</v>
      </c>
      <c r="X493" s="19">
        <v>5.07</v>
      </c>
      <c r="Y493" s="19">
        <v>5.7339000000000002</v>
      </c>
      <c r="Z493" s="4"/>
      <c r="AA493" s="4"/>
      <c r="AB493" s="4" t="e">
        <f ca="1">_xll.ciqfunctions.udf.CIQ("^SPX", "IQ_PRICEDATE", "12/4/2015")</f>
        <v>#NAME?</v>
      </c>
      <c r="AC493" s="16">
        <v>2091.6874238329001</v>
      </c>
    </row>
    <row r="494" spans="1:29" x14ac:dyDescent="0.35">
      <c r="A494" s="2" t="s">
        <v>504</v>
      </c>
      <c r="B494" s="4" t="s">
        <v>1675</v>
      </c>
      <c r="C494" s="4" t="s">
        <v>619</v>
      </c>
      <c r="D494" s="4" t="s">
        <v>619</v>
      </c>
      <c r="E494" s="4" t="s">
        <v>634</v>
      </c>
      <c r="F494" s="4" t="s">
        <v>634</v>
      </c>
      <c r="G494" s="14">
        <v>69.260000000000005</v>
      </c>
      <c r="H494" s="10">
        <v>12.406553000000001</v>
      </c>
      <c r="I494" s="10">
        <v>17.314155</v>
      </c>
      <c r="J494" s="10">
        <v>3.2749649999999999</v>
      </c>
      <c r="K494" s="15">
        <v>3.1907999999999999E-2</v>
      </c>
      <c r="L494" s="17">
        <v>21853.846608</v>
      </c>
      <c r="M494" s="4" t="s">
        <v>1676</v>
      </c>
      <c r="N494" s="19">
        <v>4.0001949999999997</v>
      </c>
      <c r="O494" s="19">
        <v>3.1867000000000001</v>
      </c>
      <c r="P494" s="19">
        <v>3.79</v>
      </c>
      <c r="Q494" s="19">
        <v>2.8016999999999999</v>
      </c>
      <c r="R494" s="19">
        <v>2.96</v>
      </c>
      <c r="S494" s="19">
        <v>3.0007999999999999</v>
      </c>
      <c r="T494" s="19">
        <v>2.96</v>
      </c>
      <c r="U494" s="19">
        <v>2.9009999999999998</v>
      </c>
      <c r="V494" s="19">
        <v>2.59</v>
      </c>
      <c r="W494" s="19">
        <v>2.6379999999999999</v>
      </c>
      <c r="X494" s="19">
        <v>2.59</v>
      </c>
      <c r="Y494" s="19">
        <v>2.6379999999999999</v>
      </c>
      <c r="Z494" s="4"/>
      <c r="AA494" s="4"/>
      <c r="AB494" s="4" t="e">
        <f ca="1">_xll.ciqfunctions.udf.CIQ("^SPX", "IQ_PRICEDATE", "12/7/2015")</f>
        <v>#NAME?</v>
      </c>
      <c r="AC494" s="16">
        <v>2077.0715971645</v>
      </c>
    </row>
    <row r="495" spans="1:29" x14ac:dyDescent="0.35">
      <c r="A495" s="2" t="s">
        <v>505</v>
      </c>
      <c r="B495" s="4" t="s">
        <v>1677</v>
      </c>
      <c r="C495" s="4" t="s">
        <v>530</v>
      </c>
      <c r="D495" s="4" t="s">
        <v>531</v>
      </c>
      <c r="E495" s="4" t="s">
        <v>569</v>
      </c>
      <c r="F495" s="4" t="s">
        <v>570</v>
      </c>
      <c r="G495" s="14">
        <v>316.22000000000003</v>
      </c>
      <c r="H495" s="10">
        <v>14.804938999999999</v>
      </c>
      <c r="I495" s="10">
        <v>29.396553999999998</v>
      </c>
      <c r="J495" s="10">
        <v>8.5905140000000006</v>
      </c>
      <c r="K495" s="15">
        <v>0</v>
      </c>
      <c r="L495" s="17">
        <v>15803.066355999999</v>
      </c>
      <c r="M495" s="4" t="s">
        <v>1678</v>
      </c>
      <c r="N495" s="19">
        <v>10.757042999999999</v>
      </c>
      <c r="O495" s="19">
        <v>11.8165</v>
      </c>
      <c r="P495" s="19">
        <v>8.31</v>
      </c>
      <c r="Q495" s="19">
        <v>7.1138000000000003</v>
      </c>
      <c r="R495" s="19">
        <v>5.4299989999999996</v>
      </c>
      <c r="S495" s="19">
        <v>5.7760999999999996</v>
      </c>
      <c r="T495" s="19">
        <v>5.4299989999999996</v>
      </c>
      <c r="U495" s="19">
        <v>4.1718000000000002</v>
      </c>
      <c r="V495" s="19">
        <v>1.439999</v>
      </c>
      <c r="W495" s="19">
        <v>3.2279</v>
      </c>
      <c r="X495" s="19">
        <v>1.439999</v>
      </c>
      <c r="Y495" s="19">
        <v>3.2279</v>
      </c>
      <c r="Z495" s="4"/>
      <c r="AA495" s="4"/>
      <c r="AB495" s="4" t="e">
        <f ca="1">_xll.ciqfunctions.udf.CIQ("^SPX", "IQ_PRICEDATE", "12/8/2015")</f>
        <v>#NAME?</v>
      </c>
      <c r="AC495" s="16">
        <v>2063.5936443579999</v>
      </c>
    </row>
    <row r="496" spans="1:29" x14ac:dyDescent="0.35">
      <c r="A496" s="2" t="s">
        <v>506</v>
      </c>
      <c r="B496" s="4" t="s">
        <v>1679</v>
      </c>
      <c r="C496" s="4" t="s">
        <v>573</v>
      </c>
      <c r="D496" s="4" t="s">
        <v>737</v>
      </c>
      <c r="E496" s="4" t="s">
        <v>737</v>
      </c>
      <c r="F496" s="4" t="s">
        <v>738</v>
      </c>
      <c r="G496" s="14">
        <v>54.46</v>
      </c>
      <c r="H496" s="10">
        <v>0</v>
      </c>
      <c r="I496" s="10">
        <v>12.863689000000001</v>
      </c>
      <c r="J496" s="10">
        <v>1.7036370000000001</v>
      </c>
      <c r="K496" s="15">
        <v>3.1581999999999999E-2</v>
      </c>
      <c r="L496" s="17">
        <v>256591.614565</v>
      </c>
      <c r="M496" s="4" t="s">
        <v>1680</v>
      </c>
      <c r="N496" s="19">
        <v>4.2336220000000004</v>
      </c>
      <c r="O496" s="19">
        <v>4.9833999999999996</v>
      </c>
      <c r="P496" s="19">
        <v>4.0999999999999996</v>
      </c>
      <c r="Q496" s="19">
        <v>4.21</v>
      </c>
      <c r="R496" s="19">
        <v>3.99</v>
      </c>
      <c r="S496" s="19">
        <v>4.0696000000000003</v>
      </c>
      <c r="T496" s="19">
        <v>3.99</v>
      </c>
      <c r="U496" s="19">
        <v>4.3079999999999998</v>
      </c>
      <c r="V496" s="19">
        <v>4.0999999999999996</v>
      </c>
      <c r="W496" s="19">
        <v>4.1635999999999997</v>
      </c>
      <c r="X496" s="19">
        <v>4.0999999999999996</v>
      </c>
      <c r="Y496" s="19">
        <v>4.1635999999999997</v>
      </c>
      <c r="Z496" s="4"/>
      <c r="AA496" s="4"/>
      <c r="AB496" s="4" t="e">
        <f ca="1">_xll.ciqfunctions.udf.CIQ("^SPX", "IQ_PRICEDATE", "12/9/2015")</f>
        <v>#NAME?</v>
      </c>
      <c r="AC496" s="16">
        <v>2047.6231907509</v>
      </c>
    </row>
    <row r="497" spans="1:29" x14ac:dyDescent="0.35">
      <c r="A497" s="2" t="s">
        <v>507</v>
      </c>
      <c r="B497" s="4" t="s">
        <v>1681</v>
      </c>
      <c r="C497" s="4" t="s">
        <v>601</v>
      </c>
      <c r="D497" s="4" t="s">
        <v>601</v>
      </c>
      <c r="E497" s="4" t="s">
        <v>602</v>
      </c>
      <c r="F497" s="4" t="s">
        <v>1112</v>
      </c>
      <c r="G497" s="14">
        <v>63.39</v>
      </c>
      <c r="H497" s="10">
        <v>18.80396</v>
      </c>
      <c r="I497" s="10">
        <v>42.432161000000001</v>
      </c>
      <c r="J497" s="10">
        <v>1.790556</v>
      </c>
      <c r="K497" s="15">
        <v>5.4897999999999995E-2</v>
      </c>
      <c r="L497" s="17">
        <v>23582.841228000001</v>
      </c>
      <c r="M497" s="4" t="s">
        <v>1682</v>
      </c>
      <c r="N497" s="19">
        <v>1.493914</v>
      </c>
      <c r="O497" s="19">
        <v>1.7748999999999999</v>
      </c>
      <c r="P497" s="19">
        <v>1.26</v>
      </c>
      <c r="Q497" s="19">
        <v>1.9384999999999999</v>
      </c>
      <c r="R497" s="19">
        <v>2.81</v>
      </c>
      <c r="S497" s="19">
        <v>2.0253999999999999</v>
      </c>
      <c r="T497" s="19">
        <v>2.81</v>
      </c>
      <c r="U497" s="19">
        <v>2.0743999999999998</v>
      </c>
      <c r="V497" s="19">
        <v>1.43</v>
      </c>
      <c r="W497" s="19">
        <v>1.7971999999999999</v>
      </c>
      <c r="X497" s="19">
        <v>1.43</v>
      </c>
      <c r="Y497" s="19">
        <v>1.7971999999999999</v>
      </c>
      <c r="Z497" s="4"/>
      <c r="AA497" s="4"/>
      <c r="AB497" s="4" t="e">
        <f ca="1">_xll.ciqfunctions.udf.CIQ("^SPX", "IQ_PRICEDATE", "12/10/2015")</f>
        <v>#NAME?</v>
      </c>
      <c r="AC497" s="16">
        <v>2052.2323464843998</v>
      </c>
    </row>
    <row r="498" spans="1:29" x14ac:dyDescent="0.35">
      <c r="A498" s="2" t="s">
        <v>508</v>
      </c>
      <c r="B498" s="4" t="s">
        <v>1683</v>
      </c>
      <c r="C498" s="4" t="s">
        <v>543</v>
      </c>
      <c r="D498" s="4" t="s">
        <v>664</v>
      </c>
      <c r="E498" s="4" t="s">
        <v>688</v>
      </c>
      <c r="F498" s="4" t="s">
        <v>688</v>
      </c>
      <c r="G498" s="14">
        <v>55.76</v>
      </c>
      <c r="H498" s="10">
        <v>3.789034</v>
      </c>
      <c r="I498" s="10">
        <v>25.345454</v>
      </c>
      <c r="J498" s="10" t="s">
        <v>534</v>
      </c>
      <c r="K498" s="15">
        <v>3.5868000000000004E-2</v>
      </c>
      <c r="L498" s="17">
        <v>16181.834591999999</v>
      </c>
      <c r="M498" s="4" t="s">
        <v>1684</v>
      </c>
      <c r="N498" s="19">
        <v>2.2000000000000002</v>
      </c>
      <c r="O498" s="19">
        <v>11.08517</v>
      </c>
      <c r="P498" s="19">
        <v>1.2828569999999999</v>
      </c>
      <c r="Q498" s="19">
        <v>13.1929</v>
      </c>
      <c r="R498" s="19">
        <v>-1.590225</v>
      </c>
      <c r="S498" s="19">
        <v>7.5510000000000002</v>
      </c>
      <c r="T498" s="19">
        <v>-1.590225</v>
      </c>
      <c r="U498" s="19">
        <v>6.4825999999999997</v>
      </c>
      <c r="V498" s="19">
        <v>6.3886539999999998</v>
      </c>
      <c r="W498" s="19">
        <v>8.3619000000000003</v>
      </c>
      <c r="X498" s="19">
        <v>6.3886539999999998</v>
      </c>
      <c r="Y498" s="19">
        <v>8.3619000000000003</v>
      </c>
      <c r="Z498" s="4"/>
      <c r="AA498" s="4"/>
      <c r="AB498" s="4" t="e">
        <f ca="1">_xll.ciqfunctions.udf.CIQ("^SPX", "IQ_PRICEDATE", "12/11/2015")</f>
        <v>#NAME?</v>
      </c>
      <c r="AC498" s="16">
        <v>2012.3736975981999</v>
      </c>
    </row>
    <row r="499" spans="1:29" x14ac:dyDescent="0.35">
      <c r="A499" s="2" t="s">
        <v>509</v>
      </c>
      <c r="B499" s="4" t="s">
        <v>1685</v>
      </c>
      <c r="C499" s="4" t="s">
        <v>586</v>
      </c>
      <c r="D499" s="4" t="s">
        <v>586</v>
      </c>
      <c r="E499" s="4" t="s">
        <v>726</v>
      </c>
      <c r="F499" s="4" t="s">
        <v>727</v>
      </c>
      <c r="G499" s="14">
        <v>43.15</v>
      </c>
      <c r="H499" s="10">
        <v>6.2156349999999998</v>
      </c>
      <c r="I499" s="10">
        <v>6.1487489999999996</v>
      </c>
      <c r="J499" s="10">
        <v>4.1790700000000003</v>
      </c>
      <c r="K499" s="15">
        <v>3.986E-2</v>
      </c>
      <c r="L499" s="17">
        <v>10880.396556</v>
      </c>
      <c r="M499" s="4" t="s">
        <v>1686</v>
      </c>
      <c r="N499" s="19">
        <v>7.0176869999999996</v>
      </c>
      <c r="O499" s="19">
        <v>4.5194000000000001</v>
      </c>
      <c r="P499" s="19">
        <v>6.8642789999999998</v>
      </c>
      <c r="Q499" s="19">
        <v>3.69842</v>
      </c>
      <c r="R499" s="19">
        <v>0.78283700000000001</v>
      </c>
      <c r="S499" s="19">
        <v>2.8839299999999999</v>
      </c>
      <c r="T499" s="19">
        <v>0.78283700000000001</v>
      </c>
      <c r="U499" s="19">
        <v>3.4999799999999999</v>
      </c>
      <c r="V499" s="19">
        <v>3.4198819999999999</v>
      </c>
      <c r="W499" s="19">
        <v>0</v>
      </c>
      <c r="X499" s="19">
        <v>3.4198819999999999</v>
      </c>
      <c r="Y499" s="19">
        <v>0</v>
      </c>
      <c r="Z499" s="4"/>
      <c r="AA499" s="4"/>
      <c r="AB499" s="4" t="e">
        <f ca="1">_xll.ciqfunctions.udf.CIQ("^SPX", "IQ_PRICEDATE", "12/14/2015")</f>
        <v>#NAME?</v>
      </c>
      <c r="AC499" s="16">
        <v>2021.9395528923001</v>
      </c>
    </row>
    <row r="500" spans="1:29" x14ac:dyDescent="0.35">
      <c r="A500" s="2" t="s">
        <v>510</v>
      </c>
      <c r="B500" s="4" t="s">
        <v>1687</v>
      </c>
      <c r="C500" s="4" t="s">
        <v>601</v>
      </c>
      <c r="D500" s="4" t="s">
        <v>601</v>
      </c>
      <c r="E500" s="4" t="s">
        <v>602</v>
      </c>
      <c r="F500" s="4" t="s">
        <v>647</v>
      </c>
      <c r="G500" s="14">
        <v>28.31</v>
      </c>
      <c r="H500" s="10">
        <v>12.434979999999999</v>
      </c>
      <c r="I500" s="10">
        <v>21.777542</v>
      </c>
      <c r="J500" s="10">
        <v>2.3210649999999999</v>
      </c>
      <c r="K500" s="15">
        <v>4.8038999999999998E-2</v>
      </c>
      <c r="L500" s="17">
        <v>21449.908372000002</v>
      </c>
      <c r="M500" s="4" t="s">
        <v>1688</v>
      </c>
      <c r="N500" s="19">
        <v>1.299963</v>
      </c>
      <c r="O500" s="19">
        <v>1.4287000000000001</v>
      </c>
      <c r="P500" s="19">
        <v>0.77</v>
      </c>
      <c r="Q500" s="19">
        <v>1.3319000000000001</v>
      </c>
      <c r="R500" s="19">
        <v>0.54692700000000005</v>
      </c>
      <c r="S500" s="19">
        <v>0.95009999999999994</v>
      </c>
      <c r="T500" s="19">
        <v>0.54692700000000005</v>
      </c>
      <c r="U500" s="19">
        <v>1.3554999999999999</v>
      </c>
      <c r="V500" s="19">
        <v>1.02</v>
      </c>
      <c r="W500" s="19">
        <v>1.5382</v>
      </c>
      <c r="X500" s="19">
        <v>1.02</v>
      </c>
      <c r="Y500" s="19">
        <v>1.5382</v>
      </c>
      <c r="Z500" s="4"/>
      <c r="AA500" s="4"/>
      <c r="AB500" s="4" t="e">
        <f ca="1">_xll.ciqfunctions.udf.CIQ("^SPX", "IQ_PRICEDATE", "12/15/2015")</f>
        <v>#NAME?</v>
      </c>
      <c r="AC500" s="16">
        <v>2043.4090355479</v>
      </c>
    </row>
    <row r="501" spans="1:29" x14ac:dyDescent="0.35">
      <c r="A501" s="2" t="s">
        <v>511</v>
      </c>
      <c r="B501" s="4" t="s">
        <v>1689</v>
      </c>
      <c r="C501" s="4" t="s">
        <v>559</v>
      </c>
      <c r="D501" s="4" t="s">
        <v>912</v>
      </c>
      <c r="E501" s="4" t="s">
        <v>913</v>
      </c>
      <c r="F501" s="4" t="s">
        <v>1690</v>
      </c>
      <c r="G501" s="14">
        <v>108.34</v>
      </c>
      <c r="H501" s="10">
        <v>6.8716980000000003</v>
      </c>
      <c r="I501" s="10" t="s">
        <v>534</v>
      </c>
      <c r="J501" s="10" t="s">
        <v>534</v>
      </c>
      <c r="K501" s="15">
        <v>4.2458000000000003E-2</v>
      </c>
      <c r="L501" s="17">
        <v>6994.7823969999999</v>
      </c>
      <c r="M501" s="4" t="s">
        <v>1691</v>
      </c>
      <c r="N501" s="19">
        <v>-7.8101330000000004</v>
      </c>
      <c r="O501" s="19">
        <v>15.3749</v>
      </c>
      <c r="P501" s="19">
        <v>4.7</v>
      </c>
      <c r="Q501" s="19">
        <v>15.2408</v>
      </c>
      <c r="R501" s="19">
        <v>11.5</v>
      </c>
      <c r="S501" s="19">
        <v>15.3256</v>
      </c>
      <c r="T501" s="19">
        <v>11.5</v>
      </c>
      <c r="U501" s="19">
        <v>13.565</v>
      </c>
      <c r="V501" s="19">
        <v>8.17</v>
      </c>
      <c r="W501" s="19">
        <v>13.270799999999999</v>
      </c>
      <c r="X501" s="19">
        <v>8.17</v>
      </c>
      <c r="Y501" s="19">
        <v>13.270799999999999</v>
      </c>
      <c r="Z501" s="4"/>
      <c r="AA501" s="4"/>
      <c r="AB501" s="4" t="e">
        <f ca="1">_xll.ciqfunctions.udf.CIQ("^SPX", "IQ_PRICEDATE", "12/16/2015")</f>
        <v>#NAME?</v>
      </c>
      <c r="AC501" s="16">
        <v>2073.0661474443</v>
      </c>
    </row>
    <row r="502" spans="1:29" x14ac:dyDescent="0.35">
      <c r="A502" s="2" t="s">
        <v>512</v>
      </c>
      <c r="B502" s="4" t="s">
        <v>1692</v>
      </c>
      <c r="C502" s="4" t="s">
        <v>573</v>
      </c>
      <c r="D502" s="4" t="s">
        <v>579</v>
      </c>
      <c r="E502" s="4" t="s">
        <v>579</v>
      </c>
      <c r="F502" s="4" t="s">
        <v>680</v>
      </c>
      <c r="G502" s="14">
        <v>139.83000000000001</v>
      </c>
      <c r="H502" s="10">
        <v>15.80805</v>
      </c>
      <c r="I502" s="10">
        <v>40.348899000000003</v>
      </c>
      <c r="J502" s="10" t="s">
        <v>534</v>
      </c>
      <c r="K502" s="15">
        <v>1.7162999999999998E-2</v>
      </c>
      <c r="L502" s="17">
        <v>18285.502261000001</v>
      </c>
      <c r="M502" s="4" t="s">
        <v>1693</v>
      </c>
      <c r="N502" s="19">
        <v>3.465522</v>
      </c>
      <c r="O502" s="19">
        <v>9.9396000000000004</v>
      </c>
      <c r="P502" s="19">
        <v>4.18</v>
      </c>
      <c r="Q502" s="19">
        <v>9.4406999999999996</v>
      </c>
      <c r="R502" s="19">
        <v>3.26</v>
      </c>
      <c r="S502" s="19">
        <v>8.0762</v>
      </c>
      <c r="T502" s="19">
        <v>3.26</v>
      </c>
      <c r="U502" s="19">
        <v>0</v>
      </c>
      <c r="V502" s="19">
        <v>5.32</v>
      </c>
      <c r="W502" s="19">
        <v>0</v>
      </c>
      <c r="X502" s="19">
        <v>5.32</v>
      </c>
      <c r="Y502" s="19">
        <v>0</v>
      </c>
      <c r="Z502" s="4"/>
      <c r="AA502" s="4"/>
      <c r="AB502" s="4" t="e">
        <f ca="1">_xll.ciqfunctions.udf.CIQ("^SPX", "IQ_PRICEDATE", "12/17/2015")</f>
        <v>#NAME?</v>
      </c>
      <c r="AC502" s="16">
        <v>2041.887884854</v>
      </c>
    </row>
    <row r="503" spans="1:29" x14ac:dyDescent="0.35">
      <c r="A503" s="2" t="s">
        <v>513</v>
      </c>
      <c r="B503" s="4" t="s">
        <v>1694</v>
      </c>
      <c r="C503" s="4" t="s">
        <v>559</v>
      </c>
      <c r="D503" s="4" t="s">
        <v>798</v>
      </c>
      <c r="E503" s="4" t="s">
        <v>799</v>
      </c>
      <c r="F503" s="4" t="s">
        <v>1278</v>
      </c>
      <c r="G503" s="14">
        <v>118.29</v>
      </c>
      <c r="H503" s="10">
        <v>11.048524</v>
      </c>
      <c r="I503" s="10">
        <v>23.552980999999999</v>
      </c>
      <c r="J503" s="10">
        <v>8.5634069999999998</v>
      </c>
      <c r="K503" s="15">
        <v>2.5360999999999998E-2</v>
      </c>
      <c r="L503" s="17">
        <v>12851.025600000001</v>
      </c>
      <c r="M503" s="4" t="s">
        <v>1695</v>
      </c>
      <c r="N503" s="19">
        <v>5.0222939999999996</v>
      </c>
      <c r="O503" s="19">
        <v>7.5259999999999998</v>
      </c>
      <c r="P503" s="19">
        <v>7.28</v>
      </c>
      <c r="Q503" s="19">
        <v>6.2252000000000001</v>
      </c>
      <c r="R503" s="19">
        <v>2.38</v>
      </c>
      <c r="S503" s="19">
        <v>3.8769999999999998</v>
      </c>
      <c r="T503" s="19">
        <v>2.38</v>
      </c>
      <c r="U503" s="19">
        <v>3.3106</v>
      </c>
      <c r="V503" s="19">
        <v>7.18</v>
      </c>
      <c r="W503" s="19">
        <v>7.8071000000000002</v>
      </c>
      <c r="X503" s="19">
        <v>7.18</v>
      </c>
      <c r="Y503" s="19">
        <v>7.8071000000000002</v>
      </c>
      <c r="Z503" s="4"/>
      <c r="AA503" s="4"/>
      <c r="AB503" s="4" t="e">
        <f ca="1">_xll.ciqfunctions.udf.CIQ("^SPX", "IQ_PRICEDATE", "12/18/2015")</f>
        <v>#NAME?</v>
      </c>
      <c r="AC503" s="16">
        <v>2005.5497169122</v>
      </c>
    </row>
    <row r="504" spans="1:29" x14ac:dyDescent="0.35">
      <c r="A504" s="2" t="s">
        <v>514</v>
      </c>
      <c r="B504" s="4" t="s">
        <v>1696</v>
      </c>
      <c r="C504" s="4" t="s">
        <v>619</v>
      </c>
      <c r="D504" s="4" t="s">
        <v>619</v>
      </c>
      <c r="E504" s="4" t="s">
        <v>620</v>
      </c>
      <c r="F504" s="4" t="s">
        <v>620</v>
      </c>
      <c r="G504" s="14">
        <v>48.24</v>
      </c>
      <c r="H504" s="10">
        <v>10.704734</v>
      </c>
      <c r="I504" s="10">
        <v>19.935523</v>
      </c>
      <c r="J504" s="10">
        <v>2.1072320000000002</v>
      </c>
      <c r="K504" s="15">
        <v>3.1509000000000002E-2</v>
      </c>
      <c r="L504" s="17">
        <v>24558.362042000001</v>
      </c>
      <c r="M504" s="4" t="s">
        <v>1697</v>
      </c>
      <c r="N504" s="19">
        <v>2.4198010000000001</v>
      </c>
      <c r="O504" s="19">
        <v>2.4657</v>
      </c>
      <c r="P504" s="19">
        <v>2.25</v>
      </c>
      <c r="Q504" s="19">
        <v>2.3925000000000001</v>
      </c>
      <c r="R504" s="19">
        <v>2.2071540000000001</v>
      </c>
      <c r="S504" s="19">
        <v>2.3207</v>
      </c>
      <c r="T504" s="19">
        <v>2.2071540000000001</v>
      </c>
      <c r="U504" s="19">
        <v>2.1543999999999999</v>
      </c>
      <c r="V504" s="19">
        <v>2.0270160000000002</v>
      </c>
      <c r="W504" s="19">
        <v>2.1198000000000001</v>
      </c>
      <c r="X504" s="19">
        <v>2.0270160000000002</v>
      </c>
      <c r="Y504" s="19">
        <v>2.1198000000000001</v>
      </c>
      <c r="Z504" s="4"/>
      <c r="AA504" s="4"/>
      <c r="AB504" s="4" t="e">
        <f ca="1">_xll.ciqfunctions.udf.CIQ("^SPX", "IQ_PRICEDATE", "12/21/2015")</f>
        <v>#NAME?</v>
      </c>
      <c r="AC504" s="16">
        <v>2021.149974271</v>
      </c>
    </row>
    <row r="505" spans="1:29" x14ac:dyDescent="0.35">
      <c r="A505" s="2" t="s">
        <v>515</v>
      </c>
      <c r="B505" s="4" t="s">
        <v>1698</v>
      </c>
      <c r="C505" s="4" t="s">
        <v>543</v>
      </c>
      <c r="D505" s="4" t="s">
        <v>664</v>
      </c>
      <c r="E505" s="4" t="s">
        <v>688</v>
      </c>
      <c r="F505" s="4" t="s">
        <v>688</v>
      </c>
      <c r="G505" s="14">
        <v>26.74</v>
      </c>
      <c r="H505" s="10">
        <v>7.9548810000000003</v>
      </c>
      <c r="I505" s="10">
        <v>67.428026000000003</v>
      </c>
      <c r="J505" s="10">
        <v>5.5189490000000001</v>
      </c>
      <c r="K505" s="15">
        <v>3.7397E-2</v>
      </c>
      <c r="L505" s="17">
        <v>6821.4203399999997</v>
      </c>
      <c r="M505" s="4" t="s">
        <v>1699</v>
      </c>
      <c r="N505" s="19">
        <v>0.39657100000000001</v>
      </c>
      <c r="O505" s="19">
        <v>3.3176999999999999</v>
      </c>
      <c r="P505" s="19">
        <v>0.699847</v>
      </c>
      <c r="Q505" s="19">
        <v>3.4445999999999999</v>
      </c>
      <c r="R505" s="19">
        <v>2.33</v>
      </c>
      <c r="S505" s="19">
        <v>4.4778000000000002</v>
      </c>
      <c r="T505" s="19">
        <v>2.33</v>
      </c>
      <c r="U505" s="19">
        <v>3.9329999999999998</v>
      </c>
      <c r="V505" s="19">
        <v>3.44</v>
      </c>
      <c r="W505" s="19">
        <v>4.3785999999999996</v>
      </c>
      <c r="X505" s="19">
        <v>3.44</v>
      </c>
      <c r="Y505" s="19">
        <v>4.3785999999999996</v>
      </c>
      <c r="Z505" s="4"/>
      <c r="AA505" s="4"/>
      <c r="AB505" s="4" t="e">
        <f ca="1">_xll.ciqfunctions.udf.CIQ("^SPX", "IQ_PRICEDATE", "12/22/2015")</f>
        <v>#NAME?</v>
      </c>
      <c r="AC505" s="16">
        <v>2038.9675363017</v>
      </c>
    </row>
    <row r="506" spans="1:29" x14ac:dyDescent="0.35">
      <c r="A506" s="2" t="s">
        <v>516</v>
      </c>
      <c r="B506" s="4" t="s">
        <v>1700</v>
      </c>
      <c r="C506" s="4" t="s">
        <v>543</v>
      </c>
      <c r="D506" s="4" t="s">
        <v>565</v>
      </c>
      <c r="E506" s="4" t="s">
        <v>565</v>
      </c>
      <c r="F506" s="4" t="s">
        <v>566</v>
      </c>
      <c r="G506" s="14">
        <v>77.72</v>
      </c>
      <c r="H506" s="10">
        <v>19.407254999999999</v>
      </c>
      <c r="I506" s="10">
        <v>36.374051000000001</v>
      </c>
      <c r="J506" s="10">
        <v>8.9510799999999993</v>
      </c>
      <c r="K506" s="15">
        <v>1.8527999999999999E-2</v>
      </c>
      <c r="L506" s="17">
        <v>19656.441650000001</v>
      </c>
      <c r="M506" s="4" t="s">
        <v>1701</v>
      </c>
      <c r="N506" s="19">
        <v>2.1366879999999999</v>
      </c>
      <c r="O506" s="19">
        <v>3.0413999999999999</v>
      </c>
      <c r="P506" s="19">
        <v>1.87778</v>
      </c>
      <c r="Q506" s="19">
        <v>2.7130999999999998</v>
      </c>
      <c r="R506" s="19">
        <v>2.2800929999999999</v>
      </c>
      <c r="S506" s="19">
        <v>2.2185000000000001</v>
      </c>
      <c r="T506" s="19">
        <v>2.2800929999999999</v>
      </c>
      <c r="U506" s="19">
        <v>2.0966999999999998</v>
      </c>
      <c r="V506" s="19">
        <v>2.3768690000000001</v>
      </c>
      <c r="W506" s="19">
        <v>2.5421</v>
      </c>
      <c r="X506" s="19">
        <v>2.3768690000000001</v>
      </c>
      <c r="Y506" s="19">
        <v>2.5421</v>
      </c>
      <c r="Z506" s="4"/>
      <c r="AA506" s="4"/>
      <c r="AB506" s="4" t="e">
        <f ca="1">_xll.ciqfunctions.udf.CIQ("^SPX", "IQ_PRICEDATE", "12/23/2015")</f>
        <v>#NAME?</v>
      </c>
      <c r="AC506" s="16">
        <v>2064.2920493832999</v>
      </c>
    </row>
    <row r="507" spans="1:29" x14ac:dyDescent="0.35">
      <c r="A507" s="2" t="s">
        <v>517</v>
      </c>
      <c r="B507" s="4" t="s">
        <v>1702</v>
      </c>
      <c r="C507" s="4" t="s">
        <v>525</v>
      </c>
      <c r="D507" s="4" t="s">
        <v>526</v>
      </c>
      <c r="E507" s="4" t="s">
        <v>803</v>
      </c>
      <c r="F507" s="4" t="s">
        <v>948</v>
      </c>
      <c r="G507" s="14">
        <v>71.34</v>
      </c>
      <c r="H507" s="10">
        <v>17.062275</v>
      </c>
      <c r="I507" s="10">
        <v>34.972456000000001</v>
      </c>
      <c r="J507" s="10" t="s">
        <v>534</v>
      </c>
      <c r="K507" s="15">
        <v>1.1774E-2</v>
      </c>
      <c r="L507" s="17">
        <v>12813.926788999999</v>
      </c>
      <c r="M507" s="4" t="s">
        <v>1703</v>
      </c>
      <c r="N507" s="19">
        <v>2.0398909999999999</v>
      </c>
      <c r="O507" s="19">
        <v>3.1448</v>
      </c>
      <c r="P507" s="19">
        <v>1.83</v>
      </c>
      <c r="Q507" s="19">
        <v>2.7027000000000001</v>
      </c>
      <c r="R507" s="19">
        <v>1.45</v>
      </c>
      <c r="S507" s="19">
        <v>2.2791999999999999</v>
      </c>
      <c r="T507" s="19">
        <v>1.45</v>
      </c>
      <c r="U507" s="19">
        <v>1.9641999999999999</v>
      </c>
      <c r="V507" s="19">
        <v>1.83</v>
      </c>
      <c r="W507" s="19">
        <v>2.0855999999999999</v>
      </c>
      <c r="X507" s="19">
        <v>1.83</v>
      </c>
      <c r="Y507" s="19">
        <v>2.0855999999999999</v>
      </c>
      <c r="Z507" s="4"/>
      <c r="AA507" s="4"/>
      <c r="AB507" s="4" t="e">
        <f ca="1">_xll.ciqfunctions.udf.CIQ("^SPX", "IQ_PRICEDATE", "12/24/2015")</f>
        <v>#NAME?</v>
      </c>
      <c r="AC507" s="16">
        <v>2060.9882998510998</v>
      </c>
    </row>
    <row r="508" spans="1:29" x14ac:dyDescent="0.35">
      <c r="A508" s="2" t="s">
        <v>518</v>
      </c>
      <c r="B508" s="4" t="s">
        <v>1704</v>
      </c>
      <c r="C508" s="4" t="s">
        <v>559</v>
      </c>
      <c r="D508" s="4" t="s">
        <v>798</v>
      </c>
      <c r="E508" s="4" t="s">
        <v>799</v>
      </c>
      <c r="F508" s="4" t="s">
        <v>839</v>
      </c>
      <c r="G508" s="14">
        <v>91.36</v>
      </c>
      <c r="H508" s="10">
        <v>19.761140999999999</v>
      </c>
      <c r="I508" s="10">
        <v>19.427921999999999</v>
      </c>
      <c r="J508" s="10" t="s">
        <v>534</v>
      </c>
      <c r="K508" s="15">
        <v>1.5761000000000001E-2</v>
      </c>
      <c r="L508" s="17">
        <v>28993.615290000002</v>
      </c>
      <c r="M508" s="4" t="s">
        <v>1705</v>
      </c>
      <c r="N508" s="19">
        <v>4.7025100000000002</v>
      </c>
      <c r="O508" s="19">
        <v>3.4847999999999999</v>
      </c>
      <c r="P508" s="19">
        <v>3.77</v>
      </c>
      <c r="Q508" s="19">
        <v>3.0038999999999998</v>
      </c>
      <c r="R508" s="19">
        <v>2.54</v>
      </c>
      <c r="S508" s="19">
        <v>2.6415000000000002</v>
      </c>
      <c r="T508" s="19">
        <v>2.54</v>
      </c>
      <c r="U508" s="19">
        <v>3.3469000000000002</v>
      </c>
      <c r="V508" s="19">
        <v>2.2200000000000002</v>
      </c>
      <c r="W508" s="19">
        <v>3.2593000000000001</v>
      </c>
      <c r="X508" s="19">
        <v>2.2200000000000002</v>
      </c>
      <c r="Y508" s="19">
        <v>3.2593000000000001</v>
      </c>
      <c r="Z508" s="4"/>
      <c r="AA508" s="4"/>
      <c r="AB508" s="4" t="e">
        <f ca="1">_xll.ciqfunctions.udf.CIQ("^SPX", "IQ_PRICEDATE", "12/28/2015")</f>
        <v>#NAME?</v>
      </c>
      <c r="AC508" s="16">
        <v>2056.5007436105002</v>
      </c>
    </row>
    <row r="509" spans="1:29" x14ac:dyDescent="0.35">
      <c r="A509" s="2" t="s">
        <v>519</v>
      </c>
      <c r="B509" s="4" t="s">
        <v>1706</v>
      </c>
      <c r="C509" s="4" t="s">
        <v>530</v>
      </c>
      <c r="D509" s="4" t="s">
        <v>531</v>
      </c>
      <c r="E509" s="4" t="s">
        <v>532</v>
      </c>
      <c r="F509" s="4" t="s">
        <v>533</v>
      </c>
      <c r="G509" s="14">
        <v>128.32</v>
      </c>
      <c r="H509" s="10">
        <v>12.999884</v>
      </c>
      <c r="I509" s="10">
        <v>15.522086</v>
      </c>
      <c r="J509" s="10" t="s">
        <v>534</v>
      </c>
      <c r="K509" s="15">
        <v>7.4809999999999998E-3</v>
      </c>
      <c r="L509" s="17">
        <v>26111.287462</v>
      </c>
      <c r="M509" s="4" t="s">
        <v>1707</v>
      </c>
      <c r="N509" s="19">
        <v>8.2669300000000003</v>
      </c>
      <c r="O509" s="19">
        <v>7.7969999999999997</v>
      </c>
      <c r="P509" s="19">
        <v>8.9</v>
      </c>
      <c r="Q509" s="19">
        <v>8.0152000000000001</v>
      </c>
      <c r="R509" s="19">
        <v>1.51</v>
      </c>
      <c r="S509" s="19">
        <v>8.4641000000000002</v>
      </c>
      <c r="T509" s="19">
        <v>1.51</v>
      </c>
      <c r="U509" s="19">
        <v>7.7148000000000003</v>
      </c>
      <c r="V509" s="19">
        <v>4.2</v>
      </c>
      <c r="W509" s="19">
        <v>6.2442000000000002</v>
      </c>
      <c r="X509" s="19">
        <v>4.2</v>
      </c>
      <c r="Y509" s="19">
        <v>6.2442000000000002</v>
      </c>
      <c r="Z509" s="4"/>
      <c r="AA509" s="4"/>
      <c r="AB509" s="4" t="e">
        <f ca="1">_xll.ciqfunctions.udf.CIQ("^SPX", "IQ_PRICEDATE", "12/29/2015")</f>
        <v>#NAME?</v>
      </c>
      <c r="AC509" s="16">
        <v>2078.3618660811999</v>
      </c>
    </row>
    <row r="510" spans="1:29" x14ac:dyDescent="0.35">
      <c r="A510" s="2" t="s">
        <v>520</v>
      </c>
      <c r="B510" s="4" t="s">
        <v>1708</v>
      </c>
      <c r="C510" s="4" t="s">
        <v>573</v>
      </c>
      <c r="D510" s="4" t="s">
        <v>737</v>
      </c>
      <c r="E510" s="4" t="s">
        <v>737</v>
      </c>
      <c r="F510" s="4" t="s">
        <v>743</v>
      </c>
      <c r="G510" s="14">
        <v>48.44</v>
      </c>
      <c r="H510" s="10">
        <v>0</v>
      </c>
      <c r="I510" s="10">
        <v>14.997112</v>
      </c>
      <c r="J510" s="10">
        <v>1.5670170000000001</v>
      </c>
      <c r="K510" s="15">
        <v>2.4771999999999999E-2</v>
      </c>
      <c r="L510" s="17">
        <v>9416.8721650000007</v>
      </c>
      <c r="M510" s="4" t="s">
        <v>1709</v>
      </c>
      <c r="N510" s="19">
        <v>3.2299549999999999</v>
      </c>
      <c r="O510" s="19">
        <v>3.9287000000000001</v>
      </c>
      <c r="P510" s="19">
        <v>2.6</v>
      </c>
      <c r="Q510" s="19">
        <v>3.0489000000000002</v>
      </c>
      <c r="R510" s="19">
        <v>1.99</v>
      </c>
      <c r="S510" s="19">
        <v>2.2408000000000001</v>
      </c>
      <c r="T510" s="19">
        <v>1.99</v>
      </c>
      <c r="U510" s="19">
        <v>1.8608</v>
      </c>
      <c r="V510" s="19">
        <v>1.68</v>
      </c>
      <c r="W510" s="19">
        <v>1.6911</v>
      </c>
      <c r="X510" s="19">
        <v>1.68</v>
      </c>
      <c r="Y510" s="19">
        <v>1.6911</v>
      </c>
      <c r="Z510" s="4"/>
      <c r="AA510" s="4"/>
      <c r="AB510" s="4" t="e">
        <f ca="1">_xll.ciqfunctions.udf.CIQ("^SPX", "IQ_PRICEDATE", "12/30/2015")</f>
        <v>#NAME?</v>
      </c>
      <c r="AC510" s="16">
        <v>2063.3552153075002</v>
      </c>
    </row>
    <row r="511" spans="1:29" x14ac:dyDescent="0.35">
      <c r="A511" s="2" t="s">
        <v>521</v>
      </c>
      <c r="B511" s="4" t="s">
        <v>1710</v>
      </c>
      <c r="C511" s="4" t="s">
        <v>530</v>
      </c>
      <c r="D511" s="4" t="s">
        <v>537</v>
      </c>
      <c r="E511" s="4" t="s">
        <v>613</v>
      </c>
      <c r="F511" s="4" t="s">
        <v>613</v>
      </c>
      <c r="G511" s="14">
        <v>92.79</v>
      </c>
      <c r="H511" s="10">
        <v>22.173931</v>
      </c>
      <c r="I511" s="10">
        <v>40.750521999999997</v>
      </c>
      <c r="J511" s="10" t="s">
        <v>534</v>
      </c>
      <c r="K511" s="15">
        <v>5.4310000000000001E-3</v>
      </c>
      <c r="L511" s="17">
        <v>44708.430679999998</v>
      </c>
      <c r="M511" s="4" t="s">
        <v>1711</v>
      </c>
      <c r="N511" s="19">
        <v>2.2770260000000002</v>
      </c>
      <c r="O511" s="19">
        <v>3.2164999999999999</v>
      </c>
      <c r="P511" s="19">
        <v>1.75</v>
      </c>
      <c r="Q511" s="19">
        <v>2.6215999999999999</v>
      </c>
      <c r="R511" s="19">
        <v>1.65</v>
      </c>
      <c r="S511" s="19">
        <v>2.1951999999999998</v>
      </c>
      <c r="T511" s="19">
        <v>1.65</v>
      </c>
      <c r="U511" s="19">
        <v>1.8044</v>
      </c>
      <c r="V511" s="19">
        <v>1.1599999999999999</v>
      </c>
      <c r="W511" s="19">
        <v>1.5689</v>
      </c>
      <c r="X511" s="19">
        <v>1.1599999999999999</v>
      </c>
      <c r="Y511" s="19">
        <v>1.5689</v>
      </c>
      <c r="Z511" s="4"/>
      <c r="AA511" s="4"/>
      <c r="AB511" s="4" t="e">
        <f ca="1">_xll.ciqfunctions.udf.CIQ("^SPX", "IQ_PRICEDATE", "12/31/2015")</f>
        <v>#NAME?</v>
      </c>
      <c r="AC511" s="16">
        <v>2043.9368626606999</v>
      </c>
    </row>
    <row r="512" spans="1:29" x14ac:dyDescent="0.35">
      <c r="Z512" s="4"/>
      <c r="AA512" s="4"/>
      <c r="AB512" s="4" t="e">
        <f ca="1">_xll.ciqfunctions.udf.CIQ("^SPX", "IQ_PRICEDATE", "1/4/2016")</f>
        <v>#NAME?</v>
      </c>
      <c r="AC512" s="16">
        <v>2012.6593712480001</v>
      </c>
    </row>
    <row r="513" spans="26:29" x14ac:dyDescent="0.35">
      <c r="Z513" s="4"/>
      <c r="AA513" s="4"/>
      <c r="AB513" s="4" t="e">
        <f ca="1">_xll.ciqfunctions.udf.CIQ("^SPX", "IQ_PRICEDATE", "1/5/2016")</f>
        <v>#NAME?</v>
      </c>
      <c r="AC513" s="16">
        <v>2016.7144265541999</v>
      </c>
    </row>
    <row r="514" spans="26:29" x14ac:dyDescent="0.35">
      <c r="Z514" s="4"/>
      <c r="AA514" s="4"/>
      <c r="AB514" s="4" t="e">
        <f ca="1">_xll.ciqfunctions.udf.CIQ("^SPX", "IQ_PRICEDATE", "1/6/2016")</f>
        <v>#NAME?</v>
      </c>
      <c r="AC514" s="16">
        <v>1990.2622927555001</v>
      </c>
    </row>
    <row r="515" spans="26:29" x14ac:dyDescent="0.35">
      <c r="Z515" s="4"/>
      <c r="AA515" s="4"/>
      <c r="AB515" s="4" t="e">
        <f ca="1">_xll.ciqfunctions.udf.CIQ("^SPX", "IQ_PRICEDATE", "1/7/2016")</f>
        <v>#NAME?</v>
      </c>
      <c r="AC515" s="16">
        <v>1943.0937024861</v>
      </c>
    </row>
    <row r="516" spans="26:29" x14ac:dyDescent="0.35">
      <c r="Z516" s="4"/>
      <c r="AA516" s="4"/>
      <c r="AB516" s="4" t="e">
        <f ca="1">_xll.ciqfunctions.udf.CIQ("^SPX", "IQ_PRICEDATE", "1/8/2016")</f>
        <v>#NAME?</v>
      </c>
      <c r="AC516" s="16">
        <v>1922.0347926740001</v>
      </c>
    </row>
    <row r="517" spans="26:29" x14ac:dyDescent="0.35">
      <c r="Z517" s="4"/>
      <c r="AA517" s="4"/>
      <c r="AB517" s="4" t="e">
        <f ca="1">_xll.ciqfunctions.udf.CIQ("^SPX", "IQ_PRICEDATE", "1/11/2016")</f>
        <v>#NAME?</v>
      </c>
      <c r="AC517" s="16">
        <v>1923.6748213450001</v>
      </c>
    </row>
    <row r="518" spans="26:29" x14ac:dyDescent="0.35">
      <c r="Z518" s="4"/>
      <c r="AA518" s="4"/>
      <c r="AB518" s="4" t="e">
        <f ca="1">_xll.ciqfunctions.udf.CIQ("^SPX", "IQ_PRICEDATE", "1/12/2016")</f>
        <v>#NAME?</v>
      </c>
      <c r="AC518" s="16">
        <v>1938.6789320655</v>
      </c>
    </row>
    <row r="519" spans="26:29" x14ac:dyDescent="0.35">
      <c r="Z519" s="4"/>
      <c r="AA519" s="4"/>
      <c r="AB519" s="4" t="e">
        <f ca="1">_xll.ciqfunctions.udf.CIQ("^SPX", "IQ_PRICEDATE", "1/13/2016")</f>
        <v>#NAME?</v>
      </c>
      <c r="AC519" s="16">
        <v>1890.2789148177999</v>
      </c>
    </row>
    <row r="520" spans="26:29" x14ac:dyDescent="0.35">
      <c r="Z520" s="4"/>
      <c r="AA520" s="4"/>
      <c r="AB520" s="4" t="e">
        <f ca="1">_xll.ciqfunctions.udf.CIQ("^SPX", "IQ_PRICEDATE", "1/14/2016")</f>
        <v>#NAME?</v>
      </c>
      <c r="AC520" s="16">
        <v>1921.8357608706001</v>
      </c>
    </row>
    <row r="521" spans="26:29" x14ac:dyDescent="0.35">
      <c r="Z521" s="4"/>
      <c r="AA521" s="4"/>
      <c r="AB521" s="4" t="e">
        <f ca="1">_xll.ciqfunctions.udf.CIQ("^SPX", "IQ_PRICEDATE", "1/15/2016")</f>
        <v>#NAME?</v>
      </c>
      <c r="AC521" s="16">
        <v>1880.3277963866999</v>
      </c>
    </row>
    <row r="522" spans="26:29" x14ac:dyDescent="0.35">
      <c r="Z522" s="4"/>
      <c r="AA522" s="4"/>
      <c r="AB522" s="4" t="e">
        <f ca="1">_xll.ciqfunctions.udf.CIQ("^SPX", "IQ_PRICEDATE", "1/19/2016")</f>
        <v>#NAME?</v>
      </c>
      <c r="AC522" s="16">
        <v>1881.3332441622999</v>
      </c>
    </row>
    <row r="523" spans="26:29" x14ac:dyDescent="0.35">
      <c r="Z523" s="4"/>
      <c r="AA523" s="4"/>
      <c r="AB523" s="4" t="e">
        <f ca="1">_xll.ciqfunctions.udf.CIQ("^SPX", "IQ_PRICEDATE", "1/20/2016")</f>
        <v>#NAME?</v>
      </c>
      <c r="AC523" s="16">
        <v>1859.3284619461999</v>
      </c>
    </row>
    <row r="524" spans="26:29" x14ac:dyDescent="0.35">
      <c r="Z524" s="4"/>
      <c r="AA524" s="4"/>
      <c r="AB524" s="4" t="e">
        <f ca="1">_xll.ciqfunctions.udf.CIQ("^SPX", "IQ_PRICEDATE", "1/21/2016")</f>
        <v>#NAME?</v>
      </c>
      <c r="AC524" s="16">
        <v>1868.9863167763001</v>
      </c>
    </row>
    <row r="525" spans="26:29" x14ac:dyDescent="0.35">
      <c r="Z525" s="4"/>
      <c r="AA525" s="4"/>
      <c r="AB525" s="4" t="e">
        <f ca="1">_xll.ciqfunctions.udf.CIQ("^SPX", "IQ_PRICEDATE", "1/22/2016")</f>
        <v>#NAME?</v>
      </c>
      <c r="AC525" s="16">
        <v>1906.9040755857</v>
      </c>
    </row>
    <row r="526" spans="26:29" x14ac:dyDescent="0.35">
      <c r="Z526" s="4"/>
      <c r="AA526" s="4"/>
      <c r="AB526" s="4" t="e">
        <f ca="1">_xll.ciqfunctions.udf.CIQ("^SPX", "IQ_PRICEDATE", "1/25/2016")</f>
        <v>#NAME?</v>
      </c>
      <c r="AC526" s="16">
        <v>1877.0775714959</v>
      </c>
    </row>
    <row r="527" spans="26:29" x14ac:dyDescent="0.35">
      <c r="Z527" s="4"/>
      <c r="AA527" s="4"/>
      <c r="AB527" s="4" t="e">
        <f ca="1">_xll.ciqfunctions.udf.CIQ("^SPX", "IQ_PRICEDATE", "1/26/2016")</f>
        <v>#NAME?</v>
      </c>
      <c r="AC527" s="16">
        <v>1903.6306483067999</v>
      </c>
    </row>
    <row r="528" spans="26:29" x14ac:dyDescent="0.35">
      <c r="Z528" s="4"/>
      <c r="AA528" s="4"/>
      <c r="AB528" s="4" t="e">
        <f ca="1">_xll.ciqfunctions.udf.CIQ("^SPX", "IQ_PRICEDATE", "1/27/2016")</f>
        <v>#NAME?</v>
      </c>
      <c r="AC528" s="16">
        <v>1882.9462651834001</v>
      </c>
    </row>
    <row r="529" spans="26:29" x14ac:dyDescent="0.35">
      <c r="Z529" s="4"/>
      <c r="AA529" s="4"/>
      <c r="AB529" s="4" t="e">
        <f ca="1">_xll.ciqfunctions.udf.CIQ("^SPX", "IQ_PRICEDATE", "1/28/2016")</f>
        <v>#NAME?</v>
      </c>
      <c r="AC529" s="16">
        <v>1893.3567082853999</v>
      </c>
    </row>
    <row r="530" spans="26:29" x14ac:dyDescent="0.35">
      <c r="Z530" s="4"/>
      <c r="AA530" s="4"/>
      <c r="AB530" s="4" t="e">
        <f ca="1">_xll.ciqfunctions.udf.CIQ("^SPX", "IQ_PRICEDATE", "1/29/2016")</f>
        <v>#NAME?</v>
      </c>
      <c r="AC530" s="16">
        <v>1940.2396778185</v>
      </c>
    </row>
    <row r="531" spans="26:29" x14ac:dyDescent="0.35">
      <c r="Z531" s="4"/>
      <c r="AA531" s="4"/>
      <c r="AB531" s="4" t="e">
        <f ca="1">_xll.ciqfunctions.udf.CIQ("^SPX", "IQ_PRICEDATE", "2/1/2016")</f>
        <v>#NAME?</v>
      </c>
      <c r="AC531" s="16">
        <v>1939.3793162679001</v>
      </c>
    </row>
    <row r="532" spans="26:29" x14ac:dyDescent="0.35">
      <c r="Z532" s="4"/>
      <c r="AA532" s="4"/>
      <c r="AB532" s="4" t="e">
        <f ca="1">_xll.ciqfunctions.udf.CIQ("^SPX", "IQ_PRICEDATE", "2/2/2016")</f>
        <v>#NAME?</v>
      </c>
      <c r="AC532" s="16">
        <v>1903.0315127425999</v>
      </c>
    </row>
    <row r="533" spans="26:29" x14ac:dyDescent="0.35">
      <c r="Z533" s="4"/>
      <c r="AA533" s="4"/>
      <c r="AB533" s="4" t="e">
        <f ca="1">_xll.ciqfunctions.udf.CIQ("^SPX", "IQ_PRICEDATE", "2/3/2016")</f>
        <v>#NAME?</v>
      </c>
      <c r="AC533" s="16">
        <v>1912.5336076968999</v>
      </c>
    </row>
    <row r="534" spans="26:29" x14ac:dyDescent="0.35">
      <c r="Z534" s="4"/>
      <c r="AA534" s="4"/>
      <c r="AB534" s="4" t="e">
        <f ca="1">_xll.ciqfunctions.udf.CIQ("^SPX", "IQ_PRICEDATE", "2/4/2016")</f>
        <v>#NAME?</v>
      </c>
      <c r="AC534" s="16">
        <v>1915.4467916985</v>
      </c>
    </row>
    <row r="535" spans="26:29" x14ac:dyDescent="0.35">
      <c r="Z535" s="4"/>
      <c r="AA535" s="4"/>
      <c r="AB535" s="4" t="e">
        <f ca="1">_xll.ciqfunctions.udf.CIQ("^SPX", "IQ_PRICEDATE", "2/5/2016")</f>
        <v>#NAME?</v>
      </c>
      <c r="AC535" s="16">
        <v>1880.0539328839</v>
      </c>
    </row>
    <row r="536" spans="26:29" x14ac:dyDescent="0.35">
      <c r="Z536" s="4"/>
      <c r="AA536" s="4"/>
      <c r="AB536" s="4" t="e">
        <f ca="1">_xll.ciqfunctions.udf.CIQ("^SPX", "IQ_PRICEDATE", "2/8/2016")</f>
        <v>#NAME?</v>
      </c>
      <c r="AC536" s="16">
        <v>1853.4350189577001</v>
      </c>
    </row>
    <row r="537" spans="26:29" x14ac:dyDescent="0.35">
      <c r="Z537" s="4"/>
      <c r="AA537" s="4"/>
      <c r="AB537" s="4" t="e">
        <f ca="1">_xll.ciqfunctions.udf.CIQ("^SPX", "IQ_PRICEDATE", "2/9/2016")</f>
        <v>#NAME?</v>
      </c>
      <c r="AC537" s="16">
        <v>1852.209817315</v>
      </c>
    </row>
    <row r="538" spans="26:29" x14ac:dyDescent="0.35">
      <c r="Z538" s="4"/>
      <c r="AA538" s="4"/>
      <c r="AB538" s="4" t="e">
        <f ca="1">_xll.ciqfunctions.udf.CIQ("^SPX", "IQ_PRICEDATE", "2/10/2016")</f>
        <v>#NAME?</v>
      </c>
      <c r="AC538" s="16">
        <v>1851.8630459234</v>
      </c>
    </row>
    <row r="539" spans="26:29" x14ac:dyDescent="0.35">
      <c r="Z539" s="4"/>
      <c r="AA539" s="4"/>
      <c r="AB539" s="4" t="e">
        <f ca="1">_xll.ciqfunctions.udf.CIQ("^SPX", "IQ_PRICEDATE", "2/11/2016")</f>
        <v>#NAME?</v>
      </c>
      <c r="AC539" s="16">
        <v>1829.078345807</v>
      </c>
    </row>
    <row r="540" spans="26:29" x14ac:dyDescent="0.35">
      <c r="Z540" s="4"/>
      <c r="AA540" s="4"/>
      <c r="AB540" s="4" t="e">
        <f ca="1">_xll.ciqfunctions.udf.CIQ("^SPX", "IQ_PRICEDATE", "2/12/2016")</f>
        <v>#NAME?</v>
      </c>
      <c r="AC540" s="16">
        <v>1864.7753300898</v>
      </c>
    </row>
    <row r="541" spans="26:29" x14ac:dyDescent="0.35">
      <c r="Z541" s="4"/>
      <c r="AA541" s="4"/>
      <c r="AB541" s="4" t="e">
        <f ca="1">_xll.ciqfunctions.udf.CIQ("^SPX", "IQ_PRICEDATE", "2/16/2016")</f>
        <v>#NAME?</v>
      </c>
      <c r="AC541" s="16">
        <v>1895.5773700755999</v>
      </c>
    </row>
    <row r="542" spans="26:29" x14ac:dyDescent="0.35">
      <c r="Z542" s="4"/>
      <c r="AA542" s="4"/>
      <c r="AB542" s="4" t="e">
        <f ca="1">_xll.ciqfunctions.udf.CIQ("^SPX", "IQ_PRICEDATE", "2/17/2016")</f>
        <v>#NAME?</v>
      </c>
      <c r="AC542" s="16">
        <v>1926.8249996812001</v>
      </c>
    </row>
    <row r="543" spans="26:29" x14ac:dyDescent="0.35">
      <c r="Z543" s="4"/>
      <c r="AA543" s="4"/>
      <c r="AB543" s="4" t="e">
        <f ca="1">_xll.ciqfunctions.udf.CIQ("^SPX", "IQ_PRICEDATE", "2/18/2016")</f>
        <v>#NAME?</v>
      </c>
      <c r="AC543" s="16">
        <v>1917.8338001633999</v>
      </c>
    </row>
    <row r="544" spans="26:29" x14ac:dyDescent="0.35">
      <c r="Z544" s="4"/>
      <c r="AA544" s="4"/>
      <c r="AB544" s="4" t="e">
        <f ca="1">_xll.ciqfunctions.udf.CIQ("^SPX", "IQ_PRICEDATE", "2/19/2016")</f>
        <v>#NAME?</v>
      </c>
      <c r="AC544" s="16">
        <v>1917.7836117449999</v>
      </c>
    </row>
    <row r="545" spans="26:29" x14ac:dyDescent="0.35">
      <c r="Z545" s="4"/>
      <c r="AA545" s="4"/>
      <c r="AB545" s="4" t="e">
        <f ca="1">_xll.ciqfunctions.udf.CIQ("^SPX", "IQ_PRICEDATE", "2/22/2016")</f>
        <v>#NAME?</v>
      </c>
      <c r="AC545" s="16">
        <v>1945.5000398876</v>
      </c>
    </row>
    <row r="546" spans="26:29" x14ac:dyDescent="0.35">
      <c r="Z546" s="4"/>
      <c r="AA546" s="4"/>
      <c r="AB546" s="4" t="e">
        <f ca="1">_xll.ciqfunctions.udf.CIQ("^SPX", "IQ_PRICEDATE", "2/23/2016")</f>
        <v>#NAME?</v>
      </c>
      <c r="AC546" s="16">
        <v>1921.2684413203999</v>
      </c>
    </row>
    <row r="547" spans="26:29" x14ac:dyDescent="0.35">
      <c r="Z547" s="4"/>
      <c r="AA547" s="4"/>
      <c r="AB547" s="4" t="e">
        <f ca="1">_xll.ciqfunctions.udf.CIQ("^SPX", "IQ_PRICEDATE", "2/24/2016")</f>
        <v>#NAME?</v>
      </c>
      <c r="AC547" s="16">
        <v>1929.7976752719001</v>
      </c>
    </row>
    <row r="548" spans="26:29" x14ac:dyDescent="0.35">
      <c r="Z548" s="4"/>
      <c r="AA548" s="4"/>
      <c r="AB548" s="4" t="e">
        <f ca="1">_xll.ciqfunctions.udf.CIQ("^SPX", "IQ_PRICEDATE", "2/25/2016")</f>
        <v>#NAME?</v>
      </c>
      <c r="AC548" s="16">
        <v>1951.7006648710001</v>
      </c>
    </row>
    <row r="549" spans="26:29" x14ac:dyDescent="0.35">
      <c r="Z549" s="4"/>
      <c r="AA549" s="4"/>
      <c r="AB549" s="4" t="e">
        <f ca="1">_xll.ciqfunctions.udf.CIQ("^SPX", "IQ_PRICEDATE", "2/26/2016")</f>
        <v>#NAME?</v>
      </c>
      <c r="AC549" s="16">
        <v>1948.0538513040001</v>
      </c>
    </row>
    <row r="550" spans="26:29" x14ac:dyDescent="0.35">
      <c r="Z550" s="4"/>
      <c r="AA550" s="4"/>
      <c r="AB550" s="4" t="e">
        <f ca="1">_xll.ciqfunctions.udf.CIQ("^SPX", "IQ_PRICEDATE", "2/29/2016")</f>
        <v>#NAME?</v>
      </c>
      <c r="AC550" s="16">
        <v>1932.2263947971001</v>
      </c>
    </row>
    <row r="551" spans="26:29" x14ac:dyDescent="0.35">
      <c r="Z551" s="4"/>
      <c r="AA551" s="4"/>
      <c r="AB551" s="4" t="e">
        <f ca="1">_xll.ciqfunctions.udf.CIQ("^SPX", "IQ_PRICEDATE", "3/1/2016")</f>
        <v>#NAME?</v>
      </c>
      <c r="AC551" s="16">
        <v>1978.3481163757999</v>
      </c>
    </row>
    <row r="552" spans="26:29" x14ac:dyDescent="0.35">
      <c r="Z552" s="4"/>
      <c r="AA552" s="4"/>
      <c r="AB552" s="4" t="e">
        <f ca="1">_xll.ciqfunctions.udf.CIQ("^SPX", "IQ_PRICEDATE", "3/2/2016")</f>
        <v>#NAME?</v>
      </c>
      <c r="AC552" s="16">
        <v>1986.4547864171</v>
      </c>
    </row>
    <row r="553" spans="26:29" x14ac:dyDescent="0.35">
      <c r="Z553" s="4"/>
      <c r="AA553" s="4"/>
      <c r="AB553" s="4" t="e">
        <f ca="1">_xll.ciqfunctions.udf.CIQ("^SPX", "IQ_PRICEDATE", "3/3/2016")</f>
        <v>#NAME?</v>
      </c>
      <c r="AC553" s="16">
        <v>1993.4021399067999</v>
      </c>
    </row>
    <row r="554" spans="26:29" x14ac:dyDescent="0.35">
      <c r="Z554" s="4"/>
      <c r="AA554" s="4"/>
      <c r="AB554" s="4" t="e">
        <f ca="1">_xll.ciqfunctions.udf.CIQ("^SPX", "IQ_PRICEDATE", "3/4/2016")</f>
        <v>#NAME?</v>
      </c>
      <c r="AC554" s="16">
        <v>1999.9872258588</v>
      </c>
    </row>
    <row r="555" spans="26:29" x14ac:dyDescent="0.35">
      <c r="Z555" s="4"/>
      <c r="AA555" s="4"/>
      <c r="AB555" s="4" t="e">
        <f ca="1">_xll.ciqfunctions.udf.CIQ("^SPX", "IQ_PRICEDATE", "3/7/2016")</f>
        <v>#NAME?</v>
      </c>
      <c r="AC555" s="16">
        <v>2001.7588480310999</v>
      </c>
    </row>
    <row r="556" spans="26:29" x14ac:dyDescent="0.35">
      <c r="Z556" s="4"/>
      <c r="AA556" s="4"/>
      <c r="AB556" s="4" t="e">
        <f ca="1">_xll.ciqfunctions.udf.CIQ("^SPX", "IQ_PRICEDATE", "3/8/2016")</f>
        <v>#NAME?</v>
      </c>
      <c r="AC556" s="16">
        <v>1979.2607182705001</v>
      </c>
    </row>
    <row r="557" spans="26:29" x14ac:dyDescent="0.35">
      <c r="Z557" s="4"/>
      <c r="AA557" s="4"/>
      <c r="AB557" s="4" t="e">
        <f ca="1">_xll.ciqfunctions.udf.CIQ("^SPX", "IQ_PRICEDATE", "3/9/2016")</f>
        <v>#NAME?</v>
      </c>
      <c r="AC557" s="16">
        <v>1989.2649945042999</v>
      </c>
    </row>
    <row r="558" spans="26:29" x14ac:dyDescent="0.35">
      <c r="Z558" s="4"/>
      <c r="AA558" s="4"/>
      <c r="AB558" s="4" t="e">
        <f ca="1">_xll.ciqfunctions.udf.CIQ("^SPX", "IQ_PRICEDATE", "3/10/2016")</f>
        <v>#NAME?</v>
      </c>
      <c r="AC558" s="16">
        <v>1989.5682879162</v>
      </c>
    </row>
    <row r="559" spans="26:29" x14ac:dyDescent="0.35">
      <c r="Z559" s="4"/>
      <c r="AA559" s="4"/>
      <c r="AB559" s="4" t="e">
        <f ca="1">_xll.ciqfunctions.udf.CIQ("^SPX", "IQ_PRICEDATE", "3/11/2016")</f>
        <v>#NAME?</v>
      </c>
      <c r="AC559" s="16">
        <v>2022.1895722387001</v>
      </c>
    </row>
    <row r="560" spans="26:29" x14ac:dyDescent="0.35">
      <c r="Z560" s="4"/>
      <c r="AA560" s="4"/>
      <c r="AB560" s="4" t="e">
        <f ca="1">_xll.ciqfunctions.udf.CIQ("^SPX", "IQ_PRICEDATE", "3/14/2016")</f>
        <v>#NAME?</v>
      </c>
      <c r="AC560" s="16">
        <v>2019.6401297292</v>
      </c>
    </row>
    <row r="561" spans="26:29" x14ac:dyDescent="0.35">
      <c r="Z561" s="4"/>
      <c r="AA561" s="4"/>
      <c r="AB561" s="4" t="e">
        <f ca="1">_xll.ciqfunctions.udf.CIQ("^SPX", "IQ_PRICEDATE", "3/15/2016")</f>
        <v>#NAME?</v>
      </c>
      <c r="AC561" s="16">
        <v>2015.9279249064</v>
      </c>
    </row>
    <row r="562" spans="26:29" x14ac:dyDescent="0.35">
      <c r="Z562" s="4"/>
      <c r="AA562" s="4"/>
      <c r="AB562" s="4" t="e">
        <f ca="1">_xll.ciqfunctions.udf.CIQ("^SPX", "IQ_PRICEDATE", "3/16/2016")</f>
        <v>#NAME?</v>
      </c>
      <c r="AC562" s="16">
        <v>2027.2173933161</v>
      </c>
    </row>
    <row r="563" spans="26:29" x14ac:dyDescent="0.35">
      <c r="Z563" s="4"/>
      <c r="AA563" s="4"/>
      <c r="AB563" s="4" t="e">
        <f ca="1">_xll.ciqfunctions.udf.CIQ("^SPX", "IQ_PRICEDATE", "3/17/2016")</f>
        <v>#NAME?</v>
      </c>
      <c r="AC563" s="16">
        <v>2040.5911529636001</v>
      </c>
    </row>
    <row r="564" spans="26:29" x14ac:dyDescent="0.35">
      <c r="Z564" s="4"/>
      <c r="AA564" s="4"/>
      <c r="AB564" s="4" t="e">
        <f ca="1">_xll.ciqfunctions.udf.CIQ("^SPX", "IQ_PRICEDATE", "3/18/2016")</f>
        <v>#NAME?</v>
      </c>
      <c r="AC564" s="16">
        <v>2049.5767766017998</v>
      </c>
    </row>
    <row r="565" spans="26:29" x14ac:dyDescent="0.35">
      <c r="Z565" s="4"/>
      <c r="AA565" s="4"/>
      <c r="AB565" s="4" t="e">
        <f ca="1">_xll.ciqfunctions.udf.CIQ("^SPX", "IQ_PRICEDATE", "3/21/2016")</f>
        <v>#NAME?</v>
      </c>
      <c r="AC565" s="16">
        <v>2051.6002316302001</v>
      </c>
    </row>
    <row r="566" spans="26:29" x14ac:dyDescent="0.35">
      <c r="Z566" s="4"/>
      <c r="AA566" s="4"/>
      <c r="AB566" s="4" t="e">
        <f ca="1">_xll.ciqfunctions.udf.CIQ("^SPX", "IQ_PRICEDATE", "3/22/2016")</f>
        <v>#NAME?</v>
      </c>
      <c r="AC566" s="16">
        <v>2049.8035026558</v>
      </c>
    </row>
    <row r="567" spans="26:29" x14ac:dyDescent="0.35">
      <c r="Z567" s="4"/>
      <c r="AA567" s="4"/>
      <c r="AB567" s="4" t="e">
        <f ca="1">_xll.ciqfunctions.udf.CIQ("^SPX", "IQ_PRICEDATE", "3/23/2016")</f>
        <v>#NAME?</v>
      </c>
      <c r="AC567" s="16">
        <v>2036.7127614671999</v>
      </c>
    </row>
    <row r="568" spans="26:29" x14ac:dyDescent="0.35">
      <c r="Z568" s="4"/>
      <c r="AA568" s="4"/>
      <c r="AB568" s="4" t="e">
        <f ca="1">_xll.ciqfunctions.udf.CIQ("^SPX", "IQ_PRICEDATE", "3/24/2016")</f>
        <v>#NAME?</v>
      </c>
      <c r="AC568" s="16">
        <v>2035.9359056955</v>
      </c>
    </row>
    <row r="569" spans="26:29" x14ac:dyDescent="0.35">
      <c r="Z569" s="4"/>
      <c r="AA569" s="4"/>
      <c r="AB569" s="4" t="e">
        <f ca="1">_xll.ciqfunctions.udf.CIQ("^SPX", "IQ_PRICEDATE", "3/28/2016")</f>
        <v>#NAME?</v>
      </c>
      <c r="AC569" s="16">
        <v>2037.0494688776</v>
      </c>
    </row>
    <row r="570" spans="26:29" x14ac:dyDescent="0.35">
      <c r="Z570" s="4"/>
      <c r="AA570" s="4"/>
      <c r="AB570" s="4" t="e">
        <f ca="1">_xll.ciqfunctions.udf.CIQ("^SPX", "IQ_PRICEDATE", "3/29/2016")</f>
        <v>#NAME?</v>
      </c>
      <c r="AC570" s="16">
        <v>2055.0136334985</v>
      </c>
    </row>
    <row r="571" spans="26:29" x14ac:dyDescent="0.35">
      <c r="Z571" s="4"/>
      <c r="AA571" s="4"/>
      <c r="AB571" s="4" t="e">
        <f ca="1">_xll.ciqfunctions.udf.CIQ("^SPX", "IQ_PRICEDATE", "3/30/2016")</f>
        <v>#NAME?</v>
      </c>
      <c r="AC571" s="16">
        <v>2063.9455731809999</v>
      </c>
    </row>
    <row r="572" spans="26:29" x14ac:dyDescent="0.35">
      <c r="Z572" s="4"/>
      <c r="AA572" s="4"/>
      <c r="AB572" s="4" t="e">
        <f ca="1">_xll.ciqfunctions.udf.CIQ("^SPX", "IQ_PRICEDATE", "3/31/2016")</f>
        <v>#NAME?</v>
      </c>
      <c r="AC572" s="16">
        <v>2059.7411766012001</v>
      </c>
    </row>
    <row r="573" spans="26:29" x14ac:dyDescent="0.35">
      <c r="Z573" s="4"/>
      <c r="AA573" s="4"/>
      <c r="AB573" s="4" t="e">
        <f ca="1">_xll.ciqfunctions.udf.CIQ("^SPX", "IQ_PRICEDATE", "4/1/2016")</f>
        <v>#NAME?</v>
      </c>
      <c r="AC573" s="16">
        <v>2072.7790722503</v>
      </c>
    </row>
    <row r="574" spans="26:29" x14ac:dyDescent="0.35">
      <c r="Z574" s="4"/>
      <c r="AA574" s="4"/>
      <c r="AB574" s="4" t="e">
        <f ca="1">_xll.ciqfunctions.udf.CIQ("^SPX", "IQ_PRICEDATE", "4/4/2016")</f>
        <v>#NAME?</v>
      </c>
      <c r="AC574" s="16">
        <v>2066.1294033761001</v>
      </c>
    </row>
    <row r="575" spans="26:29" x14ac:dyDescent="0.35">
      <c r="Z575" s="4"/>
      <c r="AA575" s="4"/>
      <c r="AB575" s="4" t="e">
        <f ca="1">_xll.ciqfunctions.udf.CIQ("^SPX", "IQ_PRICEDATE", "4/5/2016")</f>
        <v>#NAME?</v>
      </c>
      <c r="AC575" s="16">
        <v>2045.1667952564001</v>
      </c>
    </row>
    <row r="576" spans="26:29" x14ac:dyDescent="0.35">
      <c r="Z576" s="4"/>
      <c r="AA576" s="4"/>
      <c r="AB576" s="4" t="e">
        <f ca="1">_xll.ciqfunctions.udf.CIQ("^SPX", "IQ_PRICEDATE", "4/6/2016")</f>
        <v>#NAME?</v>
      </c>
      <c r="AC576" s="16">
        <v>2066.6648189460998</v>
      </c>
    </row>
    <row r="577" spans="26:29" x14ac:dyDescent="0.35">
      <c r="Z577" s="4"/>
      <c r="AA577" s="4"/>
      <c r="AB577" s="4" t="e">
        <f ca="1">_xll.ciqfunctions.udf.CIQ("^SPX", "IQ_PRICEDATE", "4/7/2016")</f>
        <v>#NAME?</v>
      </c>
      <c r="AC577" s="16">
        <v>2041.9119416724</v>
      </c>
    </row>
    <row r="578" spans="26:29" x14ac:dyDescent="0.35">
      <c r="Z578" s="4"/>
      <c r="AA578" s="4"/>
      <c r="AB578" s="4" t="e">
        <f ca="1">_xll.ciqfunctions.udf.CIQ("^SPX", "IQ_PRICEDATE", "4/8/2016")</f>
        <v>#NAME?</v>
      </c>
      <c r="AC578" s="16">
        <v>2047.5971324052</v>
      </c>
    </row>
    <row r="579" spans="26:29" x14ac:dyDescent="0.35">
      <c r="Z579" s="4"/>
      <c r="AA579" s="4"/>
      <c r="AB579" s="4" t="e">
        <f ca="1">_xll.ciqfunctions.udf.CIQ("^SPX", "IQ_PRICEDATE", "4/11/2016")</f>
        <v>#NAME?</v>
      </c>
      <c r="AC579" s="16">
        <v>2041.9860446721</v>
      </c>
    </row>
    <row r="580" spans="26:29" x14ac:dyDescent="0.35">
      <c r="Z580" s="4"/>
      <c r="AA580" s="4"/>
      <c r="AB580" s="4" t="e">
        <f ca="1">_xll.ciqfunctions.udf.CIQ("^SPX", "IQ_PRICEDATE", "4/12/2016")</f>
        <v>#NAME?</v>
      </c>
      <c r="AC580" s="16">
        <v>2061.7184466693002</v>
      </c>
    </row>
    <row r="581" spans="26:29" x14ac:dyDescent="0.35">
      <c r="Z581" s="4"/>
      <c r="AA581" s="4"/>
      <c r="AB581" s="4" t="e">
        <f ca="1">_xll.ciqfunctions.udf.CIQ("^SPX", "IQ_PRICEDATE", "4/13/2016")</f>
        <v>#NAME?</v>
      </c>
      <c r="AC581" s="16">
        <v>2082.4206422921998</v>
      </c>
    </row>
    <row r="582" spans="26:29" x14ac:dyDescent="0.35">
      <c r="Z582" s="4"/>
      <c r="AA582" s="4"/>
      <c r="AB582" s="4" t="e">
        <f ca="1">_xll.ciqfunctions.udf.CIQ("^SPX", "IQ_PRICEDATE", "4/14/2016")</f>
        <v>#NAME?</v>
      </c>
      <c r="AC582" s="16">
        <v>2082.7830910424</v>
      </c>
    </row>
    <row r="583" spans="26:29" x14ac:dyDescent="0.35">
      <c r="Z583" s="4"/>
      <c r="AA583" s="4"/>
      <c r="AB583" s="4" t="e">
        <f ca="1">_xll.ciqfunctions.udf.CIQ("^SPX", "IQ_PRICEDATE", "4/15/2016")</f>
        <v>#NAME?</v>
      </c>
      <c r="AC583" s="16">
        <v>2080.7329648233999</v>
      </c>
    </row>
    <row r="584" spans="26:29" x14ac:dyDescent="0.35">
      <c r="Z584" s="4"/>
      <c r="AA584" s="4"/>
      <c r="AB584" s="4" t="e">
        <f ca="1">_xll.ciqfunctions.udf.CIQ("^SPX", "IQ_PRICEDATE", "4/18/2016")</f>
        <v>#NAME?</v>
      </c>
      <c r="AC584" s="16">
        <v>2094.3403310812</v>
      </c>
    </row>
    <row r="585" spans="26:29" x14ac:dyDescent="0.35">
      <c r="Z585" s="4"/>
      <c r="AA585" s="4"/>
      <c r="AB585" s="4" t="e">
        <f ca="1">_xll.ciqfunctions.udf.CIQ("^SPX", "IQ_PRICEDATE", "4/19/2016")</f>
        <v>#NAME?</v>
      </c>
      <c r="AC585" s="16">
        <v>2100.7987332940002</v>
      </c>
    </row>
    <row r="586" spans="26:29" x14ac:dyDescent="0.35">
      <c r="Z586" s="4"/>
      <c r="AA586" s="4"/>
      <c r="AB586" s="4" t="e">
        <f ca="1">_xll.ciqfunctions.udf.CIQ("^SPX", "IQ_PRICEDATE", "4/20/2016")</f>
        <v>#NAME?</v>
      </c>
      <c r="AC586" s="16">
        <v>2102.3966553845999</v>
      </c>
    </row>
    <row r="587" spans="26:29" x14ac:dyDescent="0.35">
      <c r="Z587" s="4"/>
      <c r="AA587" s="4"/>
      <c r="AB587" s="4" t="e">
        <f ca="1">_xll.ciqfunctions.udf.CIQ("^SPX", "IQ_PRICEDATE", "4/21/2016")</f>
        <v>#NAME?</v>
      </c>
      <c r="AC587" s="16">
        <v>2091.4836606396002</v>
      </c>
    </row>
    <row r="588" spans="26:29" x14ac:dyDescent="0.35">
      <c r="Z588" s="4"/>
      <c r="AA588" s="4"/>
      <c r="AB588" s="4" t="e">
        <f ca="1">_xll.ciqfunctions.udf.CIQ("^SPX", "IQ_PRICEDATE", "4/22/2016")</f>
        <v>#NAME?</v>
      </c>
      <c r="AC588" s="16">
        <v>2091.5801018706002</v>
      </c>
    </row>
    <row r="589" spans="26:29" x14ac:dyDescent="0.35">
      <c r="Z589" s="4"/>
      <c r="AA589" s="4"/>
      <c r="AB589" s="4" t="e">
        <f ca="1">_xll.ciqfunctions.udf.CIQ("^SPX", "IQ_PRICEDATE", "4/25/2016")</f>
        <v>#NAME?</v>
      </c>
      <c r="AC589" s="16">
        <v>2087.7944702435002</v>
      </c>
    </row>
    <row r="590" spans="26:29" x14ac:dyDescent="0.35">
      <c r="Z590" s="4"/>
      <c r="AA590" s="4"/>
      <c r="AB590" s="4" t="e">
        <f ca="1">_xll.ciqfunctions.udf.CIQ("^SPX", "IQ_PRICEDATE", "4/26/2016")</f>
        <v>#NAME?</v>
      </c>
      <c r="AC590" s="16">
        <v>2091.6985448183</v>
      </c>
    </row>
    <row r="591" spans="26:29" x14ac:dyDescent="0.35">
      <c r="Z591" s="4"/>
      <c r="AA591" s="4"/>
      <c r="AB591" s="4" t="e">
        <f ca="1">_xll.ciqfunctions.udf.CIQ("^SPX", "IQ_PRICEDATE", "4/27/2016")</f>
        <v>#NAME?</v>
      </c>
      <c r="AC591" s="16">
        <v>2095.1543936148</v>
      </c>
    </row>
    <row r="592" spans="26:29" x14ac:dyDescent="0.35">
      <c r="Z592" s="4"/>
      <c r="AA592" s="4"/>
      <c r="AB592" s="4" t="e">
        <f ca="1">_xll.ciqfunctions.udf.CIQ("^SPX", "IQ_PRICEDATE", "4/28/2016")</f>
        <v>#NAME?</v>
      </c>
      <c r="AC592" s="16">
        <v>2075.8106634737001</v>
      </c>
    </row>
    <row r="593" spans="26:29" x14ac:dyDescent="0.35">
      <c r="Z593" s="4"/>
      <c r="AA593" s="4"/>
      <c r="AB593" s="4" t="e">
        <f ca="1">_xll.ciqfunctions.udf.CIQ("^SPX", "IQ_PRICEDATE", "4/29/2016")</f>
        <v>#NAME?</v>
      </c>
      <c r="AC593" s="16">
        <v>2065.2963010051999</v>
      </c>
    </row>
    <row r="594" spans="26:29" x14ac:dyDescent="0.35">
      <c r="Z594" s="4"/>
      <c r="AA594" s="4"/>
      <c r="AB594" s="4" t="e">
        <f ca="1">_xll.ciqfunctions.udf.CIQ("^SPX", "IQ_PRICEDATE", "5/2/2016")</f>
        <v>#NAME?</v>
      </c>
      <c r="AC594" s="16">
        <v>2081.4302172006001</v>
      </c>
    </row>
    <row r="595" spans="26:29" x14ac:dyDescent="0.35">
      <c r="Z595" s="4"/>
      <c r="AA595" s="4"/>
      <c r="AB595" s="4" t="e">
        <f ca="1">_xll.ciqfunctions.udf.CIQ("^SPX", "IQ_PRICEDATE", "5/3/2016")</f>
        <v>#NAME?</v>
      </c>
      <c r="AC595" s="16">
        <v>2063.3668538899001</v>
      </c>
    </row>
    <row r="596" spans="26:29" x14ac:dyDescent="0.35">
      <c r="Z596" s="4"/>
      <c r="AA596" s="4"/>
      <c r="AB596" s="4" t="e">
        <f ca="1">_xll.ciqfunctions.udf.CIQ("^SPX", "IQ_PRICEDATE", "5/4/2016")</f>
        <v>#NAME?</v>
      </c>
      <c r="AC596" s="16">
        <v>2051.1212619793</v>
      </c>
    </row>
    <row r="597" spans="26:29" x14ac:dyDescent="0.35">
      <c r="Z597" s="4"/>
      <c r="AA597" s="4"/>
      <c r="AB597" s="4" t="e">
        <f ca="1">_xll.ciqfunctions.udf.CIQ("^SPX", "IQ_PRICEDATE", "5/5/2016")</f>
        <v>#NAME?</v>
      </c>
      <c r="AC597" s="16">
        <v>2050.6287420499002</v>
      </c>
    </row>
    <row r="598" spans="26:29" x14ac:dyDescent="0.35">
      <c r="Z598" s="4"/>
      <c r="AA598" s="4"/>
      <c r="AB598" s="4" t="e">
        <f ca="1">_xll.ciqfunctions.udf.CIQ("^SPX", "IQ_PRICEDATE", "5/6/2016")</f>
        <v>#NAME?</v>
      </c>
      <c r="AC598" s="16">
        <v>2057.1424213606001</v>
      </c>
    </row>
    <row r="599" spans="26:29" x14ac:dyDescent="0.35">
      <c r="Z599" s="4"/>
      <c r="AA599" s="4"/>
      <c r="AB599" s="4" t="e">
        <f ca="1">_xll.ciqfunctions.udf.CIQ("^SPX", "IQ_PRICEDATE", "5/9/2016")</f>
        <v>#NAME?</v>
      </c>
      <c r="AC599" s="16">
        <v>2058.6910661584002</v>
      </c>
    </row>
    <row r="600" spans="26:29" x14ac:dyDescent="0.35">
      <c r="Z600" s="4"/>
      <c r="AA600" s="4"/>
      <c r="AB600" s="4" t="e">
        <f ca="1">_xll.ciqfunctions.udf.CIQ("^SPX", "IQ_PRICEDATE", "5/10/2016")</f>
        <v>#NAME?</v>
      </c>
      <c r="AC600" s="16">
        <v>2084.3861226132999</v>
      </c>
    </row>
    <row r="601" spans="26:29" x14ac:dyDescent="0.35">
      <c r="Z601" s="4"/>
      <c r="AA601" s="4"/>
      <c r="AB601" s="4" t="e">
        <f ca="1">_xll.ciqfunctions.udf.CIQ("^SPX", "IQ_PRICEDATE", "5/11/2016")</f>
        <v>#NAME?</v>
      </c>
      <c r="AC601" s="16">
        <v>2064.4619029935998</v>
      </c>
    </row>
    <row r="602" spans="26:29" x14ac:dyDescent="0.35">
      <c r="Z602" s="4"/>
      <c r="AA602" s="4"/>
      <c r="AB602" s="4" t="e">
        <f ca="1">_xll.ciqfunctions.udf.CIQ("^SPX", "IQ_PRICEDATE", "5/12/2016")</f>
        <v>#NAME?</v>
      </c>
      <c r="AC602" s="16">
        <v>2064.1074656146002</v>
      </c>
    </row>
    <row r="603" spans="26:29" x14ac:dyDescent="0.35">
      <c r="Z603" s="4"/>
      <c r="AA603" s="4"/>
      <c r="AB603" s="4" t="e">
        <f ca="1">_xll.ciqfunctions.udf.CIQ("^SPX", "IQ_PRICEDATE", "5/13/2016")</f>
        <v>#NAME?</v>
      </c>
      <c r="AC603" s="16">
        <v>2046.6129226142</v>
      </c>
    </row>
    <row r="604" spans="26:29" x14ac:dyDescent="0.35">
      <c r="Z604" s="4"/>
      <c r="AA604" s="4"/>
      <c r="AB604" s="4" t="e">
        <f ca="1">_xll.ciqfunctions.udf.CIQ("^SPX", "IQ_PRICEDATE", "5/16/2016")</f>
        <v>#NAME?</v>
      </c>
      <c r="AC604" s="16">
        <v>2066.6571610419001</v>
      </c>
    </row>
    <row r="605" spans="26:29" x14ac:dyDescent="0.35">
      <c r="Z605" s="4"/>
      <c r="AA605" s="4"/>
      <c r="AB605" s="4" t="e">
        <f ca="1">_xll.ciqfunctions.udf.CIQ("^SPX", "IQ_PRICEDATE", "5/17/2016")</f>
        <v>#NAME?</v>
      </c>
      <c r="AC605" s="16">
        <v>2047.2058127273999</v>
      </c>
    </row>
    <row r="606" spans="26:29" x14ac:dyDescent="0.35">
      <c r="Z606" s="4"/>
      <c r="AA606" s="4"/>
      <c r="AB606" s="4" t="e">
        <f ca="1">_xll.ciqfunctions.udf.CIQ("^SPX", "IQ_PRICEDATE", "5/18/2016")</f>
        <v>#NAME?</v>
      </c>
      <c r="AC606" s="16">
        <v>2047.6272305970001</v>
      </c>
    </row>
    <row r="607" spans="26:29" x14ac:dyDescent="0.35">
      <c r="Z607" s="4"/>
      <c r="AA607" s="4"/>
      <c r="AB607" s="4" t="e">
        <f ca="1">_xll.ciqfunctions.udf.CIQ("^SPX", "IQ_PRICEDATE", "5/19/2016")</f>
        <v>#NAME?</v>
      </c>
      <c r="AC607" s="16">
        <v>2040.0398896362001</v>
      </c>
    </row>
    <row r="608" spans="26:29" x14ac:dyDescent="0.35">
      <c r="Z608" s="4"/>
      <c r="AA608" s="4"/>
      <c r="AB608" s="4" t="e">
        <f ca="1">_xll.ciqfunctions.udf.CIQ("^SPX", "IQ_PRICEDATE", "5/20/2016")</f>
        <v>#NAME?</v>
      </c>
      <c r="AC608" s="16">
        <v>2052.3180528978</v>
      </c>
    </row>
    <row r="609" spans="26:29" x14ac:dyDescent="0.35">
      <c r="Z609" s="4"/>
      <c r="AA609" s="4"/>
      <c r="AB609" s="4" t="e">
        <f ca="1">_xll.ciqfunctions.udf.CIQ("^SPX", "IQ_PRICEDATE", "5/23/2016")</f>
        <v>#NAME?</v>
      </c>
      <c r="AC609" s="16">
        <v>2048.0432790190998</v>
      </c>
    </row>
    <row r="610" spans="26:29" x14ac:dyDescent="0.35">
      <c r="Z610" s="4"/>
      <c r="AA610" s="4"/>
      <c r="AB610" s="4" t="e">
        <f ca="1">_xll.ciqfunctions.udf.CIQ("^SPX", "IQ_PRICEDATE", "5/24/2016")</f>
        <v>#NAME?</v>
      </c>
      <c r="AC610" s="16">
        <v>2076.0578170170002</v>
      </c>
    </row>
    <row r="611" spans="26:29" x14ac:dyDescent="0.35">
      <c r="Z611" s="4"/>
      <c r="AA611" s="4"/>
      <c r="AB611" s="4" t="e">
        <f ca="1">_xll.ciqfunctions.udf.CIQ("^SPX", "IQ_PRICEDATE", "5/25/2016")</f>
        <v>#NAME?</v>
      </c>
      <c r="AC611" s="16">
        <v>2090.5430039206999</v>
      </c>
    </row>
    <row r="612" spans="26:29" x14ac:dyDescent="0.35">
      <c r="Z612" s="4"/>
      <c r="AA612" s="4"/>
      <c r="AB612" s="4" t="e">
        <f ca="1">_xll.ciqfunctions.udf.CIQ("^SPX", "IQ_PRICEDATE", "5/26/2016")</f>
        <v>#NAME?</v>
      </c>
      <c r="AC612" s="16">
        <v>2090.1009750070002</v>
      </c>
    </row>
    <row r="613" spans="26:29" x14ac:dyDescent="0.35">
      <c r="Z613" s="4"/>
      <c r="AA613" s="4"/>
      <c r="AB613" s="4" t="e">
        <f ca="1">_xll.ciqfunctions.udf.CIQ("^SPX", "IQ_PRICEDATE", "5/27/2016")</f>
        <v>#NAME?</v>
      </c>
      <c r="AC613" s="16">
        <v>2099.0604609477</v>
      </c>
    </row>
    <row r="614" spans="26:29" x14ac:dyDescent="0.35">
      <c r="Z614" s="4"/>
      <c r="AA614" s="4"/>
      <c r="AB614" s="4" t="e">
        <f ca="1">_xll.ciqfunctions.udf.CIQ("^SPX", "IQ_PRICEDATE", "5/31/2016")</f>
        <v>#NAME?</v>
      </c>
      <c r="AC614" s="16">
        <v>2096.9641950705</v>
      </c>
    </row>
    <row r="615" spans="26:29" x14ac:dyDescent="0.35">
      <c r="Z615" s="4"/>
      <c r="AA615" s="4"/>
      <c r="AB615" s="4" t="e">
        <f ca="1">_xll.ciqfunctions.udf.CIQ("^SPX", "IQ_PRICEDATE", "6/1/2016")</f>
        <v>#NAME?</v>
      </c>
      <c r="AC615" s="16">
        <v>2099.3299950290998</v>
      </c>
    </row>
    <row r="616" spans="26:29" x14ac:dyDescent="0.35">
      <c r="Z616" s="4"/>
      <c r="AA616" s="4"/>
      <c r="AB616" s="4" t="e">
        <f ca="1">_xll.ciqfunctions.udf.CIQ("^SPX", "IQ_PRICEDATE", "6/2/2016")</f>
        <v>#NAME?</v>
      </c>
      <c r="AC616" s="16">
        <v>2105.2643409194998</v>
      </c>
    </row>
    <row r="617" spans="26:29" x14ac:dyDescent="0.35">
      <c r="Z617" s="4"/>
      <c r="AA617" s="4"/>
      <c r="AB617" s="4" t="e">
        <f ca="1">_xll.ciqfunctions.udf.CIQ("^SPX", "IQ_PRICEDATE", "6/3/2016")</f>
        <v>#NAME?</v>
      </c>
      <c r="AC617" s="16">
        <v>2099.1285740266999</v>
      </c>
    </row>
    <row r="618" spans="26:29" x14ac:dyDescent="0.35">
      <c r="Z618" s="4"/>
      <c r="AA618" s="4"/>
      <c r="AB618" s="4" t="e">
        <f ca="1">_xll.ciqfunctions.udf.CIQ("^SPX", "IQ_PRICEDATE", "6/6/2016")</f>
        <v>#NAME?</v>
      </c>
      <c r="AC618" s="16">
        <v>2109.4068447715999</v>
      </c>
    </row>
    <row r="619" spans="26:29" x14ac:dyDescent="0.35">
      <c r="Z619" s="4"/>
      <c r="AA619" s="4"/>
      <c r="AB619" s="4" t="e">
        <f ca="1">_xll.ciqfunctions.udf.CIQ("^SPX", "IQ_PRICEDATE", "6/7/2016")</f>
        <v>#NAME?</v>
      </c>
      <c r="AC619" s="16">
        <v>2112.1270716708</v>
      </c>
    </row>
    <row r="620" spans="26:29" x14ac:dyDescent="0.35">
      <c r="Z620" s="4"/>
      <c r="AA620" s="4"/>
      <c r="AB620" s="4" t="e">
        <f ca="1">_xll.ciqfunctions.udf.CIQ("^SPX", "IQ_PRICEDATE", "6/8/2016")</f>
        <v>#NAME?</v>
      </c>
      <c r="AC620" s="16">
        <v>2119.1182685772001</v>
      </c>
    </row>
    <row r="621" spans="26:29" x14ac:dyDescent="0.35">
      <c r="Z621" s="4"/>
      <c r="AA621" s="4"/>
      <c r="AB621" s="4" t="e">
        <f ca="1">_xll.ciqfunctions.udf.CIQ("^SPX", "IQ_PRICEDATE", "6/9/2016")</f>
        <v>#NAME?</v>
      </c>
      <c r="AC621" s="16">
        <v>2115.4777557885</v>
      </c>
    </row>
    <row r="622" spans="26:29" x14ac:dyDescent="0.35">
      <c r="Z622" s="4"/>
      <c r="AA622" s="4"/>
      <c r="AB622" s="4" t="e">
        <f ca="1">_xll.ciqfunctions.udf.CIQ("^SPX", "IQ_PRICEDATE", "6/10/2016")</f>
        <v>#NAME?</v>
      </c>
      <c r="AC622" s="16">
        <v>2096.0710133092002</v>
      </c>
    </row>
    <row r="623" spans="26:29" x14ac:dyDescent="0.35">
      <c r="Z623" s="4"/>
      <c r="AA623" s="4"/>
      <c r="AB623" s="4" t="e">
        <f ca="1">_xll.ciqfunctions.udf.CIQ("^SPX", "IQ_PRICEDATE", "6/13/2016")</f>
        <v>#NAME?</v>
      </c>
      <c r="AC623" s="16">
        <v>2079.0589804432002</v>
      </c>
    </row>
    <row r="624" spans="26:29" x14ac:dyDescent="0.35">
      <c r="Z624" s="4"/>
      <c r="AA624" s="4"/>
      <c r="AB624" s="4" t="e">
        <f ca="1">_xll.ciqfunctions.udf.CIQ("^SPX", "IQ_PRICEDATE", "6/14/2016")</f>
        <v>#NAME?</v>
      </c>
      <c r="AC624" s="16">
        <v>2075.3159582056001</v>
      </c>
    </row>
    <row r="625" spans="26:29" x14ac:dyDescent="0.35">
      <c r="Z625" s="4"/>
      <c r="AA625" s="4"/>
      <c r="AB625" s="4" t="e">
        <f ca="1">_xll.ciqfunctions.udf.CIQ("^SPX", "IQ_PRICEDATE", "6/15/2016")</f>
        <v>#NAME?</v>
      </c>
      <c r="AC625" s="16">
        <v>2071.5022827118</v>
      </c>
    </row>
    <row r="626" spans="26:29" x14ac:dyDescent="0.35">
      <c r="Z626" s="4"/>
      <c r="AA626" s="4"/>
      <c r="AB626" s="4" t="e">
        <f ca="1">_xll.ciqfunctions.udf.CIQ("^SPX", "IQ_PRICEDATE", "6/16/2016")</f>
        <v>#NAME?</v>
      </c>
      <c r="AC626" s="16">
        <v>2077.9938893249</v>
      </c>
    </row>
    <row r="627" spans="26:29" x14ac:dyDescent="0.35">
      <c r="Z627" s="4"/>
      <c r="AA627" s="4"/>
      <c r="AB627" s="4" t="e">
        <f ca="1">_xll.ciqfunctions.udf.CIQ("^SPX", "IQ_PRICEDATE", "6/17/2016")</f>
        <v>#NAME?</v>
      </c>
      <c r="AC627" s="16">
        <v>2071.2196945688002</v>
      </c>
    </row>
    <row r="628" spans="26:29" x14ac:dyDescent="0.35">
      <c r="Z628" s="4"/>
      <c r="AA628" s="4"/>
      <c r="AB628" s="4" t="e">
        <f ca="1">_xll.ciqfunctions.udf.CIQ("^SPX", "IQ_PRICEDATE", "6/20/2016")</f>
        <v>#NAME?</v>
      </c>
      <c r="AC628" s="16">
        <v>2083.2490307027001</v>
      </c>
    </row>
    <row r="629" spans="26:29" x14ac:dyDescent="0.35">
      <c r="Z629" s="4"/>
      <c r="AA629" s="4"/>
      <c r="AB629" s="4" t="e">
        <f ca="1">_xll.ciqfunctions.udf.CIQ("^SPX", "IQ_PRICEDATE", "6/21/2016")</f>
        <v>#NAME?</v>
      </c>
      <c r="AC629" s="16">
        <v>2088.8995479027999</v>
      </c>
    </row>
    <row r="630" spans="26:29" x14ac:dyDescent="0.35">
      <c r="Z630" s="4"/>
      <c r="AA630" s="4"/>
      <c r="AB630" s="4" t="e">
        <f ca="1">_xll.ciqfunctions.udf.CIQ("^SPX", "IQ_PRICEDATE", "6/22/2016")</f>
        <v>#NAME?</v>
      </c>
      <c r="AC630" s="16">
        <v>2085.4497233948</v>
      </c>
    </row>
    <row r="631" spans="26:29" x14ac:dyDescent="0.35">
      <c r="Z631" s="4"/>
      <c r="AA631" s="4"/>
      <c r="AB631" s="4" t="e">
        <f ca="1">_xll.ciqfunctions.udf.CIQ("^SPX", "IQ_PRICEDATE", "6/23/2016")</f>
        <v>#NAME?</v>
      </c>
      <c r="AC631" s="16">
        <v>2113.3206788011998</v>
      </c>
    </row>
    <row r="632" spans="26:29" x14ac:dyDescent="0.35">
      <c r="Z632" s="4"/>
      <c r="AA632" s="4"/>
      <c r="AB632" s="4" t="e">
        <f ca="1">_xll.ciqfunctions.udf.CIQ("^SPX", "IQ_PRICEDATE", "6/24/2016")</f>
        <v>#NAME?</v>
      </c>
      <c r="AC632" s="16">
        <v>2037.4051843633999</v>
      </c>
    </row>
    <row r="633" spans="26:29" x14ac:dyDescent="0.35">
      <c r="Z633" s="4"/>
      <c r="AA633" s="4"/>
      <c r="AB633" s="4" t="e">
        <f ca="1">_xll.ciqfunctions.udf.CIQ("^SPX", "IQ_PRICEDATE", "6/27/2016")</f>
        <v>#NAME?</v>
      </c>
      <c r="AC633" s="16">
        <v>2000.5352536809</v>
      </c>
    </row>
    <row r="634" spans="26:29" x14ac:dyDescent="0.35">
      <c r="Z634" s="4"/>
      <c r="AA634" s="4"/>
      <c r="AB634" s="4" t="e">
        <f ca="1">_xll.ciqfunctions.udf.CIQ("^SPX", "IQ_PRICEDATE", "6/28/2016")</f>
        <v>#NAME?</v>
      </c>
      <c r="AC634" s="16">
        <v>2036.0912294648001</v>
      </c>
    </row>
    <row r="635" spans="26:29" x14ac:dyDescent="0.35">
      <c r="Z635" s="4"/>
      <c r="AA635" s="4"/>
      <c r="AB635" s="4" t="e">
        <f ca="1">_xll.ciqfunctions.udf.CIQ("^SPX", "IQ_PRICEDATE", "6/29/2016")</f>
        <v>#NAME?</v>
      </c>
      <c r="AC635" s="16">
        <v>2070.7713064509999</v>
      </c>
    </row>
    <row r="636" spans="26:29" x14ac:dyDescent="0.35">
      <c r="Z636" s="4"/>
      <c r="AA636" s="4"/>
      <c r="AB636" s="4" t="e">
        <f ca="1">_xll.ciqfunctions.udf.CIQ("^SPX", "IQ_PRICEDATE", "6/30/2016")</f>
        <v>#NAME?</v>
      </c>
      <c r="AC636" s="16">
        <v>2098.8552265056001</v>
      </c>
    </row>
    <row r="637" spans="26:29" x14ac:dyDescent="0.35">
      <c r="Z637" s="4"/>
      <c r="AA637" s="4"/>
      <c r="AB637" s="4" t="e">
        <f ca="1">_xll.ciqfunctions.udf.CIQ("^SPX", "IQ_PRICEDATE", "7/1/2016")</f>
        <v>#NAME?</v>
      </c>
      <c r="AC637" s="16">
        <v>2102.9534922367002</v>
      </c>
    </row>
    <row r="638" spans="26:29" x14ac:dyDescent="0.35">
      <c r="Z638" s="4"/>
      <c r="AA638" s="4"/>
      <c r="AB638" s="4" t="e">
        <f ca="1">_xll.ciqfunctions.udf.CIQ("^SPX", "IQ_PRICEDATE", "7/5/2016")</f>
        <v>#NAME?</v>
      </c>
      <c r="AC638" s="16">
        <v>2088.5460361504001</v>
      </c>
    </row>
    <row r="639" spans="26:29" x14ac:dyDescent="0.35">
      <c r="Z639" s="4"/>
      <c r="AA639" s="4"/>
      <c r="AB639" s="4" t="e">
        <f ca="1">_xll.ciqfunctions.udf.CIQ("^SPX", "IQ_PRICEDATE", "7/6/2016")</f>
        <v>#NAME?</v>
      </c>
      <c r="AC639" s="16">
        <v>2099.7342908189999</v>
      </c>
    </row>
    <row r="640" spans="26:29" x14ac:dyDescent="0.35">
      <c r="Z640" s="4"/>
      <c r="AA640" s="4"/>
      <c r="AB640" s="4" t="e">
        <f ca="1">_xll.ciqfunctions.udf.CIQ("^SPX", "IQ_PRICEDATE", "7/7/2016")</f>
        <v>#NAME?</v>
      </c>
      <c r="AC640" s="16">
        <v>2097.8997750080998</v>
      </c>
    </row>
    <row r="641" spans="26:29" x14ac:dyDescent="0.35">
      <c r="Z641" s="4"/>
      <c r="AA641" s="4"/>
      <c r="AB641" s="4" t="e">
        <f ca="1">_xll.ciqfunctions.udf.CIQ("^SPX", "IQ_PRICEDATE", "7/8/2016")</f>
        <v>#NAME?</v>
      </c>
      <c r="AC641" s="16">
        <v>2129.8979817799</v>
      </c>
    </row>
    <row r="642" spans="26:29" x14ac:dyDescent="0.35">
      <c r="Z642" s="4"/>
      <c r="AA642" s="4"/>
      <c r="AB642" s="4" t="e">
        <f ca="1">_xll.ciqfunctions.udf.CIQ("^SPX", "IQ_PRICEDATE", "7/11/2016")</f>
        <v>#NAME?</v>
      </c>
      <c r="AC642" s="16">
        <v>2137.1597218421002</v>
      </c>
    </row>
    <row r="643" spans="26:29" x14ac:dyDescent="0.35">
      <c r="Z643" s="4"/>
      <c r="AA643" s="4"/>
      <c r="AB643" s="4" t="e">
        <f ca="1">_xll.ciqfunctions.udf.CIQ("^SPX", "IQ_PRICEDATE", "7/12/2016")</f>
        <v>#NAME?</v>
      </c>
      <c r="AC643" s="16">
        <v>2152.1413985821</v>
      </c>
    </row>
    <row r="644" spans="26:29" x14ac:dyDescent="0.35">
      <c r="Z644" s="4"/>
      <c r="AA644" s="4"/>
      <c r="AB644" s="4" t="e">
        <f ca="1">_xll.ciqfunctions.udf.CIQ("^SPX", "IQ_PRICEDATE", "7/13/2016")</f>
        <v>#NAME?</v>
      </c>
      <c r="AC644" s="16">
        <v>2152.4256572170998</v>
      </c>
    </row>
    <row r="645" spans="26:29" x14ac:dyDescent="0.35">
      <c r="Z645" s="4"/>
      <c r="AA645" s="4"/>
      <c r="AB645" s="4" t="e">
        <f ca="1">_xll.ciqfunctions.udf.CIQ("^SPX", "IQ_PRICEDATE", "7/14/2016")</f>
        <v>#NAME?</v>
      </c>
      <c r="AC645" s="16">
        <v>2163.7475359771001</v>
      </c>
    </row>
    <row r="646" spans="26:29" x14ac:dyDescent="0.35">
      <c r="Z646" s="4"/>
      <c r="AA646" s="4"/>
      <c r="AB646" s="4" t="e">
        <f ca="1">_xll.ciqfunctions.udf.CIQ("^SPX", "IQ_PRICEDATE", "7/15/2016")</f>
        <v>#NAME?</v>
      </c>
      <c r="AC646" s="16">
        <v>2161.7413340346002</v>
      </c>
    </row>
    <row r="647" spans="26:29" x14ac:dyDescent="0.35">
      <c r="Z647" s="4"/>
      <c r="AA647" s="4"/>
      <c r="AB647" s="4" t="e">
        <f ca="1">_xll.ciqfunctions.udf.CIQ("^SPX", "IQ_PRICEDATE", "7/18/2016")</f>
        <v>#NAME?</v>
      </c>
      <c r="AC647" s="16">
        <v>2166.8905245819001</v>
      </c>
    </row>
    <row r="648" spans="26:29" x14ac:dyDescent="0.35">
      <c r="Z648" s="4"/>
      <c r="AA648" s="4"/>
      <c r="AB648" s="4" t="e">
        <f ca="1">_xll.ciqfunctions.udf.CIQ("^SPX", "IQ_PRICEDATE", "7/19/2016")</f>
        <v>#NAME?</v>
      </c>
      <c r="AC648" s="16">
        <v>2163.7810993285998</v>
      </c>
    </row>
    <row r="649" spans="26:29" x14ac:dyDescent="0.35">
      <c r="Z649" s="4"/>
      <c r="AA649" s="4"/>
      <c r="AB649" s="4" t="e">
        <f ca="1">_xll.ciqfunctions.udf.CIQ("^SPX", "IQ_PRICEDATE", "7/20/2016")</f>
        <v>#NAME?</v>
      </c>
      <c r="AC649" s="16">
        <v>2173.0172120746001</v>
      </c>
    </row>
    <row r="650" spans="26:29" x14ac:dyDescent="0.35">
      <c r="Z650" s="4"/>
      <c r="AA650" s="4"/>
      <c r="AB650" s="4" t="e">
        <f ca="1">_xll.ciqfunctions.udf.CIQ("^SPX", "IQ_PRICEDATE", "7/21/2016")</f>
        <v>#NAME?</v>
      </c>
      <c r="AC650" s="16">
        <v>2165.1682977928999</v>
      </c>
    </row>
    <row r="651" spans="26:29" x14ac:dyDescent="0.35">
      <c r="Z651" s="4"/>
      <c r="AA651" s="4"/>
      <c r="AB651" s="4" t="e">
        <f ca="1">_xll.ciqfunctions.udf.CIQ("^SPX", "IQ_PRICEDATE", "7/22/2016")</f>
        <v>#NAME?</v>
      </c>
      <c r="AC651" s="16">
        <v>2175.0290623578999</v>
      </c>
    </row>
    <row r="652" spans="26:29" x14ac:dyDescent="0.35">
      <c r="Z652" s="4"/>
      <c r="AA652" s="4"/>
      <c r="AB652" s="4" t="e">
        <f ca="1">_xll.ciqfunctions.udf.CIQ("^SPX", "IQ_PRICEDATE", "7/25/2016")</f>
        <v>#NAME?</v>
      </c>
      <c r="AC652" s="16">
        <v>2168.4790742916002</v>
      </c>
    </row>
    <row r="653" spans="26:29" x14ac:dyDescent="0.35">
      <c r="Z653" s="4"/>
      <c r="AA653" s="4"/>
      <c r="AB653" s="4" t="e">
        <f ca="1">_xll.ciqfunctions.udf.CIQ("^SPX", "IQ_PRICEDATE", "7/26/2016")</f>
        <v>#NAME?</v>
      </c>
      <c r="AC653" s="16">
        <v>2169.1751918772002</v>
      </c>
    </row>
    <row r="654" spans="26:29" x14ac:dyDescent="0.35">
      <c r="Z654" s="4"/>
      <c r="AA654" s="4"/>
      <c r="AB654" s="4" t="e">
        <f ca="1">_xll.ciqfunctions.udf.CIQ("^SPX", "IQ_PRICEDATE", "7/27/2016")</f>
        <v>#NAME?</v>
      </c>
      <c r="AC654" s="16">
        <v>2166.5804205416998</v>
      </c>
    </row>
    <row r="655" spans="26:29" x14ac:dyDescent="0.35">
      <c r="Z655" s="4"/>
      <c r="AA655" s="4"/>
      <c r="AB655" s="4" t="e">
        <f ca="1">_xll.ciqfunctions.udf.CIQ("^SPX", "IQ_PRICEDATE", "7/28/2016")</f>
        <v>#NAME?</v>
      </c>
      <c r="AC655" s="16">
        <v>2170.0562602812001</v>
      </c>
    </row>
    <row r="656" spans="26:29" x14ac:dyDescent="0.35">
      <c r="Z656" s="4"/>
      <c r="AA656" s="4"/>
      <c r="AB656" s="4" t="e">
        <f ca="1">_xll.ciqfunctions.udf.CIQ("^SPX", "IQ_PRICEDATE", "7/29/2016")</f>
        <v>#NAME?</v>
      </c>
      <c r="AC656" s="16">
        <v>2173.6038598884002</v>
      </c>
    </row>
    <row r="657" spans="26:29" x14ac:dyDescent="0.35">
      <c r="Z657" s="4"/>
      <c r="AA657" s="4"/>
      <c r="AB657" s="4" t="e">
        <f ca="1">_xll.ciqfunctions.udf.CIQ("^SPX", "IQ_PRICEDATE", "8/1/2016")</f>
        <v>#NAME?</v>
      </c>
      <c r="AC657" s="16">
        <v>2170.8363912995001</v>
      </c>
    </row>
    <row r="658" spans="26:29" x14ac:dyDescent="0.35">
      <c r="Z658" s="4"/>
      <c r="AA658" s="4"/>
      <c r="AB658" s="4" t="e">
        <f ca="1">_xll.ciqfunctions.udf.CIQ("^SPX", "IQ_PRICEDATE", "8/2/2016")</f>
        <v>#NAME?</v>
      </c>
      <c r="AC658" s="16">
        <v>2157.0286485708002</v>
      </c>
    </row>
    <row r="659" spans="26:29" x14ac:dyDescent="0.35">
      <c r="Z659" s="4"/>
      <c r="AA659" s="4"/>
      <c r="AB659" s="4" t="e">
        <f ca="1">_xll.ciqfunctions.udf.CIQ("^SPX", "IQ_PRICEDATE", "8/3/2016")</f>
        <v>#NAME?</v>
      </c>
      <c r="AC659" s="16">
        <v>2163.7936743816999</v>
      </c>
    </row>
    <row r="660" spans="26:29" x14ac:dyDescent="0.35">
      <c r="Z660" s="4"/>
      <c r="AA660" s="4"/>
      <c r="AB660" s="4" t="e">
        <f ca="1">_xll.ciqfunctions.udf.CIQ("^SPX", "IQ_PRICEDATE", "8/4/2016")</f>
        <v>#NAME?</v>
      </c>
      <c r="AC660" s="16">
        <v>2164.2521154255001</v>
      </c>
    </row>
    <row r="661" spans="26:29" x14ac:dyDescent="0.35">
      <c r="Z661" s="4"/>
      <c r="AA661" s="4"/>
      <c r="AB661" s="4" t="e">
        <f ca="1">_xll.ciqfunctions.udf.CIQ("^SPX", "IQ_PRICEDATE", "8/5/2016")</f>
        <v>#NAME?</v>
      </c>
      <c r="AC661" s="16">
        <v>2182.8683748860999</v>
      </c>
    </row>
    <row r="662" spans="26:29" x14ac:dyDescent="0.35">
      <c r="Z662" s="4"/>
      <c r="AA662" s="4"/>
      <c r="AB662" s="4" t="e">
        <f ca="1">_xll.ciqfunctions.udf.CIQ("^SPX", "IQ_PRICEDATE", "8/8/2016")</f>
        <v>#NAME?</v>
      </c>
      <c r="AC662" s="16">
        <v>2180.8851510447998</v>
      </c>
    </row>
    <row r="663" spans="26:29" x14ac:dyDescent="0.35">
      <c r="Z663" s="4"/>
      <c r="AA663" s="4"/>
      <c r="AB663" s="4" t="e">
        <f ca="1">_xll.ciqfunctions.udf.CIQ("^SPX", "IQ_PRICEDATE", "8/9/2016")</f>
        <v>#NAME?</v>
      </c>
      <c r="AC663" s="16">
        <v>2181.7356761885999</v>
      </c>
    </row>
    <row r="664" spans="26:29" x14ac:dyDescent="0.35">
      <c r="Z664" s="4"/>
      <c r="AA664" s="4"/>
      <c r="AB664" s="4" t="e">
        <f ca="1">_xll.ciqfunctions.udf.CIQ("^SPX", "IQ_PRICEDATE", "8/10/2016")</f>
        <v>#NAME?</v>
      </c>
      <c r="AC664" s="16">
        <v>2175.4865235992002</v>
      </c>
    </row>
    <row r="665" spans="26:29" x14ac:dyDescent="0.35">
      <c r="Z665" s="4"/>
      <c r="AA665" s="4"/>
      <c r="AB665" s="4" t="e">
        <f ca="1">_xll.ciqfunctions.udf.CIQ("^SPX", "IQ_PRICEDATE", "8/11/2016")</f>
        <v>#NAME?</v>
      </c>
      <c r="AC665" s="16">
        <v>2185.7930995977999</v>
      </c>
    </row>
    <row r="666" spans="26:29" x14ac:dyDescent="0.35">
      <c r="Z666" s="4"/>
      <c r="AA666" s="4"/>
      <c r="AB666" s="4" t="e">
        <f ca="1">_xll.ciqfunctions.udf.CIQ("^SPX", "IQ_PRICEDATE", "8/12/2016")</f>
        <v>#NAME?</v>
      </c>
      <c r="AC666" s="16">
        <v>2184.0509398489999</v>
      </c>
    </row>
    <row r="667" spans="26:29" x14ac:dyDescent="0.35">
      <c r="Z667" s="4"/>
      <c r="AA667" s="4"/>
      <c r="AB667" s="4" t="e">
        <f ca="1">_xll.ciqfunctions.udf.CIQ("^SPX", "IQ_PRICEDATE", "8/15/2016")</f>
        <v>#NAME?</v>
      </c>
      <c r="AC667" s="16">
        <v>2190.1494156013</v>
      </c>
    </row>
    <row r="668" spans="26:29" x14ac:dyDescent="0.35">
      <c r="Z668" s="4"/>
      <c r="AA668" s="4"/>
      <c r="AB668" s="4" t="e">
        <f ca="1">_xll.ciqfunctions.udf.CIQ("^SPX", "IQ_PRICEDATE", "8/16/2016")</f>
        <v>#NAME?</v>
      </c>
      <c r="AC668" s="16">
        <v>2178.1494548590999</v>
      </c>
    </row>
    <row r="669" spans="26:29" x14ac:dyDescent="0.35">
      <c r="Z669" s="4"/>
      <c r="AA669" s="4"/>
      <c r="AB669" s="4" t="e">
        <f ca="1">_xll.ciqfunctions.udf.CIQ("^SPX", "IQ_PRICEDATE", "8/17/2016")</f>
        <v>#NAME?</v>
      </c>
      <c r="AC669" s="16">
        <v>2182.2188888493001</v>
      </c>
    </row>
    <row r="670" spans="26:29" x14ac:dyDescent="0.35">
      <c r="Z670" s="4"/>
      <c r="AA670" s="4"/>
      <c r="AB670" s="4" t="e">
        <f ca="1">_xll.ciqfunctions.udf.CIQ("^SPX", "IQ_PRICEDATE", "8/18/2016")</f>
        <v>#NAME?</v>
      </c>
      <c r="AC670" s="16">
        <v>2187.0248849494001</v>
      </c>
    </row>
    <row r="671" spans="26:29" x14ac:dyDescent="0.35">
      <c r="Z671" s="4"/>
      <c r="AA671" s="4"/>
      <c r="AB671" s="4" t="e">
        <f ca="1">_xll.ciqfunctions.udf.CIQ("^SPX", "IQ_PRICEDATE", "8/19/2016")</f>
        <v>#NAME?</v>
      </c>
      <c r="AC671" s="16">
        <v>2183.8681547889</v>
      </c>
    </row>
    <row r="672" spans="26:29" x14ac:dyDescent="0.35">
      <c r="Z672" s="4"/>
      <c r="AA672" s="4"/>
      <c r="AB672" s="4" t="e">
        <f ca="1">_xll.ciqfunctions.udf.CIQ("^SPX", "IQ_PRICEDATE", "8/22/2016")</f>
        <v>#NAME?</v>
      </c>
      <c r="AC672" s="16">
        <v>2182.6395481375998</v>
      </c>
    </row>
    <row r="673" spans="26:29" x14ac:dyDescent="0.35">
      <c r="Z673" s="4"/>
      <c r="AA673" s="4"/>
      <c r="AB673" s="4" t="e">
        <f ca="1">_xll.ciqfunctions.udf.CIQ("^SPX", "IQ_PRICEDATE", "8/23/2016")</f>
        <v>#NAME?</v>
      </c>
      <c r="AC673" s="16">
        <v>2186.9017991116002</v>
      </c>
    </row>
    <row r="674" spans="26:29" x14ac:dyDescent="0.35">
      <c r="Z674" s="4"/>
      <c r="AA674" s="4"/>
      <c r="AB674" s="4" t="e">
        <f ca="1">_xll.ciqfunctions.udf.CIQ("^SPX", "IQ_PRICEDATE", "8/24/2016")</f>
        <v>#NAME?</v>
      </c>
      <c r="AC674" s="16">
        <v>2175.4370105135999</v>
      </c>
    </row>
    <row r="675" spans="26:29" x14ac:dyDescent="0.35">
      <c r="Z675" s="4"/>
      <c r="AA675" s="4"/>
      <c r="AB675" s="4" t="e">
        <f ca="1">_xll.ciqfunctions.udf.CIQ("^SPX", "IQ_PRICEDATE", "8/25/2016")</f>
        <v>#NAME?</v>
      </c>
      <c r="AC675" s="16">
        <v>2172.4656323201002</v>
      </c>
    </row>
    <row r="676" spans="26:29" x14ac:dyDescent="0.35">
      <c r="Z676" s="4"/>
      <c r="AA676" s="4"/>
      <c r="AB676" s="4" t="e">
        <f ca="1">_xll.ciqfunctions.udf.CIQ("^SPX", "IQ_PRICEDATE", "8/26/2016")</f>
        <v>#NAME?</v>
      </c>
      <c r="AC676" s="16">
        <v>2169.0402322675</v>
      </c>
    </row>
    <row r="677" spans="26:29" x14ac:dyDescent="0.35">
      <c r="Z677" s="4"/>
      <c r="AA677" s="4"/>
      <c r="AB677" s="4" t="e">
        <f ca="1">_xll.ciqfunctions.udf.CIQ("^SPX", "IQ_PRICEDATE", "8/29/2016")</f>
        <v>#NAME?</v>
      </c>
      <c r="AC677" s="16">
        <v>2180.3774091741002</v>
      </c>
    </row>
    <row r="678" spans="26:29" x14ac:dyDescent="0.35">
      <c r="Z678" s="4"/>
      <c r="AA678" s="4"/>
      <c r="AB678" s="4" t="e">
        <f ca="1">_xll.ciqfunctions.udf.CIQ("^SPX", "IQ_PRICEDATE", "8/30/2016")</f>
        <v>#NAME?</v>
      </c>
      <c r="AC678" s="16">
        <v>2176.1226464445999</v>
      </c>
    </row>
    <row r="679" spans="26:29" x14ac:dyDescent="0.35">
      <c r="Z679" s="4"/>
      <c r="AA679" s="4"/>
      <c r="AB679" s="4" t="e">
        <f ca="1">_xll.ciqfunctions.udf.CIQ("^SPX", "IQ_PRICEDATE", "8/31/2016")</f>
        <v>#NAME?</v>
      </c>
      <c r="AC679" s="16">
        <v>2170.9469576924998</v>
      </c>
    </row>
    <row r="680" spans="26:29" x14ac:dyDescent="0.35">
      <c r="Z680" s="4"/>
      <c r="AA680" s="4"/>
      <c r="AB680" s="4" t="e">
        <f ca="1">_xll.ciqfunctions.udf.CIQ("^SPX", "IQ_PRICEDATE", "9/1/2016")</f>
        <v>#NAME?</v>
      </c>
      <c r="AC680" s="16">
        <v>2170.8632592590002</v>
      </c>
    </row>
    <row r="681" spans="26:29" x14ac:dyDescent="0.35">
      <c r="Z681" s="4"/>
      <c r="AA681" s="4"/>
      <c r="AB681" s="4" t="e">
        <f ca="1">_xll.ciqfunctions.udf.CIQ("^SPX", "IQ_PRICEDATE", "9/2/2016")</f>
        <v>#NAME?</v>
      </c>
      <c r="AC681" s="16">
        <v>2179.9842025792</v>
      </c>
    </row>
    <row r="682" spans="26:29" x14ac:dyDescent="0.35">
      <c r="Z682" s="4"/>
      <c r="AA682" s="4"/>
      <c r="AB682" s="4" t="e">
        <f ca="1">_xll.ciqfunctions.udf.CIQ("^SPX", "IQ_PRICEDATE", "9/6/2016")</f>
        <v>#NAME?</v>
      </c>
      <c r="AC682" s="16">
        <v>2186.4767390838001</v>
      </c>
    </row>
    <row r="683" spans="26:29" x14ac:dyDescent="0.35">
      <c r="Z683" s="4"/>
      <c r="AA683" s="4"/>
      <c r="AB683" s="4" t="e">
        <f ca="1">_xll.ciqfunctions.udf.CIQ("^SPX", "IQ_PRICEDATE", "9/7/2016")</f>
        <v>#NAME?</v>
      </c>
      <c r="AC683" s="16">
        <v>2186.1587276337</v>
      </c>
    </row>
    <row r="684" spans="26:29" x14ac:dyDescent="0.35">
      <c r="Z684" s="4"/>
      <c r="AA684" s="4"/>
      <c r="AB684" s="4" t="e">
        <f ca="1">_xll.ciqfunctions.udf.CIQ("^SPX", "IQ_PRICEDATE", "9/8/2016")</f>
        <v>#NAME?</v>
      </c>
      <c r="AC684" s="16">
        <v>2181.2995503214001</v>
      </c>
    </row>
    <row r="685" spans="26:29" x14ac:dyDescent="0.35">
      <c r="Z685" s="4"/>
      <c r="AA685" s="4"/>
      <c r="AB685" s="4" t="e">
        <f ca="1">_xll.ciqfunctions.udf.CIQ("^SPX", "IQ_PRICEDATE", "9/9/2016")</f>
        <v>#NAME?</v>
      </c>
      <c r="AC685" s="16">
        <v>2127.8055738488001</v>
      </c>
    </row>
    <row r="686" spans="26:29" x14ac:dyDescent="0.35">
      <c r="Z686" s="4"/>
      <c r="AA686" s="4"/>
      <c r="AB686" s="4" t="e">
        <f ca="1">_xll.ciqfunctions.udf.CIQ("^SPX", "IQ_PRICEDATE", "9/12/2016")</f>
        <v>#NAME?</v>
      </c>
      <c r="AC686" s="16">
        <v>2159.0397160826001</v>
      </c>
    </row>
    <row r="687" spans="26:29" x14ac:dyDescent="0.35">
      <c r="Z687" s="4"/>
      <c r="AA687" s="4"/>
      <c r="AB687" s="4" t="e">
        <f ca="1">_xll.ciqfunctions.udf.CIQ("^SPX", "IQ_PRICEDATE", "9/13/2016")</f>
        <v>#NAME?</v>
      </c>
      <c r="AC687" s="16">
        <v>2127.0203746730999</v>
      </c>
    </row>
    <row r="688" spans="26:29" x14ac:dyDescent="0.35">
      <c r="Z688" s="4"/>
      <c r="AA688" s="4"/>
      <c r="AB688" s="4" t="e">
        <f ca="1">_xll.ciqfunctions.udf.CIQ("^SPX", "IQ_PRICEDATE", "9/14/2016")</f>
        <v>#NAME?</v>
      </c>
      <c r="AC688" s="16">
        <v>2125.7695405924001</v>
      </c>
    </row>
    <row r="689" spans="26:29" x14ac:dyDescent="0.35">
      <c r="Z689" s="4"/>
      <c r="AA689" s="4"/>
      <c r="AB689" s="4" t="e">
        <f ca="1">_xll.ciqfunctions.udf.CIQ("^SPX", "IQ_PRICEDATE", "9/15/2016")</f>
        <v>#NAME?</v>
      </c>
      <c r="AC689" s="16">
        <v>2147.2620362114999</v>
      </c>
    </row>
    <row r="690" spans="26:29" x14ac:dyDescent="0.35">
      <c r="Z690" s="4"/>
      <c r="AA690" s="4"/>
      <c r="AB690" s="4" t="e">
        <f ca="1">_xll.ciqfunctions.udf.CIQ("^SPX", "IQ_PRICEDATE", "9/16/2016")</f>
        <v>#NAME?</v>
      </c>
      <c r="AC690" s="16">
        <v>2139.1646030154002</v>
      </c>
    </row>
    <row r="691" spans="26:29" x14ac:dyDescent="0.35">
      <c r="Z691" s="4"/>
      <c r="AA691" s="4"/>
      <c r="AB691" s="4" t="e">
        <f ca="1">_xll.ciqfunctions.udf.CIQ("^SPX", "IQ_PRICEDATE", "9/19/2016")</f>
        <v>#NAME?</v>
      </c>
      <c r="AC691" s="16">
        <v>2139.1153606972998</v>
      </c>
    </row>
    <row r="692" spans="26:29" x14ac:dyDescent="0.35">
      <c r="Z692" s="4"/>
      <c r="AA692" s="4"/>
      <c r="AB692" s="4" t="e">
        <f ca="1">_xll.ciqfunctions.udf.CIQ("^SPX", "IQ_PRICEDATE", "9/20/2016")</f>
        <v>#NAME?</v>
      </c>
      <c r="AC692" s="16">
        <v>2139.7568144288998</v>
      </c>
    </row>
    <row r="693" spans="26:29" x14ac:dyDescent="0.35">
      <c r="Z693" s="4"/>
      <c r="AA693" s="4"/>
      <c r="AB693" s="4" t="e">
        <f ca="1">_xll.ciqfunctions.udf.CIQ("^SPX", "IQ_PRICEDATE", "9/21/2016")</f>
        <v>#NAME?</v>
      </c>
      <c r="AC693" s="16">
        <v>2163.1175907881998</v>
      </c>
    </row>
    <row r="694" spans="26:29" x14ac:dyDescent="0.35">
      <c r="Z694" s="4"/>
      <c r="AA694" s="4"/>
      <c r="AB694" s="4" t="e">
        <f ca="1">_xll.ciqfunctions.udf.CIQ("^SPX", "IQ_PRICEDATE", "9/22/2016")</f>
        <v>#NAME?</v>
      </c>
      <c r="AC694" s="16">
        <v>2177.1822491823</v>
      </c>
    </row>
    <row r="695" spans="26:29" x14ac:dyDescent="0.35">
      <c r="Z695" s="4"/>
      <c r="AA695" s="4"/>
      <c r="AB695" s="4" t="e">
        <f ca="1">_xll.ciqfunctions.udf.CIQ("^SPX", "IQ_PRICEDATE", "9/23/2016")</f>
        <v>#NAME?</v>
      </c>
      <c r="AC695" s="16">
        <v>2164.6948076179001</v>
      </c>
    </row>
    <row r="696" spans="26:29" x14ac:dyDescent="0.35">
      <c r="Z696" s="4"/>
      <c r="AA696" s="4"/>
      <c r="AB696" s="4" t="e">
        <f ca="1">_xll.ciqfunctions.udf.CIQ("^SPX", "IQ_PRICEDATE", "9/26/2016")</f>
        <v>#NAME?</v>
      </c>
      <c r="AC696" s="16">
        <v>2146.0973667349999</v>
      </c>
    </row>
    <row r="697" spans="26:29" x14ac:dyDescent="0.35">
      <c r="Z697" s="4"/>
      <c r="AA697" s="4"/>
      <c r="AB697" s="4" t="e">
        <f ca="1">_xll.ciqfunctions.udf.CIQ("^SPX", "IQ_PRICEDATE", "9/27/2016")</f>
        <v>#NAME?</v>
      </c>
      <c r="AC697" s="16">
        <v>2159.9280234305002</v>
      </c>
    </row>
    <row r="698" spans="26:29" x14ac:dyDescent="0.35">
      <c r="Z698" s="4"/>
      <c r="AA698" s="4"/>
      <c r="AB698" s="4" t="e">
        <f ca="1">_xll.ciqfunctions.udf.CIQ("^SPX", "IQ_PRICEDATE", "9/28/2016")</f>
        <v>#NAME?</v>
      </c>
      <c r="AC698" s="16">
        <v>2171.3693316110998</v>
      </c>
    </row>
    <row r="699" spans="26:29" x14ac:dyDescent="0.35">
      <c r="Z699" s="4"/>
      <c r="AA699" s="4"/>
      <c r="AB699" s="4" t="e">
        <f ca="1">_xll.ciqfunctions.udf.CIQ("^SPX", "IQ_PRICEDATE", "9/29/2016")</f>
        <v>#NAME?</v>
      </c>
      <c r="AC699" s="16">
        <v>2151.1314851124998</v>
      </c>
    </row>
    <row r="700" spans="26:29" x14ac:dyDescent="0.35">
      <c r="Z700" s="4"/>
      <c r="AA700" s="4"/>
      <c r="AB700" s="4" t="e">
        <f ca="1">_xll.ciqfunctions.udf.CIQ("^SPX", "IQ_PRICEDATE", "9/30/2016")</f>
        <v>#NAME?</v>
      </c>
      <c r="AC700" s="16">
        <v>2168.2720896372998</v>
      </c>
    </row>
    <row r="701" spans="26:29" x14ac:dyDescent="0.35">
      <c r="Z701" s="4"/>
      <c r="AA701" s="4"/>
      <c r="AB701" s="4" t="e">
        <f ca="1">_xll.ciqfunctions.udf.CIQ("^SPX", "IQ_PRICEDATE", "10/3/2016")</f>
        <v>#NAME?</v>
      </c>
      <c r="AC701" s="16">
        <v>2161.1966867189999</v>
      </c>
    </row>
    <row r="702" spans="26:29" x14ac:dyDescent="0.35">
      <c r="Z702" s="4"/>
      <c r="AA702" s="4"/>
      <c r="AB702" s="4" t="e">
        <f ca="1">_xll.ciqfunctions.udf.CIQ("^SPX", "IQ_PRICEDATE", "10/4/2016")</f>
        <v>#NAME?</v>
      </c>
      <c r="AC702" s="16">
        <v>2150.4896004998</v>
      </c>
    </row>
    <row r="703" spans="26:29" x14ac:dyDescent="0.35">
      <c r="Z703" s="4"/>
      <c r="AA703" s="4"/>
      <c r="AB703" s="4" t="e">
        <f ca="1">_xll.ciqfunctions.udf.CIQ("^SPX", "IQ_PRICEDATE", "10/5/2016")</f>
        <v>#NAME?</v>
      </c>
      <c r="AC703" s="16">
        <v>2159.7279982</v>
      </c>
    </row>
    <row r="704" spans="26:29" x14ac:dyDescent="0.35">
      <c r="Z704" s="4"/>
      <c r="AA704" s="4"/>
      <c r="AB704" s="4" t="e">
        <f ca="1">_xll.ciqfunctions.udf.CIQ("^SPX", "IQ_PRICEDATE", "10/6/2016")</f>
        <v>#NAME?</v>
      </c>
      <c r="AC704" s="16">
        <v>2160.7718256122998</v>
      </c>
    </row>
    <row r="705" spans="26:29" x14ac:dyDescent="0.35">
      <c r="Z705" s="4"/>
      <c r="AA705" s="4"/>
      <c r="AB705" s="4" t="e">
        <f ca="1">_xll.ciqfunctions.udf.CIQ("^SPX", "IQ_PRICEDATE", "10/7/2016")</f>
        <v>#NAME?</v>
      </c>
      <c r="AC705" s="16">
        <v>2153.7393634283999</v>
      </c>
    </row>
    <row r="706" spans="26:29" x14ac:dyDescent="0.35">
      <c r="Z706" s="4"/>
      <c r="AA706" s="4"/>
      <c r="AB706" s="4" t="e">
        <f ca="1">_xll.ciqfunctions.udf.CIQ("^SPX", "IQ_PRICEDATE", "10/10/2016")</f>
        <v>#NAME?</v>
      </c>
      <c r="AC706" s="16">
        <v>2163.6606952522998</v>
      </c>
    </row>
    <row r="707" spans="26:29" x14ac:dyDescent="0.35">
      <c r="Z707" s="4"/>
      <c r="AA707" s="4"/>
      <c r="AB707" s="4" t="e">
        <f ca="1">_xll.ciqfunctions.udf.CIQ("^SPX", "IQ_PRICEDATE", "10/11/2016")</f>
        <v>#NAME?</v>
      </c>
      <c r="AC707" s="16">
        <v>2136.7261901291999</v>
      </c>
    </row>
    <row r="708" spans="26:29" x14ac:dyDescent="0.35">
      <c r="Z708" s="4"/>
      <c r="AA708" s="4"/>
      <c r="AB708" s="4" t="e">
        <f ca="1">_xll.ciqfunctions.udf.CIQ("^SPX", "IQ_PRICEDATE", "10/12/2016")</f>
        <v>#NAME?</v>
      </c>
      <c r="AC708" s="16">
        <v>2139.1764014525002</v>
      </c>
    </row>
    <row r="709" spans="26:29" x14ac:dyDescent="0.35">
      <c r="Z709" s="4"/>
      <c r="AA709" s="4"/>
      <c r="AB709" s="4" t="e">
        <f ca="1">_xll.ciqfunctions.udf.CIQ("^SPX", "IQ_PRICEDATE", "10/13/2016")</f>
        <v>#NAME?</v>
      </c>
      <c r="AC709" s="16">
        <v>2132.5464922646001</v>
      </c>
    </row>
    <row r="710" spans="26:29" x14ac:dyDescent="0.35">
      <c r="Z710" s="4"/>
      <c r="AA710" s="4"/>
      <c r="AB710" s="4" t="e">
        <f ca="1">_xll.ciqfunctions.udf.CIQ("^SPX", "IQ_PRICEDATE", "10/14/2016")</f>
        <v>#NAME?</v>
      </c>
      <c r="AC710" s="16">
        <v>2132.9784650791999</v>
      </c>
    </row>
    <row r="711" spans="26:29" x14ac:dyDescent="0.35">
      <c r="Z711" s="4"/>
      <c r="AA711" s="4"/>
      <c r="AB711" s="4" t="e">
        <f ca="1">_xll.ciqfunctions.udf.CIQ("^SPX", "IQ_PRICEDATE", "10/17/2016")</f>
        <v>#NAME?</v>
      </c>
      <c r="AC711" s="16">
        <v>2126.5033388248999</v>
      </c>
    </row>
    <row r="712" spans="26:29" x14ac:dyDescent="0.35">
      <c r="Z712" s="4"/>
      <c r="AA712" s="4"/>
      <c r="AB712" s="4" t="e">
        <f ca="1">_xll.ciqfunctions.udf.CIQ("^SPX", "IQ_PRICEDATE", "10/18/2016")</f>
        <v>#NAME?</v>
      </c>
      <c r="AC712" s="16">
        <v>2139.6040838805998</v>
      </c>
    </row>
    <row r="713" spans="26:29" x14ac:dyDescent="0.35">
      <c r="Z713" s="4"/>
      <c r="AA713" s="4"/>
      <c r="AB713" s="4" t="e">
        <f ca="1">_xll.ciqfunctions.udf.CIQ("^SPX", "IQ_PRICEDATE", "10/19/2016")</f>
        <v>#NAME?</v>
      </c>
      <c r="AC713" s="16">
        <v>2144.29028913</v>
      </c>
    </row>
    <row r="714" spans="26:29" x14ac:dyDescent="0.35">
      <c r="Z714" s="4"/>
      <c r="AA714" s="4"/>
      <c r="AB714" s="4" t="e">
        <f ca="1">_xll.ciqfunctions.udf.CIQ("^SPX", "IQ_PRICEDATE", "10/20/2016")</f>
        <v>#NAME?</v>
      </c>
      <c r="AC714" s="16">
        <v>2141.3439113742002</v>
      </c>
    </row>
    <row r="715" spans="26:29" x14ac:dyDescent="0.35">
      <c r="Z715" s="4"/>
      <c r="AA715" s="4"/>
      <c r="AB715" s="4" t="e">
        <f ca="1">_xll.ciqfunctions.udf.CIQ("^SPX", "IQ_PRICEDATE", "10/21/2016")</f>
        <v>#NAME?</v>
      </c>
      <c r="AC715" s="16">
        <v>2141.1619114369</v>
      </c>
    </row>
    <row r="716" spans="26:29" x14ac:dyDescent="0.35">
      <c r="Z716" s="4"/>
      <c r="AA716" s="4"/>
      <c r="AB716" s="4" t="e">
        <f ca="1">_xll.ciqfunctions.udf.CIQ("^SPX", "IQ_PRICEDATE", "10/24/2016")</f>
        <v>#NAME?</v>
      </c>
      <c r="AC716" s="16">
        <v>2151.3326381175002</v>
      </c>
    </row>
    <row r="717" spans="26:29" x14ac:dyDescent="0.35">
      <c r="Z717" s="4"/>
      <c r="AA717" s="4"/>
      <c r="AB717" s="4" t="e">
        <f ca="1">_xll.ciqfunctions.udf.CIQ("^SPX", "IQ_PRICEDATE", "10/25/2016")</f>
        <v>#NAME?</v>
      </c>
      <c r="AC717" s="16">
        <v>2143.1597105159999</v>
      </c>
    </row>
    <row r="718" spans="26:29" x14ac:dyDescent="0.35">
      <c r="Z718" s="4"/>
      <c r="AA718" s="4"/>
      <c r="AB718" s="4" t="e">
        <f ca="1">_xll.ciqfunctions.udf.CIQ("^SPX", "IQ_PRICEDATE", "10/26/2016")</f>
        <v>#NAME?</v>
      </c>
      <c r="AC718" s="16">
        <v>2139.4269739450001</v>
      </c>
    </row>
    <row r="719" spans="26:29" x14ac:dyDescent="0.35">
      <c r="Z719" s="4"/>
      <c r="AA719" s="4"/>
      <c r="AB719" s="4" t="e">
        <f ca="1">_xll.ciqfunctions.udf.CIQ("^SPX", "IQ_PRICEDATE", "10/27/2016")</f>
        <v>#NAME?</v>
      </c>
      <c r="AC719" s="16">
        <v>2133.0354951606</v>
      </c>
    </row>
    <row r="720" spans="26:29" x14ac:dyDescent="0.35">
      <c r="Z720" s="4"/>
      <c r="AA720" s="4"/>
      <c r="AB720" s="4" t="e">
        <f ca="1">_xll.ciqfunctions.udf.CIQ("^SPX", "IQ_PRICEDATE", "10/28/2016")</f>
        <v>#NAME?</v>
      </c>
      <c r="AC720" s="16">
        <v>2126.4075651100002</v>
      </c>
    </row>
    <row r="721" spans="26:29" x14ac:dyDescent="0.35">
      <c r="Z721" s="4"/>
      <c r="AA721" s="4"/>
      <c r="AB721" s="4" t="e">
        <f ca="1">_xll.ciqfunctions.udf.CIQ("^SPX", "IQ_PRICEDATE", "10/31/2016")</f>
        <v>#NAME?</v>
      </c>
      <c r="AC721" s="16">
        <v>2126.1532970297999</v>
      </c>
    </row>
    <row r="722" spans="26:29" x14ac:dyDescent="0.35">
      <c r="Z722" s="4"/>
      <c r="AA722" s="4"/>
      <c r="AB722" s="4" t="e">
        <f ca="1">_xll.ciqfunctions.udf.CIQ("^SPX", "IQ_PRICEDATE", "11/1/2016")</f>
        <v>#NAME?</v>
      </c>
      <c r="AC722" s="16">
        <v>2111.7225883933002</v>
      </c>
    </row>
    <row r="723" spans="26:29" x14ac:dyDescent="0.35">
      <c r="Z723" s="4"/>
      <c r="AA723" s="4"/>
      <c r="AB723" s="4" t="e">
        <f ca="1">_xll.ciqfunctions.udf.CIQ("^SPX", "IQ_PRICEDATE", "11/2/2016")</f>
        <v>#NAME?</v>
      </c>
      <c r="AC723" s="16">
        <v>2097.9437710837001</v>
      </c>
    </row>
    <row r="724" spans="26:29" x14ac:dyDescent="0.35">
      <c r="Z724" s="4"/>
      <c r="AA724" s="4"/>
      <c r="AB724" s="4" t="e">
        <f ca="1">_xll.ciqfunctions.udf.CIQ("^SPX", "IQ_PRICEDATE", "11/3/2016")</f>
        <v>#NAME?</v>
      </c>
      <c r="AC724" s="16">
        <v>2088.6635939239</v>
      </c>
    </row>
    <row r="725" spans="26:29" x14ac:dyDescent="0.35">
      <c r="Z725" s="4"/>
      <c r="AA725" s="4"/>
      <c r="AB725" s="4" t="e">
        <f ca="1">_xll.ciqfunctions.udf.CIQ("^SPX", "IQ_PRICEDATE", "11/4/2016")</f>
        <v>#NAME?</v>
      </c>
      <c r="AC725" s="16">
        <v>2085.1763769763002</v>
      </c>
    </row>
    <row r="726" spans="26:29" x14ac:dyDescent="0.35">
      <c r="Z726" s="4"/>
      <c r="AA726" s="4"/>
      <c r="AB726" s="4" t="e">
        <f ca="1">_xll.ciqfunctions.udf.CIQ("^SPX", "IQ_PRICEDATE", "11/7/2016")</f>
        <v>#NAME?</v>
      </c>
      <c r="AC726" s="16">
        <v>2131.5235684473</v>
      </c>
    </row>
    <row r="727" spans="26:29" x14ac:dyDescent="0.35">
      <c r="Z727" s="4"/>
      <c r="AA727" s="4"/>
      <c r="AB727" s="4" t="e">
        <f ca="1">_xll.ciqfunctions.udf.CIQ("^SPX", "IQ_PRICEDATE", "11/8/2016")</f>
        <v>#NAME?</v>
      </c>
      <c r="AC727" s="16">
        <v>2139.5630090412001</v>
      </c>
    </row>
    <row r="728" spans="26:29" x14ac:dyDescent="0.35">
      <c r="Z728" s="4"/>
      <c r="AA728" s="4"/>
      <c r="AB728" s="4" t="e">
        <f ca="1">_xll.ciqfunctions.udf.CIQ("^SPX", "IQ_PRICEDATE", "11/9/2016")</f>
        <v>#NAME?</v>
      </c>
      <c r="AC728" s="16">
        <v>2163.2579034201999</v>
      </c>
    </row>
    <row r="729" spans="26:29" x14ac:dyDescent="0.35">
      <c r="Z729" s="4"/>
      <c r="AA729" s="4"/>
      <c r="AB729" s="4" t="e">
        <f ca="1">_xll.ciqfunctions.udf.CIQ("^SPX", "IQ_PRICEDATE", "11/10/2016")</f>
        <v>#NAME?</v>
      </c>
      <c r="AC729" s="16">
        <v>2167.4781297492</v>
      </c>
    </row>
    <row r="730" spans="26:29" x14ac:dyDescent="0.35">
      <c r="Z730" s="4"/>
      <c r="AA730" s="4"/>
      <c r="AB730" s="4" t="e">
        <f ca="1">_xll.ciqfunctions.udf.CIQ("^SPX", "IQ_PRICEDATE", "11/11/2016")</f>
        <v>#NAME?</v>
      </c>
      <c r="AC730" s="16">
        <v>2164.4507501910002</v>
      </c>
    </row>
    <row r="731" spans="26:29" x14ac:dyDescent="0.35">
      <c r="Z731" s="4"/>
      <c r="AA731" s="4"/>
      <c r="AB731" s="4" t="e">
        <f ca="1">_xll.ciqfunctions.udf.CIQ("^SPX", "IQ_PRICEDATE", "11/14/2016")</f>
        <v>#NAME?</v>
      </c>
      <c r="AC731" s="16">
        <v>2164.2033007483001</v>
      </c>
    </row>
    <row r="732" spans="26:29" x14ac:dyDescent="0.35">
      <c r="Z732" s="4"/>
      <c r="AA732" s="4"/>
      <c r="AB732" s="4" t="e">
        <f ca="1">_xll.ciqfunctions.udf.CIQ("^SPX", "IQ_PRICEDATE", "11/15/2016")</f>
        <v>#NAME?</v>
      </c>
      <c r="AC732" s="16">
        <v>2180.3888273936</v>
      </c>
    </row>
    <row r="733" spans="26:29" x14ac:dyDescent="0.35">
      <c r="Z733" s="4"/>
      <c r="AA733" s="4"/>
      <c r="AB733" s="4" t="e">
        <f ca="1">_xll.ciqfunctions.udf.CIQ("^SPX", "IQ_PRICEDATE", "11/16/2016")</f>
        <v>#NAME?</v>
      </c>
      <c r="AC733" s="16">
        <v>2176.9409032715998</v>
      </c>
    </row>
    <row r="734" spans="26:29" x14ac:dyDescent="0.35">
      <c r="Z734" s="4"/>
      <c r="AA734" s="4"/>
      <c r="AB734" s="4" t="e">
        <f ca="1">_xll.ciqfunctions.udf.CIQ("^SPX", "IQ_PRICEDATE", "11/17/2016")</f>
        <v>#NAME?</v>
      </c>
      <c r="AC734" s="16">
        <v>2187.1210897609999</v>
      </c>
    </row>
    <row r="735" spans="26:29" x14ac:dyDescent="0.35">
      <c r="Z735" s="4"/>
      <c r="AA735" s="4"/>
      <c r="AB735" s="4" t="e">
        <f ca="1">_xll.ciqfunctions.udf.CIQ("^SPX", "IQ_PRICEDATE", "11/18/2016")</f>
        <v>#NAME?</v>
      </c>
      <c r="AC735" s="16">
        <v>2181.9017869641998</v>
      </c>
    </row>
    <row r="736" spans="26:29" x14ac:dyDescent="0.35">
      <c r="Z736" s="4"/>
      <c r="AA736" s="4"/>
      <c r="AB736" s="4" t="e">
        <f ca="1">_xll.ciqfunctions.udf.CIQ("^SPX", "IQ_PRICEDATE", "11/21/2016")</f>
        <v>#NAME?</v>
      </c>
      <c r="AC736" s="16">
        <v>2198.1827069851001</v>
      </c>
    </row>
    <row r="737" spans="26:29" x14ac:dyDescent="0.35">
      <c r="Z737" s="4"/>
      <c r="AA737" s="4"/>
      <c r="AB737" s="4" t="e">
        <f ca="1">_xll.ciqfunctions.udf.CIQ("^SPX", "IQ_PRICEDATE", "11/22/2016")</f>
        <v>#NAME?</v>
      </c>
      <c r="AC737" s="16">
        <v>2202.9368195779002</v>
      </c>
    </row>
    <row r="738" spans="26:29" x14ac:dyDescent="0.35">
      <c r="Z738" s="4"/>
      <c r="AA738" s="4"/>
      <c r="AB738" s="4" t="e">
        <f ca="1">_xll.ciqfunctions.udf.CIQ("^SPX", "IQ_PRICEDATE", "11/23/2016")</f>
        <v>#NAME?</v>
      </c>
      <c r="AC738" s="16">
        <v>2204.7229400811002</v>
      </c>
    </row>
    <row r="739" spans="26:29" x14ac:dyDescent="0.35">
      <c r="Z739" s="4"/>
      <c r="AA739" s="4"/>
      <c r="AB739" s="4" t="e">
        <f ca="1">_xll.ciqfunctions.udf.CIQ("^SPX", "IQ_PRICEDATE", "11/25/2016")</f>
        <v>#NAME?</v>
      </c>
      <c r="AC739" s="16">
        <v>2213.3485684312</v>
      </c>
    </row>
    <row r="740" spans="26:29" x14ac:dyDescent="0.35">
      <c r="Z740" s="4"/>
      <c r="AA740" s="4"/>
      <c r="AB740" s="4" t="e">
        <f ca="1">_xll.ciqfunctions.udf.CIQ("^SPX", "IQ_PRICEDATE", "11/28/2016")</f>
        <v>#NAME?</v>
      </c>
      <c r="AC740" s="16">
        <v>2201.7204991551998</v>
      </c>
    </row>
    <row r="741" spans="26:29" x14ac:dyDescent="0.35">
      <c r="Z741" s="4"/>
      <c r="AA741" s="4"/>
      <c r="AB741" s="4" t="e">
        <f ca="1">_xll.ciqfunctions.udf.CIQ("^SPX", "IQ_PRICEDATE", "11/29/2016")</f>
        <v>#NAME?</v>
      </c>
      <c r="AC741" s="16">
        <v>2204.6616627014</v>
      </c>
    </row>
    <row r="742" spans="26:29" x14ac:dyDescent="0.35">
      <c r="Z742" s="4"/>
      <c r="AA742" s="4"/>
      <c r="AB742" s="4" t="e">
        <f ca="1">_xll.ciqfunctions.udf.CIQ("^SPX", "IQ_PRICEDATE", "11/30/2016")</f>
        <v>#NAME?</v>
      </c>
      <c r="AC742" s="16">
        <v>2198.810449088</v>
      </c>
    </row>
    <row r="743" spans="26:29" x14ac:dyDescent="0.35">
      <c r="Z743" s="4"/>
      <c r="AA743" s="4"/>
      <c r="AB743" s="4" t="e">
        <f ca="1">_xll.ciqfunctions.udf.CIQ("^SPX", "IQ_PRICEDATE", "12/1/2016")</f>
        <v>#NAME?</v>
      </c>
      <c r="AC743" s="16">
        <v>2191.0829567188998</v>
      </c>
    </row>
    <row r="744" spans="26:29" x14ac:dyDescent="0.35">
      <c r="Z744" s="4"/>
      <c r="AA744" s="4"/>
      <c r="AB744" s="4" t="e">
        <f ca="1">_xll.ciqfunctions.udf.CIQ("^SPX", "IQ_PRICEDATE", "12/2/2016")</f>
        <v>#NAME?</v>
      </c>
      <c r="AC744" s="16">
        <v>2191.9536671015999</v>
      </c>
    </row>
    <row r="745" spans="26:29" x14ac:dyDescent="0.35">
      <c r="Z745" s="4"/>
      <c r="AA745" s="4"/>
      <c r="AB745" s="4" t="e">
        <f ca="1">_xll.ciqfunctions.udf.CIQ("^SPX", "IQ_PRICEDATE", "12/5/2016")</f>
        <v>#NAME?</v>
      </c>
      <c r="AC745" s="16">
        <v>2204.7053873538998</v>
      </c>
    </row>
    <row r="746" spans="26:29" x14ac:dyDescent="0.35">
      <c r="Z746" s="4"/>
      <c r="AA746" s="4"/>
      <c r="AB746" s="4" t="e">
        <f ca="1">_xll.ciqfunctions.udf.CIQ("^SPX", "IQ_PRICEDATE", "12/6/2016")</f>
        <v>#NAME?</v>
      </c>
      <c r="AC746" s="16">
        <v>2212.2307766723002</v>
      </c>
    </row>
    <row r="747" spans="26:29" x14ac:dyDescent="0.35">
      <c r="Z747" s="4"/>
      <c r="AA747" s="4"/>
      <c r="AB747" s="4" t="e">
        <f ca="1">_xll.ciqfunctions.udf.CIQ("^SPX", "IQ_PRICEDATE", "12/7/2016")</f>
        <v>#NAME?</v>
      </c>
      <c r="AC747" s="16">
        <v>2241.3546435787998</v>
      </c>
    </row>
    <row r="748" spans="26:29" x14ac:dyDescent="0.35">
      <c r="Z748" s="4"/>
      <c r="AA748" s="4"/>
      <c r="AB748" s="4" t="e">
        <f ca="1">_xll.ciqfunctions.udf.CIQ("^SPX", "IQ_PRICEDATE", "12/8/2016")</f>
        <v>#NAME?</v>
      </c>
      <c r="AC748" s="16">
        <v>2246.1878043501001</v>
      </c>
    </row>
    <row r="749" spans="26:29" x14ac:dyDescent="0.35">
      <c r="Z749" s="4"/>
      <c r="AA749" s="4"/>
      <c r="AB749" s="4" t="e">
        <f ca="1">_xll.ciqfunctions.udf.CIQ("^SPX", "IQ_PRICEDATE", "12/9/2016")</f>
        <v>#NAME?</v>
      </c>
      <c r="AC749" s="16">
        <v>2259.5286768649999</v>
      </c>
    </row>
    <row r="750" spans="26:29" x14ac:dyDescent="0.35">
      <c r="Z750" s="4"/>
      <c r="AA750" s="4"/>
      <c r="AB750" s="4" t="e">
        <f ca="1">_xll.ciqfunctions.udf.CIQ("^SPX", "IQ_PRICEDATE", "12/12/2016")</f>
        <v>#NAME?</v>
      </c>
      <c r="AC750" s="16">
        <v>2256.9632050081</v>
      </c>
    </row>
    <row r="751" spans="26:29" x14ac:dyDescent="0.35">
      <c r="Z751" s="4"/>
      <c r="AA751" s="4"/>
      <c r="AB751" s="4" t="e">
        <f ca="1">_xll.ciqfunctions.udf.CIQ("^SPX", "IQ_PRICEDATE", "12/13/2016")</f>
        <v>#NAME?</v>
      </c>
      <c r="AC751" s="16">
        <v>2271.7208298142</v>
      </c>
    </row>
    <row r="752" spans="26:29" x14ac:dyDescent="0.35">
      <c r="Z752" s="4"/>
      <c r="AA752" s="4"/>
      <c r="AB752" s="4" t="e">
        <f ca="1">_xll.ciqfunctions.udf.CIQ("^SPX", "IQ_PRICEDATE", "12/14/2016")</f>
        <v>#NAME?</v>
      </c>
      <c r="AC752" s="16">
        <v>2253.2786260766002</v>
      </c>
    </row>
    <row r="753" spans="26:29" x14ac:dyDescent="0.35">
      <c r="Z753" s="4"/>
      <c r="AA753" s="4"/>
      <c r="AB753" s="4" t="e">
        <f ca="1">_xll.ciqfunctions.udf.CIQ("^SPX", "IQ_PRICEDATE", "12/15/2016")</f>
        <v>#NAME?</v>
      </c>
      <c r="AC753" s="16">
        <v>2262.0311726028999</v>
      </c>
    </row>
    <row r="754" spans="26:29" x14ac:dyDescent="0.35">
      <c r="Z754" s="4"/>
      <c r="AA754" s="4"/>
      <c r="AB754" s="4" t="e">
        <f ca="1">_xll.ciqfunctions.udf.CIQ("^SPX", "IQ_PRICEDATE", "12/16/2016")</f>
        <v>#NAME?</v>
      </c>
      <c r="AC754" s="16">
        <v>2258.0724023327998</v>
      </c>
    </row>
    <row r="755" spans="26:29" x14ac:dyDescent="0.35">
      <c r="Z755" s="4"/>
      <c r="AA755" s="4"/>
      <c r="AB755" s="4" t="e">
        <f ca="1">_xll.ciqfunctions.udf.CIQ("^SPX", "IQ_PRICEDATE", "12/19/2016")</f>
        <v>#NAME?</v>
      </c>
      <c r="AC755" s="16">
        <v>2262.5322334957</v>
      </c>
    </row>
    <row r="756" spans="26:29" x14ac:dyDescent="0.35">
      <c r="Z756" s="4"/>
      <c r="AA756" s="4"/>
      <c r="AB756" s="4" t="e">
        <f ca="1">_xll.ciqfunctions.udf.CIQ("^SPX", "IQ_PRICEDATE", "12/20/2016")</f>
        <v>#NAME?</v>
      </c>
      <c r="AC756" s="16">
        <v>2270.7616665307</v>
      </c>
    </row>
    <row r="757" spans="26:29" x14ac:dyDescent="0.35">
      <c r="Z757" s="4"/>
      <c r="AA757" s="4"/>
      <c r="AB757" s="4" t="e">
        <f ca="1">_xll.ciqfunctions.udf.CIQ("^SPX", "IQ_PRICEDATE", "12/21/2016")</f>
        <v>#NAME?</v>
      </c>
      <c r="AC757" s="16">
        <v>2265.1799185451</v>
      </c>
    </row>
    <row r="758" spans="26:29" x14ac:dyDescent="0.35">
      <c r="Z758" s="4"/>
      <c r="AA758" s="4"/>
      <c r="AB758" s="4" t="e">
        <f ca="1">_xll.ciqfunctions.udf.CIQ("^SPX", "IQ_PRICEDATE", "12/22/2016")</f>
        <v>#NAME?</v>
      </c>
      <c r="AC758" s="16">
        <v>2260.9571890423999</v>
      </c>
    </row>
    <row r="759" spans="26:29" x14ac:dyDescent="0.35">
      <c r="Z759" s="4"/>
      <c r="AA759" s="4"/>
      <c r="AB759" s="4" t="e">
        <f ca="1">_xll.ciqfunctions.udf.CIQ("^SPX", "IQ_PRICEDATE", "12/23/2016")</f>
        <v>#NAME?</v>
      </c>
      <c r="AC759" s="16">
        <v>2263.7886585509</v>
      </c>
    </row>
    <row r="760" spans="26:29" x14ac:dyDescent="0.35">
      <c r="Z760" s="4"/>
      <c r="AA760" s="4"/>
      <c r="AB760" s="4" t="e">
        <f ca="1">_xll.ciqfunctions.udf.CIQ("^SPX", "IQ_PRICEDATE", "12/27/2016")</f>
        <v>#NAME?</v>
      </c>
      <c r="AC760" s="16">
        <v>2268.8754977453</v>
      </c>
    </row>
    <row r="761" spans="26:29" x14ac:dyDescent="0.35">
      <c r="Z761" s="4"/>
      <c r="AA761" s="4"/>
      <c r="AB761" s="4" t="e">
        <f ca="1">_xll.ciqfunctions.udf.CIQ("^SPX", "IQ_PRICEDATE", "12/28/2016")</f>
        <v>#NAME?</v>
      </c>
      <c r="AC761" s="16">
        <v>2249.9226157214998</v>
      </c>
    </row>
    <row r="762" spans="26:29" x14ac:dyDescent="0.35">
      <c r="Z762" s="4"/>
      <c r="AA762" s="4"/>
      <c r="AB762" s="4" t="e">
        <f ca="1">_xll.ciqfunctions.udf.CIQ("^SPX", "IQ_PRICEDATE", "12/29/2016")</f>
        <v>#NAME?</v>
      </c>
      <c r="AC762" s="16">
        <v>2249.2567692778998</v>
      </c>
    </row>
    <row r="763" spans="26:29" x14ac:dyDescent="0.35">
      <c r="Z763" s="4"/>
      <c r="AA763" s="4"/>
      <c r="AB763" s="4" t="e">
        <f ca="1">_xll.ciqfunctions.udf.CIQ("^SPX", "IQ_PRICEDATE", "12/30/2016")</f>
        <v>#NAME?</v>
      </c>
      <c r="AC763" s="16">
        <v>2238.8266817076001</v>
      </c>
    </row>
    <row r="764" spans="26:29" x14ac:dyDescent="0.35">
      <c r="Z764" s="4"/>
      <c r="AA764" s="4"/>
      <c r="AB764" s="4" t="e">
        <f ca="1">_xll.ciqfunctions.udf.CIQ("^SPX", "IQ_PRICEDATE", "1/3/2017")</f>
        <v>#NAME?</v>
      </c>
      <c r="AC764" s="16">
        <v>2257.8280264107998</v>
      </c>
    </row>
    <row r="765" spans="26:29" x14ac:dyDescent="0.35">
      <c r="Z765" s="4"/>
      <c r="AA765" s="4"/>
      <c r="AB765" s="4" t="e">
        <f ca="1">_xll.ciqfunctions.udf.CIQ("^SPX", "IQ_PRICEDATE", "1/4/2017")</f>
        <v>#NAME?</v>
      </c>
      <c r="AC765" s="16">
        <v>2270.7525300621</v>
      </c>
    </row>
    <row r="766" spans="26:29" x14ac:dyDescent="0.35">
      <c r="Z766" s="4"/>
      <c r="AA766" s="4"/>
      <c r="AB766" s="4" t="e">
        <f ca="1">_xll.ciqfunctions.udf.CIQ("^SPX", "IQ_PRICEDATE", "1/5/2017")</f>
        <v>#NAME?</v>
      </c>
      <c r="AC766" s="16">
        <v>2268.9985049367001</v>
      </c>
    </row>
    <row r="767" spans="26:29" x14ac:dyDescent="0.35">
      <c r="Z767" s="4"/>
      <c r="AA767" s="4"/>
      <c r="AB767" s="4" t="e">
        <f ca="1">_xll.ciqfunctions.udf.CIQ("^SPX", "IQ_PRICEDATE", "1/6/2017")</f>
        <v>#NAME?</v>
      </c>
      <c r="AC767" s="16">
        <v>2276.9814445621</v>
      </c>
    </row>
    <row r="768" spans="26:29" x14ac:dyDescent="0.35">
      <c r="Z768" s="4"/>
      <c r="AA768" s="4"/>
      <c r="AB768" s="4" t="e">
        <f ca="1">_xll.ciqfunctions.udf.CIQ("^SPX", "IQ_PRICEDATE", "1/9/2017")</f>
        <v>#NAME?</v>
      </c>
      <c r="AC768" s="16">
        <v>2268.9042127008001</v>
      </c>
    </row>
    <row r="769" spans="26:29" x14ac:dyDescent="0.35">
      <c r="Z769" s="4"/>
      <c r="AA769" s="4"/>
      <c r="AB769" s="4" t="e">
        <f ca="1">_xll.ciqfunctions.udf.CIQ("^SPX", "IQ_PRICEDATE", "1/10/2017")</f>
        <v>#NAME?</v>
      </c>
      <c r="AC769" s="16">
        <v>2268.8994521366999</v>
      </c>
    </row>
    <row r="770" spans="26:29" x14ac:dyDescent="0.35">
      <c r="Z770" s="4"/>
      <c r="AA770" s="4"/>
      <c r="AB770" s="4" t="e">
        <f ca="1">_xll.ciqfunctions.udf.CIQ("^SPX", "IQ_PRICEDATE", "1/11/2017")</f>
        <v>#NAME?</v>
      </c>
      <c r="AC770" s="16">
        <v>2275.3158782679998</v>
      </c>
    </row>
    <row r="771" spans="26:29" x14ac:dyDescent="0.35">
      <c r="Z771" s="4"/>
      <c r="AA771" s="4"/>
      <c r="AB771" s="4" t="e">
        <f ca="1">_xll.ciqfunctions.udf.CIQ("^SPX", "IQ_PRICEDATE", "1/12/2017")</f>
        <v>#NAME?</v>
      </c>
      <c r="AC771" s="16">
        <v>2270.4428671565001</v>
      </c>
    </row>
    <row r="772" spans="26:29" x14ac:dyDescent="0.35">
      <c r="Z772" s="4"/>
      <c r="AA772" s="4"/>
      <c r="AB772" s="4" t="e">
        <f ca="1">_xll.ciqfunctions.udf.CIQ("^SPX", "IQ_PRICEDATE", "1/13/2017")</f>
        <v>#NAME?</v>
      </c>
      <c r="AC772" s="16">
        <v>2274.6377428952001</v>
      </c>
    </row>
    <row r="773" spans="26:29" x14ac:dyDescent="0.35">
      <c r="Z773" s="4"/>
      <c r="AA773" s="4"/>
      <c r="AB773" s="4" t="e">
        <f ca="1">_xll.ciqfunctions.udf.CIQ("^SPX", "IQ_PRICEDATE", "1/17/2017")</f>
        <v>#NAME?</v>
      </c>
      <c r="AC773" s="16">
        <v>2267.8886336767</v>
      </c>
    </row>
    <row r="774" spans="26:29" x14ac:dyDescent="0.35">
      <c r="Z774" s="4"/>
      <c r="AA774" s="4"/>
      <c r="AB774" s="4" t="e">
        <f ca="1">_xll.ciqfunctions.udf.CIQ("^SPX", "IQ_PRICEDATE", "1/18/2017")</f>
        <v>#NAME?</v>
      </c>
      <c r="AC774" s="16">
        <v>2271.889368823</v>
      </c>
    </row>
    <row r="775" spans="26:29" x14ac:dyDescent="0.35">
      <c r="Z775" s="4"/>
      <c r="AA775" s="4"/>
      <c r="AB775" s="4" t="e">
        <f ca="1">_xll.ciqfunctions.udf.CIQ("^SPX", "IQ_PRICEDATE", "1/19/2017")</f>
        <v>#NAME?</v>
      </c>
      <c r="AC775" s="16">
        <v>2263.6867803261998</v>
      </c>
    </row>
    <row r="776" spans="26:29" x14ac:dyDescent="0.35">
      <c r="Z776" s="4"/>
      <c r="AA776" s="4"/>
      <c r="AB776" s="4" t="e">
        <f ca="1">_xll.ciqfunctions.udf.CIQ("^SPX", "IQ_PRICEDATE", "1/20/2017")</f>
        <v>#NAME?</v>
      </c>
      <c r="AC776" s="16">
        <v>2271.3147292376998</v>
      </c>
    </row>
    <row r="777" spans="26:29" x14ac:dyDescent="0.35">
      <c r="Z777" s="4"/>
      <c r="AA777" s="4"/>
      <c r="AB777" s="4" t="e">
        <f ca="1">_xll.ciqfunctions.udf.CIQ("^SPX", "IQ_PRICEDATE", "1/23/2017")</f>
        <v>#NAME?</v>
      </c>
      <c r="AC777" s="16">
        <v>2265.2002060514001</v>
      </c>
    </row>
    <row r="778" spans="26:29" x14ac:dyDescent="0.35">
      <c r="Z778" s="4"/>
      <c r="AA778" s="4"/>
      <c r="AB778" s="4" t="e">
        <f ca="1">_xll.ciqfunctions.udf.CIQ("^SPX", "IQ_PRICEDATE", "1/24/2017")</f>
        <v>#NAME?</v>
      </c>
      <c r="AC778" s="16">
        <v>2280.0741724414002</v>
      </c>
    </row>
    <row r="779" spans="26:29" x14ac:dyDescent="0.35">
      <c r="Z779" s="4"/>
      <c r="AA779" s="4"/>
      <c r="AB779" s="4" t="e">
        <f ca="1">_xll.ciqfunctions.udf.CIQ("^SPX", "IQ_PRICEDATE", "1/25/2017")</f>
        <v>#NAME?</v>
      </c>
      <c r="AC779" s="16">
        <v>2298.3674030979</v>
      </c>
    </row>
    <row r="780" spans="26:29" x14ac:dyDescent="0.35">
      <c r="Z780" s="4"/>
      <c r="AA780" s="4"/>
      <c r="AB780" s="4" t="e">
        <f ca="1">_xll.ciqfunctions.udf.CIQ("^SPX", "IQ_PRICEDATE", "1/26/2017")</f>
        <v>#NAME?</v>
      </c>
      <c r="AC780" s="16">
        <v>2296.680835659</v>
      </c>
    </row>
    <row r="781" spans="26:29" x14ac:dyDescent="0.35">
      <c r="Z781" s="4"/>
      <c r="AA781" s="4"/>
      <c r="AB781" s="4" t="e">
        <f ca="1">_xll.ciqfunctions.udf.CIQ("^SPX", "IQ_PRICEDATE", "1/27/2017")</f>
        <v>#NAME?</v>
      </c>
      <c r="AC781" s="16">
        <v>2294.6897289069002</v>
      </c>
    </row>
    <row r="782" spans="26:29" x14ac:dyDescent="0.35">
      <c r="Z782" s="4"/>
      <c r="AA782" s="4"/>
      <c r="AB782" s="4" t="e">
        <f ca="1">_xll.ciqfunctions.udf.CIQ("^SPX", "IQ_PRICEDATE", "1/30/2017")</f>
        <v>#NAME?</v>
      </c>
      <c r="AC782" s="16">
        <v>2280.896292119</v>
      </c>
    </row>
    <row r="783" spans="26:29" x14ac:dyDescent="0.35">
      <c r="Z783" s="4"/>
      <c r="AA783" s="4"/>
      <c r="AB783" s="4" t="e">
        <f ca="1">_xll.ciqfunctions.udf.CIQ("^SPX", "IQ_PRICEDATE", "1/31/2017")</f>
        <v>#NAME?</v>
      </c>
      <c r="AC783" s="16">
        <v>2278.8668906139001</v>
      </c>
    </row>
    <row r="784" spans="26:29" x14ac:dyDescent="0.35">
      <c r="Z784" s="4"/>
      <c r="AA784" s="4"/>
      <c r="AB784" s="4" t="e">
        <f ca="1">_xll.ciqfunctions.udf.CIQ("^SPX", "IQ_PRICEDATE", "2/1/2017")</f>
        <v>#NAME?</v>
      </c>
      <c r="AC784" s="16">
        <v>2279.5542905152001</v>
      </c>
    </row>
    <row r="785" spans="26:29" x14ac:dyDescent="0.35">
      <c r="Z785" s="4"/>
      <c r="AA785" s="4"/>
      <c r="AB785" s="4" t="e">
        <f ca="1">_xll.ciqfunctions.udf.CIQ("^SPX", "IQ_PRICEDATE", "2/2/2017")</f>
        <v>#NAME?</v>
      </c>
      <c r="AC785" s="16">
        <v>2280.8503539918001</v>
      </c>
    </row>
    <row r="786" spans="26:29" x14ac:dyDescent="0.35">
      <c r="Z786" s="4"/>
      <c r="AA786" s="4"/>
      <c r="AB786" s="4" t="e">
        <f ca="1">_xll.ciqfunctions.udf.CIQ("^SPX", "IQ_PRICEDATE", "2/3/2017")</f>
        <v>#NAME?</v>
      </c>
      <c r="AC786" s="16">
        <v>2297.4158570560999</v>
      </c>
    </row>
    <row r="787" spans="26:29" x14ac:dyDescent="0.35">
      <c r="Z787" s="4"/>
      <c r="AA787" s="4"/>
      <c r="AB787" s="4" t="e">
        <f ca="1">_xll.ciqfunctions.udf.CIQ("^SPX", "IQ_PRICEDATE", "2/6/2017")</f>
        <v>#NAME?</v>
      </c>
      <c r="AC787" s="16">
        <v>2292.5583856443</v>
      </c>
    </row>
    <row r="788" spans="26:29" x14ac:dyDescent="0.35">
      <c r="Z788" s="4"/>
      <c r="AA788" s="4"/>
      <c r="AB788" s="4" t="e">
        <f ca="1">_xll.ciqfunctions.udf.CIQ("^SPX", "IQ_PRICEDATE", "2/7/2017")</f>
        <v>#NAME?</v>
      </c>
      <c r="AC788" s="16">
        <v>2293.0810794510999</v>
      </c>
    </row>
    <row r="789" spans="26:29" x14ac:dyDescent="0.35">
      <c r="Z789" s="4"/>
      <c r="AA789" s="4"/>
      <c r="AB789" s="4" t="e">
        <f ca="1">_xll.ciqfunctions.udf.CIQ("^SPX", "IQ_PRICEDATE", "2/8/2017")</f>
        <v>#NAME?</v>
      </c>
      <c r="AC789" s="16">
        <v>2294.6686139671001</v>
      </c>
    </row>
    <row r="790" spans="26:29" x14ac:dyDescent="0.35">
      <c r="Z790" s="4"/>
      <c r="AA790" s="4"/>
      <c r="AB790" s="4" t="e">
        <f ca="1">_xll.ciqfunctions.udf.CIQ("^SPX", "IQ_PRICEDATE", "2/9/2017")</f>
        <v>#NAME?</v>
      </c>
      <c r="AC790" s="16">
        <v>2307.8746485800002</v>
      </c>
    </row>
    <row r="791" spans="26:29" x14ac:dyDescent="0.35">
      <c r="Z791" s="4"/>
      <c r="AA791" s="4"/>
      <c r="AB791" s="4" t="e">
        <f ca="1">_xll.ciqfunctions.udf.CIQ("^SPX", "IQ_PRICEDATE", "2/10/2017")</f>
        <v>#NAME?</v>
      </c>
      <c r="AC791" s="16">
        <v>2316.0970695871001</v>
      </c>
    </row>
    <row r="792" spans="26:29" x14ac:dyDescent="0.35">
      <c r="Z792" s="4"/>
      <c r="AA792" s="4"/>
      <c r="AB792" s="4" t="e">
        <f ca="1">_xll.ciqfunctions.udf.CIQ("^SPX", "IQ_PRICEDATE", "2/13/2017")</f>
        <v>#NAME?</v>
      </c>
      <c r="AC792" s="16">
        <v>2328.2532652969999</v>
      </c>
    </row>
    <row r="793" spans="26:29" x14ac:dyDescent="0.35">
      <c r="Z793" s="4"/>
      <c r="AA793" s="4"/>
      <c r="AB793" s="4" t="e">
        <f ca="1">_xll.ciqfunctions.udf.CIQ("^SPX", "IQ_PRICEDATE", "2/14/2017")</f>
        <v>#NAME?</v>
      </c>
      <c r="AC793" s="16">
        <v>2337.5845739169999</v>
      </c>
    </row>
    <row r="794" spans="26:29" x14ac:dyDescent="0.35">
      <c r="Z794" s="4"/>
      <c r="AA794" s="4"/>
      <c r="AB794" s="4" t="e">
        <f ca="1">_xll.ciqfunctions.udf.CIQ("^SPX", "IQ_PRICEDATE", "2/15/2017")</f>
        <v>#NAME?</v>
      </c>
      <c r="AC794" s="16">
        <v>2349.2474085381</v>
      </c>
    </row>
    <row r="795" spans="26:29" x14ac:dyDescent="0.35">
      <c r="Z795" s="4"/>
      <c r="AA795" s="4"/>
      <c r="AB795" s="4" t="e">
        <f ca="1">_xll.ciqfunctions.udf.CIQ("^SPX", "IQ_PRICEDATE", "2/16/2017")</f>
        <v>#NAME?</v>
      </c>
      <c r="AC795" s="16">
        <v>2347.2235385903</v>
      </c>
    </row>
    <row r="796" spans="26:29" x14ac:dyDescent="0.35">
      <c r="Z796" s="4"/>
      <c r="AA796" s="4"/>
      <c r="AB796" s="4" t="e">
        <f ca="1">_xll.ciqfunctions.udf.CIQ("^SPX", "IQ_PRICEDATE", "2/17/2017")</f>
        <v>#NAME?</v>
      </c>
      <c r="AC796" s="16">
        <v>2351.1616992230001</v>
      </c>
    </row>
    <row r="797" spans="26:29" x14ac:dyDescent="0.35">
      <c r="Z797" s="4"/>
      <c r="AA797" s="4"/>
      <c r="AB797" s="4" t="e">
        <f ca="1">_xll.ciqfunctions.udf.CIQ("^SPX", "IQ_PRICEDATE", "2/21/2017")</f>
        <v>#NAME?</v>
      </c>
      <c r="AC797" s="16">
        <v>2365.3827239303</v>
      </c>
    </row>
    <row r="798" spans="26:29" x14ac:dyDescent="0.35">
      <c r="Z798" s="4"/>
      <c r="AA798" s="4"/>
      <c r="AB798" s="4" t="e">
        <f ca="1">_xll.ciqfunctions.udf.CIQ("^SPX", "IQ_PRICEDATE", "2/22/2017")</f>
        <v>#NAME?</v>
      </c>
      <c r="AC798" s="16">
        <v>2362.8215256018998</v>
      </c>
    </row>
    <row r="799" spans="26:29" x14ac:dyDescent="0.35">
      <c r="Z799" s="4"/>
      <c r="AA799" s="4"/>
      <c r="AB799" s="4" t="e">
        <f ca="1">_xll.ciqfunctions.udf.CIQ("^SPX", "IQ_PRICEDATE", "2/23/2017")</f>
        <v>#NAME?</v>
      </c>
      <c r="AC799" s="16">
        <v>2363.8066507957001</v>
      </c>
    </row>
    <row r="800" spans="26:29" x14ac:dyDescent="0.35">
      <c r="Z800" s="4"/>
      <c r="AA800" s="4"/>
      <c r="AB800" s="4" t="e">
        <f ca="1">_xll.ciqfunctions.udf.CIQ("^SPX", "IQ_PRICEDATE", "2/24/2017")</f>
        <v>#NAME?</v>
      </c>
      <c r="AC800" s="16">
        <v>2367.3442469725001</v>
      </c>
    </row>
    <row r="801" spans="26:29" x14ac:dyDescent="0.35">
      <c r="Z801" s="4"/>
      <c r="AA801" s="4"/>
      <c r="AB801" s="4" t="e">
        <f ca="1">_xll.ciqfunctions.udf.CIQ("^SPX", "IQ_PRICEDATE", "2/27/2017")</f>
        <v>#NAME?</v>
      </c>
      <c r="AC801" s="16">
        <v>2369.7502934271001</v>
      </c>
    </row>
    <row r="802" spans="26:29" x14ac:dyDescent="0.35">
      <c r="Z802" s="4"/>
      <c r="AA802" s="4"/>
      <c r="AB802" s="4" t="e">
        <f ca="1">_xll.ciqfunctions.udf.CIQ("^SPX", "IQ_PRICEDATE", "2/28/2017")</f>
        <v>#NAME?</v>
      </c>
      <c r="AC802" s="16">
        <v>2363.6381971289002</v>
      </c>
    </row>
    <row r="803" spans="26:29" x14ac:dyDescent="0.35">
      <c r="Z803" s="4"/>
      <c r="AA803" s="4"/>
      <c r="AB803" s="4" t="e">
        <f ca="1">_xll.ciqfunctions.udf.CIQ("^SPX", "IQ_PRICEDATE", "3/1/2017")</f>
        <v>#NAME?</v>
      </c>
      <c r="AC803" s="16">
        <v>2395.9571420635998</v>
      </c>
    </row>
    <row r="804" spans="26:29" x14ac:dyDescent="0.35">
      <c r="Z804" s="4"/>
      <c r="AA804" s="4"/>
      <c r="AB804" s="4" t="e">
        <f ca="1">_xll.ciqfunctions.udf.CIQ("^SPX", "IQ_PRICEDATE", "3/2/2017")</f>
        <v>#NAME?</v>
      </c>
      <c r="AC804" s="16">
        <v>2381.9182073411998</v>
      </c>
    </row>
    <row r="805" spans="26:29" x14ac:dyDescent="0.35">
      <c r="Z805" s="4"/>
      <c r="AA805" s="4"/>
      <c r="AB805" s="4" t="e">
        <f ca="1">_xll.ciqfunctions.udf.CIQ("^SPX", "IQ_PRICEDATE", "3/3/2017")</f>
        <v>#NAME?</v>
      </c>
      <c r="AC805" s="16">
        <v>2383.1170365799999</v>
      </c>
    </row>
    <row r="806" spans="26:29" x14ac:dyDescent="0.35">
      <c r="Z806" s="4"/>
      <c r="AA806" s="4"/>
      <c r="AB806" s="4" t="e">
        <f ca="1">_xll.ciqfunctions.udf.CIQ("^SPX", "IQ_PRICEDATE", "3/6/2017")</f>
        <v>#NAME?</v>
      </c>
      <c r="AC806" s="16">
        <v>2375.3111240962999</v>
      </c>
    </row>
    <row r="807" spans="26:29" x14ac:dyDescent="0.35">
      <c r="Z807" s="4"/>
      <c r="AA807" s="4"/>
      <c r="AB807" s="4" t="e">
        <f ca="1">_xll.ciqfunctions.udf.CIQ("^SPX", "IQ_PRICEDATE", "3/7/2017")</f>
        <v>#NAME?</v>
      </c>
      <c r="AC807" s="16">
        <v>2368.3942101840998</v>
      </c>
    </row>
    <row r="808" spans="26:29" x14ac:dyDescent="0.35">
      <c r="Z808" s="4"/>
      <c r="AA808" s="4"/>
      <c r="AB808" s="4" t="e">
        <f ca="1">_xll.ciqfunctions.udf.CIQ("^SPX", "IQ_PRICEDATE", "3/8/2017")</f>
        <v>#NAME?</v>
      </c>
      <c r="AC808" s="16">
        <v>2362.9769963468998</v>
      </c>
    </row>
    <row r="809" spans="26:29" x14ac:dyDescent="0.35">
      <c r="Z809" s="4"/>
      <c r="AA809" s="4"/>
      <c r="AB809" s="4" t="e">
        <f ca="1">_xll.ciqfunctions.udf.CIQ("^SPX", "IQ_PRICEDATE", "3/9/2017")</f>
        <v>#NAME?</v>
      </c>
      <c r="AC809" s="16">
        <v>2364.8697868442</v>
      </c>
    </row>
    <row r="810" spans="26:29" x14ac:dyDescent="0.35">
      <c r="Z810" s="4"/>
      <c r="AA810" s="4"/>
      <c r="AB810" s="4" t="e">
        <f ca="1">_xll.ciqfunctions.udf.CIQ("^SPX", "IQ_PRICEDATE", "3/10/2017")</f>
        <v>#NAME?</v>
      </c>
      <c r="AC810" s="16">
        <v>2372.5977517652</v>
      </c>
    </row>
    <row r="811" spans="26:29" x14ac:dyDescent="0.35">
      <c r="Z811" s="4"/>
      <c r="AA811" s="4"/>
      <c r="AB811" s="4" t="e">
        <f ca="1">_xll.ciqfunctions.udf.CIQ("^SPX", "IQ_PRICEDATE", "3/13/2017")</f>
        <v>#NAME?</v>
      </c>
      <c r="AC811" s="16">
        <v>2373.4729821412002</v>
      </c>
    </row>
    <row r="812" spans="26:29" x14ac:dyDescent="0.35">
      <c r="Z812" s="4"/>
      <c r="AA812" s="4"/>
      <c r="AB812" s="4" t="e">
        <f ca="1">_xll.ciqfunctions.udf.CIQ("^SPX", "IQ_PRICEDATE", "3/14/2017")</f>
        <v>#NAME?</v>
      </c>
      <c r="AC812" s="16">
        <v>2365.4548960461002</v>
      </c>
    </row>
    <row r="813" spans="26:29" x14ac:dyDescent="0.35">
      <c r="Z813" s="4"/>
      <c r="AA813" s="4"/>
      <c r="AB813" s="4" t="e">
        <f ca="1">_xll.ciqfunctions.udf.CIQ("^SPX", "IQ_PRICEDATE", "3/15/2017")</f>
        <v>#NAME?</v>
      </c>
      <c r="AC813" s="16">
        <v>2385.2644650697998</v>
      </c>
    </row>
    <row r="814" spans="26:29" x14ac:dyDescent="0.35">
      <c r="Z814" s="4"/>
      <c r="AA814" s="4"/>
      <c r="AB814" s="4" t="e">
        <f ca="1">_xll.ciqfunctions.udf.CIQ("^SPX", "IQ_PRICEDATE", "3/16/2017")</f>
        <v>#NAME?</v>
      </c>
      <c r="AC814" s="16">
        <v>2381.3822478676002</v>
      </c>
    </row>
    <row r="815" spans="26:29" x14ac:dyDescent="0.35">
      <c r="Z815" s="4"/>
      <c r="AA815" s="4"/>
      <c r="AB815" s="4" t="e">
        <f ca="1">_xll.ciqfunctions.udf.CIQ("^SPX", "IQ_PRICEDATE", "3/17/2017")</f>
        <v>#NAME?</v>
      </c>
      <c r="AC815" s="16">
        <v>2378.2530512992998</v>
      </c>
    </row>
    <row r="816" spans="26:29" x14ac:dyDescent="0.35">
      <c r="Z816" s="4"/>
      <c r="AA816" s="4"/>
      <c r="AB816" s="4" t="e">
        <f ca="1">_xll.ciqfunctions.udf.CIQ("^SPX", "IQ_PRICEDATE", "3/20/2017")</f>
        <v>#NAME?</v>
      </c>
      <c r="AC816" s="16">
        <v>2373.4716089251001</v>
      </c>
    </row>
    <row r="817" spans="26:29" x14ac:dyDescent="0.35">
      <c r="Z817" s="4"/>
      <c r="AA817" s="4"/>
      <c r="AB817" s="4" t="e">
        <f ca="1">_xll.ciqfunctions.udf.CIQ("^SPX", "IQ_PRICEDATE", "3/21/2017")</f>
        <v>#NAME?</v>
      </c>
      <c r="AC817" s="16">
        <v>2344.0171188897998</v>
      </c>
    </row>
    <row r="818" spans="26:29" x14ac:dyDescent="0.35">
      <c r="Z818" s="4"/>
      <c r="AA818" s="4"/>
      <c r="AB818" s="4" t="e">
        <f ca="1">_xll.ciqfunctions.udf.CIQ("^SPX", "IQ_PRICEDATE", "3/22/2017")</f>
        <v>#NAME?</v>
      </c>
      <c r="AC818" s="16">
        <v>2348.4488358253998</v>
      </c>
    </row>
    <row r="819" spans="26:29" x14ac:dyDescent="0.35">
      <c r="Z819" s="4"/>
      <c r="AA819" s="4"/>
      <c r="AB819" s="4" t="e">
        <f ca="1">_xll.ciqfunctions.udf.CIQ("^SPX", "IQ_PRICEDATE", "3/23/2017")</f>
        <v>#NAME?</v>
      </c>
      <c r="AC819" s="16">
        <v>2345.9621629387998</v>
      </c>
    </row>
    <row r="820" spans="26:29" x14ac:dyDescent="0.35">
      <c r="Z820" s="4"/>
      <c r="AA820" s="4"/>
      <c r="AB820" s="4" t="e">
        <f ca="1">_xll.ciqfunctions.udf.CIQ("^SPX", "IQ_PRICEDATE", "3/24/2017")</f>
        <v>#NAME?</v>
      </c>
      <c r="AC820" s="16">
        <v>2343.9781399113999</v>
      </c>
    </row>
    <row r="821" spans="26:29" x14ac:dyDescent="0.35">
      <c r="Z821" s="4"/>
      <c r="AA821" s="4"/>
      <c r="AB821" s="4" t="e">
        <f ca="1">_xll.ciqfunctions.udf.CIQ("^SPX", "IQ_PRICEDATE", "3/27/2017")</f>
        <v>#NAME?</v>
      </c>
      <c r="AC821" s="16">
        <v>2341.5905947084002</v>
      </c>
    </row>
    <row r="822" spans="26:29" x14ac:dyDescent="0.35">
      <c r="Z822" s="4"/>
      <c r="AA822" s="4"/>
      <c r="AB822" s="4" t="e">
        <f ca="1">_xll.ciqfunctions.udf.CIQ("^SPX", "IQ_PRICEDATE", "3/28/2017")</f>
        <v>#NAME?</v>
      </c>
      <c r="AC822" s="16">
        <v>2358.5664621082001</v>
      </c>
    </row>
    <row r="823" spans="26:29" x14ac:dyDescent="0.35">
      <c r="Z823" s="4"/>
      <c r="AA823" s="4"/>
      <c r="AB823" s="4" t="e">
        <f ca="1">_xll.ciqfunctions.udf.CIQ("^SPX", "IQ_PRICEDATE", "3/29/2017")</f>
        <v>#NAME?</v>
      </c>
      <c r="AC823" s="16">
        <v>2361.1329611063002</v>
      </c>
    </row>
    <row r="824" spans="26:29" x14ac:dyDescent="0.35">
      <c r="Z824" s="4"/>
      <c r="AA824" s="4"/>
      <c r="AB824" s="4" t="e">
        <f ca="1">_xll.ciqfunctions.udf.CIQ("^SPX", "IQ_PRICEDATE", "3/30/2017")</f>
        <v>#NAME?</v>
      </c>
      <c r="AC824" s="16">
        <v>2368.0605682130999</v>
      </c>
    </row>
    <row r="825" spans="26:29" x14ac:dyDescent="0.35">
      <c r="Z825" s="4"/>
      <c r="AA825" s="4"/>
      <c r="AB825" s="4" t="e">
        <f ca="1">_xll.ciqfunctions.udf.CIQ("^SPX", "IQ_PRICEDATE", "3/31/2017")</f>
        <v>#NAME?</v>
      </c>
      <c r="AC825" s="16">
        <v>2362.7182203972998</v>
      </c>
    </row>
    <row r="826" spans="26:29" x14ac:dyDescent="0.35">
      <c r="Z826" s="4"/>
      <c r="AA826" s="4"/>
      <c r="AB826" s="4" t="e">
        <f ca="1">_xll.ciqfunctions.udf.CIQ("^SPX", "IQ_PRICEDATE", "4/3/2017")</f>
        <v>#NAME?</v>
      </c>
      <c r="AC826" s="16">
        <v>2358.8350901079998</v>
      </c>
    </row>
    <row r="827" spans="26:29" x14ac:dyDescent="0.35">
      <c r="Z827" s="4"/>
      <c r="AA827" s="4"/>
      <c r="AB827" s="4" t="e">
        <f ca="1">_xll.ciqfunctions.udf.CIQ("^SPX", "IQ_PRICEDATE", "4/4/2017")</f>
        <v>#NAME?</v>
      </c>
      <c r="AC827" s="16">
        <v>2360.1556906116998</v>
      </c>
    </row>
    <row r="828" spans="26:29" x14ac:dyDescent="0.35">
      <c r="Z828" s="4"/>
      <c r="AA828" s="4"/>
      <c r="AB828" s="4" t="e">
        <f ca="1">_xll.ciqfunctions.udf.CIQ("^SPX", "IQ_PRICEDATE", "4/5/2017")</f>
        <v>#NAME?</v>
      </c>
      <c r="AC828" s="16">
        <v>2352.9481905326002</v>
      </c>
    </row>
    <row r="829" spans="26:29" x14ac:dyDescent="0.35">
      <c r="Z829" s="4"/>
      <c r="AA829" s="4"/>
      <c r="AB829" s="4" t="e">
        <f ca="1">_xll.ciqfunctions.udf.CIQ("^SPX", "IQ_PRICEDATE", "4/6/2017")</f>
        <v>#NAME?</v>
      </c>
      <c r="AC829" s="16">
        <v>2357.4890699420998</v>
      </c>
    </row>
    <row r="830" spans="26:29" x14ac:dyDescent="0.35">
      <c r="Z830" s="4"/>
      <c r="AA830" s="4"/>
      <c r="AB830" s="4" t="e">
        <f ca="1">_xll.ciqfunctions.udf.CIQ("^SPX", "IQ_PRICEDATE", "4/7/2017")</f>
        <v>#NAME?</v>
      </c>
      <c r="AC830" s="16">
        <v>2355.5449917134001</v>
      </c>
    </row>
    <row r="831" spans="26:29" x14ac:dyDescent="0.35">
      <c r="Z831" s="4"/>
      <c r="AA831" s="4"/>
      <c r="AB831" s="4" t="e">
        <f ca="1">_xll.ciqfunctions.udf.CIQ("^SPX", "IQ_PRICEDATE", "4/10/2017")</f>
        <v>#NAME?</v>
      </c>
      <c r="AC831" s="16">
        <v>2357.1633808413999</v>
      </c>
    </row>
    <row r="832" spans="26:29" x14ac:dyDescent="0.35">
      <c r="Z832" s="4"/>
      <c r="AA832" s="4"/>
      <c r="AB832" s="4" t="e">
        <f ca="1">_xll.ciqfunctions.udf.CIQ("^SPX", "IQ_PRICEDATE", "4/11/2017")</f>
        <v>#NAME?</v>
      </c>
      <c r="AC832" s="16">
        <v>2353.7769915017998</v>
      </c>
    </row>
    <row r="833" spans="26:29" x14ac:dyDescent="0.35">
      <c r="Z833" s="4"/>
      <c r="AA833" s="4"/>
      <c r="AB833" s="4" t="e">
        <f ca="1">_xll.ciqfunctions.udf.CIQ("^SPX", "IQ_PRICEDATE", "4/12/2017")</f>
        <v>#NAME?</v>
      </c>
      <c r="AC833" s="16">
        <v>2344.926332342</v>
      </c>
    </row>
    <row r="834" spans="26:29" x14ac:dyDescent="0.35">
      <c r="Z834" s="4"/>
      <c r="AA834" s="4"/>
      <c r="AB834" s="4" t="e">
        <f ca="1">_xll.ciqfunctions.udf.CIQ("^SPX", "IQ_PRICEDATE", "4/13/2017")</f>
        <v>#NAME?</v>
      </c>
      <c r="AC834" s="16">
        <v>2328.9533474916002</v>
      </c>
    </row>
    <row r="835" spans="26:29" x14ac:dyDescent="0.35">
      <c r="Z835" s="4"/>
      <c r="AA835" s="4"/>
      <c r="AB835" s="4" t="e">
        <f ca="1">_xll.ciqfunctions.udf.CIQ("^SPX", "IQ_PRICEDATE", "4/17/2017")</f>
        <v>#NAME?</v>
      </c>
      <c r="AC835" s="16">
        <v>2349.0102206680999</v>
      </c>
    </row>
    <row r="836" spans="26:29" x14ac:dyDescent="0.35">
      <c r="Z836" s="4"/>
      <c r="AA836" s="4"/>
      <c r="AB836" s="4" t="e">
        <f ca="1">_xll.ciqfunctions.udf.CIQ("^SPX", "IQ_PRICEDATE", "4/18/2017")</f>
        <v>#NAME?</v>
      </c>
      <c r="AC836" s="16">
        <v>2342.1878312869999</v>
      </c>
    </row>
    <row r="837" spans="26:29" x14ac:dyDescent="0.35">
      <c r="Z837" s="4"/>
      <c r="AA837" s="4"/>
      <c r="AB837" s="4" t="e">
        <f ca="1">_xll.ciqfunctions.udf.CIQ("^SPX", "IQ_PRICEDATE", "4/19/2017")</f>
        <v>#NAME?</v>
      </c>
      <c r="AC837" s="16">
        <v>2338.16598759</v>
      </c>
    </row>
    <row r="838" spans="26:29" x14ac:dyDescent="0.35">
      <c r="Z838" s="4"/>
      <c r="AA838" s="4"/>
      <c r="AB838" s="4" t="e">
        <f ca="1">_xll.ciqfunctions.udf.CIQ("^SPX", "IQ_PRICEDATE", "4/20/2017")</f>
        <v>#NAME?</v>
      </c>
      <c r="AC838" s="16">
        <v>2355.8440804402999</v>
      </c>
    </row>
    <row r="839" spans="26:29" x14ac:dyDescent="0.35">
      <c r="Z839" s="4"/>
      <c r="AA839" s="4"/>
      <c r="AB839" s="4" t="e">
        <f ca="1">_xll.ciqfunctions.udf.CIQ("^SPX", "IQ_PRICEDATE", "4/21/2017")</f>
        <v>#NAME?</v>
      </c>
      <c r="AC839" s="16">
        <v>2348.6949580619998</v>
      </c>
    </row>
    <row r="840" spans="26:29" x14ac:dyDescent="0.35">
      <c r="Z840" s="4"/>
      <c r="AA840" s="4"/>
      <c r="AB840" s="4" t="e">
        <f ca="1">_xll.ciqfunctions.udf.CIQ("^SPX", "IQ_PRICEDATE", "4/24/2017")</f>
        <v>#NAME?</v>
      </c>
      <c r="AC840" s="16">
        <v>2374.1506911319002</v>
      </c>
    </row>
    <row r="841" spans="26:29" x14ac:dyDescent="0.35">
      <c r="Z841" s="4"/>
      <c r="AA841" s="4"/>
      <c r="AB841" s="4" t="e">
        <f ca="1">_xll.ciqfunctions.udf.CIQ("^SPX", "IQ_PRICEDATE", "4/25/2017")</f>
        <v>#NAME?</v>
      </c>
      <c r="AC841" s="16">
        <v>2388.6149249553</v>
      </c>
    </row>
    <row r="842" spans="26:29" x14ac:dyDescent="0.35">
      <c r="Z842" s="4"/>
      <c r="AA842" s="4"/>
      <c r="AB842" s="4" t="e">
        <f ca="1">_xll.ciqfunctions.udf.CIQ("^SPX", "IQ_PRICEDATE", "4/26/2017")</f>
        <v>#NAME?</v>
      </c>
      <c r="AC842" s="16">
        <v>2387.4479308863001</v>
      </c>
    </row>
    <row r="843" spans="26:29" x14ac:dyDescent="0.35">
      <c r="Z843" s="4"/>
      <c r="AA843" s="4"/>
      <c r="AB843" s="4" t="e">
        <f ca="1">_xll.ciqfunctions.udf.CIQ("^SPX", "IQ_PRICEDATE", "4/27/2017")</f>
        <v>#NAME?</v>
      </c>
      <c r="AC843" s="16">
        <v>2388.7688361317</v>
      </c>
    </row>
    <row r="844" spans="26:29" x14ac:dyDescent="0.35">
      <c r="Z844" s="4"/>
      <c r="AA844" s="4"/>
      <c r="AB844" s="4" t="e">
        <f ca="1">_xll.ciqfunctions.udf.CIQ("^SPX", "IQ_PRICEDATE", "4/28/2017")</f>
        <v>#NAME?</v>
      </c>
      <c r="AC844" s="16">
        <v>2384.1955178138001</v>
      </c>
    </row>
    <row r="845" spans="26:29" x14ac:dyDescent="0.35">
      <c r="Z845" s="4"/>
      <c r="AA845" s="4"/>
      <c r="AB845" s="4" t="e">
        <f ca="1">_xll.ciqfunctions.udf.CIQ("^SPX", "IQ_PRICEDATE", "5/1/2017")</f>
        <v>#NAME?</v>
      </c>
      <c r="AC845" s="16">
        <v>2388.3271850824999</v>
      </c>
    </row>
    <row r="846" spans="26:29" x14ac:dyDescent="0.35">
      <c r="Z846" s="4"/>
      <c r="AA846" s="4"/>
      <c r="AB846" s="4" t="e">
        <f ca="1">_xll.ciqfunctions.udf.CIQ("^SPX", "IQ_PRICEDATE", "5/2/2017")</f>
        <v>#NAME?</v>
      </c>
      <c r="AC846" s="16">
        <v>2391.1659415048998</v>
      </c>
    </row>
    <row r="847" spans="26:29" x14ac:dyDescent="0.35">
      <c r="Z847" s="4"/>
      <c r="AA847" s="4"/>
      <c r="AB847" s="4" t="e">
        <f ca="1">_xll.ciqfunctions.udf.CIQ("^SPX", "IQ_PRICEDATE", "5/3/2017")</f>
        <v>#NAME?</v>
      </c>
      <c r="AC847" s="16">
        <v>2388.1348932934002</v>
      </c>
    </row>
    <row r="848" spans="26:29" x14ac:dyDescent="0.35">
      <c r="Z848" s="4"/>
      <c r="AA848" s="4"/>
      <c r="AB848" s="4" t="e">
        <f ca="1">_xll.ciqfunctions.udf.CIQ("^SPX", "IQ_PRICEDATE", "5/4/2017")</f>
        <v>#NAME?</v>
      </c>
      <c r="AC848" s="16">
        <v>2389.5216607773</v>
      </c>
    </row>
    <row r="849" spans="26:29" x14ac:dyDescent="0.35">
      <c r="Z849" s="4"/>
      <c r="AA849" s="4"/>
      <c r="AB849" s="4" t="e">
        <f ca="1">_xll.ciqfunctions.udf.CIQ("^SPX", "IQ_PRICEDATE", "5/5/2017")</f>
        <v>#NAME?</v>
      </c>
      <c r="AC849" s="16">
        <v>2399.2857104250002</v>
      </c>
    </row>
    <row r="850" spans="26:29" x14ac:dyDescent="0.35">
      <c r="Z850" s="4"/>
      <c r="AA850" s="4"/>
      <c r="AB850" s="4" t="e">
        <f ca="1">_xll.ciqfunctions.udf.CIQ("^SPX", "IQ_PRICEDATE", "5/8/2017")</f>
        <v>#NAME?</v>
      </c>
      <c r="AC850" s="16">
        <v>2399.3773292577998</v>
      </c>
    </row>
    <row r="851" spans="26:29" x14ac:dyDescent="0.35">
      <c r="Z851" s="4"/>
      <c r="AA851" s="4"/>
      <c r="AB851" s="4" t="e">
        <f ca="1">_xll.ciqfunctions.udf.CIQ("^SPX", "IQ_PRICEDATE", "5/9/2017")</f>
        <v>#NAME?</v>
      </c>
      <c r="AC851" s="16">
        <v>2396.9194242874</v>
      </c>
    </row>
    <row r="852" spans="26:29" x14ac:dyDescent="0.35">
      <c r="Z852" s="4"/>
      <c r="AA852" s="4"/>
      <c r="AB852" s="4" t="e">
        <f ca="1">_xll.ciqfunctions.udf.CIQ("^SPX", "IQ_PRICEDATE", "5/10/2017")</f>
        <v>#NAME?</v>
      </c>
      <c r="AC852" s="16">
        <v>2399.6299593671001</v>
      </c>
    </row>
    <row r="853" spans="26:29" x14ac:dyDescent="0.35">
      <c r="Z853" s="4"/>
      <c r="AA853" s="4"/>
      <c r="AB853" s="4" t="e">
        <f ca="1">_xll.ciqfunctions.udf.CIQ("^SPX", "IQ_PRICEDATE", "5/11/2017")</f>
        <v>#NAME?</v>
      </c>
      <c r="AC853" s="16">
        <v>2394.4397979863002</v>
      </c>
    </row>
    <row r="854" spans="26:29" x14ac:dyDescent="0.35">
      <c r="Z854" s="4"/>
      <c r="AA854" s="4"/>
      <c r="AB854" s="4" t="e">
        <f ca="1">_xll.ciqfunctions.udf.CIQ("^SPX", "IQ_PRICEDATE", "5/12/2017")</f>
        <v>#NAME?</v>
      </c>
      <c r="AC854" s="16">
        <v>2390.8972261383001</v>
      </c>
    </row>
    <row r="855" spans="26:29" x14ac:dyDescent="0.35">
      <c r="Z855" s="4"/>
      <c r="AA855" s="4"/>
      <c r="AB855" s="4" t="e">
        <f ca="1">_xll.ciqfunctions.udf.CIQ("^SPX", "IQ_PRICEDATE", "5/15/2017")</f>
        <v>#NAME?</v>
      </c>
      <c r="AC855" s="16">
        <v>2402.3202821682999</v>
      </c>
    </row>
    <row r="856" spans="26:29" x14ac:dyDescent="0.35">
      <c r="Z856" s="4"/>
      <c r="AA856" s="4"/>
      <c r="AB856" s="4" t="e">
        <f ca="1">_xll.ciqfunctions.udf.CIQ("^SPX", "IQ_PRICEDATE", "5/16/2017")</f>
        <v>#NAME?</v>
      </c>
      <c r="AC856" s="16">
        <v>2400.6741690949998</v>
      </c>
    </row>
    <row r="857" spans="26:29" x14ac:dyDescent="0.35">
      <c r="Z857" s="4"/>
      <c r="AA857" s="4"/>
      <c r="AB857" s="4" t="e">
        <f ca="1">_xll.ciqfunctions.udf.CIQ("^SPX", "IQ_PRICEDATE", "5/17/2017")</f>
        <v>#NAME?</v>
      </c>
      <c r="AC857" s="16">
        <v>2357.0321672037999</v>
      </c>
    </row>
    <row r="858" spans="26:29" x14ac:dyDescent="0.35">
      <c r="Z858" s="4"/>
      <c r="AA858" s="4"/>
      <c r="AB858" s="4" t="e">
        <f ca="1">_xll.ciqfunctions.udf.CIQ("^SPX", "IQ_PRICEDATE", "5/18/2017")</f>
        <v>#NAME?</v>
      </c>
      <c r="AC858" s="16">
        <v>2365.7239626676001</v>
      </c>
    </row>
    <row r="859" spans="26:29" x14ac:dyDescent="0.35">
      <c r="Z859" s="4"/>
      <c r="AA859" s="4"/>
      <c r="AB859" s="4" t="e">
        <f ca="1">_xll.ciqfunctions.udf.CIQ("^SPX", "IQ_PRICEDATE", "5/19/2017")</f>
        <v>#NAME?</v>
      </c>
      <c r="AC859" s="16">
        <v>2381.7267041675</v>
      </c>
    </row>
    <row r="860" spans="26:29" x14ac:dyDescent="0.35">
      <c r="Z860" s="4"/>
      <c r="AA860" s="4"/>
      <c r="AB860" s="4" t="e">
        <f ca="1">_xll.ciqfunctions.udf.CIQ("^SPX", "IQ_PRICEDATE", "5/22/2017")</f>
        <v>#NAME?</v>
      </c>
      <c r="AC860" s="16">
        <v>2394.0240765692001</v>
      </c>
    </row>
    <row r="861" spans="26:29" x14ac:dyDescent="0.35">
      <c r="Z861" s="4"/>
      <c r="AA861" s="4"/>
      <c r="AB861" s="4" t="e">
        <f ca="1">_xll.ciqfunctions.udf.CIQ("^SPX", "IQ_PRICEDATE", "5/23/2017")</f>
        <v>#NAME?</v>
      </c>
      <c r="AC861" s="16">
        <v>2398.4186023841999</v>
      </c>
    </row>
    <row r="862" spans="26:29" x14ac:dyDescent="0.35">
      <c r="Z862" s="4"/>
      <c r="AA862" s="4"/>
      <c r="AB862" s="4" t="e">
        <f ca="1">_xll.ciqfunctions.udf.CIQ("^SPX", "IQ_PRICEDATE", "5/24/2017")</f>
        <v>#NAME?</v>
      </c>
      <c r="AC862" s="16">
        <v>2404.3870216977998</v>
      </c>
    </row>
    <row r="863" spans="26:29" x14ac:dyDescent="0.35">
      <c r="Z863" s="4"/>
      <c r="AA863" s="4"/>
      <c r="AB863" s="4" t="e">
        <f ca="1">_xll.ciqfunctions.udf.CIQ("^SPX", "IQ_PRICEDATE", "5/25/2017")</f>
        <v>#NAME?</v>
      </c>
      <c r="AC863" s="16">
        <v>2415.0657027404</v>
      </c>
    </row>
    <row r="864" spans="26:29" x14ac:dyDescent="0.35">
      <c r="Z864" s="4"/>
      <c r="AA864" s="4"/>
      <c r="AB864" s="4" t="e">
        <f ca="1">_xll.ciqfunctions.udf.CIQ("^SPX", "IQ_PRICEDATE", "5/26/2017")</f>
        <v>#NAME?</v>
      </c>
      <c r="AC864" s="16">
        <v>2415.8224803902999</v>
      </c>
    </row>
    <row r="865" spans="26:29" x14ac:dyDescent="0.35">
      <c r="Z865" s="4"/>
      <c r="AA865" s="4"/>
      <c r="AB865" s="4" t="e">
        <f ca="1">_xll.ciqfunctions.udf.CIQ("^SPX", "IQ_PRICEDATE", "5/30/2017")</f>
        <v>#NAME?</v>
      </c>
      <c r="AC865" s="16">
        <v>2412.9065671479998</v>
      </c>
    </row>
    <row r="866" spans="26:29" x14ac:dyDescent="0.35">
      <c r="Z866" s="4"/>
      <c r="AA866" s="4"/>
      <c r="AB866" s="4" t="e">
        <f ca="1">_xll.ciqfunctions.udf.CIQ("^SPX", "IQ_PRICEDATE", "5/31/2017")</f>
        <v>#NAME?</v>
      </c>
      <c r="AC866" s="16">
        <v>2411.7973242573999</v>
      </c>
    </row>
    <row r="867" spans="26:29" x14ac:dyDescent="0.35">
      <c r="Z867" s="4"/>
      <c r="AA867" s="4"/>
      <c r="AB867" s="4" t="e">
        <f ca="1">_xll.ciqfunctions.udf.CIQ("^SPX", "IQ_PRICEDATE", "6/1/2017")</f>
        <v>#NAME?</v>
      </c>
      <c r="AC867" s="16">
        <v>2430.0610709493999</v>
      </c>
    </row>
    <row r="868" spans="26:29" x14ac:dyDescent="0.35">
      <c r="Z868" s="4"/>
      <c r="AA868" s="4"/>
      <c r="AB868" s="4" t="e">
        <f ca="1">_xll.ciqfunctions.udf.CIQ("^SPX", "IQ_PRICEDATE", "6/2/2017")</f>
        <v>#NAME?</v>
      </c>
      <c r="AC868" s="16">
        <v>2439.0702499803001</v>
      </c>
    </row>
    <row r="869" spans="26:29" x14ac:dyDescent="0.35">
      <c r="Z869" s="4"/>
      <c r="AA869" s="4"/>
      <c r="AB869" s="4" t="e">
        <f ca="1">_xll.ciqfunctions.udf.CIQ("^SPX", "IQ_PRICEDATE", "6/5/2017")</f>
        <v>#NAME?</v>
      </c>
      <c r="AC869" s="16">
        <v>2436.0961957703998</v>
      </c>
    </row>
    <row r="870" spans="26:29" x14ac:dyDescent="0.35">
      <c r="Z870" s="4"/>
      <c r="AA870" s="4"/>
      <c r="AB870" s="4" t="e">
        <f ca="1">_xll.ciqfunctions.udf.CIQ("^SPX", "IQ_PRICEDATE", "6/6/2017")</f>
        <v>#NAME?</v>
      </c>
      <c r="AC870" s="16">
        <v>2429.3272573536001</v>
      </c>
    </row>
    <row r="871" spans="26:29" x14ac:dyDescent="0.35">
      <c r="Z871" s="4"/>
      <c r="AA871" s="4"/>
      <c r="AB871" s="4" t="e">
        <f ca="1">_xll.ciqfunctions.udf.CIQ("^SPX", "IQ_PRICEDATE", "6/7/2017")</f>
        <v>#NAME?</v>
      </c>
      <c r="AC871" s="16">
        <v>2433.1374300828002</v>
      </c>
    </row>
    <row r="872" spans="26:29" x14ac:dyDescent="0.35">
      <c r="Z872" s="4"/>
      <c r="AA872" s="4"/>
      <c r="AB872" s="4" t="e">
        <f ca="1">_xll.ciqfunctions.udf.CIQ("^SPX", "IQ_PRICEDATE", "6/8/2017")</f>
        <v>#NAME?</v>
      </c>
      <c r="AC872" s="16">
        <v>2433.7906309395999</v>
      </c>
    </row>
    <row r="873" spans="26:29" x14ac:dyDescent="0.35">
      <c r="Z873" s="4"/>
      <c r="AA873" s="4"/>
      <c r="AB873" s="4" t="e">
        <f ca="1">_xll.ciqfunctions.udf.CIQ("^SPX", "IQ_PRICEDATE", "6/9/2017")</f>
        <v>#NAME?</v>
      </c>
      <c r="AC873" s="16">
        <v>2431.7723650030998</v>
      </c>
    </row>
    <row r="874" spans="26:29" x14ac:dyDescent="0.35">
      <c r="Z874" s="4"/>
      <c r="AA874" s="4"/>
      <c r="AB874" s="4" t="e">
        <f ca="1">_xll.ciqfunctions.udf.CIQ("^SPX", "IQ_PRICEDATE", "6/12/2017")</f>
        <v>#NAME?</v>
      </c>
      <c r="AC874" s="16">
        <v>2429.3912557921999</v>
      </c>
    </row>
    <row r="875" spans="26:29" x14ac:dyDescent="0.35">
      <c r="Z875" s="4"/>
      <c r="AA875" s="4"/>
      <c r="AB875" s="4" t="e">
        <f ca="1">_xll.ciqfunctions.udf.CIQ("^SPX", "IQ_PRICEDATE", "6/13/2017")</f>
        <v>#NAME?</v>
      </c>
      <c r="AC875" s="16">
        <v>2440.3474964374</v>
      </c>
    </row>
    <row r="876" spans="26:29" x14ac:dyDescent="0.35">
      <c r="Z876" s="4"/>
      <c r="AA876" s="4"/>
      <c r="AB876" s="4" t="e">
        <f ca="1">_xll.ciqfunctions.udf.CIQ("^SPX", "IQ_PRICEDATE", "6/14/2017")</f>
        <v>#NAME?</v>
      </c>
      <c r="AC876" s="16">
        <v>2437.9204812496</v>
      </c>
    </row>
    <row r="877" spans="26:29" x14ac:dyDescent="0.35">
      <c r="Z877" s="4"/>
      <c r="AA877" s="4"/>
      <c r="AB877" s="4" t="e">
        <f ca="1">_xll.ciqfunctions.udf.CIQ("^SPX", "IQ_PRICEDATE", "6/15/2017")</f>
        <v>#NAME?</v>
      </c>
      <c r="AC877" s="16">
        <v>2432.4591271283002</v>
      </c>
    </row>
    <row r="878" spans="26:29" x14ac:dyDescent="0.35">
      <c r="Z878" s="4"/>
      <c r="AA878" s="4"/>
      <c r="AB878" s="4" t="e">
        <f ca="1">_xll.ciqfunctions.udf.CIQ("^SPX", "IQ_PRICEDATE", "6/16/2017")</f>
        <v>#NAME?</v>
      </c>
      <c r="AC878" s="16">
        <v>2433.1508288614</v>
      </c>
    </row>
    <row r="879" spans="26:29" x14ac:dyDescent="0.35">
      <c r="Z879" s="4"/>
      <c r="AA879" s="4"/>
      <c r="AB879" s="4" t="e">
        <f ca="1">_xll.ciqfunctions.udf.CIQ("^SPX", "IQ_PRICEDATE", "6/19/2017")</f>
        <v>#NAME?</v>
      </c>
      <c r="AC879" s="16">
        <v>2453.4586037494</v>
      </c>
    </row>
    <row r="880" spans="26:29" x14ac:dyDescent="0.35">
      <c r="Z880" s="4"/>
      <c r="AA880" s="4"/>
      <c r="AB880" s="4" t="e">
        <f ca="1">_xll.ciqfunctions.udf.CIQ("^SPX", "IQ_PRICEDATE", "6/20/2017")</f>
        <v>#NAME?</v>
      </c>
      <c r="AC880" s="16">
        <v>2437.0281337665001</v>
      </c>
    </row>
    <row r="881" spans="26:29" x14ac:dyDescent="0.35">
      <c r="Z881" s="4"/>
      <c r="AA881" s="4"/>
      <c r="AB881" s="4" t="e">
        <f ca="1">_xll.ciqfunctions.udf.CIQ("^SPX", "IQ_PRICEDATE", "6/21/2017")</f>
        <v>#NAME?</v>
      </c>
      <c r="AC881" s="16">
        <v>2435.6116850599001</v>
      </c>
    </row>
    <row r="882" spans="26:29" x14ac:dyDescent="0.35">
      <c r="Z882" s="4"/>
      <c r="AA882" s="4"/>
      <c r="AB882" s="4" t="e">
        <f ca="1">_xll.ciqfunctions.udf.CIQ("^SPX", "IQ_PRICEDATE", "6/22/2017")</f>
        <v>#NAME?</v>
      </c>
      <c r="AC882" s="16">
        <v>2434.4974087685</v>
      </c>
    </row>
    <row r="883" spans="26:29" x14ac:dyDescent="0.35">
      <c r="Z883" s="4"/>
      <c r="AA883" s="4"/>
      <c r="AB883" s="4" t="e">
        <f ca="1">_xll.ciqfunctions.udf.CIQ("^SPX", "IQ_PRICEDATE", "6/23/2017")</f>
        <v>#NAME?</v>
      </c>
      <c r="AC883" s="16">
        <v>2438.2969118630999</v>
      </c>
    </row>
    <row r="884" spans="26:29" x14ac:dyDescent="0.35">
      <c r="Z884" s="4"/>
      <c r="AA884" s="4"/>
      <c r="AB884" s="4" t="e">
        <f ca="1">_xll.ciqfunctions.udf.CIQ("^SPX", "IQ_PRICEDATE", "6/26/2017")</f>
        <v>#NAME?</v>
      </c>
      <c r="AC884" s="16">
        <v>2439.0654771775999</v>
      </c>
    </row>
    <row r="885" spans="26:29" x14ac:dyDescent="0.35">
      <c r="Z885" s="4"/>
      <c r="AA885" s="4"/>
      <c r="AB885" s="4" t="e">
        <f ca="1">_xll.ciqfunctions.udf.CIQ("^SPX", "IQ_PRICEDATE", "6/27/2017")</f>
        <v>#NAME?</v>
      </c>
      <c r="AC885" s="16">
        <v>2419.3758615268998</v>
      </c>
    </row>
    <row r="886" spans="26:29" x14ac:dyDescent="0.35">
      <c r="Z886" s="4"/>
      <c r="AA886" s="4"/>
      <c r="AB886" s="4" t="e">
        <f ca="1">_xll.ciqfunctions.udf.CIQ("^SPX", "IQ_PRICEDATE", "6/28/2017")</f>
        <v>#NAME?</v>
      </c>
      <c r="AC886" s="16">
        <v>2440.6903289911002</v>
      </c>
    </row>
    <row r="887" spans="26:29" x14ac:dyDescent="0.35">
      <c r="Z887" s="4"/>
      <c r="AA887" s="4"/>
      <c r="AB887" s="4" t="e">
        <f ca="1">_xll.ciqfunctions.udf.CIQ("^SPX", "IQ_PRICEDATE", "6/29/2017")</f>
        <v>#NAME?</v>
      </c>
      <c r="AC887" s="16">
        <v>2419.6971113274999</v>
      </c>
    </row>
    <row r="888" spans="26:29" x14ac:dyDescent="0.35">
      <c r="Z888" s="4"/>
      <c r="AA888" s="4"/>
      <c r="AB888" s="4" t="e">
        <f ca="1">_xll.ciqfunctions.udf.CIQ("^SPX", "IQ_PRICEDATE", "6/30/2017")</f>
        <v>#NAME?</v>
      </c>
      <c r="AC888" s="16">
        <v>2423.4088910629998</v>
      </c>
    </row>
    <row r="889" spans="26:29" x14ac:dyDescent="0.35">
      <c r="Z889" s="4"/>
      <c r="AA889" s="4"/>
      <c r="AB889" s="4" t="e">
        <f ca="1">_xll.ciqfunctions.udf.CIQ("^SPX", "IQ_PRICEDATE", "7/3/2017")</f>
        <v>#NAME?</v>
      </c>
      <c r="AC889" s="16">
        <v>2429.0148792035002</v>
      </c>
    </row>
    <row r="890" spans="26:29" x14ac:dyDescent="0.35">
      <c r="Z890" s="4"/>
      <c r="AA890" s="4"/>
      <c r="AB890" s="4" t="e">
        <f ca="1">_xll.ciqfunctions.udf.CIQ("^SPX", "IQ_PRICEDATE", "7/5/2017")</f>
        <v>#NAME?</v>
      </c>
      <c r="AC890" s="16">
        <v>2432.5423402270999</v>
      </c>
    </row>
    <row r="891" spans="26:29" x14ac:dyDescent="0.35">
      <c r="Z891" s="4"/>
      <c r="AA891" s="4"/>
      <c r="AB891" s="4" t="e">
        <f ca="1">_xll.ciqfunctions.udf.CIQ("^SPX", "IQ_PRICEDATE", "7/6/2017")</f>
        <v>#NAME?</v>
      </c>
      <c r="AC891" s="16">
        <v>2409.7497799244002</v>
      </c>
    </row>
    <row r="892" spans="26:29" x14ac:dyDescent="0.35">
      <c r="Z892" s="4"/>
      <c r="AA892" s="4"/>
      <c r="AB892" s="4" t="e">
        <f ca="1">_xll.ciqfunctions.udf.CIQ("^SPX", "IQ_PRICEDATE", "7/7/2017")</f>
        <v>#NAME?</v>
      </c>
      <c r="AC892" s="16">
        <v>2425.1769614262998</v>
      </c>
    </row>
    <row r="893" spans="26:29" x14ac:dyDescent="0.35">
      <c r="Z893" s="4"/>
      <c r="AA893" s="4"/>
      <c r="AB893" s="4" t="e">
        <f ca="1">_xll.ciqfunctions.udf.CIQ("^SPX", "IQ_PRICEDATE", "7/10/2017")</f>
        <v>#NAME?</v>
      </c>
      <c r="AC893" s="16">
        <v>2427.4344884965999</v>
      </c>
    </row>
    <row r="894" spans="26:29" x14ac:dyDescent="0.35">
      <c r="Z894" s="4"/>
      <c r="AA894" s="4"/>
      <c r="AB894" s="4" t="e">
        <f ca="1">_xll.ciqfunctions.udf.CIQ("^SPX", "IQ_PRICEDATE", "7/11/2017")</f>
        <v>#NAME?</v>
      </c>
      <c r="AC894" s="16">
        <v>2425.5262141653998</v>
      </c>
    </row>
    <row r="895" spans="26:29" x14ac:dyDescent="0.35">
      <c r="Z895" s="4"/>
      <c r="AA895" s="4"/>
      <c r="AB895" s="4" t="e">
        <f ca="1">_xll.ciqfunctions.udf.CIQ("^SPX", "IQ_PRICEDATE", "7/12/2017")</f>
        <v>#NAME?</v>
      </c>
      <c r="AC895" s="16">
        <v>2443.2511766420998</v>
      </c>
    </row>
    <row r="896" spans="26:29" x14ac:dyDescent="0.35">
      <c r="Z896" s="4"/>
      <c r="AA896" s="4"/>
      <c r="AB896" s="4" t="e">
        <f ca="1">_xll.ciqfunctions.udf.CIQ("^SPX", "IQ_PRICEDATE", "7/13/2017")</f>
        <v>#NAME?</v>
      </c>
      <c r="AC896" s="16">
        <v>2447.8342759661</v>
      </c>
    </row>
    <row r="897" spans="26:29" x14ac:dyDescent="0.35">
      <c r="Z897" s="4"/>
      <c r="AA897" s="4"/>
      <c r="AB897" s="4" t="e">
        <f ca="1">_xll.ciqfunctions.udf.CIQ("^SPX", "IQ_PRICEDATE", "7/14/2017")</f>
        <v>#NAME?</v>
      </c>
      <c r="AC897" s="16">
        <v>2459.2709908214001</v>
      </c>
    </row>
    <row r="898" spans="26:29" x14ac:dyDescent="0.35">
      <c r="Z898" s="4"/>
      <c r="AA898" s="4"/>
      <c r="AB898" s="4" t="e">
        <f ca="1">_xll.ciqfunctions.udf.CIQ("^SPX", "IQ_PRICEDATE", "7/17/2017")</f>
        <v>#NAME?</v>
      </c>
      <c r="AC898" s="16">
        <v>2459.1407192176998</v>
      </c>
    </row>
    <row r="899" spans="26:29" x14ac:dyDescent="0.35">
      <c r="Z899" s="4"/>
      <c r="AA899" s="4"/>
      <c r="AB899" s="4" t="e">
        <f ca="1">_xll.ciqfunctions.udf.CIQ("^SPX", "IQ_PRICEDATE", "7/18/2017")</f>
        <v>#NAME?</v>
      </c>
      <c r="AC899" s="16">
        <v>2460.6104434094</v>
      </c>
    </row>
    <row r="900" spans="26:29" x14ac:dyDescent="0.35">
      <c r="Z900" s="4"/>
      <c r="AA900" s="4"/>
      <c r="AB900" s="4" t="e">
        <f ca="1">_xll.ciqfunctions.udf.CIQ("^SPX", "IQ_PRICEDATE", "7/19/2017")</f>
        <v>#NAME?</v>
      </c>
      <c r="AC900" s="16">
        <v>2473.8277852738001</v>
      </c>
    </row>
    <row r="901" spans="26:29" x14ac:dyDescent="0.35">
      <c r="Z901" s="4"/>
      <c r="AA901" s="4"/>
      <c r="AB901" s="4" t="e">
        <f ca="1">_xll.ciqfunctions.udf.CIQ("^SPX", "IQ_PRICEDATE", "7/20/2017")</f>
        <v>#NAME?</v>
      </c>
      <c r="AC901" s="16">
        <v>2473.4493827199999</v>
      </c>
    </row>
    <row r="902" spans="26:29" x14ac:dyDescent="0.35">
      <c r="Z902" s="4"/>
      <c r="AA902" s="4"/>
      <c r="AB902" s="4" t="e">
        <f ca="1">_xll.ciqfunctions.udf.CIQ("^SPX", "IQ_PRICEDATE", "7/21/2017")</f>
        <v>#NAME?</v>
      </c>
      <c r="AC902" s="16">
        <v>2472.5358544521</v>
      </c>
    </row>
    <row r="903" spans="26:29" x14ac:dyDescent="0.35">
      <c r="Z903" s="4"/>
      <c r="AA903" s="4"/>
      <c r="AB903" s="4" t="e">
        <f ca="1">_xll.ciqfunctions.udf.CIQ("^SPX", "IQ_PRICEDATE", "7/24/2017")</f>
        <v>#NAME?</v>
      </c>
      <c r="AC903" s="16">
        <v>2469.9119171232001</v>
      </c>
    </row>
    <row r="904" spans="26:29" x14ac:dyDescent="0.35">
      <c r="Z904" s="4"/>
      <c r="AA904" s="4"/>
      <c r="AB904" s="4" t="e">
        <f ca="1">_xll.ciqfunctions.udf.CIQ("^SPX", "IQ_PRICEDATE", "7/25/2017")</f>
        <v>#NAME?</v>
      </c>
      <c r="AC904" s="16">
        <v>2477.1253697525999</v>
      </c>
    </row>
    <row r="905" spans="26:29" x14ac:dyDescent="0.35">
      <c r="Z905" s="4"/>
      <c r="AA905" s="4"/>
      <c r="AB905" s="4" t="e">
        <f ca="1">_xll.ciqfunctions.udf.CIQ("^SPX", "IQ_PRICEDATE", "7/26/2017")</f>
        <v>#NAME?</v>
      </c>
      <c r="AC905" s="16">
        <v>2477.8305107064998</v>
      </c>
    </row>
    <row r="906" spans="26:29" x14ac:dyDescent="0.35">
      <c r="Z906" s="4"/>
      <c r="AA906" s="4"/>
      <c r="AB906" s="4" t="e">
        <f ca="1">_xll.ciqfunctions.udf.CIQ("^SPX", "IQ_PRICEDATE", "7/27/2017")</f>
        <v>#NAME?</v>
      </c>
      <c r="AC906" s="16">
        <v>2475.420890931</v>
      </c>
    </row>
    <row r="907" spans="26:29" x14ac:dyDescent="0.35">
      <c r="Z907" s="4"/>
      <c r="AA907" s="4"/>
      <c r="AB907" s="4" t="e">
        <f ca="1">_xll.ciqfunctions.udf.CIQ("^SPX", "IQ_PRICEDATE", "7/28/2017")</f>
        <v>#NAME?</v>
      </c>
      <c r="AC907" s="16">
        <v>2472.0985372059999</v>
      </c>
    </row>
    <row r="908" spans="26:29" x14ac:dyDescent="0.35">
      <c r="Z908" s="4"/>
      <c r="AA908" s="4"/>
      <c r="AB908" s="4" t="e">
        <f ca="1">_xll.ciqfunctions.udf.CIQ("^SPX", "IQ_PRICEDATE", "7/31/2017")</f>
        <v>#NAME?</v>
      </c>
      <c r="AC908" s="16">
        <v>2470.3000252602001</v>
      </c>
    </row>
    <row r="909" spans="26:29" x14ac:dyDescent="0.35">
      <c r="Z909" s="4"/>
      <c r="AA909" s="4"/>
      <c r="AB909" s="4" t="e">
        <f ca="1">_xll.ciqfunctions.udf.CIQ("^SPX", "IQ_PRICEDATE", "8/1/2017")</f>
        <v>#NAME?</v>
      </c>
      <c r="AC909" s="16">
        <v>2476.3472099536002</v>
      </c>
    </row>
    <row r="910" spans="26:29" x14ac:dyDescent="0.35">
      <c r="Z910" s="4"/>
      <c r="AA910" s="4"/>
      <c r="AB910" s="4" t="e">
        <f ca="1">_xll.ciqfunctions.udf.CIQ("^SPX", "IQ_PRICEDATE", "8/2/2017")</f>
        <v>#NAME?</v>
      </c>
      <c r="AC910" s="16">
        <v>2477.5680969176001</v>
      </c>
    </row>
    <row r="911" spans="26:29" x14ac:dyDescent="0.35">
      <c r="Z911" s="4"/>
      <c r="AA911" s="4"/>
      <c r="AB911" s="4" t="e">
        <f ca="1">_xll.ciqfunctions.udf.CIQ("^SPX", "IQ_PRICEDATE", "8/3/2017")</f>
        <v>#NAME?</v>
      </c>
      <c r="AC911" s="16">
        <v>2472.1576280376999</v>
      </c>
    </row>
    <row r="912" spans="26:29" x14ac:dyDescent="0.35">
      <c r="Z912" s="4"/>
      <c r="AA912" s="4"/>
      <c r="AB912" s="4" t="e">
        <f ca="1">_xll.ciqfunctions.udf.CIQ("^SPX", "IQ_PRICEDATE", "8/4/2017")</f>
        <v>#NAME?</v>
      </c>
      <c r="AC912" s="16">
        <v>2476.8309965460999</v>
      </c>
    </row>
    <row r="913" spans="26:29" x14ac:dyDescent="0.35">
      <c r="Z913" s="4"/>
      <c r="AA913" s="4"/>
      <c r="AB913" s="4" t="e">
        <f ca="1">_xll.ciqfunctions.udf.CIQ("^SPX", "IQ_PRICEDATE", "8/7/2017")</f>
        <v>#NAME?</v>
      </c>
      <c r="AC913" s="16">
        <v>2480.9120213837</v>
      </c>
    </row>
    <row r="914" spans="26:29" x14ac:dyDescent="0.35">
      <c r="Z914" s="4"/>
      <c r="AA914" s="4"/>
      <c r="AB914" s="4" t="e">
        <f ca="1">_xll.ciqfunctions.udf.CIQ("^SPX", "IQ_PRICEDATE", "8/8/2017")</f>
        <v>#NAME?</v>
      </c>
      <c r="AC914" s="16">
        <v>2474.9188409218</v>
      </c>
    </row>
    <row r="915" spans="26:29" x14ac:dyDescent="0.35">
      <c r="Z915" s="4"/>
      <c r="AA915" s="4"/>
      <c r="AB915" s="4" t="e">
        <f ca="1">_xll.ciqfunctions.udf.CIQ("^SPX", "IQ_PRICEDATE", "8/9/2017")</f>
        <v>#NAME?</v>
      </c>
      <c r="AC915" s="16">
        <v>2474.0170798125</v>
      </c>
    </row>
    <row r="916" spans="26:29" x14ac:dyDescent="0.35">
      <c r="Z916" s="4"/>
      <c r="AA916" s="4"/>
      <c r="AB916" s="4" t="e">
        <f ca="1">_xll.ciqfunctions.udf.CIQ("^SPX", "IQ_PRICEDATE", "8/10/2017")</f>
        <v>#NAME?</v>
      </c>
      <c r="AC916" s="16">
        <v>2438.2097100884998</v>
      </c>
    </row>
    <row r="917" spans="26:29" x14ac:dyDescent="0.35">
      <c r="Z917" s="4"/>
      <c r="AA917" s="4"/>
      <c r="AB917" s="4" t="e">
        <f ca="1">_xll.ciqfunctions.udf.CIQ("^SPX", "IQ_PRICEDATE", "8/11/2017")</f>
        <v>#NAME?</v>
      </c>
      <c r="AC917" s="16">
        <v>2441.3202405644001</v>
      </c>
    </row>
    <row r="918" spans="26:29" x14ac:dyDescent="0.35">
      <c r="Z918" s="4"/>
      <c r="AA918" s="4"/>
      <c r="AB918" s="4" t="e">
        <f ca="1">_xll.ciqfunctions.udf.CIQ("^SPX", "IQ_PRICEDATE", "8/14/2017")</f>
        <v>#NAME?</v>
      </c>
      <c r="AC918" s="16">
        <v>2465.8358122222999</v>
      </c>
    </row>
    <row r="919" spans="26:29" x14ac:dyDescent="0.35">
      <c r="Z919" s="4"/>
      <c r="AA919" s="4"/>
      <c r="AB919" s="4" t="e">
        <f ca="1">_xll.ciqfunctions.udf.CIQ("^SPX", "IQ_PRICEDATE", "8/15/2017")</f>
        <v>#NAME?</v>
      </c>
      <c r="AC919" s="16">
        <v>2464.6099933352998</v>
      </c>
    </row>
    <row r="920" spans="26:29" x14ac:dyDescent="0.35">
      <c r="Z920" s="4"/>
      <c r="AA920" s="4"/>
      <c r="AB920" s="4" t="e">
        <f ca="1">_xll.ciqfunctions.udf.CIQ("^SPX", "IQ_PRICEDATE", "8/16/2017")</f>
        <v>#NAME?</v>
      </c>
      <c r="AC920" s="16">
        <v>2468.1072601102001</v>
      </c>
    </row>
    <row r="921" spans="26:29" x14ac:dyDescent="0.35">
      <c r="Z921" s="4"/>
      <c r="AA921" s="4"/>
      <c r="AB921" s="4" t="e">
        <f ca="1">_xll.ciqfunctions.udf.CIQ("^SPX", "IQ_PRICEDATE", "8/17/2017")</f>
        <v>#NAME?</v>
      </c>
      <c r="AC921" s="16">
        <v>2430.0078784775001</v>
      </c>
    </row>
    <row r="922" spans="26:29" x14ac:dyDescent="0.35">
      <c r="Z922" s="4"/>
      <c r="AA922" s="4"/>
      <c r="AB922" s="4" t="e">
        <f ca="1">_xll.ciqfunctions.udf.CIQ("^SPX", "IQ_PRICEDATE", "8/18/2017")</f>
        <v>#NAME?</v>
      </c>
      <c r="AC922" s="16">
        <v>2425.5521696646001</v>
      </c>
    </row>
    <row r="923" spans="26:29" x14ac:dyDescent="0.35">
      <c r="Z923" s="4"/>
      <c r="AA923" s="4"/>
      <c r="AB923" s="4" t="e">
        <f ca="1">_xll.ciqfunctions.udf.CIQ("^SPX", "IQ_PRICEDATE", "8/21/2017")</f>
        <v>#NAME?</v>
      </c>
      <c r="AC923" s="16">
        <v>2428.3679855597002</v>
      </c>
    </row>
    <row r="924" spans="26:29" x14ac:dyDescent="0.35">
      <c r="Z924" s="4"/>
      <c r="AA924" s="4"/>
      <c r="AB924" s="4" t="e">
        <f ca="1">_xll.ciqfunctions.udf.CIQ("^SPX", "IQ_PRICEDATE", "8/22/2017")</f>
        <v>#NAME?</v>
      </c>
      <c r="AC924" s="16">
        <v>2452.5102728912998</v>
      </c>
    </row>
    <row r="925" spans="26:29" x14ac:dyDescent="0.35">
      <c r="Z925" s="4"/>
      <c r="AA925" s="4"/>
      <c r="AB925" s="4" t="e">
        <f ca="1">_xll.ciqfunctions.udf.CIQ("^SPX", "IQ_PRICEDATE", "8/23/2017")</f>
        <v>#NAME?</v>
      </c>
      <c r="AC925" s="16">
        <v>2444.0432453390999</v>
      </c>
    </row>
    <row r="926" spans="26:29" x14ac:dyDescent="0.35">
      <c r="Z926" s="4"/>
      <c r="AA926" s="4"/>
      <c r="AB926" s="4" t="e">
        <f ca="1">_xll.ciqfunctions.udf.CIQ("^SPX", "IQ_PRICEDATE", "8/24/2017")</f>
        <v>#NAME?</v>
      </c>
      <c r="AC926" s="16">
        <v>2438.9681198158</v>
      </c>
    </row>
    <row r="927" spans="26:29" x14ac:dyDescent="0.35">
      <c r="Z927" s="4"/>
      <c r="AA927" s="4"/>
      <c r="AB927" s="4" t="e">
        <f ca="1">_xll.ciqfunctions.udf.CIQ("^SPX", "IQ_PRICEDATE", "8/25/2017")</f>
        <v>#NAME?</v>
      </c>
      <c r="AC927" s="16">
        <v>2443.0457983411002</v>
      </c>
    </row>
    <row r="928" spans="26:29" x14ac:dyDescent="0.35">
      <c r="Z928" s="4"/>
      <c r="AA928" s="4"/>
      <c r="AB928" s="4" t="e">
        <f ca="1">_xll.ciqfunctions.udf.CIQ("^SPX", "IQ_PRICEDATE", "8/28/2017")</f>
        <v>#NAME?</v>
      </c>
      <c r="AC928" s="16">
        <v>2444.2403151729</v>
      </c>
    </row>
    <row r="929" spans="26:29" x14ac:dyDescent="0.35">
      <c r="Z929" s="4"/>
      <c r="AA929" s="4"/>
      <c r="AB929" s="4" t="e">
        <f ca="1">_xll.ciqfunctions.udf.CIQ("^SPX", "IQ_PRICEDATE", "8/29/2017")</f>
        <v>#NAME?</v>
      </c>
      <c r="AC929" s="16">
        <v>2446.2955235941999</v>
      </c>
    </row>
    <row r="930" spans="26:29" x14ac:dyDescent="0.35">
      <c r="Z930" s="4"/>
      <c r="AA930" s="4"/>
      <c r="AB930" s="4" t="e">
        <f ca="1">_xll.ciqfunctions.udf.CIQ("^SPX", "IQ_PRICEDATE", "8/30/2017")</f>
        <v>#NAME?</v>
      </c>
      <c r="AC930" s="16">
        <v>2457.5858115205001</v>
      </c>
    </row>
    <row r="931" spans="26:29" x14ac:dyDescent="0.35">
      <c r="Z931" s="4"/>
      <c r="AA931" s="4"/>
      <c r="AB931" s="4" t="e">
        <f ca="1">_xll.ciqfunctions.udf.CIQ("^SPX", "IQ_PRICEDATE", "8/31/2017")</f>
        <v>#NAME?</v>
      </c>
      <c r="AC931" s="16">
        <v>2471.6502079420002</v>
      </c>
    </row>
    <row r="932" spans="26:29" x14ac:dyDescent="0.35">
      <c r="Z932" s="4"/>
      <c r="AA932" s="4"/>
      <c r="AB932" s="4" t="e">
        <f ca="1">_xll.ciqfunctions.udf.CIQ("^SPX", "IQ_PRICEDATE", "9/1/2017")</f>
        <v>#NAME?</v>
      </c>
      <c r="AC932" s="16">
        <v>2476.5523893887998</v>
      </c>
    </row>
    <row r="933" spans="26:29" x14ac:dyDescent="0.35">
      <c r="Z933" s="4"/>
      <c r="AA933" s="4"/>
      <c r="AB933" s="4" t="e">
        <f ca="1">_xll.ciqfunctions.udf.CIQ("^SPX", "IQ_PRICEDATE", "9/5/2017")</f>
        <v>#NAME?</v>
      </c>
      <c r="AC933" s="16">
        <v>2457.8498705637999</v>
      </c>
    </row>
    <row r="934" spans="26:29" x14ac:dyDescent="0.35">
      <c r="Z934" s="4"/>
      <c r="AA934" s="4"/>
      <c r="AB934" s="4" t="e">
        <f ca="1">_xll.ciqfunctions.udf.CIQ("^SPX", "IQ_PRICEDATE", "9/6/2017")</f>
        <v>#NAME?</v>
      </c>
      <c r="AC934" s="16">
        <v>2465.5436228673002</v>
      </c>
    </row>
    <row r="935" spans="26:29" x14ac:dyDescent="0.35">
      <c r="Z935" s="4"/>
      <c r="AA935" s="4"/>
      <c r="AB935" s="4" t="e">
        <f ca="1">_xll.ciqfunctions.udf.CIQ("^SPX", "IQ_PRICEDATE", "9/7/2017")</f>
        <v>#NAME?</v>
      </c>
      <c r="AC935" s="16">
        <v>2465.1021359574002</v>
      </c>
    </row>
    <row r="936" spans="26:29" x14ac:dyDescent="0.35">
      <c r="Z936" s="4"/>
      <c r="AA936" s="4"/>
      <c r="AB936" s="4" t="e">
        <f ca="1">_xll.ciqfunctions.udf.CIQ("^SPX", "IQ_PRICEDATE", "9/8/2017")</f>
        <v>#NAME?</v>
      </c>
      <c r="AC936" s="16">
        <v>2461.4336439222002</v>
      </c>
    </row>
    <row r="937" spans="26:29" x14ac:dyDescent="0.35">
      <c r="Z937" s="4"/>
      <c r="AA937" s="4"/>
      <c r="AB937" s="4" t="e">
        <f ca="1">_xll.ciqfunctions.udf.CIQ("^SPX", "IQ_PRICEDATE", "9/11/2017")</f>
        <v>#NAME?</v>
      </c>
      <c r="AC937" s="16">
        <v>2488.1079650554002</v>
      </c>
    </row>
    <row r="938" spans="26:29" x14ac:dyDescent="0.35">
      <c r="Z938" s="4"/>
      <c r="AA938" s="4"/>
      <c r="AB938" s="4" t="e">
        <f ca="1">_xll.ciqfunctions.udf.CIQ("^SPX", "IQ_PRICEDATE", "9/12/2017")</f>
        <v>#NAME?</v>
      </c>
      <c r="AC938" s="16">
        <v>2496.4836195681</v>
      </c>
    </row>
    <row r="939" spans="26:29" x14ac:dyDescent="0.35">
      <c r="Z939" s="4"/>
      <c r="AA939" s="4"/>
      <c r="AB939" s="4" t="e">
        <f ca="1">_xll.ciqfunctions.udf.CIQ("^SPX", "IQ_PRICEDATE", "9/13/2017")</f>
        <v>#NAME?</v>
      </c>
      <c r="AC939" s="16">
        <v>2498.3708154599999</v>
      </c>
    </row>
    <row r="940" spans="26:29" x14ac:dyDescent="0.35">
      <c r="Z940" s="4"/>
      <c r="AA940" s="4"/>
      <c r="AB940" s="4" t="e">
        <f ca="1">_xll.ciqfunctions.udf.CIQ("^SPX", "IQ_PRICEDATE", "9/14/2017")</f>
        <v>#NAME?</v>
      </c>
      <c r="AC940" s="16">
        <v>2495.6191538507001</v>
      </c>
    </row>
    <row r="941" spans="26:29" x14ac:dyDescent="0.35">
      <c r="Z941" s="4"/>
      <c r="AA941" s="4"/>
      <c r="AB941" s="4" t="e">
        <f ca="1">_xll.ciqfunctions.udf.CIQ("^SPX", "IQ_PRICEDATE", "9/15/2017")</f>
        <v>#NAME?</v>
      </c>
      <c r="AC941" s="16">
        <v>2500.2258576201998</v>
      </c>
    </row>
    <row r="942" spans="26:29" x14ac:dyDescent="0.35">
      <c r="Z942" s="4"/>
      <c r="AA942" s="4"/>
      <c r="AB942" s="4" t="e">
        <f ca="1">_xll.ciqfunctions.udf.CIQ("^SPX", "IQ_PRICEDATE", "9/18/2017")</f>
        <v>#NAME?</v>
      </c>
      <c r="AC942" s="16">
        <v>2503.8695562620001</v>
      </c>
    </row>
    <row r="943" spans="26:29" x14ac:dyDescent="0.35">
      <c r="Z943" s="4"/>
      <c r="AA943" s="4"/>
      <c r="AB943" s="4" t="e">
        <f ca="1">_xll.ciqfunctions.udf.CIQ("^SPX", "IQ_PRICEDATE", "9/19/2017")</f>
        <v>#NAME?</v>
      </c>
      <c r="AC943" s="16">
        <v>2506.6479354336002</v>
      </c>
    </row>
    <row r="944" spans="26:29" x14ac:dyDescent="0.35">
      <c r="Z944" s="4"/>
      <c r="AA944" s="4"/>
      <c r="AB944" s="4" t="e">
        <f ca="1">_xll.ciqfunctions.udf.CIQ("^SPX", "IQ_PRICEDATE", "9/20/2017")</f>
        <v>#NAME?</v>
      </c>
      <c r="AC944" s="16">
        <v>2508.2360483629</v>
      </c>
    </row>
    <row r="945" spans="26:29" x14ac:dyDescent="0.35">
      <c r="Z945" s="4"/>
      <c r="AA945" s="4"/>
      <c r="AB945" s="4" t="e">
        <f ca="1">_xll.ciqfunctions.udf.CIQ("^SPX", "IQ_PRICEDATE", "9/21/2017")</f>
        <v>#NAME?</v>
      </c>
      <c r="AC945" s="16">
        <v>2500.6026174977001</v>
      </c>
    </row>
    <row r="946" spans="26:29" x14ac:dyDescent="0.35">
      <c r="Z946" s="4"/>
      <c r="AA946" s="4"/>
      <c r="AB946" s="4" t="e">
        <f ca="1">_xll.ciqfunctions.udf.CIQ("^SPX", "IQ_PRICEDATE", "9/22/2017")</f>
        <v>#NAME?</v>
      </c>
      <c r="AC946" s="16">
        <v>2502.2222245405001</v>
      </c>
    </row>
    <row r="947" spans="26:29" x14ac:dyDescent="0.35">
      <c r="Z947" s="4"/>
      <c r="AA947" s="4"/>
      <c r="AB947" s="4" t="e">
        <f ca="1">_xll.ciqfunctions.udf.CIQ("^SPX", "IQ_PRICEDATE", "9/25/2017")</f>
        <v>#NAME?</v>
      </c>
      <c r="AC947" s="16">
        <v>2496.6605903076002</v>
      </c>
    </row>
    <row r="948" spans="26:29" x14ac:dyDescent="0.35">
      <c r="Z948" s="4"/>
      <c r="AA948" s="4"/>
      <c r="AB948" s="4" t="e">
        <f ca="1">_xll.ciqfunctions.udf.CIQ("^SPX", "IQ_PRICEDATE", "9/26/2017")</f>
        <v>#NAME?</v>
      </c>
      <c r="AC948" s="16">
        <v>2496.8408940905001</v>
      </c>
    </row>
    <row r="949" spans="26:29" x14ac:dyDescent="0.35">
      <c r="Z949" s="4"/>
      <c r="AA949" s="4"/>
      <c r="AB949" s="4" t="e">
        <f ca="1">_xll.ciqfunctions.udf.CIQ("^SPX", "IQ_PRICEDATE", "9/27/2017")</f>
        <v>#NAME?</v>
      </c>
      <c r="AC949" s="16">
        <v>2507.0432811582</v>
      </c>
    </row>
    <row r="950" spans="26:29" x14ac:dyDescent="0.35">
      <c r="Z950" s="4"/>
      <c r="AA950" s="4"/>
      <c r="AB950" s="4" t="e">
        <f ca="1">_xll.ciqfunctions.udf.CIQ("^SPX", "IQ_PRICEDATE", "9/28/2017")</f>
        <v>#NAME?</v>
      </c>
      <c r="AC950" s="16">
        <v>2510.0619918303</v>
      </c>
    </row>
    <row r="951" spans="26:29" x14ac:dyDescent="0.35">
      <c r="Z951" s="4"/>
      <c r="AA951" s="4"/>
      <c r="AB951" s="4" t="e">
        <f ca="1">_xll.ciqfunctions.udf.CIQ("^SPX", "IQ_PRICEDATE", "9/29/2017")</f>
        <v>#NAME?</v>
      </c>
      <c r="AC951" s="16">
        <v>2519.3596719061002</v>
      </c>
    </row>
    <row r="952" spans="26:29" x14ac:dyDescent="0.35">
      <c r="Z952" s="4"/>
      <c r="AA952" s="4"/>
      <c r="AB952" s="4" t="e">
        <f ca="1">_xll.ciqfunctions.udf.CIQ("^SPX", "IQ_PRICEDATE", "10/2/2017")</f>
        <v>#NAME?</v>
      </c>
      <c r="AC952" s="16">
        <v>2529.1152990602</v>
      </c>
    </row>
    <row r="953" spans="26:29" x14ac:dyDescent="0.35">
      <c r="Z953" s="4"/>
      <c r="AA953" s="4"/>
      <c r="AB953" s="4" t="e">
        <f ca="1">_xll.ciqfunctions.udf.CIQ("^SPX", "IQ_PRICEDATE", "10/3/2017")</f>
        <v>#NAME?</v>
      </c>
      <c r="AC953" s="16">
        <v>2534.5796830441</v>
      </c>
    </row>
    <row r="954" spans="26:29" x14ac:dyDescent="0.35">
      <c r="Z954" s="4"/>
      <c r="AA954" s="4"/>
      <c r="AB954" s="4" t="e">
        <f ca="1">_xll.ciqfunctions.udf.CIQ("^SPX", "IQ_PRICEDATE", "10/4/2017")</f>
        <v>#NAME?</v>
      </c>
      <c r="AC954" s="16">
        <v>2537.7412400060002</v>
      </c>
    </row>
    <row r="955" spans="26:29" x14ac:dyDescent="0.35">
      <c r="Z955" s="4"/>
      <c r="AA955" s="4"/>
      <c r="AB955" s="4" t="e">
        <f ca="1">_xll.ciqfunctions.udf.CIQ("^SPX", "IQ_PRICEDATE", "10/5/2017")</f>
        <v>#NAME?</v>
      </c>
      <c r="AC955" s="16">
        <v>2552.0653990719002</v>
      </c>
    </row>
    <row r="956" spans="26:29" x14ac:dyDescent="0.35">
      <c r="Z956" s="4"/>
      <c r="AA956" s="4"/>
      <c r="AB956" s="4" t="e">
        <f ca="1">_xll.ciqfunctions.udf.CIQ("^SPX", "IQ_PRICEDATE", "10/6/2017")</f>
        <v>#NAME?</v>
      </c>
      <c r="AC956" s="16">
        <v>2549.3315089020998</v>
      </c>
    </row>
    <row r="957" spans="26:29" x14ac:dyDescent="0.35">
      <c r="Z957" s="4"/>
      <c r="AA957" s="4"/>
      <c r="AB957" s="4" t="e">
        <f ca="1">_xll.ciqfunctions.udf.CIQ("^SPX", "IQ_PRICEDATE", "10/9/2017")</f>
        <v>#NAME?</v>
      </c>
      <c r="AC957" s="16">
        <v>2544.7285771562001</v>
      </c>
    </row>
    <row r="958" spans="26:29" x14ac:dyDescent="0.35">
      <c r="Z958" s="4"/>
      <c r="AA958" s="4"/>
      <c r="AB958" s="4" t="e">
        <f ca="1">_xll.ciqfunctions.udf.CIQ("^SPX", "IQ_PRICEDATE", "10/10/2017")</f>
        <v>#NAME?</v>
      </c>
      <c r="AC958" s="16">
        <v>2550.6424334051999</v>
      </c>
    </row>
    <row r="959" spans="26:29" x14ac:dyDescent="0.35">
      <c r="Z959" s="4"/>
      <c r="AA959" s="4"/>
      <c r="AB959" s="4" t="e">
        <f ca="1">_xll.ciqfunctions.udf.CIQ("^SPX", "IQ_PRICEDATE", "10/11/2017")</f>
        <v>#NAME?</v>
      </c>
      <c r="AC959" s="16">
        <v>2555.2407886845999</v>
      </c>
    </row>
    <row r="960" spans="26:29" x14ac:dyDescent="0.35">
      <c r="Z960" s="4"/>
      <c r="AA960" s="4"/>
      <c r="AB960" s="4" t="e">
        <f ca="1">_xll.ciqfunctions.udf.CIQ("^SPX", "IQ_PRICEDATE", "10/12/2017")</f>
        <v>#NAME?</v>
      </c>
      <c r="AC960" s="16">
        <v>2550.9330093848998</v>
      </c>
    </row>
    <row r="961" spans="26:29" x14ac:dyDescent="0.35">
      <c r="Z961" s="4"/>
      <c r="AA961" s="4"/>
      <c r="AB961" s="4" t="e">
        <f ca="1">_xll.ciqfunctions.udf.CIQ("^SPX", "IQ_PRICEDATE", "10/13/2017")</f>
        <v>#NAME?</v>
      </c>
      <c r="AC961" s="16">
        <v>2553.1693728503001</v>
      </c>
    </row>
    <row r="962" spans="26:29" x14ac:dyDescent="0.35">
      <c r="Z962" s="4"/>
      <c r="AA962" s="4"/>
      <c r="AB962" s="4" t="e">
        <f ca="1">_xll.ciqfunctions.udf.CIQ("^SPX", "IQ_PRICEDATE", "10/16/2017")</f>
        <v>#NAME?</v>
      </c>
      <c r="AC962" s="16">
        <v>2557.6397377800999</v>
      </c>
    </row>
    <row r="963" spans="26:29" x14ac:dyDescent="0.35">
      <c r="Z963" s="4"/>
      <c r="AA963" s="4"/>
      <c r="AB963" s="4" t="e">
        <f ca="1">_xll.ciqfunctions.udf.CIQ("^SPX", "IQ_PRICEDATE", "10/17/2017")</f>
        <v>#NAME?</v>
      </c>
      <c r="AC963" s="16">
        <v>2559.3563108588</v>
      </c>
    </row>
    <row r="964" spans="26:29" x14ac:dyDescent="0.35">
      <c r="Z964" s="4"/>
      <c r="AA964" s="4"/>
      <c r="AB964" s="4" t="e">
        <f ca="1">_xll.ciqfunctions.udf.CIQ("^SPX", "IQ_PRICEDATE", "10/18/2017")</f>
        <v>#NAME?</v>
      </c>
      <c r="AC964" s="16">
        <v>2561.2644527327998</v>
      </c>
    </row>
    <row r="965" spans="26:29" x14ac:dyDescent="0.35">
      <c r="Z965" s="4"/>
      <c r="AA965" s="4"/>
      <c r="AB965" s="4" t="e">
        <f ca="1">_xll.ciqfunctions.udf.CIQ("^SPX", "IQ_PRICEDATE", "10/19/2017")</f>
        <v>#NAME?</v>
      </c>
      <c r="AC965" s="16">
        <v>2562.1037547780002</v>
      </c>
    </row>
    <row r="966" spans="26:29" x14ac:dyDescent="0.35">
      <c r="Z966" s="4"/>
      <c r="AA966" s="4"/>
      <c r="AB966" s="4" t="e">
        <f ca="1">_xll.ciqfunctions.udf.CIQ("^SPX", "IQ_PRICEDATE", "10/20/2017")</f>
        <v>#NAME?</v>
      </c>
      <c r="AC966" s="16">
        <v>2575.2058778891001</v>
      </c>
    </row>
    <row r="967" spans="26:29" x14ac:dyDescent="0.35">
      <c r="Z967" s="4"/>
      <c r="AA967" s="4"/>
      <c r="AB967" s="4" t="e">
        <f ca="1">_xll.ciqfunctions.udf.CIQ("^SPX", "IQ_PRICEDATE", "10/23/2017")</f>
        <v>#NAME?</v>
      </c>
      <c r="AC967" s="16">
        <v>2564.9785238794998</v>
      </c>
    </row>
    <row r="968" spans="26:29" x14ac:dyDescent="0.35">
      <c r="Z968" s="4"/>
      <c r="AA968" s="4"/>
      <c r="AB968" s="4" t="e">
        <f ca="1">_xll.ciqfunctions.udf.CIQ("^SPX", "IQ_PRICEDATE", "10/24/2017")</f>
        <v>#NAME?</v>
      </c>
      <c r="AC968" s="16">
        <v>2569.1342599453001</v>
      </c>
    </row>
    <row r="969" spans="26:29" x14ac:dyDescent="0.35">
      <c r="Z969" s="4"/>
      <c r="AA969" s="4"/>
      <c r="AB969" s="4" t="e">
        <f ca="1">_xll.ciqfunctions.udf.CIQ("^SPX", "IQ_PRICEDATE", "10/25/2017")</f>
        <v>#NAME?</v>
      </c>
      <c r="AC969" s="16">
        <v>2557.1509845873002</v>
      </c>
    </row>
    <row r="970" spans="26:29" x14ac:dyDescent="0.35">
      <c r="Z970" s="4"/>
      <c r="AA970" s="4"/>
      <c r="AB970" s="4" t="e">
        <f ca="1">_xll.ciqfunctions.udf.CIQ("^SPX", "IQ_PRICEDATE", "10/26/2017")</f>
        <v>#NAME?</v>
      </c>
      <c r="AC970" s="16">
        <v>2560.3991945194002</v>
      </c>
    </row>
    <row r="971" spans="26:29" x14ac:dyDescent="0.35">
      <c r="Z971" s="4"/>
      <c r="AA971" s="4"/>
      <c r="AB971" s="4" t="e">
        <f ca="1">_xll.ciqfunctions.udf.CIQ("^SPX", "IQ_PRICEDATE", "10/27/2017")</f>
        <v>#NAME?</v>
      </c>
      <c r="AC971" s="16">
        <v>2581.0657031342998</v>
      </c>
    </row>
    <row r="972" spans="26:29" x14ac:dyDescent="0.35">
      <c r="Z972" s="4"/>
      <c r="AA972" s="4"/>
      <c r="AB972" s="4" t="e">
        <f ca="1">_xll.ciqfunctions.udf.CIQ("^SPX", "IQ_PRICEDATE", "10/30/2017")</f>
        <v>#NAME?</v>
      </c>
      <c r="AC972" s="16">
        <v>2572.8336032472998</v>
      </c>
    </row>
    <row r="973" spans="26:29" x14ac:dyDescent="0.35">
      <c r="Z973" s="4"/>
      <c r="AA973" s="4"/>
      <c r="AB973" s="4" t="e">
        <f ca="1">_xll.ciqfunctions.udf.CIQ("^SPX", "IQ_PRICEDATE", "10/31/2017")</f>
        <v>#NAME?</v>
      </c>
      <c r="AC973" s="16">
        <v>2575.2638304521001</v>
      </c>
    </row>
    <row r="974" spans="26:29" x14ac:dyDescent="0.35">
      <c r="Z974" s="4"/>
      <c r="AA974" s="4"/>
      <c r="AB974" s="4" t="e">
        <f ca="1">_xll.ciqfunctions.udf.CIQ("^SPX", "IQ_PRICEDATE", "11/1/2017")</f>
        <v>#NAME?</v>
      </c>
      <c r="AC974" s="16">
        <v>2579.3558498933999</v>
      </c>
    </row>
    <row r="975" spans="26:29" x14ac:dyDescent="0.35">
      <c r="Z975" s="4"/>
      <c r="AA975" s="4"/>
      <c r="AB975" s="4" t="e">
        <f ca="1">_xll.ciqfunctions.udf.CIQ("^SPX", "IQ_PRICEDATE", "11/2/2017")</f>
        <v>#NAME?</v>
      </c>
      <c r="AC975" s="16">
        <v>2579.8516516144</v>
      </c>
    </row>
    <row r="976" spans="26:29" x14ac:dyDescent="0.35">
      <c r="Z976" s="4"/>
      <c r="AA976" s="4"/>
      <c r="AB976" s="4" t="e">
        <f ca="1">_xll.ciqfunctions.udf.CIQ("^SPX", "IQ_PRICEDATE", "11/3/2017")</f>
        <v>#NAME?</v>
      </c>
      <c r="AC976" s="16">
        <v>2587.8360570379</v>
      </c>
    </row>
    <row r="977" spans="26:29" x14ac:dyDescent="0.35">
      <c r="Z977" s="4"/>
      <c r="AA977" s="4"/>
      <c r="AB977" s="4" t="e">
        <f ca="1">_xll.ciqfunctions.udf.CIQ("^SPX", "IQ_PRICEDATE", "11/6/2017")</f>
        <v>#NAME?</v>
      </c>
      <c r="AC977" s="16">
        <v>2591.1284424032001</v>
      </c>
    </row>
    <row r="978" spans="26:29" x14ac:dyDescent="0.35">
      <c r="Z978" s="4"/>
      <c r="AA978" s="4"/>
      <c r="AB978" s="4" t="e">
        <f ca="1">_xll.ciqfunctions.udf.CIQ("^SPX", "IQ_PRICEDATE", "11/7/2017")</f>
        <v>#NAME?</v>
      </c>
      <c r="AC978" s="16">
        <v>2590.6417566441</v>
      </c>
    </row>
    <row r="979" spans="26:29" x14ac:dyDescent="0.35">
      <c r="Z979" s="4"/>
      <c r="AA979" s="4"/>
      <c r="AB979" s="4" t="e">
        <f ca="1">_xll.ciqfunctions.udf.CIQ("^SPX", "IQ_PRICEDATE", "11/8/2017")</f>
        <v>#NAME?</v>
      </c>
      <c r="AC979" s="16">
        <v>2594.3752091488</v>
      </c>
    </row>
    <row r="980" spans="26:29" x14ac:dyDescent="0.35">
      <c r="Z980" s="4"/>
      <c r="AA980" s="4"/>
      <c r="AB980" s="4" t="e">
        <f ca="1">_xll.ciqfunctions.udf.CIQ("^SPX", "IQ_PRICEDATE", "11/9/2017")</f>
        <v>#NAME?</v>
      </c>
      <c r="AC980" s="16">
        <v>2584.6212738756999</v>
      </c>
    </row>
    <row r="981" spans="26:29" x14ac:dyDescent="0.35">
      <c r="Z981" s="4"/>
      <c r="AA981" s="4"/>
      <c r="AB981" s="4" t="e">
        <f ca="1">_xll.ciqfunctions.udf.CIQ("^SPX", "IQ_PRICEDATE", "11/10/2017")</f>
        <v>#NAME?</v>
      </c>
      <c r="AC981" s="16">
        <v>2582.3000392549002</v>
      </c>
    </row>
    <row r="982" spans="26:29" x14ac:dyDescent="0.35">
      <c r="Z982" s="4"/>
      <c r="AA982" s="4"/>
      <c r="AB982" s="4" t="e">
        <f ca="1">_xll.ciqfunctions.udf.CIQ("^SPX", "IQ_PRICEDATE", "11/13/2017")</f>
        <v>#NAME?</v>
      </c>
      <c r="AC982" s="16">
        <v>2584.844826306</v>
      </c>
    </row>
    <row r="983" spans="26:29" x14ac:dyDescent="0.35">
      <c r="Z983" s="4"/>
      <c r="AA983" s="4"/>
      <c r="AB983" s="4" t="e">
        <f ca="1">_xll.ciqfunctions.udf.CIQ("^SPX", "IQ_PRICEDATE", "11/14/2017")</f>
        <v>#NAME?</v>
      </c>
      <c r="AC983" s="16">
        <v>2578.8718241124998</v>
      </c>
    </row>
    <row r="984" spans="26:29" x14ac:dyDescent="0.35">
      <c r="Z984" s="4"/>
      <c r="AA984" s="4"/>
      <c r="AB984" s="4" t="e">
        <f ca="1">_xll.ciqfunctions.udf.CIQ("^SPX", "IQ_PRICEDATE", "11/15/2017")</f>
        <v>#NAME?</v>
      </c>
      <c r="AC984" s="16">
        <v>2564.6205095055998</v>
      </c>
    </row>
    <row r="985" spans="26:29" x14ac:dyDescent="0.35">
      <c r="Z985" s="4"/>
      <c r="AA985" s="4"/>
      <c r="AB985" s="4" t="e">
        <f ca="1">_xll.ciqfunctions.udf.CIQ("^SPX", "IQ_PRICEDATE", "11/16/2017")</f>
        <v>#NAME?</v>
      </c>
      <c r="AC985" s="16">
        <v>2585.6431638326999</v>
      </c>
    </row>
    <row r="986" spans="26:29" x14ac:dyDescent="0.35">
      <c r="Z986" s="4"/>
      <c r="AA986" s="4"/>
      <c r="AB986" s="4" t="e">
        <f ca="1">_xll.ciqfunctions.udf.CIQ("^SPX", "IQ_PRICEDATE", "11/17/2017")</f>
        <v>#NAME?</v>
      </c>
      <c r="AC986" s="16">
        <v>2578.8543239638002</v>
      </c>
    </row>
    <row r="987" spans="26:29" x14ac:dyDescent="0.35">
      <c r="Z987" s="4"/>
      <c r="AA987" s="4"/>
      <c r="AB987" s="4" t="e">
        <f ca="1">_xll.ciqfunctions.udf.CIQ("^SPX", "IQ_PRICEDATE", "11/20/2017")</f>
        <v>#NAME?</v>
      </c>
      <c r="AC987" s="16">
        <v>2582.1415887037001</v>
      </c>
    </row>
    <row r="988" spans="26:29" x14ac:dyDescent="0.35">
      <c r="Z988" s="4"/>
      <c r="AA988" s="4"/>
      <c r="AB988" s="4" t="e">
        <f ca="1">_xll.ciqfunctions.udf.CIQ("^SPX", "IQ_PRICEDATE", "11/21/2017")</f>
        <v>#NAME?</v>
      </c>
      <c r="AC988" s="16">
        <v>2599.0291929053001</v>
      </c>
    </row>
    <row r="989" spans="26:29" x14ac:dyDescent="0.35">
      <c r="Z989" s="4"/>
      <c r="AA989" s="4"/>
      <c r="AB989" s="4" t="e">
        <f ca="1">_xll.ciqfunctions.udf.CIQ("^SPX", "IQ_PRICEDATE", "11/22/2017")</f>
        <v>#NAME?</v>
      </c>
      <c r="AC989" s="16">
        <v>2597.0772026103</v>
      </c>
    </row>
    <row r="990" spans="26:29" x14ac:dyDescent="0.35">
      <c r="Z990" s="4"/>
      <c r="AA990" s="4"/>
      <c r="AB990" s="4" t="e">
        <f ca="1">_xll.ciqfunctions.udf.CIQ("^SPX", "IQ_PRICEDATE", "11/24/2017")</f>
        <v>#NAME?</v>
      </c>
      <c r="AC990" s="16">
        <v>2602.4247078124999</v>
      </c>
    </row>
    <row r="991" spans="26:29" x14ac:dyDescent="0.35">
      <c r="Z991" s="4"/>
      <c r="AA991" s="4"/>
      <c r="AB991" s="4" t="e">
        <f ca="1">_xll.ciqfunctions.udf.CIQ("^SPX", "IQ_PRICEDATE", "11/27/2017")</f>
        <v>#NAME?</v>
      </c>
      <c r="AC991" s="16">
        <v>2601.4238908288999</v>
      </c>
    </row>
    <row r="992" spans="26:29" x14ac:dyDescent="0.35">
      <c r="Z992" s="4"/>
      <c r="AA992" s="4"/>
      <c r="AB992" s="4" t="e">
        <f ca="1">_xll.ciqfunctions.udf.CIQ("^SPX", "IQ_PRICEDATE", "11/28/2017")</f>
        <v>#NAME?</v>
      </c>
      <c r="AC992" s="16">
        <v>2627.0440254405999</v>
      </c>
    </row>
    <row r="993" spans="26:29" x14ac:dyDescent="0.35">
      <c r="Z993" s="4"/>
      <c r="AA993" s="4"/>
      <c r="AB993" s="4" t="e">
        <f ca="1">_xll.ciqfunctions.udf.CIQ("^SPX", "IQ_PRICEDATE", "11/29/2017")</f>
        <v>#NAME?</v>
      </c>
      <c r="AC993" s="16">
        <v>2626.0661946542</v>
      </c>
    </row>
    <row r="994" spans="26:29" x14ac:dyDescent="0.35">
      <c r="Z994" s="4"/>
      <c r="AA994" s="4"/>
      <c r="AB994" s="4" t="e">
        <f ca="1">_xll.ciqfunctions.udf.CIQ("^SPX", "IQ_PRICEDATE", "11/30/2017")</f>
        <v>#NAME?</v>
      </c>
      <c r="AC994" s="16">
        <v>2647.5799274831002</v>
      </c>
    </row>
    <row r="995" spans="26:29" x14ac:dyDescent="0.35">
      <c r="Z995" s="4"/>
      <c r="AA995" s="4"/>
      <c r="AB995" s="4" t="e">
        <f ca="1">_xll.ciqfunctions.udf.CIQ("^SPX", "IQ_PRICEDATE", "12/1/2017")</f>
        <v>#NAME?</v>
      </c>
      <c r="AC995" s="16">
        <v>2642.2157647466001</v>
      </c>
    </row>
    <row r="996" spans="26:29" x14ac:dyDescent="0.35">
      <c r="Z996" s="4"/>
      <c r="AA996" s="4"/>
      <c r="AB996" s="4" t="e">
        <f ca="1">_xll.ciqfunctions.udf.CIQ("^SPX", "IQ_PRICEDATE", "12/4/2017")</f>
        <v>#NAME?</v>
      </c>
      <c r="AC996" s="16">
        <v>2639.4370480450002</v>
      </c>
    </row>
    <row r="997" spans="26:29" x14ac:dyDescent="0.35">
      <c r="Z997" s="4"/>
      <c r="AA997" s="4"/>
      <c r="AB997" s="4" t="e">
        <f ca="1">_xll.ciqfunctions.udf.CIQ("^SPX", "IQ_PRICEDATE", "12/5/2017")</f>
        <v>#NAME?</v>
      </c>
      <c r="AC997" s="16">
        <v>2629.5708449898002</v>
      </c>
    </row>
    <row r="998" spans="26:29" x14ac:dyDescent="0.35">
      <c r="Z998" s="4"/>
      <c r="AA998" s="4"/>
      <c r="AB998" s="4" t="e">
        <f ca="1">_xll.ciqfunctions.udf.CIQ("^SPX", "IQ_PRICEDATE", "12/6/2017")</f>
        <v>#NAME?</v>
      </c>
      <c r="AC998" s="16">
        <v>2629.2669138668002</v>
      </c>
    </row>
    <row r="999" spans="26:29" x14ac:dyDescent="0.35">
      <c r="Z999" s="4"/>
      <c r="AA999" s="4"/>
      <c r="AB999" s="4" t="e">
        <f ca="1">_xll.ciqfunctions.udf.CIQ("^SPX", "IQ_PRICEDATE", "12/7/2017")</f>
        <v>#NAME?</v>
      </c>
      <c r="AC999" s="16">
        <v>2636.9764936510001</v>
      </c>
    </row>
    <row r="1000" spans="26:29" x14ac:dyDescent="0.35">
      <c r="Z1000" s="4"/>
      <c r="AA1000" s="4"/>
      <c r="AB1000" s="4" t="e">
        <f ca="1">_xll.ciqfunctions.udf.CIQ("^SPX", "IQ_PRICEDATE", "12/8/2017")</f>
        <v>#NAME?</v>
      </c>
      <c r="AC1000" s="16">
        <v>2651.5010002734002</v>
      </c>
    </row>
    <row r="1001" spans="26:29" x14ac:dyDescent="0.35">
      <c r="Z1001" s="4"/>
      <c r="AA1001" s="4"/>
      <c r="AB1001" s="4" t="e">
        <f ca="1">_xll.ciqfunctions.udf.CIQ("^SPX", "IQ_PRICEDATE", "12/11/2017")</f>
        <v>#NAME?</v>
      </c>
      <c r="AC1001" s="16">
        <v>2659.9896497108002</v>
      </c>
    </row>
    <row r="1002" spans="26:29" x14ac:dyDescent="0.35">
      <c r="Z1002" s="4"/>
      <c r="AA1002" s="4"/>
      <c r="AB1002" s="4" t="e">
        <f ca="1">_xll.ciqfunctions.udf.CIQ("^SPX", "IQ_PRICEDATE", "12/12/2017")</f>
        <v>#NAME?</v>
      </c>
      <c r="AC1002" s="16">
        <v>2664.1057286303999</v>
      </c>
    </row>
    <row r="1003" spans="26:29" x14ac:dyDescent="0.35">
      <c r="Z1003" s="4"/>
      <c r="AA1003" s="4"/>
      <c r="AB1003" s="4" t="e">
        <f ca="1">_xll.ciqfunctions.udf.CIQ("^SPX", "IQ_PRICEDATE", "12/13/2017")</f>
        <v>#NAME?</v>
      </c>
      <c r="AC1003" s="16">
        <v>2662.8451882638001</v>
      </c>
    </row>
    <row r="1004" spans="26:29" x14ac:dyDescent="0.35">
      <c r="Z1004" s="4"/>
      <c r="AA1004" s="4"/>
      <c r="AB1004" s="4" t="e">
        <f ca="1">_xll.ciqfunctions.udf.CIQ("^SPX", "IQ_PRICEDATE", "12/14/2017")</f>
        <v>#NAME?</v>
      </c>
      <c r="AC1004" s="16">
        <v>2652.0124436092001</v>
      </c>
    </row>
    <row r="1005" spans="26:29" x14ac:dyDescent="0.35">
      <c r="Z1005" s="4"/>
      <c r="AA1005" s="4"/>
      <c r="AB1005" s="4" t="e">
        <f ca="1">_xll.ciqfunctions.udf.CIQ("^SPX", "IQ_PRICEDATE", "12/15/2017")</f>
        <v>#NAME?</v>
      </c>
      <c r="AC1005" s="16">
        <v>2675.8079812269998</v>
      </c>
    </row>
    <row r="1006" spans="26:29" x14ac:dyDescent="0.35">
      <c r="Z1006" s="4"/>
      <c r="AA1006" s="4"/>
      <c r="AB1006" s="4" t="e">
        <f ca="1">_xll.ciqfunctions.udf.CIQ("^SPX", "IQ_PRICEDATE", "12/18/2017")</f>
        <v>#NAME?</v>
      </c>
      <c r="AC1006" s="16">
        <v>2690.1582514102001</v>
      </c>
    </row>
    <row r="1007" spans="26:29" x14ac:dyDescent="0.35">
      <c r="Z1007" s="4"/>
      <c r="AA1007" s="4"/>
      <c r="AB1007" s="4" t="e">
        <f ca="1">_xll.ciqfunctions.udf.CIQ("^SPX", "IQ_PRICEDATE", "12/19/2017")</f>
        <v>#NAME?</v>
      </c>
      <c r="AC1007" s="16">
        <v>2681.4736294856998</v>
      </c>
    </row>
    <row r="1008" spans="26:29" x14ac:dyDescent="0.35">
      <c r="Z1008" s="4"/>
      <c r="AA1008" s="4"/>
      <c r="AB1008" s="4" t="e">
        <f ca="1">_xll.ciqfunctions.udf.CIQ("^SPX", "IQ_PRICEDATE", "12/20/2017")</f>
        <v>#NAME?</v>
      </c>
      <c r="AC1008" s="16">
        <v>2679.2480845041</v>
      </c>
    </row>
    <row r="1009" spans="26:29" x14ac:dyDescent="0.35">
      <c r="Z1009" s="4"/>
      <c r="AA1009" s="4"/>
      <c r="AB1009" s="4" t="e">
        <f ca="1">_xll.ciqfunctions.udf.CIQ("^SPX", "IQ_PRICEDATE", "12/21/2017")</f>
        <v>#NAME?</v>
      </c>
      <c r="AC1009" s="16">
        <v>2684.5691760676</v>
      </c>
    </row>
    <row r="1010" spans="26:29" x14ac:dyDescent="0.35">
      <c r="Z1010" s="4"/>
      <c r="AA1010" s="4"/>
      <c r="AB1010" s="4" t="e">
        <f ca="1">_xll.ciqfunctions.udf.CIQ("^SPX", "IQ_PRICEDATE", "12/22/2017")</f>
        <v>#NAME?</v>
      </c>
      <c r="AC1010" s="16">
        <v>2683.3372743313998</v>
      </c>
    </row>
    <row r="1011" spans="26:29" x14ac:dyDescent="0.35">
      <c r="Z1011" s="4"/>
      <c r="AA1011" s="4"/>
      <c r="AB1011" s="4" t="e">
        <f ca="1">_xll.ciqfunctions.udf.CIQ("^SPX", "IQ_PRICEDATE", "12/26/2017")</f>
        <v>#NAME?</v>
      </c>
      <c r="AC1011" s="16">
        <v>2680.5044863251001</v>
      </c>
    </row>
    <row r="1012" spans="26:29" x14ac:dyDescent="0.35">
      <c r="Z1012" s="4"/>
      <c r="AA1012" s="4"/>
      <c r="AB1012" s="4" t="e">
        <f ca="1">_xll.ciqfunctions.udf.CIQ("^SPX", "IQ_PRICEDATE", "12/27/2017")</f>
        <v>#NAME?</v>
      </c>
      <c r="AC1012" s="16">
        <v>2682.6199232041999</v>
      </c>
    </row>
    <row r="1013" spans="26:29" x14ac:dyDescent="0.35">
      <c r="Z1013" s="4"/>
      <c r="AA1013" s="4"/>
      <c r="AB1013" s="4" t="e">
        <f ca="1">_xll.ciqfunctions.udf.CIQ("^SPX", "IQ_PRICEDATE", "12/28/2017")</f>
        <v>#NAME?</v>
      </c>
      <c r="AC1013" s="16">
        <v>2687.5378291884999</v>
      </c>
    </row>
    <row r="1014" spans="26:29" x14ac:dyDescent="0.35">
      <c r="Z1014" s="4"/>
      <c r="AA1014" s="4"/>
      <c r="AB1014" s="4" t="e">
        <f ca="1">_xll.ciqfunctions.udf.CIQ("^SPX", "IQ_PRICEDATE", "12/29/2017")</f>
        <v>#NAME?</v>
      </c>
      <c r="AC1014" s="16">
        <v>2673.6105231516999</v>
      </c>
    </row>
    <row r="1015" spans="26:29" x14ac:dyDescent="0.35">
      <c r="Z1015" s="4"/>
      <c r="AA1015" s="4"/>
      <c r="AB1015" s="4" t="e">
        <f ca="1">_xll.ciqfunctions.udf.CIQ("^SPX", "IQ_PRICEDATE", "1/2/2018")</f>
        <v>#NAME?</v>
      </c>
      <c r="AC1015" s="16">
        <v>2695.8097718087001</v>
      </c>
    </row>
    <row r="1016" spans="26:29" x14ac:dyDescent="0.35">
      <c r="Z1016" s="4"/>
      <c r="AA1016" s="4"/>
      <c r="AB1016" s="4" t="e">
        <f ca="1">_xll.ciqfunctions.udf.CIQ("^SPX", "IQ_PRICEDATE", "1/3/2018")</f>
        <v>#NAME?</v>
      </c>
      <c r="AC1016" s="16">
        <v>2713.0610059947999</v>
      </c>
    </row>
    <row r="1017" spans="26:29" x14ac:dyDescent="0.35">
      <c r="Z1017" s="4"/>
      <c r="AA1017" s="4"/>
      <c r="AB1017" s="4" t="e">
        <f ca="1">_xll.ciqfunctions.udf.CIQ("^SPX", "IQ_PRICEDATE", "1/4/2018")</f>
        <v>#NAME?</v>
      </c>
      <c r="AC1017" s="16">
        <v>2723.9925953636998</v>
      </c>
    </row>
    <row r="1018" spans="26:29" x14ac:dyDescent="0.35">
      <c r="Z1018" s="4"/>
      <c r="AA1018" s="4"/>
      <c r="AB1018" s="4" t="e">
        <f ca="1">_xll.ciqfunctions.udf.CIQ("^SPX", "IQ_PRICEDATE", "1/5/2018")</f>
        <v>#NAME?</v>
      </c>
      <c r="AC1018" s="16">
        <v>2743.1477732975</v>
      </c>
    </row>
    <row r="1019" spans="26:29" x14ac:dyDescent="0.35">
      <c r="Z1019" s="4"/>
      <c r="AA1019" s="4"/>
      <c r="AB1019" s="4" t="e">
        <f ca="1">_xll.ciqfunctions.udf.CIQ("^SPX", "IQ_PRICEDATE", "1/8/2018")</f>
        <v>#NAME?</v>
      </c>
      <c r="AC1019" s="16">
        <v>2747.7102333489001</v>
      </c>
    </row>
    <row r="1020" spans="26:29" x14ac:dyDescent="0.35">
      <c r="Z1020" s="4"/>
      <c r="AA1020" s="4"/>
      <c r="AB1020" s="4" t="e">
        <f ca="1">_xll.ciqfunctions.udf.CIQ("^SPX", "IQ_PRICEDATE", "1/9/2018")</f>
        <v>#NAME?</v>
      </c>
      <c r="AC1020" s="16">
        <v>2751.2852488919998</v>
      </c>
    </row>
    <row r="1021" spans="26:29" x14ac:dyDescent="0.35">
      <c r="Z1021" s="4"/>
      <c r="AA1021" s="4"/>
      <c r="AB1021" s="4" t="e">
        <f ca="1">_xll.ciqfunctions.udf.CIQ("^SPX", "IQ_PRICEDATE", "1/10/2018")</f>
        <v>#NAME?</v>
      </c>
      <c r="AC1021" s="16">
        <v>2748.2254899627001</v>
      </c>
    </row>
    <row r="1022" spans="26:29" x14ac:dyDescent="0.35">
      <c r="Z1022" s="4"/>
      <c r="AA1022" s="4"/>
      <c r="AB1022" s="4" t="e">
        <f ca="1">_xll.ciqfunctions.udf.CIQ("^SPX", "IQ_PRICEDATE", "1/11/2018")</f>
        <v>#NAME?</v>
      </c>
      <c r="AC1022" s="16">
        <v>2767.5581418168999</v>
      </c>
    </row>
    <row r="1023" spans="26:29" x14ac:dyDescent="0.35">
      <c r="Z1023" s="4"/>
      <c r="AA1023" s="4"/>
      <c r="AB1023" s="4" t="e">
        <f ca="1">_xll.ciqfunctions.udf.CIQ("^SPX", "IQ_PRICEDATE", "1/12/2018")</f>
        <v>#NAME?</v>
      </c>
      <c r="AC1023" s="16">
        <v>2786.2441431866</v>
      </c>
    </row>
    <row r="1024" spans="26:29" x14ac:dyDescent="0.35">
      <c r="Z1024" s="4"/>
      <c r="AA1024" s="4"/>
      <c r="AB1024" s="4" t="e">
        <f ca="1">_xll.ciqfunctions.udf.CIQ("^SPX", "IQ_PRICEDATE", "1/16/2018")</f>
        <v>#NAME?</v>
      </c>
      <c r="AC1024" s="16">
        <v>2776.4200235751</v>
      </c>
    </row>
    <row r="1025" spans="26:29" x14ac:dyDescent="0.35">
      <c r="Z1025" s="4"/>
      <c r="AA1025" s="4"/>
      <c r="AB1025" s="4" t="e">
        <f ca="1">_xll.ciqfunctions.udf.CIQ("^SPX", "IQ_PRICEDATE", "1/17/2018")</f>
        <v>#NAME?</v>
      </c>
      <c r="AC1025" s="16">
        <v>2802.5555741929002</v>
      </c>
    </row>
    <row r="1026" spans="26:29" x14ac:dyDescent="0.35">
      <c r="Z1026" s="4"/>
      <c r="AA1026" s="4"/>
      <c r="AB1026" s="4" t="e">
        <f ca="1">_xll.ciqfunctions.udf.CIQ("^SPX", "IQ_PRICEDATE", "1/18/2018")</f>
        <v>#NAME?</v>
      </c>
      <c r="AC1026" s="16">
        <v>2798.0302570590002</v>
      </c>
    </row>
    <row r="1027" spans="26:29" x14ac:dyDescent="0.35">
      <c r="Z1027" s="4"/>
      <c r="AA1027" s="4"/>
      <c r="AB1027" s="4" t="e">
        <f ca="1">_xll.ciqfunctions.udf.CIQ("^SPX", "IQ_PRICEDATE", "1/19/2018")</f>
        <v>#NAME?</v>
      </c>
      <c r="AC1027" s="16">
        <v>2810.3026834920001</v>
      </c>
    </row>
    <row r="1028" spans="26:29" x14ac:dyDescent="0.35">
      <c r="Z1028" s="4"/>
      <c r="AA1028" s="4"/>
      <c r="AB1028" s="4" t="e">
        <f ca="1">_xll.ciqfunctions.udf.CIQ("^SPX", "IQ_PRICEDATE", "1/22/2018")</f>
        <v>#NAME?</v>
      </c>
      <c r="AC1028" s="16">
        <v>2832.9740997724998</v>
      </c>
    </row>
    <row r="1029" spans="26:29" x14ac:dyDescent="0.35">
      <c r="Z1029" s="4"/>
      <c r="AA1029" s="4"/>
      <c r="AB1029" s="4" t="e">
        <f ca="1">_xll.ciqfunctions.udf.CIQ("^SPX", "IQ_PRICEDATE", "1/23/2018")</f>
        <v>#NAME?</v>
      </c>
      <c r="AC1029" s="16">
        <v>2839.1303619554001</v>
      </c>
    </row>
    <row r="1030" spans="26:29" x14ac:dyDescent="0.35">
      <c r="Z1030" s="4"/>
      <c r="AA1030" s="4"/>
      <c r="AB1030" s="4" t="e">
        <f ca="1">_xll.ciqfunctions.udf.CIQ("^SPX", "IQ_PRICEDATE", "1/24/2018")</f>
        <v>#NAME?</v>
      </c>
      <c r="AC1030" s="16">
        <v>2837.5440076131999</v>
      </c>
    </row>
    <row r="1031" spans="26:29" x14ac:dyDescent="0.35">
      <c r="Z1031" s="4"/>
      <c r="AA1031" s="4"/>
      <c r="AB1031" s="4" t="e">
        <f ca="1">_xll.ciqfunctions.udf.CIQ("^SPX", "IQ_PRICEDATE", "1/25/2018")</f>
        <v>#NAME?</v>
      </c>
      <c r="AC1031" s="16">
        <v>2839.2530312105</v>
      </c>
    </row>
    <row r="1032" spans="26:29" x14ac:dyDescent="0.35">
      <c r="Z1032" s="4"/>
      <c r="AA1032" s="4"/>
      <c r="AB1032" s="4" t="e">
        <f ca="1">_xll.ciqfunctions.udf.CIQ("^SPX", "IQ_PRICEDATE", "1/26/2018")</f>
        <v>#NAME?</v>
      </c>
      <c r="AC1032" s="16">
        <v>2872.8678392431002</v>
      </c>
    </row>
    <row r="1033" spans="26:29" x14ac:dyDescent="0.35">
      <c r="Z1033" s="4"/>
      <c r="AA1033" s="4"/>
      <c r="AB1033" s="4" t="e">
        <f ca="1">_xll.ciqfunctions.udf.CIQ("^SPX", "IQ_PRICEDATE", "1/29/2018")</f>
        <v>#NAME?</v>
      </c>
      <c r="AC1033" s="16">
        <v>2853.5284110404</v>
      </c>
    </row>
    <row r="1034" spans="26:29" x14ac:dyDescent="0.35">
      <c r="Z1034" s="4"/>
      <c r="AA1034" s="4"/>
      <c r="AB1034" s="4" t="e">
        <f ca="1">_xll.ciqfunctions.udf.CIQ("^SPX", "IQ_PRICEDATE", "1/30/2018")</f>
        <v>#NAME?</v>
      </c>
      <c r="AC1034" s="16">
        <v>2822.4339480164999</v>
      </c>
    </row>
    <row r="1035" spans="26:29" x14ac:dyDescent="0.35">
      <c r="Z1035" s="4"/>
      <c r="AA1035" s="4"/>
      <c r="AB1035" s="4" t="e">
        <f ca="1">_xll.ciqfunctions.udf.CIQ("^SPX", "IQ_PRICEDATE", "1/31/2018")</f>
        <v>#NAME?</v>
      </c>
      <c r="AC1035" s="16">
        <v>2823.8099373554001</v>
      </c>
    </row>
    <row r="1036" spans="26:29" x14ac:dyDescent="0.35">
      <c r="Z1036" s="4"/>
      <c r="AA1036" s="4"/>
      <c r="AB1036" s="4" t="e">
        <f ca="1">_xll.ciqfunctions.udf.CIQ("^SPX", "IQ_PRICEDATE", "2/1/2018")</f>
        <v>#NAME?</v>
      </c>
      <c r="AC1036" s="16">
        <v>2821.975892767</v>
      </c>
    </row>
    <row r="1037" spans="26:29" x14ac:dyDescent="0.35">
      <c r="Z1037" s="4"/>
      <c r="AA1037" s="4"/>
      <c r="AB1037" s="4" t="e">
        <f ca="1">_xll.ciqfunctions.udf.CIQ("^SPX", "IQ_PRICEDATE", "2/2/2018")</f>
        <v>#NAME?</v>
      </c>
      <c r="AC1037" s="16">
        <v>2762.1253342727</v>
      </c>
    </row>
    <row r="1038" spans="26:29" x14ac:dyDescent="0.35">
      <c r="Z1038" s="4"/>
      <c r="AA1038" s="4"/>
      <c r="AB1038" s="4" t="e">
        <f ca="1">_xll.ciqfunctions.udf.CIQ("^SPX", "IQ_PRICEDATE", "2/5/2018")</f>
        <v>#NAME?</v>
      </c>
      <c r="AC1038" s="16">
        <v>2648.9390824826</v>
      </c>
    </row>
    <row r="1039" spans="26:29" x14ac:dyDescent="0.35">
      <c r="Z1039" s="4"/>
      <c r="AA1039" s="4"/>
      <c r="AB1039" s="4" t="e">
        <f ca="1">_xll.ciqfunctions.udf.CIQ("^SPX", "IQ_PRICEDATE", "2/6/2018")</f>
        <v>#NAME?</v>
      </c>
      <c r="AC1039" s="16">
        <v>2695.1442389796998</v>
      </c>
    </row>
    <row r="1040" spans="26:29" x14ac:dyDescent="0.35">
      <c r="Z1040" s="4"/>
      <c r="AA1040" s="4"/>
      <c r="AB1040" s="4" t="e">
        <f ca="1">_xll.ciqfunctions.udf.CIQ("^SPX", "IQ_PRICEDATE", "2/7/2018")</f>
        <v>#NAME?</v>
      </c>
      <c r="AC1040" s="16">
        <v>2681.6601351724998</v>
      </c>
    </row>
    <row r="1041" spans="26:29" x14ac:dyDescent="0.35">
      <c r="Z1041" s="4"/>
      <c r="AA1041" s="4"/>
      <c r="AB1041" s="4" t="e">
        <f ca="1">_xll.ciqfunctions.udf.CIQ("^SPX", "IQ_PRICEDATE", "2/8/2018")</f>
        <v>#NAME?</v>
      </c>
      <c r="AC1041" s="16">
        <v>2580.9994808281999</v>
      </c>
    </row>
    <row r="1042" spans="26:29" x14ac:dyDescent="0.35">
      <c r="Z1042" s="4"/>
      <c r="AA1042" s="4"/>
      <c r="AB1042" s="4" t="e">
        <f ca="1">_xll.ciqfunctions.udf.CIQ("^SPX", "IQ_PRICEDATE", "2/9/2018")</f>
        <v>#NAME?</v>
      </c>
      <c r="AC1042" s="16">
        <v>2619.5455949231</v>
      </c>
    </row>
    <row r="1043" spans="26:29" x14ac:dyDescent="0.35">
      <c r="Z1043" s="4"/>
      <c r="AA1043" s="4"/>
      <c r="AB1043" s="4" t="e">
        <f ca="1">_xll.ciqfunctions.udf.CIQ("^SPX", "IQ_PRICEDATE", "2/12/2018")</f>
        <v>#NAME?</v>
      </c>
      <c r="AC1043" s="16">
        <v>2655.9975272689999</v>
      </c>
    </row>
    <row r="1044" spans="26:29" x14ac:dyDescent="0.35">
      <c r="Z1044" s="4"/>
      <c r="AA1044" s="4"/>
      <c r="AB1044" s="4" t="e">
        <f ca="1">_xll.ciqfunctions.udf.CIQ("^SPX", "IQ_PRICEDATE", "2/13/2018")</f>
        <v>#NAME?</v>
      </c>
      <c r="AC1044" s="16">
        <v>2662.9429033240999</v>
      </c>
    </row>
    <row r="1045" spans="26:29" x14ac:dyDescent="0.35">
      <c r="Z1045" s="4"/>
      <c r="AA1045" s="4"/>
      <c r="AB1045" s="4" t="e">
        <f ca="1">_xll.ciqfunctions.udf.CIQ("^SPX", "IQ_PRICEDATE", "2/14/2018")</f>
        <v>#NAME?</v>
      </c>
      <c r="AC1045" s="16">
        <v>2698.6336625295999</v>
      </c>
    </row>
    <row r="1046" spans="26:29" x14ac:dyDescent="0.35">
      <c r="Z1046" s="4"/>
      <c r="AA1046" s="4"/>
      <c r="AB1046" s="4" t="e">
        <f ca="1">_xll.ciqfunctions.udf.CIQ("^SPX", "IQ_PRICEDATE", "2/15/2018")</f>
        <v>#NAME?</v>
      </c>
      <c r="AC1046" s="16">
        <v>2731.2041407155002</v>
      </c>
    </row>
    <row r="1047" spans="26:29" x14ac:dyDescent="0.35">
      <c r="Z1047" s="4"/>
      <c r="AA1047" s="4"/>
      <c r="AB1047" s="4" t="e">
        <f ca="1">_xll.ciqfunctions.udf.CIQ("^SPX", "IQ_PRICEDATE", "2/16/2018")</f>
        <v>#NAME?</v>
      </c>
      <c r="AC1047" s="16">
        <v>2732.2198367972001</v>
      </c>
    </row>
    <row r="1048" spans="26:29" x14ac:dyDescent="0.35">
      <c r="Z1048" s="4"/>
      <c r="AA1048" s="4"/>
      <c r="AB1048" s="4" t="e">
        <f ca="1">_xll.ciqfunctions.udf.CIQ("^SPX", "IQ_PRICEDATE", "2/20/2018")</f>
        <v>#NAME?</v>
      </c>
      <c r="AC1048" s="16">
        <v>2716.2555424986999</v>
      </c>
    </row>
    <row r="1049" spans="26:29" x14ac:dyDescent="0.35">
      <c r="Z1049" s="4"/>
      <c r="AA1049" s="4"/>
      <c r="AB1049" s="4" t="e">
        <f ca="1">_xll.ciqfunctions.udf.CIQ("^SPX", "IQ_PRICEDATE", "2/21/2018")</f>
        <v>#NAME?</v>
      </c>
      <c r="AC1049" s="16">
        <v>2701.328793314</v>
      </c>
    </row>
    <row r="1050" spans="26:29" x14ac:dyDescent="0.35">
      <c r="Z1050" s="4"/>
      <c r="AA1050" s="4"/>
      <c r="AB1050" s="4" t="e">
        <f ca="1">_xll.ciqfunctions.udf.CIQ("^SPX", "IQ_PRICEDATE", "2/22/2018")</f>
        <v>#NAME?</v>
      </c>
      <c r="AC1050" s="16">
        <v>2703.9612574600001</v>
      </c>
    </row>
    <row r="1051" spans="26:29" x14ac:dyDescent="0.35">
      <c r="Z1051" s="4"/>
      <c r="AA1051" s="4"/>
      <c r="AB1051" s="4" t="e">
        <f ca="1">_xll.ciqfunctions.udf.CIQ("^SPX", "IQ_PRICEDATE", "2/23/2018")</f>
        <v>#NAME?</v>
      </c>
      <c r="AC1051" s="16">
        <v>2747.2985491692998</v>
      </c>
    </row>
    <row r="1052" spans="26:29" x14ac:dyDescent="0.35">
      <c r="Z1052" s="4"/>
      <c r="AA1052" s="4"/>
      <c r="AB1052" s="4" t="e">
        <f ca="1">_xll.ciqfunctions.udf.CIQ("^SPX", "IQ_PRICEDATE", "2/26/2018")</f>
        <v>#NAME?</v>
      </c>
      <c r="AC1052" s="16">
        <v>2779.5959744897</v>
      </c>
    </row>
    <row r="1053" spans="26:29" x14ac:dyDescent="0.35">
      <c r="Z1053" s="4"/>
      <c r="AA1053" s="4"/>
      <c r="AB1053" s="4" t="e">
        <f ca="1">_xll.ciqfunctions.udf.CIQ("^SPX", "IQ_PRICEDATE", "2/27/2018")</f>
        <v>#NAME?</v>
      </c>
      <c r="AC1053" s="16">
        <v>2744.2806905071002</v>
      </c>
    </row>
    <row r="1054" spans="26:29" x14ac:dyDescent="0.35">
      <c r="Z1054" s="4"/>
      <c r="AA1054" s="4"/>
      <c r="AB1054" s="4" t="e">
        <f ca="1">_xll.ciqfunctions.udf.CIQ("^SPX", "IQ_PRICEDATE", "2/28/2018")</f>
        <v>#NAME?</v>
      </c>
      <c r="AC1054" s="16">
        <v>2713.8305387238001</v>
      </c>
    </row>
    <row r="1055" spans="26:29" x14ac:dyDescent="0.35">
      <c r="Z1055" s="4"/>
      <c r="AA1055" s="4"/>
      <c r="AB1055" s="4" t="e">
        <f ca="1">_xll.ciqfunctions.udf.CIQ("^SPX", "IQ_PRICEDATE", "3/1/2018")</f>
        <v>#NAME?</v>
      </c>
      <c r="AC1055" s="16">
        <v>2677.6709360935001</v>
      </c>
    </row>
    <row r="1056" spans="26:29" x14ac:dyDescent="0.35">
      <c r="Z1056" s="4"/>
      <c r="AA1056" s="4"/>
      <c r="AB1056" s="4" t="e">
        <f ca="1">_xll.ciqfunctions.udf.CIQ("^SPX", "IQ_PRICEDATE", "3/2/2018")</f>
        <v>#NAME?</v>
      </c>
      <c r="AC1056" s="16">
        <v>2691.2527686766002</v>
      </c>
    </row>
    <row r="1057" spans="26:29" x14ac:dyDescent="0.35">
      <c r="Z1057" s="4"/>
      <c r="AA1057" s="4"/>
      <c r="AB1057" s="4" t="e">
        <f ca="1">_xll.ciqfunctions.udf.CIQ("^SPX", "IQ_PRICEDATE", "3/5/2018")</f>
        <v>#NAME?</v>
      </c>
      <c r="AC1057" s="16">
        <v>2720.9408972913998</v>
      </c>
    </row>
    <row r="1058" spans="26:29" x14ac:dyDescent="0.35">
      <c r="Z1058" s="4"/>
      <c r="AA1058" s="4"/>
      <c r="AB1058" s="4" t="e">
        <f ca="1">_xll.ciqfunctions.udf.CIQ("^SPX", "IQ_PRICEDATE", "3/6/2018")</f>
        <v>#NAME?</v>
      </c>
      <c r="AC1058" s="16">
        <v>2728.1219997834</v>
      </c>
    </row>
    <row r="1059" spans="26:29" x14ac:dyDescent="0.35">
      <c r="Z1059" s="4"/>
      <c r="AA1059" s="4"/>
      <c r="AB1059" s="4" t="e">
        <f ca="1">_xll.ciqfunctions.udf.CIQ("^SPX", "IQ_PRICEDATE", "3/7/2018")</f>
        <v>#NAME?</v>
      </c>
      <c r="AC1059" s="16">
        <v>2726.8013692489999</v>
      </c>
    </row>
    <row r="1060" spans="26:29" x14ac:dyDescent="0.35">
      <c r="Z1060" s="4"/>
      <c r="AA1060" s="4"/>
      <c r="AB1060" s="4" t="e">
        <f ca="1">_xll.ciqfunctions.udf.CIQ("^SPX", "IQ_PRICEDATE", "3/8/2018")</f>
        <v>#NAME?</v>
      </c>
      <c r="AC1060" s="16">
        <v>2738.9694301486002</v>
      </c>
    </row>
    <row r="1061" spans="26:29" x14ac:dyDescent="0.35">
      <c r="Z1061" s="4"/>
      <c r="AA1061" s="4"/>
      <c r="AB1061" s="4" t="e">
        <f ca="1">_xll.ciqfunctions.udf.CIQ("^SPX", "IQ_PRICEDATE", "3/9/2018")</f>
        <v>#NAME?</v>
      </c>
      <c r="AC1061" s="16">
        <v>2786.5651027531999</v>
      </c>
    </row>
    <row r="1062" spans="26:29" x14ac:dyDescent="0.35">
      <c r="Z1062" s="4"/>
      <c r="AA1062" s="4"/>
      <c r="AB1062" s="4" t="e">
        <f ca="1">_xll.ciqfunctions.udf.CIQ("^SPX", "IQ_PRICEDATE", "3/12/2018")</f>
        <v>#NAME?</v>
      </c>
      <c r="AC1062" s="16">
        <v>2783.0192629327998</v>
      </c>
    </row>
    <row r="1063" spans="26:29" x14ac:dyDescent="0.35">
      <c r="Z1063" s="4"/>
      <c r="AA1063" s="4"/>
      <c r="AB1063" s="4" t="e">
        <f ca="1">_xll.ciqfunctions.udf.CIQ("^SPX", "IQ_PRICEDATE", "3/13/2018")</f>
        <v>#NAME?</v>
      </c>
      <c r="AC1063" s="16">
        <v>2765.3094530812</v>
      </c>
    </row>
    <row r="1064" spans="26:29" x14ac:dyDescent="0.35">
      <c r="Z1064" s="4"/>
      <c r="AA1064" s="4"/>
      <c r="AB1064" s="4" t="e">
        <f ca="1">_xll.ciqfunctions.udf.CIQ("^SPX", "IQ_PRICEDATE", "3/14/2018")</f>
        <v>#NAME?</v>
      </c>
      <c r="AC1064" s="16">
        <v>2749.4822693171</v>
      </c>
    </row>
    <row r="1065" spans="26:29" x14ac:dyDescent="0.35">
      <c r="Z1065" s="4"/>
      <c r="AA1065" s="4"/>
      <c r="AB1065" s="4" t="e">
        <f ca="1">_xll.ciqfunctions.udf.CIQ("^SPX", "IQ_PRICEDATE", "3/15/2018")</f>
        <v>#NAME?</v>
      </c>
      <c r="AC1065" s="16">
        <v>2747.3298499872999</v>
      </c>
    </row>
    <row r="1066" spans="26:29" x14ac:dyDescent="0.35">
      <c r="Z1066" s="4"/>
      <c r="AA1066" s="4"/>
      <c r="AB1066" s="4" t="e">
        <f ca="1">_xll.ciqfunctions.udf.CIQ("^SPX", "IQ_PRICEDATE", "3/16/2018")</f>
        <v>#NAME?</v>
      </c>
      <c r="AC1066" s="16">
        <v>2752.0117875495998</v>
      </c>
    </row>
    <row r="1067" spans="26:29" x14ac:dyDescent="0.35">
      <c r="Z1067" s="4"/>
      <c r="AA1067" s="4"/>
      <c r="AB1067" s="4" t="e">
        <f ca="1">_xll.ciqfunctions.udf.CIQ("^SPX", "IQ_PRICEDATE", "3/19/2018")</f>
        <v>#NAME?</v>
      </c>
      <c r="AC1067" s="16">
        <v>2712.9173684696998</v>
      </c>
    </row>
    <row r="1068" spans="26:29" x14ac:dyDescent="0.35">
      <c r="Z1068" s="4"/>
      <c r="AA1068" s="4"/>
      <c r="AB1068" s="4" t="e">
        <f ca="1">_xll.ciqfunctions.udf.CIQ("^SPX", "IQ_PRICEDATE", "3/20/2018")</f>
        <v>#NAME?</v>
      </c>
      <c r="AC1068" s="16">
        <v>2716.9422346931001</v>
      </c>
    </row>
    <row r="1069" spans="26:29" x14ac:dyDescent="0.35">
      <c r="Z1069" s="4"/>
      <c r="AA1069" s="4"/>
      <c r="AB1069" s="4" t="e">
        <f ca="1">_xll.ciqfunctions.udf.CIQ("^SPX", "IQ_PRICEDATE", "3/21/2018")</f>
        <v>#NAME?</v>
      </c>
      <c r="AC1069" s="16">
        <v>2711.9280882306998</v>
      </c>
    </row>
    <row r="1070" spans="26:29" x14ac:dyDescent="0.35">
      <c r="Z1070" s="4"/>
      <c r="AA1070" s="4"/>
      <c r="AB1070" s="4" t="e">
        <f ca="1">_xll.ciqfunctions.udf.CIQ("^SPX", "IQ_PRICEDATE", "3/22/2018")</f>
        <v>#NAME?</v>
      </c>
      <c r="AC1070" s="16">
        <v>2643.6921823736002</v>
      </c>
    </row>
    <row r="1071" spans="26:29" x14ac:dyDescent="0.35">
      <c r="Z1071" s="4"/>
      <c r="AA1071" s="4"/>
      <c r="AB1071" s="4" t="e">
        <f ca="1">_xll.ciqfunctions.udf.CIQ("^SPX", "IQ_PRICEDATE", "3/23/2018")</f>
        <v>#NAME?</v>
      </c>
      <c r="AC1071" s="16">
        <v>2588.2627920513</v>
      </c>
    </row>
    <row r="1072" spans="26:29" x14ac:dyDescent="0.35">
      <c r="Z1072" s="4"/>
      <c r="AA1072" s="4"/>
      <c r="AB1072" s="4" t="e">
        <f ca="1">_xll.ciqfunctions.udf.CIQ("^SPX", "IQ_PRICEDATE", "3/26/2018")</f>
        <v>#NAME?</v>
      </c>
      <c r="AC1072" s="16">
        <v>2658.5541823533999</v>
      </c>
    </row>
    <row r="1073" spans="26:29" x14ac:dyDescent="0.35">
      <c r="Z1073" s="4"/>
      <c r="AA1073" s="4"/>
      <c r="AB1073" s="4" t="e">
        <f ca="1">_xll.ciqfunctions.udf.CIQ("^SPX", "IQ_PRICEDATE", "3/27/2018")</f>
        <v>#NAME?</v>
      </c>
      <c r="AC1073" s="16">
        <v>2612.6245972403999</v>
      </c>
    </row>
    <row r="1074" spans="26:29" x14ac:dyDescent="0.35">
      <c r="Z1074" s="4"/>
      <c r="AA1074" s="4"/>
      <c r="AB1074" s="4" t="e">
        <f ca="1">_xll.ciqfunctions.udf.CIQ("^SPX", "IQ_PRICEDATE", "3/28/2018")</f>
        <v>#NAME?</v>
      </c>
      <c r="AC1074" s="16">
        <v>2604.9974974954998</v>
      </c>
    </row>
    <row r="1075" spans="26:29" x14ac:dyDescent="0.35">
      <c r="Z1075" s="4"/>
      <c r="AA1075" s="4"/>
      <c r="AB1075" s="4" t="e">
        <f ca="1">_xll.ciqfunctions.udf.CIQ("^SPX", "IQ_PRICEDATE", "3/29/2018")</f>
        <v>#NAME?</v>
      </c>
      <c r="AC1075" s="16">
        <v>2640.8659903293001</v>
      </c>
    </row>
    <row r="1076" spans="26:29" x14ac:dyDescent="0.35">
      <c r="Z1076" s="4"/>
      <c r="AA1076" s="4"/>
      <c r="AB1076" s="4" t="e">
        <f ca="1">_xll.ciqfunctions.udf.CIQ("^SPX", "IQ_PRICEDATE", "4/2/2018")</f>
        <v>#NAME?</v>
      </c>
      <c r="AC1076" s="16">
        <v>2581.881609651</v>
      </c>
    </row>
    <row r="1077" spans="26:29" x14ac:dyDescent="0.35">
      <c r="Z1077" s="4"/>
      <c r="AA1077" s="4"/>
      <c r="AB1077" s="4" t="e">
        <f ca="1">_xll.ciqfunctions.udf.CIQ("^SPX", "IQ_PRICEDATE", "4/3/2018")</f>
        <v>#NAME?</v>
      </c>
      <c r="AC1077" s="16">
        <v>2614.4456710448999</v>
      </c>
    </row>
    <row r="1078" spans="26:29" x14ac:dyDescent="0.35">
      <c r="Z1078" s="4"/>
      <c r="AA1078" s="4"/>
      <c r="AB1078" s="4" t="e">
        <f ca="1">_xll.ciqfunctions.udf.CIQ("^SPX", "IQ_PRICEDATE", "4/4/2018")</f>
        <v>#NAME?</v>
      </c>
      <c r="AC1078" s="16">
        <v>2644.6879610989999</v>
      </c>
    </row>
    <row r="1079" spans="26:29" x14ac:dyDescent="0.35">
      <c r="Z1079" s="4"/>
      <c r="AA1079" s="4"/>
      <c r="AB1079" s="4" t="e">
        <f ca="1">_xll.ciqfunctions.udf.CIQ("^SPX", "IQ_PRICEDATE", "4/5/2018")</f>
        <v>#NAME?</v>
      </c>
      <c r="AC1079" s="16">
        <v>2662.8362421788001</v>
      </c>
    </row>
    <row r="1080" spans="26:29" x14ac:dyDescent="0.35">
      <c r="Z1080" s="4"/>
      <c r="AA1080" s="4"/>
      <c r="AB1080" s="4" t="e">
        <f ca="1">_xll.ciqfunctions.udf.CIQ("^SPX", "IQ_PRICEDATE", "4/6/2018")</f>
        <v>#NAME?</v>
      </c>
      <c r="AC1080" s="16">
        <v>2604.4693845293</v>
      </c>
    </row>
    <row r="1081" spans="26:29" x14ac:dyDescent="0.35">
      <c r="Z1081" s="4"/>
      <c r="AA1081" s="4"/>
      <c r="AB1081" s="4" t="e">
        <f ca="1">_xll.ciqfunctions.udf.CIQ("^SPX", "IQ_PRICEDATE", "4/9/2018")</f>
        <v>#NAME?</v>
      </c>
      <c r="AC1081" s="16">
        <v>2613.158838761</v>
      </c>
    </row>
    <row r="1082" spans="26:29" x14ac:dyDescent="0.35">
      <c r="Z1082" s="4"/>
      <c r="AA1082" s="4"/>
      <c r="AB1082" s="4" t="e">
        <f ca="1">_xll.ciqfunctions.udf.CIQ("^SPX", "IQ_PRICEDATE", "4/10/2018")</f>
        <v>#NAME?</v>
      </c>
      <c r="AC1082" s="16">
        <v>2656.8679807192998</v>
      </c>
    </row>
    <row r="1083" spans="26:29" x14ac:dyDescent="0.35">
      <c r="Z1083" s="4"/>
      <c r="AA1083" s="4"/>
      <c r="AB1083" s="4" t="e">
        <f ca="1">_xll.ciqfunctions.udf.CIQ("^SPX", "IQ_PRICEDATE", "4/11/2018")</f>
        <v>#NAME?</v>
      </c>
      <c r="AC1083" s="16">
        <v>2642.1902114466002</v>
      </c>
    </row>
    <row r="1084" spans="26:29" x14ac:dyDescent="0.35">
      <c r="Z1084" s="4"/>
      <c r="AA1084" s="4"/>
      <c r="AB1084" s="4" t="e">
        <f ca="1">_xll.ciqfunctions.udf.CIQ("^SPX", "IQ_PRICEDATE", "4/12/2018")</f>
        <v>#NAME?</v>
      </c>
      <c r="AC1084" s="16">
        <v>2663.9948004537</v>
      </c>
    </row>
    <row r="1085" spans="26:29" x14ac:dyDescent="0.35">
      <c r="Z1085" s="4"/>
      <c r="AA1085" s="4"/>
      <c r="AB1085" s="4" t="e">
        <f ca="1">_xll.ciqfunctions.udf.CIQ("^SPX", "IQ_PRICEDATE", "4/13/2018")</f>
        <v>#NAME?</v>
      </c>
      <c r="AC1085" s="16">
        <v>2656.2969056536999</v>
      </c>
    </row>
    <row r="1086" spans="26:29" x14ac:dyDescent="0.35">
      <c r="Z1086" s="4"/>
      <c r="AA1086" s="4"/>
      <c r="AB1086" s="4" t="e">
        <f ca="1">_xll.ciqfunctions.udf.CIQ("^SPX", "IQ_PRICEDATE", "4/16/2018")</f>
        <v>#NAME?</v>
      </c>
      <c r="AC1086" s="16">
        <v>2677.8395628404</v>
      </c>
    </row>
    <row r="1087" spans="26:29" x14ac:dyDescent="0.35">
      <c r="Z1087" s="4"/>
      <c r="AA1087" s="4"/>
      <c r="AB1087" s="4" t="e">
        <f ca="1">_xll.ciqfunctions.udf.CIQ("^SPX", "IQ_PRICEDATE", "4/17/2018")</f>
        <v>#NAME?</v>
      </c>
      <c r="AC1087" s="16">
        <v>2706.3850873186998</v>
      </c>
    </row>
    <row r="1088" spans="26:29" x14ac:dyDescent="0.35">
      <c r="Z1088" s="4"/>
      <c r="AA1088" s="4"/>
      <c r="AB1088" s="4" t="e">
        <f ca="1">_xll.ciqfunctions.udf.CIQ("^SPX", "IQ_PRICEDATE", "4/18/2018")</f>
        <v>#NAME?</v>
      </c>
      <c r="AC1088" s="16">
        <v>2708.6389528643999</v>
      </c>
    </row>
    <row r="1089" spans="26:29" x14ac:dyDescent="0.35">
      <c r="Z1089" s="4"/>
      <c r="AA1089" s="4"/>
      <c r="AB1089" s="4" t="e">
        <f ca="1">_xll.ciqfunctions.udf.CIQ("^SPX", "IQ_PRICEDATE", "4/19/2018")</f>
        <v>#NAME?</v>
      </c>
      <c r="AC1089" s="16">
        <v>2693.1257302322001</v>
      </c>
    </row>
    <row r="1090" spans="26:29" x14ac:dyDescent="0.35">
      <c r="Z1090" s="4"/>
      <c r="AA1090" s="4"/>
      <c r="AB1090" s="4" t="e">
        <f ca="1">_xll.ciqfunctions.udf.CIQ("^SPX", "IQ_PRICEDATE", "4/20/2018")</f>
        <v>#NAME?</v>
      </c>
      <c r="AC1090" s="16">
        <v>2670.1417556473998</v>
      </c>
    </row>
    <row r="1091" spans="26:29" x14ac:dyDescent="0.35">
      <c r="Z1091" s="4"/>
      <c r="AA1091" s="4"/>
      <c r="AB1091" s="4" t="e">
        <f ca="1">_xll.ciqfunctions.udf.CIQ("^SPX", "IQ_PRICEDATE", "4/23/2018")</f>
        <v>#NAME?</v>
      </c>
      <c r="AC1091" s="16">
        <v>2670.2904815958</v>
      </c>
    </row>
    <row r="1092" spans="26:29" x14ac:dyDescent="0.35">
      <c r="Z1092" s="4"/>
      <c r="AA1092" s="4"/>
      <c r="AB1092" s="4" t="e">
        <f ca="1">_xll.ciqfunctions.udf.CIQ("^SPX", "IQ_PRICEDATE", "4/24/2018")</f>
        <v>#NAME?</v>
      </c>
      <c r="AC1092" s="16">
        <v>2634.5564523615999</v>
      </c>
    </row>
    <row r="1093" spans="26:29" x14ac:dyDescent="0.35">
      <c r="Z1093" s="4"/>
      <c r="AA1093" s="4"/>
      <c r="AB1093" s="4" t="e">
        <f ca="1">_xll.ciqfunctions.udf.CIQ("^SPX", "IQ_PRICEDATE", "4/25/2018")</f>
        <v>#NAME?</v>
      </c>
      <c r="AC1093" s="16">
        <v>2639.3950272385</v>
      </c>
    </row>
    <row r="1094" spans="26:29" x14ac:dyDescent="0.35">
      <c r="Z1094" s="4"/>
      <c r="AA1094" s="4"/>
      <c r="AB1094" s="4" t="e">
        <f ca="1">_xll.ciqfunctions.udf.CIQ("^SPX", "IQ_PRICEDATE", "4/26/2018")</f>
        <v>#NAME?</v>
      </c>
      <c r="AC1094" s="16">
        <v>2666.9427838322999</v>
      </c>
    </row>
    <row r="1095" spans="26:29" x14ac:dyDescent="0.35">
      <c r="Z1095" s="4"/>
      <c r="AA1095" s="4"/>
      <c r="AB1095" s="4" t="e">
        <f ca="1">_xll.ciqfunctions.udf.CIQ("^SPX", "IQ_PRICEDATE", "4/27/2018")</f>
        <v>#NAME?</v>
      </c>
      <c r="AC1095" s="16">
        <v>2669.906271715</v>
      </c>
    </row>
    <row r="1096" spans="26:29" x14ac:dyDescent="0.35">
      <c r="Z1096" s="4"/>
      <c r="AA1096" s="4"/>
      <c r="AB1096" s="4" t="e">
        <f ca="1">_xll.ciqfunctions.udf.CIQ("^SPX", "IQ_PRICEDATE", "4/30/2018")</f>
        <v>#NAME?</v>
      </c>
      <c r="AC1096" s="16">
        <v>2648.0493647087001</v>
      </c>
    </row>
    <row r="1097" spans="26:29" x14ac:dyDescent="0.35">
      <c r="Z1097" s="4"/>
      <c r="AA1097" s="4"/>
      <c r="AB1097" s="4" t="e">
        <f ca="1">_xll.ciqfunctions.udf.CIQ("^SPX", "IQ_PRICEDATE", "5/1/2018")</f>
        <v>#NAME?</v>
      </c>
      <c r="AC1097" s="16">
        <v>2654.8006518471998</v>
      </c>
    </row>
    <row r="1098" spans="26:29" x14ac:dyDescent="0.35">
      <c r="Z1098" s="4"/>
      <c r="AA1098" s="4"/>
      <c r="AB1098" s="4" t="e">
        <f ca="1">_xll.ciqfunctions.udf.CIQ("^SPX", "IQ_PRICEDATE", "5/2/2018")</f>
        <v>#NAME?</v>
      </c>
      <c r="AC1098" s="16">
        <v>2635.6685473995999</v>
      </c>
    </row>
    <row r="1099" spans="26:29" x14ac:dyDescent="0.35">
      <c r="Z1099" s="4"/>
      <c r="AA1099" s="4"/>
      <c r="AB1099" s="4" t="e">
        <f ca="1">_xll.ciqfunctions.udf.CIQ("^SPX", "IQ_PRICEDATE", "5/3/2018")</f>
        <v>#NAME?</v>
      </c>
      <c r="AC1099" s="16">
        <v>2629.7256154840002</v>
      </c>
    </row>
    <row r="1100" spans="26:29" x14ac:dyDescent="0.35">
      <c r="Z1100" s="4"/>
      <c r="AA1100" s="4"/>
      <c r="AB1100" s="4" t="e">
        <f ca="1">_xll.ciqfunctions.udf.CIQ("^SPX", "IQ_PRICEDATE", "5/4/2018")</f>
        <v>#NAME?</v>
      </c>
      <c r="AC1100" s="16">
        <v>2663.4203373004002</v>
      </c>
    </row>
    <row r="1101" spans="26:29" x14ac:dyDescent="0.35">
      <c r="Z1101" s="4"/>
      <c r="AA1101" s="4"/>
      <c r="AB1101" s="4" t="e">
        <f ca="1">_xll.ciqfunctions.udf.CIQ("^SPX", "IQ_PRICEDATE", "5/7/2018")</f>
        <v>#NAME?</v>
      </c>
      <c r="AC1101" s="16">
        <v>2672.6284981829999</v>
      </c>
    </row>
    <row r="1102" spans="26:29" x14ac:dyDescent="0.35">
      <c r="Z1102" s="4"/>
      <c r="AA1102" s="4"/>
      <c r="AB1102" s="4" t="e">
        <f ca="1">_xll.ciqfunctions.udf.CIQ("^SPX", "IQ_PRICEDATE", "5/8/2018")</f>
        <v>#NAME?</v>
      </c>
      <c r="AC1102" s="16">
        <v>2671.9182617050001</v>
      </c>
    </row>
    <row r="1103" spans="26:29" x14ac:dyDescent="0.35">
      <c r="Z1103" s="4"/>
      <c r="AA1103" s="4"/>
      <c r="AB1103" s="4" t="e">
        <f ca="1">_xll.ciqfunctions.udf.CIQ("^SPX", "IQ_PRICEDATE", "5/9/2018")</f>
        <v>#NAME?</v>
      </c>
      <c r="AC1103" s="16">
        <v>2697.7915487847999</v>
      </c>
    </row>
    <row r="1104" spans="26:29" x14ac:dyDescent="0.35">
      <c r="Z1104" s="4"/>
      <c r="AA1104" s="4"/>
      <c r="AB1104" s="4" t="e">
        <f ca="1">_xll.ciqfunctions.udf.CIQ("^SPX", "IQ_PRICEDATE", "5/10/2018")</f>
        <v>#NAME?</v>
      </c>
      <c r="AC1104" s="16">
        <v>2723.0689028173001</v>
      </c>
    </row>
    <row r="1105" spans="26:29" x14ac:dyDescent="0.35">
      <c r="Z1105" s="4"/>
      <c r="AA1105" s="4"/>
      <c r="AB1105" s="4" t="e">
        <f ca="1">_xll.ciqfunctions.udf.CIQ("^SPX", "IQ_PRICEDATE", "5/11/2018")</f>
        <v>#NAME?</v>
      </c>
      <c r="AC1105" s="16">
        <v>2727.7159275558001</v>
      </c>
    </row>
    <row r="1106" spans="26:29" x14ac:dyDescent="0.35">
      <c r="Z1106" s="4"/>
      <c r="AA1106" s="4"/>
      <c r="AB1106" s="4" t="e">
        <f ca="1">_xll.ciqfunctions.udf.CIQ("^SPX", "IQ_PRICEDATE", "5/14/2018")</f>
        <v>#NAME?</v>
      </c>
      <c r="AC1106" s="16">
        <v>2730.1324574028999</v>
      </c>
    </row>
    <row r="1107" spans="26:29" x14ac:dyDescent="0.35">
      <c r="Z1107" s="4"/>
      <c r="AA1107" s="4"/>
      <c r="AB1107" s="4" t="e">
        <f ca="1">_xll.ciqfunctions.udf.CIQ("^SPX", "IQ_PRICEDATE", "5/15/2018")</f>
        <v>#NAME?</v>
      </c>
      <c r="AC1107" s="16">
        <v>2711.4455236237</v>
      </c>
    </row>
    <row r="1108" spans="26:29" x14ac:dyDescent="0.35">
      <c r="Z1108" s="4"/>
      <c r="AA1108" s="4"/>
      <c r="AB1108" s="4" t="e">
        <f ca="1">_xll.ciqfunctions.udf.CIQ("^SPX", "IQ_PRICEDATE", "5/16/2018")</f>
        <v>#NAME?</v>
      </c>
      <c r="AC1108" s="16">
        <v>2722.4622972534999</v>
      </c>
    </row>
    <row r="1109" spans="26:29" x14ac:dyDescent="0.35">
      <c r="Z1109" s="4"/>
      <c r="AA1109" s="4"/>
      <c r="AB1109" s="4" t="e">
        <f ca="1">_xll.ciqfunctions.udf.CIQ("^SPX", "IQ_PRICEDATE", "5/17/2018")</f>
        <v>#NAME?</v>
      </c>
      <c r="AC1109" s="16">
        <v>2720.1272067587001</v>
      </c>
    </row>
    <row r="1110" spans="26:29" x14ac:dyDescent="0.35">
      <c r="Z1110" s="4"/>
      <c r="AA1110" s="4"/>
      <c r="AB1110" s="4" t="e">
        <f ca="1">_xll.ciqfunctions.udf.CIQ("^SPX", "IQ_PRICEDATE", "5/18/2018")</f>
        <v>#NAME?</v>
      </c>
      <c r="AC1110" s="16">
        <v>2712.9747135605999</v>
      </c>
    </row>
    <row r="1111" spans="26:29" x14ac:dyDescent="0.35">
      <c r="Z1111" s="4"/>
      <c r="AA1111" s="4"/>
      <c r="AB1111" s="4" t="e">
        <f ca="1">_xll.ciqfunctions.udf.CIQ("^SPX", "IQ_PRICEDATE", "5/21/2018")</f>
        <v>#NAME?</v>
      </c>
      <c r="AC1111" s="16">
        <v>2733.0108196046999</v>
      </c>
    </row>
    <row r="1112" spans="26:29" x14ac:dyDescent="0.35">
      <c r="Z1112" s="4"/>
      <c r="AA1112" s="4"/>
      <c r="AB1112" s="4" t="e">
        <f ca="1">_xll.ciqfunctions.udf.CIQ("^SPX", "IQ_PRICEDATE", "5/22/2018")</f>
        <v>#NAME?</v>
      </c>
      <c r="AC1112" s="16">
        <v>2724.4440411118999</v>
      </c>
    </row>
    <row r="1113" spans="26:29" x14ac:dyDescent="0.35">
      <c r="Z1113" s="4"/>
      <c r="AA1113" s="4"/>
      <c r="AB1113" s="4" t="e">
        <f ca="1">_xll.ciqfunctions.udf.CIQ("^SPX", "IQ_PRICEDATE", "5/23/2018")</f>
        <v>#NAME?</v>
      </c>
      <c r="AC1113" s="16">
        <v>2733.2892688342999</v>
      </c>
    </row>
    <row r="1114" spans="26:29" x14ac:dyDescent="0.35">
      <c r="Z1114" s="4"/>
      <c r="AA1114" s="4"/>
      <c r="AB1114" s="4" t="e">
        <f ca="1">_xll.ciqfunctions.udf.CIQ("^SPX", "IQ_PRICEDATE", "5/24/2018")</f>
        <v>#NAME?</v>
      </c>
      <c r="AC1114" s="16">
        <v>2727.7631947084001</v>
      </c>
    </row>
    <row r="1115" spans="26:29" x14ac:dyDescent="0.35">
      <c r="Z1115" s="4"/>
      <c r="AA1115" s="4"/>
      <c r="AB1115" s="4" t="e">
        <f ca="1">_xll.ciqfunctions.udf.CIQ("^SPX", "IQ_PRICEDATE", "5/25/2018")</f>
        <v>#NAME?</v>
      </c>
      <c r="AC1115" s="16">
        <v>2721.3279562726002</v>
      </c>
    </row>
    <row r="1116" spans="26:29" x14ac:dyDescent="0.35">
      <c r="Z1116" s="4"/>
      <c r="AA1116" s="4"/>
      <c r="AB1116" s="4" t="e">
        <f ca="1">_xll.ciqfunctions.udf.CIQ("^SPX", "IQ_PRICEDATE", "5/29/2018")</f>
        <v>#NAME?</v>
      </c>
      <c r="AC1116" s="16">
        <v>2689.8572489476001</v>
      </c>
    </row>
    <row r="1117" spans="26:29" x14ac:dyDescent="0.35">
      <c r="Z1117" s="4"/>
      <c r="AA1117" s="4"/>
      <c r="AB1117" s="4" t="e">
        <f ca="1">_xll.ciqfunctions.udf.CIQ("^SPX", "IQ_PRICEDATE", "5/30/2018")</f>
        <v>#NAME?</v>
      </c>
      <c r="AC1117" s="16">
        <v>2724.0099112322</v>
      </c>
    </row>
    <row r="1118" spans="26:29" x14ac:dyDescent="0.35">
      <c r="Z1118" s="4"/>
      <c r="AA1118" s="4"/>
      <c r="AB1118" s="4" t="e">
        <f ca="1">_xll.ciqfunctions.udf.CIQ("^SPX", "IQ_PRICEDATE", "5/31/2018")</f>
        <v>#NAME?</v>
      </c>
      <c r="AC1118" s="16">
        <v>2705.2747516248</v>
      </c>
    </row>
    <row r="1119" spans="26:29" x14ac:dyDescent="0.35">
      <c r="Z1119" s="4"/>
      <c r="AA1119" s="4"/>
      <c r="AB1119" s="4" t="e">
        <f ca="1">_xll.ciqfunctions.udf.CIQ("^SPX", "IQ_PRICEDATE", "6/1/2018")</f>
        <v>#NAME?</v>
      </c>
      <c r="AC1119" s="16">
        <v>2734.6188550041002</v>
      </c>
    </row>
    <row r="1120" spans="26:29" x14ac:dyDescent="0.35">
      <c r="Z1120" s="4"/>
      <c r="AA1120" s="4"/>
      <c r="AB1120" s="4" t="e">
        <f ca="1">_xll.ciqfunctions.udf.CIQ("^SPX", "IQ_PRICEDATE", "6/4/2018")</f>
        <v>#NAME?</v>
      </c>
      <c r="AC1120" s="16">
        <v>2746.8711136748998</v>
      </c>
    </row>
    <row r="1121" spans="26:29" x14ac:dyDescent="0.35">
      <c r="Z1121" s="4"/>
      <c r="AA1121" s="4"/>
      <c r="AB1121" s="4" t="e">
        <f ca="1">_xll.ciqfunctions.udf.CIQ("^SPX", "IQ_PRICEDATE", "6/5/2018")</f>
        <v>#NAME?</v>
      </c>
      <c r="AC1121" s="16">
        <v>2748.7951858796</v>
      </c>
    </row>
    <row r="1122" spans="26:29" x14ac:dyDescent="0.35">
      <c r="Z1122" s="4"/>
      <c r="AA1122" s="4"/>
      <c r="AB1122" s="4" t="e">
        <f ca="1">_xll.ciqfunctions.udf.CIQ("^SPX", "IQ_PRICEDATE", "6/6/2018")</f>
        <v>#NAME?</v>
      </c>
      <c r="AC1122" s="16">
        <v>2772.3457853834002</v>
      </c>
    </row>
    <row r="1123" spans="26:29" x14ac:dyDescent="0.35">
      <c r="Z1123" s="4"/>
      <c r="AA1123" s="4"/>
      <c r="AB1123" s="4" t="e">
        <f ca="1">_xll.ciqfunctions.udf.CIQ("^SPX", "IQ_PRICEDATE", "6/7/2018")</f>
        <v>#NAME?</v>
      </c>
      <c r="AC1123" s="16">
        <v>2770.3720468904999</v>
      </c>
    </row>
    <row r="1124" spans="26:29" x14ac:dyDescent="0.35">
      <c r="Z1124" s="4"/>
      <c r="AA1124" s="4"/>
      <c r="AB1124" s="4" t="e">
        <f ca="1">_xll.ciqfunctions.udf.CIQ("^SPX", "IQ_PRICEDATE", "6/8/2018")</f>
        <v>#NAME?</v>
      </c>
      <c r="AC1124" s="16">
        <v>2779.0285906191002</v>
      </c>
    </row>
    <row r="1125" spans="26:29" x14ac:dyDescent="0.35">
      <c r="Z1125" s="4"/>
      <c r="AA1125" s="4"/>
      <c r="AB1125" s="4" t="e">
        <f ca="1">_xll.ciqfunctions.udf.CIQ("^SPX", "IQ_PRICEDATE", "6/11/2018")</f>
        <v>#NAME?</v>
      </c>
      <c r="AC1125" s="16">
        <v>2782.0048600648001</v>
      </c>
    </row>
    <row r="1126" spans="26:29" x14ac:dyDescent="0.35">
      <c r="Z1126" s="4"/>
      <c r="AA1126" s="4"/>
      <c r="AB1126" s="4" t="e">
        <f ca="1">_xll.ciqfunctions.udf.CIQ("^SPX", "IQ_PRICEDATE", "6/12/2018")</f>
        <v>#NAME?</v>
      </c>
      <c r="AC1126" s="16">
        <v>2786.8524730265999</v>
      </c>
    </row>
    <row r="1127" spans="26:29" x14ac:dyDescent="0.35">
      <c r="Z1127" s="4"/>
      <c r="AA1127" s="4"/>
      <c r="AB1127" s="4" t="e">
        <f ca="1">_xll.ciqfunctions.udf.CIQ("^SPX", "IQ_PRICEDATE", "6/13/2018")</f>
        <v>#NAME?</v>
      </c>
      <c r="AC1127" s="16">
        <v>2775.6267511489</v>
      </c>
    </row>
    <row r="1128" spans="26:29" x14ac:dyDescent="0.35">
      <c r="Z1128" s="4"/>
      <c r="AA1128" s="4"/>
      <c r="AB1128" s="4" t="e">
        <f ca="1">_xll.ciqfunctions.udf.CIQ("^SPX", "IQ_PRICEDATE", "6/14/2018")</f>
        <v>#NAME?</v>
      </c>
      <c r="AC1128" s="16">
        <v>2782.4894063784</v>
      </c>
    </row>
    <row r="1129" spans="26:29" x14ac:dyDescent="0.35">
      <c r="Z1129" s="4"/>
      <c r="AA1129" s="4"/>
      <c r="AB1129" s="4" t="e">
        <f ca="1">_xll.ciqfunctions.udf.CIQ("^SPX", "IQ_PRICEDATE", "6/15/2018")</f>
        <v>#NAME?</v>
      </c>
      <c r="AC1129" s="16">
        <v>2779.6630272875</v>
      </c>
    </row>
    <row r="1130" spans="26:29" x14ac:dyDescent="0.35">
      <c r="Z1130" s="4"/>
      <c r="AA1130" s="4"/>
      <c r="AB1130" s="4" t="e">
        <f ca="1">_xll.ciqfunctions.udf.CIQ("^SPX", "IQ_PRICEDATE", "6/18/2018")</f>
        <v>#NAME?</v>
      </c>
      <c r="AC1130" s="16">
        <v>2773.7450408555001</v>
      </c>
    </row>
    <row r="1131" spans="26:29" x14ac:dyDescent="0.35">
      <c r="Z1131" s="4"/>
      <c r="AA1131" s="4"/>
      <c r="AB1131" s="4" t="e">
        <f ca="1">_xll.ciqfunctions.udf.CIQ("^SPX", "IQ_PRICEDATE", "6/19/2018")</f>
        <v>#NAME?</v>
      </c>
      <c r="AC1131" s="16">
        <v>2762.5946469127998</v>
      </c>
    </row>
    <row r="1132" spans="26:29" x14ac:dyDescent="0.35">
      <c r="Z1132" s="4"/>
      <c r="AA1132" s="4"/>
      <c r="AB1132" s="4" t="e">
        <f ca="1">_xll.ciqfunctions.udf.CIQ("^SPX", "IQ_PRICEDATE", "6/20/2018")</f>
        <v>#NAME?</v>
      </c>
      <c r="AC1132" s="16">
        <v>2767.3179049554001</v>
      </c>
    </row>
    <row r="1133" spans="26:29" x14ac:dyDescent="0.35">
      <c r="Z1133" s="4"/>
      <c r="AA1133" s="4"/>
      <c r="AB1133" s="4" t="e">
        <f ca="1">_xll.ciqfunctions.udf.CIQ("^SPX", "IQ_PRICEDATE", "6/21/2018")</f>
        <v>#NAME?</v>
      </c>
      <c r="AC1133" s="16">
        <v>2749.7579690309999</v>
      </c>
    </row>
    <row r="1134" spans="26:29" x14ac:dyDescent="0.35">
      <c r="Z1134" s="4"/>
      <c r="AA1134" s="4"/>
      <c r="AB1134" s="4" t="e">
        <f ca="1">_xll.ciqfunctions.udf.CIQ("^SPX", "IQ_PRICEDATE", "6/22/2018")</f>
        <v>#NAME?</v>
      </c>
      <c r="AC1134" s="16">
        <v>2754.8769951096001</v>
      </c>
    </row>
    <row r="1135" spans="26:29" x14ac:dyDescent="0.35">
      <c r="Z1135" s="4"/>
      <c r="AA1135" s="4"/>
      <c r="AB1135" s="4" t="e">
        <f ca="1">_xll.ciqfunctions.udf.CIQ("^SPX", "IQ_PRICEDATE", "6/25/2018")</f>
        <v>#NAME?</v>
      </c>
      <c r="AC1135" s="16">
        <v>2717.0742184511</v>
      </c>
    </row>
    <row r="1136" spans="26:29" x14ac:dyDescent="0.35">
      <c r="Z1136" s="4"/>
      <c r="AA1136" s="4"/>
      <c r="AB1136" s="4" t="e">
        <f ca="1">_xll.ciqfunctions.udf.CIQ("^SPX", "IQ_PRICEDATE", "6/26/2018")</f>
        <v>#NAME?</v>
      </c>
      <c r="AC1136" s="16">
        <v>2723.0588856282002</v>
      </c>
    </row>
    <row r="1137" spans="26:29" x14ac:dyDescent="0.35">
      <c r="Z1137" s="4"/>
      <c r="AA1137" s="4"/>
      <c r="AB1137" s="4" t="e">
        <f ca="1">_xll.ciqfunctions.udf.CIQ("^SPX", "IQ_PRICEDATE", "6/27/2018")</f>
        <v>#NAME?</v>
      </c>
      <c r="AC1137" s="16">
        <v>2699.6262029689001</v>
      </c>
    </row>
    <row r="1138" spans="26:29" x14ac:dyDescent="0.35">
      <c r="Z1138" s="4"/>
      <c r="AA1138" s="4"/>
      <c r="AB1138" s="4" t="e">
        <f ca="1">_xll.ciqfunctions.udf.CIQ("^SPX", "IQ_PRICEDATE", "6/28/2018")</f>
        <v>#NAME?</v>
      </c>
      <c r="AC1138" s="16">
        <v>2716.3099359139001</v>
      </c>
    </row>
    <row r="1139" spans="26:29" x14ac:dyDescent="0.35">
      <c r="Z1139" s="4"/>
      <c r="AA1139" s="4"/>
      <c r="AB1139" s="4" t="e">
        <f ca="1">_xll.ciqfunctions.udf.CIQ("^SPX", "IQ_PRICEDATE", "6/29/2018")</f>
        <v>#NAME?</v>
      </c>
      <c r="AC1139" s="16">
        <v>2718.3734650222</v>
      </c>
    </row>
    <row r="1140" spans="26:29" x14ac:dyDescent="0.35">
      <c r="Z1140" s="4"/>
      <c r="AA1140" s="4"/>
      <c r="AB1140" s="4" t="e">
        <f ca="1">_xll.ciqfunctions.udf.CIQ("^SPX", "IQ_PRICEDATE", "7/2/2018")</f>
        <v>#NAME?</v>
      </c>
      <c r="AC1140" s="16">
        <v>2726.7137643404999</v>
      </c>
    </row>
    <row r="1141" spans="26:29" x14ac:dyDescent="0.35">
      <c r="Z1141" s="4"/>
      <c r="AA1141" s="4"/>
      <c r="AB1141" s="4" t="e">
        <f ca="1">_xll.ciqfunctions.udf.CIQ("^SPX", "IQ_PRICEDATE", "7/3/2018")</f>
        <v>#NAME?</v>
      </c>
      <c r="AC1141" s="16">
        <v>2713.220886397</v>
      </c>
    </row>
    <row r="1142" spans="26:29" x14ac:dyDescent="0.35">
      <c r="Z1142" s="4"/>
      <c r="AA1142" s="4"/>
      <c r="AB1142" s="4" t="e">
        <f ca="1">_xll.ciqfunctions.udf.CIQ("^SPX", "IQ_PRICEDATE", "7/5/2018")</f>
        <v>#NAME?</v>
      </c>
      <c r="AC1142" s="16">
        <v>2736.612571228</v>
      </c>
    </row>
    <row r="1143" spans="26:29" x14ac:dyDescent="0.35">
      <c r="Z1143" s="4"/>
      <c r="AA1143" s="4"/>
      <c r="AB1143" s="4" t="e">
        <f ca="1">_xll.ciqfunctions.udf.CIQ("^SPX", "IQ_PRICEDATE", "7/6/2018")</f>
        <v>#NAME?</v>
      </c>
      <c r="AC1143" s="16">
        <v>2759.8219158252</v>
      </c>
    </row>
    <row r="1144" spans="26:29" x14ac:dyDescent="0.35">
      <c r="Z1144" s="4"/>
      <c r="AA1144" s="4"/>
      <c r="AB1144" s="4" t="e">
        <f ca="1">_xll.ciqfunctions.udf.CIQ("^SPX", "IQ_PRICEDATE", "7/9/2018")</f>
        <v>#NAME?</v>
      </c>
      <c r="AC1144" s="16">
        <v>2784.1732403668998</v>
      </c>
    </row>
    <row r="1145" spans="26:29" x14ac:dyDescent="0.35">
      <c r="Z1145" s="4"/>
      <c r="AA1145" s="4"/>
      <c r="AB1145" s="4" t="e">
        <f ca="1">_xll.ciqfunctions.udf.CIQ("^SPX", "IQ_PRICEDATE", "7/10/2018")</f>
        <v>#NAME?</v>
      </c>
      <c r="AC1145" s="16">
        <v>2793.8391511653999</v>
      </c>
    </row>
    <row r="1146" spans="26:29" x14ac:dyDescent="0.35">
      <c r="Z1146" s="4"/>
      <c r="AA1146" s="4"/>
      <c r="AB1146" s="4" t="e">
        <f ca="1">_xll.ciqfunctions.udf.CIQ("^SPX", "IQ_PRICEDATE", "7/11/2018")</f>
        <v>#NAME?</v>
      </c>
      <c r="AC1146" s="16">
        <v>2774.0174783796001</v>
      </c>
    </row>
    <row r="1147" spans="26:29" x14ac:dyDescent="0.35">
      <c r="Z1147" s="4"/>
      <c r="AA1147" s="4"/>
      <c r="AB1147" s="4" t="e">
        <f ca="1">_xll.ciqfunctions.udf.CIQ("^SPX", "IQ_PRICEDATE", "7/12/2018")</f>
        <v>#NAME?</v>
      </c>
      <c r="AC1147" s="16">
        <v>2798.2869223869002</v>
      </c>
    </row>
    <row r="1148" spans="26:29" x14ac:dyDescent="0.35">
      <c r="Z1148" s="4"/>
      <c r="AA1148" s="4"/>
      <c r="AB1148" s="4" t="e">
        <f ca="1">_xll.ciqfunctions.udf.CIQ("^SPX", "IQ_PRICEDATE", "7/13/2018")</f>
        <v>#NAME?</v>
      </c>
      <c r="AC1148" s="16">
        <v>2801.3113726616998</v>
      </c>
    </row>
    <row r="1149" spans="26:29" x14ac:dyDescent="0.35">
      <c r="Z1149" s="4"/>
      <c r="AA1149" s="4"/>
      <c r="AB1149" s="4" t="e">
        <f ca="1">_xll.ciqfunctions.udf.CIQ("^SPX", "IQ_PRICEDATE", "7/16/2018")</f>
        <v>#NAME?</v>
      </c>
      <c r="AC1149" s="16">
        <v>2798.4346041356998</v>
      </c>
    </row>
    <row r="1150" spans="26:29" x14ac:dyDescent="0.35">
      <c r="Z1150" s="4"/>
      <c r="AA1150" s="4"/>
      <c r="AB1150" s="4" t="e">
        <f ca="1">_xll.ciqfunctions.udf.CIQ("^SPX", "IQ_PRICEDATE", "7/17/2018")</f>
        <v>#NAME?</v>
      </c>
      <c r="AC1150" s="16">
        <v>2809.5516223514001</v>
      </c>
    </row>
    <row r="1151" spans="26:29" x14ac:dyDescent="0.35">
      <c r="Z1151" s="4"/>
      <c r="AA1151" s="4"/>
      <c r="AB1151" s="4" t="e">
        <f ca="1">_xll.ciqfunctions.udf.CIQ("^SPX", "IQ_PRICEDATE", "7/18/2018")</f>
        <v>#NAME?</v>
      </c>
      <c r="AC1151" s="16">
        <v>2815.6197843404002</v>
      </c>
    </row>
    <row r="1152" spans="26:29" x14ac:dyDescent="0.35">
      <c r="Z1152" s="4"/>
      <c r="AA1152" s="4"/>
      <c r="AB1152" s="4" t="e">
        <f ca="1">_xll.ciqfunctions.udf.CIQ("^SPX", "IQ_PRICEDATE", "7/19/2018")</f>
        <v>#NAME?</v>
      </c>
      <c r="AC1152" s="16">
        <v>2804.4934139565999</v>
      </c>
    </row>
    <row r="1153" spans="26:29" x14ac:dyDescent="0.35">
      <c r="Z1153" s="4"/>
      <c r="AA1153" s="4"/>
      <c r="AB1153" s="4" t="e">
        <f ca="1">_xll.ciqfunctions.udf.CIQ("^SPX", "IQ_PRICEDATE", "7/20/2018")</f>
        <v>#NAME?</v>
      </c>
      <c r="AC1153" s="16">
        <v>2801.8280880917</v>
      </c>
    </row>
    <row r="1154" spans="26:29" x14ac:dyDescent="0.35">
      <c r="Z1154" s="4"/>
      <c r="AA1154" s="4"/>
      <c r="AB1154" s="4" t="e">
        <f ca="1">_xll.ciqfunctions.udf.CIQ("^SPX", "IQ_PRICEDATE", "7/23/2018")</f>
        <v>#NAME?</v>
      </c>
      <c r="AC1154" s="16">
        <v>2806.9828988651002</v>
      </c>
    </row>
    <row r="1155" spans="26:29" x14ac:dyDescent="0.35">
      <c r="Z1155" s="4"/>
      <c r="AA1155" s="4"/>
      <c r="AB1155" s="4" t="e">
        <f ca="1">_xll.ciqfunctions.udf.CIQ("^SPX", "IQ_PRICEDATE", "7/24/2018")</f>
        <v>#NAME?</v>
      </c>
      <c r="AC1155" s="16">
        <v>2820.4041297202998</v>
      </c>
    </row>
    <row r="1156" spans="26:29" x14ac:dyDescent="0.35">
      <c r="Z1156" s="4"/>
      <c r="AA1156" s="4"/>
      <c r="AB1156" s="4" t="e">
        <f ca="1">_xll.ciqfunctions.udf.CIQ("^SPX", "IQ_PRICEDATE", "7/25/2018")</f>
        <v>#NAME?</v>
      </c>
      <c r="AC1156" s="16">
        <v>2846.0670433640998</v>
      </c>
    </row>
    <row r="1157" spans="26:29" x14ac:dyDescent="0.35">
      <c r="Z1157" s="4"/>
      <c r="AA1157" s="4"/>
      <c r="AB1157" s="4" t="e">
        <f ca="1">_xll.ciqfunctions.udf.CIQ("^SPX", "IQ_PRICEDATE", "7/26/2018")</f>
        <v>#NAME?</v>
      </c>
      <c r="AC1157" s="16">
        <v>2837.4399856340001</v>
      </c>
    </row>
    <row r="1158" spans="26:29" x14ac:dyDescent="0.35">
      <c r="Z1158" s="4"/>
      <c r="AA1158" s="4"/>
      <c r="AB1158" s="4" t="e">
        <f ca="1">_xll.ciqfunctions.udf.CIQ("^SPX", "IQ_PRICEDATE", "7/27/2018")</f>
        <v>#NAME?</v>
      </c>
      <c r="AC1158" s="16">
        <v>2818.8176262962002</v>
      </c>
    </row>
    <row r="1159" spans="26:29" x14ac:dyDescent="0.35">
      <c r="Z1159" s="4"/>
      <c r="AA1159" s="4"/>
      <c r="AB1159" s="4" t="e">
        <f ca="1">_xll.ciqfunctions.udf.CIQ("^SPX", "IQ_PRICEDATE", "7/30/2018")</f>
        <v>#NAME?</v>
      </c>
      <c r="AC1159" s="16">
        <v>2802.601445843</v>
      </c>
    </row>
    <row r="1160" spans="26:29" x14ac:dyDescent="0.35">
      <c r="Z1160" s="4"/>
      <c r="AA1160" s="4"/>
      <c r="AB1160" s="4" t="e">
        <f ca="1">_xll.ciqfunctions.udf.CIQ("^SPX", "IQ_PRICEDATE", "7/31/2018")</f>
        <v>#NAME?</v>
      </c>
      <c r="AC1160" s="16">
        <v>2816.2886310910999</v>
      </c>
    </row>
    <row r="1161" spans="26:29" x14ac:dyDescent="0.35">
      <c r="Z1161" s="4"/>
      <c r="AA1161" s="4"/>
      <c r="AB1161" s="4" t="e">
        <f ca="1">_xll.ciqfunctions.udf.CIQ("^SPX", "IQ_PRICEDATE", "8/1/2018")</f>
        <v>#NAME?</v>
      </c>
      <c r="AC1161" s="16">
        <v>2813.3649089529999</v>
      </c>
    </row>
    <row r="1162" spans="26:29" x14ac:dyDescent="0.35">
      <c r="Z1162" s="4"/>
      <c r="AA1162" s="4"/>
      <c r="AB1162" s="4" t="e">
        <f ca="1">_xll.ciqfunctions.udf.CIQ("^SPX", "IQ_PRICEDATE", "8/2/2018")</f>
        <v>#NAME?</v>
      </c>
      <c r="AC1162" s="16">
        <v>2827.2182583862</v>
      </c>
    </row>
    <row r="1163" spans="26:29" x14ac:dyDescent="0.35">
      <c r="Z1163" s="4"/>
      <c r="AA1163" s="4"/>
      <c r="AB1163" s="4" t="e">
        <f ca="1">_xll.ciqfunctions.udf.CIQ("^SPX", "IQ_PRICEDATE", "8/3/2018")</f>
        <v>#NAME?</v>
      </c>
      <c r="AC1163" s="16">
        <v>2840.3535543807998</v>
      </c>
    </row>
    <row r="1164" spans="26:29" x14ac:dyDescent="0.35">
      <c r="Z1164" s="4"/>
      <c r="AA1164" s="4"/>
      <c r="AB1164" s="4" t="e">
        <f ca="1">_xll.ciqfunctions.udf.CIQ("^SPX", "IQ_PRICEDATE", "8/6/2018")</f>
        <v>#NAME?</v>
      </c>
      <c r="AC1164" s="16">
        <v>2850.3965780045</v>
      </c>
    </row>
    <row r="1165" spans="26:29" x14ac:dyDescent="0.35">
      <c r="Z1165" s="4"/>
      <c r="AA1165" s="4"/>
      <c r="AB1165" s="4" t="e">
        <f ca="1">_xll.ciqfunctions.udf.CIQ("^SPX", "IQ_PRICEDATE", "8/7/2018")</f>
        <v>#NAME?</v>
      </c>
      <c r="AC1165" s="16">
        <v>2858.4515094494</v>
      </c>
    </row>
    <row r="1166" spans="26:29" x14ac:dyDescent="0.35">
      <c r="Z1166" s="4"/>
      <c r="AA1166" s="4"/>
      <c r="AB1166" s="4" t="e">
        <f ca="1">_xll.ciqfunctions.udf.CIQ("^SPX", "IQ_PRICEDATE", "8/8/2018")</f>
        <v>#NAME?</v>
      </c>
      <c r="AC1166" s="16">
        <v>2857.7044950281002</v>
      </c>
    </row>
    <row r="1167" spans="26:29" x14ac:dyDescent="0.35">
      <c r="Z1167" s="4"/>
      <c r="AA1167" s="4"/>
      <c r="AB1167" s="4" t="e">
        <f ca="1">_xll.ciqfunctions.udf.CIQ("^SPX", "IQ_PRICEDATE", "8/9/2018")</f>
        <v>#NAME?</v>
      </c>
      <c r="AC1167" s="16">
        <v>2853.5839477989998</v>
      </c>
    </row>
    <row r="1168" spans="26:29" x14ac:dyDescent="0.35">
      <c r="Z1168" s="4"/>
      <c r="AA1168" s="4"/>
      <c r="AB1168" s="4" t="e">
        <f ca="1">_xll.ciqfunctions.udf.CIQ("^SPX", "IQ_PRICEDATE", "8/10/2018")</f>
        <v>#NAME?</v>
      </c>
      <c r="AC1168" s="16">
        <v>2833.2836316821999</v>
      </c>
    </row>
    <row r="1169" spans="26:29" x14ac:dyDescent="0.35">
      <c r="Z1169" s="4"/>
      <c r="AA1169" s="4"/>
      <c r="AB1169" s="4" t="e">
        <f ca="1">_xll.ciqfunctions.udf.CIQ("^SPX", "IQ_PRICEDATE", "8/13/2018")</f>
        <v>#NAME?</v>
      </c>
      <c r="AC1169" s="16">
        <v>2821.9282342060001</v>
      </c>
    </row>
    <row r="1170" spans="26:29" x14ac:dyDescent="0.35">
      <c r="Z1170" s="4"/>
      <c r="AA1170" s="4"/>
      <c r="AB1170" s="4" t="e">
        <f ca="1">_xll.ciqfunctions.udf.CIQ("^SPX", "IQ_PRICEDATE", "8/14/2018")</f>
        <v>#NAME?</v>
      </c>
      <c r="AC1170" s="16">
        <v>2839.955390868</v>
      </c>
    </row>
    <row r="1171" spans="26:29" x14ac:dyDescent="0.35">
      <c r="Z1171" s="4"/>
      <c r="AA1171" s="4"/>
      <c r="AB1171" s="4" t="e">
        <f ca="1">_xll.ciqfunctions.udf.CIQ("^SPX", "IQ_PRICEDATE", "8/15/2018")</f>
        <v>#NAME?</v>
      </c>
      <c r="AC1171" s="16">
        <v>2818.3730198970002</v>
      </c>
    </row>
    <row r="1172" spans="26:29" x14ac:dyDescent="0.35">
      <c r="Z1172" s="4"/>
      <c r="AA1172" s="4"/>
      <c r="AB1172" s="4" t="e">
        <f ca="1">_xll.ciqfunctions.udf.CIQ("^SPX", "IQ_PRICEDATE", "8/16/2018")</f>
        <v>#NAME?</v>
      </c>
      <c r="AC1172" s="16">
        <v>2840.6879724707001</v>
      </c>
    </row>
    <row r="1173" spans="26:29" x14ac:dyDescent="0.35">
      <c r="Z1173" s="4"/>
      <c r="AA1173" s="4"/>
      <c r="AB1173" s="4" t="e">
        <f ca="1">_xll.ciqfunctions.udf.CIQ("^SPX", "IQ_PRICEDATE", "8/17/2018")</f>
        <v>#NAME?</v>
      </c>
      <c r="AC1173" s="16">
        <v>2850.1316116040998</v>
      </c>
    </row>
    <row r="1174" spans="26:29" x14ac:dyDescent="0.35">
      <c r="Z1174" s="4"/>
      <c r="AA1174" s="4"/>
      <c r="AB1174" s="4" t="e">
        <f ca="1">_xll.ciqfunctions.udf.CIQ("^SPX", "IQ_PRICEDATE", "8/20/2018")</f>
        <v>#NAME?</v>
      </c>
      <c r="AC1174" s="16">
        <v>2857.0540072342001</v>
      </c>
    </row>
    <row r="1175" spans="26:29" x14ac:dyDescent="0.35">
      <c r="Z1175" s="4"/>
      <c r="AA1175" s="4"/>
      <c r="AB1175" s="4" t="e">
        <f ca="1">_xll.ciqfunctions.udf.CIQ("^SPX", "IQ_PRICEDATE", "8/21/2018")</f>
        <v>#NAME?</v>
      </c>
      <c r="AC1175" s="16">
        <v>2862.9569880949002</v>
      </c>
    </row>
    <row r="1176" spans="26:29" x14ac:dyDescent="0.35">
      <c r="Z1176" s="4"/>
      <c r="AA1176" s="4"/>
      <c r="AB1176" s="4" t="e">
        <f ca="1">_xll.ciqfunctions.udf.CIQ("^SPX", "IQ_PRICEDATE", "8/22/2018")</f>
        <v>#NAME?</v>
      </c>
      <c r="AC1176" s="16">
        <v>2861.8246299142002</v>
      </c>
    </row>
    <row r="1177" spans="26:29" x14ac:dyDescent="0.35">
      <c r="Z1177" s="4"/>
      <c r="AA1177" s="4"/>
      <c r="AB1177" s="4" t="e">
        <f ca="1">_xll.ciqfunctions.udf.CIQ("^SPX", "IQ_PRICEDATE", "8/23/2018")</f>
        <v>#NAME?</v>
      </c>
      <c r="AC1177" s="16">
        <v>2856.9805412893002</v>
      </c>
    </row>
    <row r="1178" spans="26:29" x14ac:dyDescent="0.35">
      <c r="Z1178" s="4"/>
      <c r="AA1178" s="4"/>
      <c r="AB1178" s="4" t="e">
        <f ca="1">_xll.ciqfunctions.udf.CIQ("^SPX", "IQ_PRICEDATE", "8/24/2018")</f>
        <v>#NAME?</v>
      </c>
      <c r="AC1178" s="16">
        <v>2874.6891438910998</v>
      </c>
    </row>
    <row r="1179" spans="26:29" x14ac:dyDescent="0.35">
      <c r="Z1179" s="4"/>
      <c r="AA1179" s="4"/>
      <c r="AB1179" s="4" t="e">
        <f ca="1">_xll.ciqfunctions.udf.CIQ("^SPX", "IQ_PRICEDATE", "8/27/2018")</f>
        <v>#NAME?</v>
      </c>
      <c r="AC1179" s="16">
        <v>2896.7356353035002</v>
      </c>
    </row>
    <row r="1180" spans="26:29" x14ac:dyDescent="0.35">
      <c r="Z1180" s="4"/>
      <c r="AA1180" s="4"/>
      <c r="AB1180" s="4" t="e">
        <f ca="1">_xll.ciqfunctions.udf.CIQ("^SPX", "IQ_PRICEDATE", "8/28/2018")</f>
        <v>#NAME?</v>
      </c>
      <c r="AC1180" s="16">
        <v>2897.5220448636001</v>
      </c>
    </row>
    <row r="1181" spans="26:29" x14ac:dyDescent="0.35">
      <c r="Z1181" s="4"/>
      <c r="AA1181" s="4"/>
      <c r="AB1181" s="4" t="e">
        <f ca="1">_xll.ciqfunctions.udf.CIQ("^SPX", "IQ_PRICEDATE", "8/29/2018")</f>
        <v>#NAME?</v>
      </c>
      <c r="AC1181" s="16">
        <v>2914.0413654341</v>
      </c>
    </row>
    <row r="1182" spans="26:29" x14ac:dyDescent="0.35">
      <c r="Z1182" s="4"/>
      <c r="AA1182" s="4"/>
      <c r="AB1182" s="4" t="e">
        <f ca="1">_xll.ciqfunctions.udf.CIQ("^SPX", "IQ_PRICEDATE", "8/30/2018")</f>
        <v>#NAME?</v>
      </c>
      <c r="AC1182" s="16">
        <v>2901.1265962030002</v>
      </c>
    </row>
    <row r="1183" spans="26:29" x14ac:dyDescent="0.35">
      <c r="Z1183" s="4"/>
      <c r="AA1183" s="4"/>
      <c r="AB1183" s="4" t="e">
        <f ca="1">_xll.ciqfunctions.udf.CIQ("^SPX", "IQ_PRICEDATE", "8/31/2018")</f>
        <v>#NAME?</v>
      </c>
      <c r="AC1183" s="16">
        <v>2901.5176770405001</v>
      </c>
    </row>
    <row r="1184" spans="26:29" x14ac:dyDescent="0.35">
      <c r="Z1184" s="4"/>
      <c r="AA1184" s="4"/>
      <c r="AB1184" s="4" t="e">
        <f ca="1">_xll.ciqfunctions.udf.CIQ("^SPX", "IQ_PRICEDATE", "9/4/2018")</f>
        <v>#NAME?</v>
      </c>
      <c r="AC1184" s="16">
        <v>2896.7232861861999</v>
      </c>
    </row>
    <row r="1185" spans="26:29" x14ac:dyDescent="0.35">
      <c r="Z1185" s="4"/>
      <c r="AA1185" s="4"/>
      <c r="AB1185" s="4" t="e">
        <f ca="1">_xll.ciqfunctions.udf.CIQ("^SPX", "IQ_PRICEDATE", "9/5/2018")</f>
        <v>#NAME?</v>
      </c>
      <c r="AC1185" s="16">
        <v>2888.6017988977001</v>
      </c>
    </row>
    <row r="1186" spans="26:29" x14ac:dyDescent="0.35">
      <c r="Z1186" s="4"/>
      <c r="AA1186" s="4"/>
      <c r="AB1186" s="4" t="e">
        <f ca="1">_xll.ciqfunctions.udf.CIQ("^SPX", "IQ_PRICEDATE", "9/6/2018")</f>
        <v>#NAME?</v>
      </c>
      <c r="AC1186" s="16">
        <v>2878.0524329330001</v>
      </c>
    </row>
    <row r="1187" spans="26:29" x14ac:dyDescent="0.35">
      <c r="Z1187" s="4"/>
      <c r="AA1187" s="4"/>
      <c r="AB1187" s="4" t="e">
        <f ca="1">_xll.ciqfunctions.udf.CIQ("^SPX", "IQ_PRICEDATE", "9/7/2018")</f>
        <v>#NAME?</v>
      </c>
      <c r="AC1187" s="16">
        <v>2871.6815283021001</v>
      </c>
    </row>
    <row r="1188" spans="26:29" x14ac:dyDescent="0.35">
      <c r="Z1188" s="4"/>
      <c r="AA1188" s="4"/>
      <c r="AB1188" s="4" t="e">
        <f ca="1">_xll.ciqfunctions.udf.CIQ("^SPX", "IQ_PRICEDATE", "9/10/2018")</f>
        <v>#NAME?</v>
      </c>
      <c r="AC1188" s="16">
        <v>2877.1261459303</v>
      </c>
    </row>
    <row r="1189" spans="26:29" x14ac:dyDescent="0.35">
      <c r="Z1189" s="4"/>
      <c r="AA1189" s="4"/>
      <c r="AB1189" s="4" t="e">
        <f ca="1">_xll.ciqfunctions.udf.CIQ("^SPX", "IQ_PRICEDATE", "9/11/2018")</f>
        <v>#NAME?</v>
      </c>
      <c r="AC1189" s="16">
        <v>2887.8937973604002</v>
      </c>
    </row>
    <row r="1190" spans="26:29" x14ac:dyDescent="0.35">
      <c r="Z1190" s="4"/>
      <c r="AA1190" s="4"/>
      <c r="AB1190" s="4" t="e">
        <f ca="1">_xll.ciqfunctions.udf.CIQ("^SPX", "IQ_PRICEDATE", "9/12/2018")</f>
        <v>#NAME?</v>
      </c>
      <c r="AC1190" s="16">
        <v>2888.9166550290001</v>
      </c>
    </row>
    <row r="1191" spans="26:29" x14ac:dyDescent="0.35">
      <c r="Z1191" s="4"/>
      <c r="AA1191" s="4"/>
      <c r="AB1191" s="4" t="e">
        <f ca="1">_xll.ciqfunctions.udf.CIQ("^SPX", "IQ_PRICEDATE", "9/13/2018")</f>
        <v>#NAME?</v>
      </c>
      <c r="AC1191" s="16">
        <v>2904.183860264</v>
      </c>
    </row>
    <row r="1192" spans="26:29" x14ac:dyDescent="0.35">
      <c r="Z1192" s="4"/>
      <c r="AA1192" s="4"/>
      <c r="AB1192" s="4" t="e">
        <f ca="1">_xll.ciqfunctions.udf.CIQ("^SPX", "IQ_PRICEDATE", "9/14/2018")</f>
        <v>#NAME?</v>
      </c>
      <c r="AC1192" s="16">
        <v>2904.9753853013999</v>
      </c>
    </row>
    <row r="1193" spans="26:29" x14ac:dyDescent="0.35">
      <c r="Z1193" s="4"/>
      <c r="AA1193" s="4"/>
      <c r="AB1193" s="4" t="e">
        <f ca="1">_xll.ciqfunctions.udf.CIQ("^SPX", "IQ_PRICEDATE", "9/17/2018")</f>
        <v>#NAME?</v>
      </c>
      <c r="AC1193" s="16">
        <v>2888.8011449655</v>
      </c>
    </row>
    <row r="1194" spans="26:29" x14ac:dyDescent="0.35">
      <c r="Z1194" s="4"/>
      <c r="AA1194" s="4"/>
      <c r="AB1194" s="4" t="e">
        <f ca="1">_xll.ciqfunctions.udf.CIQ("^SPX", "IQ_PRICEDATE", "9/18/2018")</f>
        <v>#NAME?</v>
      </c>
      <c r="AC1194" s="16">
        <v>2904.3106462578999</v>
      </c>
    </row>
    <row r="1195" spans="26:29" x14ac:dyDescent="0.35">
      <c r="Z1195" s="4"/>
      <c r="AA1195" s="4"/>
      <c r="AB1195" s="4" t="e">
        <f ca="1">_xll.ciqfunctions.udf.CIQ("^SPX", "IQ_PRICEDATE", "9/19/2018")</f>
        <v>#NAME?</v>
      </c>
      <c r="AC1195" s="16">
        <v>2907.9453942373002</v>
      </c>
    </row>
    <row r="1196" spans="26:29" x14ac:dyDescent="0.35">
      <c r="Z1196" s="4"/>
      <c r="AA1196" s="4"/>
      <c r="AB1196" s="4" t="e">
        <f ca="1">_xll.ciqfunctions.udf.CIQ("^SPX", "IQ_PRICEDATE", "9/20/2018")</f>
        <v>#NAME?</v>
      </c>
      <c r="AC1196" s="16">
        <v>2930.7461520994998</v>
      </c>
    </row>
    <row r="1197" spans="26:29" x14ac:dyDescent="0.35">
      <c r="Z1197" s="4"/>
      <c r="AA1197" s="4"/>
      <c r="AB1197" s="4" t="e">
        <f ca="1">_xll.ciqfunctions.udf.CIQ("^SPX", "IQ_PRICEDATE", "9/21/2018")</f>
        <v>#NAME?</v>
      </c>
      <c r="AC1197" s="16">
        <v>2929.6671956252999</v>
      </c>
    </row>
    <row r="1198" spans="26:29" x14ac:dyDescent="0.35">
      <c r="Z1198" s="4"/>
      <c r="AA1198" s="4"/>
      <c r="AB1198" s="4" t="e">
        <f ca="1">_xll.ciqfunctions.udf.CIQ("^SPX", "IQ_PRICEDATE", "9/24/2018")</f>
        <v>#NAME?</v>
      </c>
      <c r="AC1198" s="16">
        <v>2919.3731493785999</v>
      </c>
    </row>
    <row r="1199" spans="26:29" x14ac:dyDescent="0.35">
      <c r="Z1199" s="4"/>
      <c r="AA1199" s="4"/>
      <c r="AB1199" s="4" t="e">
        <f ca="1">_xll.ciqfunctions.udf.CIQ("^SPX", "IQ_PRICEDATE", "9/25/2018")</f>
        <v>#NAME?</v>
      </c>
      <c r="AC1199" s="16">
        <v>2915.5642837762998</v>
      </c>
    </row>
    <row r="1200" spans="26:29" x14ac:dyDescent="0.35">
      <c r="Z1200" s="4"/>
      <c r="AA1200" s="4"/>
      <c r="AB1200" s="4" t="e">
        <f ca="1">_xll.ciqfunctions.udf.CIQ("^SPX", "IQ_PRICEDATE", "9/26/2018")</f>
        <v>#NAME?</v>
      </c>
      <c r="AC1200" s="16">
        <v>2905.9655876406</v>
      </c>
    </row>
    <row r="1201" spans="26:29" x14ac:dyDescent="0.35">
      <c r="Z1201" s="4"/>
      <c r="AA1201" s="4"/>
      <c r="AB1201" s="4" t="e">
        <f ca="1">_xll.ciqfunctions.udf.CIQ("^SPX", "IQ_PRICEDATE", "9/27/2018")</f>
        <v>#NAME?</v>
      </c>
      <c r="AC1201" s="16">
        <v>2913.9981861058</v>
      </c>
    </row>
    <row r="1202" spans="26:29" x14ac:dyDescent="0.35">
      <c r="Z1202" s="4"/>
      <c r="AA1202" s="4"/>
      <c r="AB1202" s="4" t="e">
        <f ca="1">_xll.ciqfunctions.udf.CIQ("^SPX", "IQ_PRICEDATE", "9/28/2018")</f>
        <v>#NAME?</v>
      </c>
      <c r="AC1202" s="16">
        <v>2913.978139886</v>
      </c>
    </row>
    <row r="1203" spans="26:29" x14ac:dyDescent="0.35">
      <c r="Z1203" s="4"/>
      <c r="AA1203" s="4"/>
      <c r="AB1203" s="4" t="e">
        <f ca="1">_xll.ciqfunctions.udf.CIQ("^SPX", "IQ_PRICEDATE", "10/1/2018")</f>
        <v>#NAME?</v>
      </c>
      <c r="AC1203" s="16">
        <v>2924.5909370456002</v>
      </c>
    </row>
    <row r="1204" spans="26:29" x14ac:dyDescent="0.35">
      <c r="Z1204" s="4"/>
      <c r="AA1204" s="4"/>
      <c r="AB1204" s="4" t="e">
        <f ca="1">_xll.ciqfunctions.udf.CIQ("^SPX", "IQ_PRICEDATE", "10/2/2018")</f>
        <v>#NAME?</v>
      </c>
      <c r="AC1204" s="16">
        <v>2923.4334526643001</v>
      </c>
    </row>
    <row r="1205" spans="26:29" x14ac:dyDescent="0.35">
      <c r="Z1205" s="4"/>
      <c r="AA1205" s="4"/>
      <c r="AB1205" s="4" t="e">
        <f ca="1">_xll.ciqfunctions.udf.CIQ("^SPX", "IQ_PRICEDATE", "10/3/2018")</f>
        <v>#NAME?</v>
      </c>
      <c r="AC1205" s="16">
        <v>2925.5130376727998</v>
      </c>
    </row>
    <row r="1206" spans="26:29" x14ac:dyDescent="0.35">
      <c r="Z1206" s="4"/>
      <c r="AA1206" s="4"/>
      <c r="AB1206" s="4" t="e">
        <f ca="1">_xll.ciqfunctions.udf.CIQ("^SPX", "IQ_PRICEDATE", "10/4/2018")</f>
        <v>#NAME?</v>
      </c>
      <c r="AC1206" s="16">
        <v>2901.6114880516998</v>
      </c>
    </row>
    <row r="1207" spans="26:29" x14ac:dyDescent="0.35">
      <c r="Z1207" s="4"/>
      <c r="AA1207" s="4"/>
      <c r="AB1207" s="4" t="e">
        <f ca="1">_xll.ciqfunctions.udf.CIQ("^SPX", "IQ_PRICEDATE", "10/5/2018")</f>
        <v>#NAME?</v>
      </c>
      <c r="AC1207" s="16">
        <v>2885.5662522712</v>
      </c>
    </row>
    <row r="1208" spans="26:29" x14ac:dyDescent="0.35">
      <c r="Z1208" s="4"/>
      <c r="AA1208" s="4"/>
      <c r="AB1208" s="4" t="e">
        <f ca="1">_xll.ciqfunctions.udf.CIQ("^SPX", "IQ_PRICEDATE", "10/8/2018")</f>
        <v>#NAME?</v>
      </c>
      <c r="AC1208" s="16">
        <v>2884.4326743419001</v>
      </c>
    </row>
    <row r="1209" spans="26:29" x14ac:dyDescent="0.35">
      <c r="Z1209" s="4"/>
      <c r="AA1209" s="4"/>
      <c r="AB1209" s="4" t="e">
        <f ca="1">_xll.ciqfunctions.udf.CIQ("^SPX", "IQ_PRICEDATE", "10/9/2018")</f>
        <v>#NAME?</v>
      </c>
      <c r="AC1209" s="16">
        <v>2880.3437116677001</v>
      </c>
    </row>
    <row r="1210" spans="26:29" x14ac:dyDescent="0.35">
      <c r="Z1210" s="4"/>
      <c r="AA1210" s="4"/>
      <c r="AB1210" s="4" t="e">
        <f ca="1">_xll.ciqfunctions.udf.CIQ("^SPX", "IQ_PRICEDATE", "10/10/2018")</f>
        <v>#NAME?</v>
      </c>
      <c r="AC1210" s="16">
        <v>2785.6791790991001</v>
      </c>
    </row>
    <row r="1211" spans="26:29" x14ac:dyDescent="0.35">
      <c r="Z1211" s="4"/>
      <c r="AA1211" s="4"/>
      <c r="AB1211" s="4" t="e">
        <f ca="1">_xll.ciqfunctions.udf.CIQ("^SPX", "IQ_PRICEDATE", "10/11/2018")</f>
        <v>#NAME?</v>
      </c>
      <c r="AC1211" s="16">
        <v>2728.3662914993001</v>
      </c>
    </row>
    <row r="1212" spans="26:29" x14ac:dyDescent="0.35">
      <c r="Z1212" s="4"/>
      <c r="AA1212" s="4"/>
      <c r="AB1212" s="4" t="e">
        <f ca="1">_xll.ciqfunctions.udf.CIQ("^SPX", "IQ_PRICEDATE", "10/12/2018")</f>
        <v>#NAME?</v>
      </c>
      <c r="AC1212" s="16">
        <v>2767.1260181809998</v>
      </c>
    </row>
    <row r="1213" spans="26:29" x14ac:dyDescent="0.35">
      <c r="Z1213" s="4"/>
      <c r="AA1213" s="4"/>
      <c r="AB1213" s="4" t="e">
        <f ca="1">_xll.ciqfunctions.udf.CIQ("^SPX", "IQ_PRICEDATE", "10/15/2018")</f>
        <v>#NAME?</v>
      </c>
      <c r="AC1213" s="16">
        <v>2750.7860409097998</v>
      </c>
    </row>
    <row r="1214" spans="26:29" x14ac:dyDescent="0.35">
      <c r="AB1214" s="4" t="e">
        <f ca="1">_xll.ciqfunctions.udf.CIQ("^SPX", "IQ_PRICEDATE", "10/16/2018")</f>
        <v>#NAME?</v>
      </c>
      <c r="AC1214" s="16">
        <v>2809.9156707527</v>
      </c>
    </row>
    <row r="1215" spans="26:29" x14ac:dyDescent="0.35">
      <c r="AB1215" s="4" t="e">
        <f ca="1">_xll.ciqfunctions.udf.CIQ("^SPX", "IQ_PRICEDATE", "10/17/2018")</f>
        <v>#NAME?</v>
      </c>
      <c r="AC1215" s="16">
        <v>2809.2090822675</v>
      </c>
    </row>
  </sheetData>
  <mergeCells count="8">
    <mergeCell ref="D1:F1"/>
    <mergeCell ref="N4:Y4"/>
    <mergeCell ref="N5:O5"/>
    <mergeCell ref="P5:Q5"/>
    <mergeCell ref="R5:S5"/>
    <mergeCell ref="T5:U5"/>
    <mergeCell ref="V5:W5"/>
    <mergeCell ref="X5:Y5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efreshMacro_Verti1">
                <anchor moveWithCells="1" sizeWithCells="1">
                  <from>
                    <xdr:col>4</xdr:col>
                    <xdr:colOff>400050</xdr:colOff>
                    <xdr:row>2</xdr:row>
                    <xdr:rowOff>76200</xdr:rowOff>
                  </from>
                  <to>
                    <xdr:col>5</xdr:col>
                    <xdr:colOff>279400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C1215"/>
  <sheetViews>
    <sheetView tabSelected="1" zoomScale="90" zoomScaleNormal="90" workbookViewId="0">
      <selection activeCell="A11" sqref="A11"/>
    </sheetView>
  </sheetViews>
  <sheetFormatPr defaultRowHeight="14.5" x14ac:dyDescent="0.35"/>
  <cols>
    <col min="1" max="1" width="26.54296875" bestFit="1" customWidth="1"/>
    <col min="2" max="2" width="15.54296875" bestFit="1" customWidth="1"/>
    <col min="3" max="3" width="23.1796875" bestFit="1" customWidth="1"/>
    <col min="4" max="4" width="14.7265625" bestFit="1" customWidth="1"/>
    <col min="5" max="5" width="23.7265625" bestFit="1" customWidth="1"/>
    <col min="6" max="6" width="22.26953125" customWidth="1"/>
    <col min="7" max="7" width="19.453125" customWidth="1"/>
    <col min="8" max="8" width="21.1796875" bestFit="1" customWidth="1"/>
    <col min="9" max="9" width="23.453125" bestFit="1" customWidth="1"/>
    <col min="10" max="10" width="19.81640625" bestFit="1" customWidth="1"/>
    <col min="11" max="11" width="14.453125" bestFit="1" customWidth="1"/>
    <col min="12" max="12" width="20.26953125" bestFit="1" customWidth="1"/>
    <col min="13" max="13" width="20.453125" bestFit="1" customWidth="1"/>
    <col min="14" max="17" width="13.453125" customWidth="1"/>
    <col min="18" max="18" width="10.453125" bestFit="1" customWidth="1"/>
    <col min="19" max="25" width="13.453125" customWidth="1"/>
    <col min="28" max="28" width="11.54296875" bestFit="1" customWidth="1"/>
    <col min="29" max="29" width="11.81640625" bestFit="1" customWidth="1"/>
  </cols>
  <sheetData>
    <row r="1" spans="1:29" ht="23.5" x14ac:dyDescent="0.55000000000000004">
      <c r="A1" t="s">
        <v>0</v>
      </c>
      <c r="B1" s="1" t="s">
        <v>1</v>
      </c>
      <c r="D1" s="21" t="e">
        <f ca="1">IF($B$1="","",_xll.ciqfunctions.udf.CIQ($B$1,"iq_company_name"))</f>
        <v>#NAME?</v>
      </c>
      <c r="E1" s="21"/>
      <c r="F1" s="21"/>
    </row>
    <row r="2" spans="1:29" x14ac:dyDescent="0.35">
      <c r="A2" t="s">
        <v>3</v>
      </c>
      <c r="B2" s="1" t="s">
        <v>4</v>
      </c>
    </row>
    <row r="3" spans="1:29" x14ac:dyDescent="0.35">
      <c r="A3" t="s">
        <v>2</v>
      </c>
      <c r="B3" s="13" t="e">
        <f ca="1">_xll.ciqfunctions.udf.CIQGETDATE(IQ_TODAY)</f>
        <v>#NAME?</v>
      </c>
      <c r="AB3" s="12"/>
      <c r="AC3" s="13"/>
    </row>
    <row r="4" spans="1:29" x14ac:dyDescent="0.35">
      <c r="A4" t="s">
        <v>1715</v>
      </c>
      <c r="B4" s="13">
        <v>41639</v>
      </c>
      <c r="G4" s="11">
        <f>IQ_LTM</f>
        <v>2000</v>
      </c>
      <c r="H4" s="11">
        <f>IQ_NTM</f>
        <v>6000</v>
      </c>
      <c r="N4" s="22" t="s">
        <v>1712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AB4" s="12"/>
    </row>
    <row r="5" spans="1:29" ht="15.5" x14ac:dyDescent="0.35">
      <c r="M5" t="s">
        <v>523</v>
      </c>
      <c r="N5" s="23">
        <v>43388</v>
      </c>
      <c r="O5" s="24"/>
      <c r="P5" s="23">
        <v>43100</v>
      </c>
      <c r="Q5" s="24"/>
      <c r="R5" s="23">
        <v>42735</v>
      </c>
      <c r="S5" s="24"/>
      <c r="T5" s="23">
        <v>42369</v>
      </c>
      <c r="U5" s="24"/>
      <c r="V5" s="23">
        <v>42004</v>
      </c>
      <c r="W5" s="24"/>
      <c r="X5" s="23">
        <v>42004</v>
      </c>
      <c r="Y5" s="24"/>
      <c r="AB5" s="20" t="e">
        <f ca="1">D1&amp;" Values"</f>
        <v>#NAME?</v>
      </c>
    </row>
    <row r="6" spans="1:29" ht="43.5" x14ac:dyDescent="0.35">
      <c r="A6" s="5" t="e">
        <f ca="1">_xll.ciqfunctions.udf.CIQRANGE($B$1,"IQ_CONSTITUENTS",1,,,,,,"Constituents")</f>
        <v>#NAME?</v>
      </c>
      <c r="B6" s="5" t="s">
        <v>5</v>
      </c>
      <c r="C6" s="5" t="s">
        <v>6</v>
      </c>
      <c r="D6" s="5" t="s">
        <v>7</v>
      </c>
      <c r="E6" s="5" t="s">
        <v>8</v>
      </c>
      <c r="F6" s="5" t="s">
        <v>9</v>
      </c>
      <c r="G6" s="6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18" t="s">
        <v>1713</v>
      </c>
      <c r="O6" s="18" t="s">
        <v>1714</v>
      </c>
      <c r="P6" s="18" t="s">
        <v>1713</v>
      </c>
      <c r="Q6" s="18" t="s">
        <v>1714</v>
      </c>
      <c r="R6" s="18" t="s">
        <v>1713</v>
      </c>
      <c r="S6" s="18" t="s">
        <v>1714</v>
      </c>
      <c r="T6" s="18" t="s">
        <v>1713</v>
      </c>
      <c r="U6" s="18" t="s">
        <v>1714</v>
      </c>
      <c r="V6" s="18" t="s">
        <v>1713</v>
      </c>
      <c r="W6" s="18" t="s">
        <v>1714</v>
      </c>
      <c r="X6" s="18" t="s">
        <v>1713</v>
      </c>
      <c r="Y6" s="18" t="s">
        <v>1714</v>
      </c>
      <c r="Z6" s="7"/>
      <c r="AA6" s="8"/>
      <c r="AB6" s="9" t="e">
        <f ca="1">_xll.ciqfunctions.udf.CIQRANGE($B$1,"IQ_PRICEDATE",$B$4,$B$3,,,,,"Date")</f>
        <v>#NAME?</v>
      </c>
      <c r="AC6" s="7" t="s">
        <v>522</v>
      </c>
    </row>
    <row r="7" spans="1:29" x14ac:dyDescent="0.35">
      <c r="A7" s="2" t="s">
        <v>17</v>
      </c>
      <c r="B7" s="4" t="e">
        <f ca="1">IF($A7="","",_xll.ciqfunctions.udf.CIQ($A7,"IQ_COMPANY_NAME"))</f>
        <v>#NAME?</v>
      </c>
      <c r="C7" s="4" t="e">
        <f ca="1">IF($A7="","",_xll.ciqfunctions.udf.CIQ($A7,"IQ_INDUSTRY_SECTOR"))</f>
        <v>#NAME?</v>
      </c>
      <c r="D7" s="4" t="e">
        <f ca="1">IF($A7="","",_xll.ciqfunctions.udf.CIQ($A7,"IQ_INDUSTRY_GROUP"))</f>
        <v>#NAME?</v>
      </c>
      <c r="E7" s="4" t="e">
        <f ca="1">IF($A7="","",_xll.ciqfunctions.udf.CIQ($A7,"IQ_INDUSTRY"))</f>
        <v>#NAME?</v>
      </c>
      <c r="F7" s="4" t="e">
        <f ca="1">IF($A7="","",_xll.ciqfunctions.udf.CIQ($A7,"IQ_PRIMARY_INDUSTRY"))</f>
        <v>#NAME?</v>
      </c>
      <c r="G7" s="14" t="e">
        <f ca="1">IF($A7="","",_xll.ciqfunctions.udf.CIQ($A7,"IQ_CLOSEPRICE_ADJ",$B$3,$B$2))</f>
        <v>#NAME?</v>
      </c>
      <c r="H7" s="10" t="e">
        <f ca="1">IF($A7="","",_xll.ciqfunctions.udf.CIQ($A7,"IQ_TEV_EBITDA",$G$4,$B$3))</f>
        <v>#NAME?</v>
      </c>
      <c r="I7" s="10" t="e">
        <f ca="1">IF($A7="","",_xll.ciqfunctions.udf.CIQ($A7,"IQ_PE_EXCL",$G$4,$B$3))</f>
        <v>#NAME?</v>
      </c>
      <c r="J7" s="10" t="e">
        <f ca="1">IF($A7="","",_xll.ciqfunctions.udf.CIQ($A7,"IQ_PTBV",$G$4,$B$3))</f>
        <v>#NAME?</v>
      </c>
      <c r="K7" s="15" t="str">
        <f ca="1">IF($A7="","",IF(ISERROR(_xll.ciqfunctions.udf.CIQ($A7,"IQ_DIVIDEND_YIELD",$B$3)/100),"NA",_xll.ciqfunctions.udf.CIQ($A7,"IQ_DIVIDEND_YIELD",$B$3)/100))</f>
        <v>NA</v>
      </c>
      <c r="L7" s="17" t="e">
        <f ca="1">IF($A7="","",_xll.ciqfunctions.udf.CIQ($A7,"IQ_MARKETCAP",$B$3,$B$2))</f>
        <v>#NAME?</v>
      </c>
      <c r="M7" s="4" t="e">
        <f ca="1">IF($A7="","",_xll.ciqfunctions.udf.CIQ($A7,"IQ_COMPANY_ADDRESS"))</f>
        <v>#NAME?</v>
      </c>
      <c r="N7" s="19" t="e">
        <f ca="1">IF($A7="","",_xll.ciqfunctions.udf.CIQ($A7,"IQ_DILUT_EPS_EXCL",$G$4,$N$5,,,$B$2))</f>
        <v>#NAME?</v>
      </c>
      <c r="O7" s="19" t="e">
        <f ca="1">IF($A7="","",_xll.ciqfunctions.udf.CIQ($A7,"IQ_EPS_EST",$H$4,$N$5,,,$B$2))</f>
        <v>#NAME?</v>
      </c>
      <c r="P7" s="19" t="e">
        <f ca="1">IF($A7="","",_xll.ciqfunctions.udf.CIQ($A7,"IQ_DILUT_EPS_EXCL",G$4,$P$5,,,$B$2))</f>
        <v>#NAME?</v>
      </c>
      <c r="Q7" s="19" t="e">
        <f ca="1">IF($A7="","",_xll.ciqfunctions.udf.CIQ($A7,"IQ_EPS_EST",H$4,$P$5,,,$B$2))</f>
        <v>#NAME?</v>
      </c>
      <c r="R7" s="19" t="e">
        <f ca="1">IF($A7="","",_xll.ciqfunctions.udf.CIQ($A7,"IQ_DILUT_EPS_EXCL",G$4,$R$5,,,$B$2))</f>
        <v>#NAME?</v>
      </c>
      <c r="S7" s="19" t="e">
        <f ca="1">IF($A7="","",_xll.ciqfunctions.udf.CIQ($A7,"IQ_EPS_EST",H$4,$R$5,,,$B$2))</f>
        <v>#NAME?</v>
      </c>
      <c r="T7" s="19" t="e">
        <f ca="1">IF($A7="","",_xll.ciqfunctions.udf.CIQ($A7,"IQ_DILUT_EPS_EXCL",$G$4,$R$5,,,$B$2))</f>
        <v>#NAME?</v>
      </c>
      <c r="U7" s="19" t="e">
        <f ca="1">IF($A7="","",_xll.ciqfunctions.udf.CIQ($A7,"IQ_EPS_EST",H$4,$T$5,,,$B$2))</f>
        <v>#NAME?</v>
      </c>
      <c r="V7" s="19" t="e">
        <f ca="1">IF($A7="","",_xll.ciqfunctions.udf.CIQ($A7,"IQ_DILUT_EPS_EXCL",G$4,$V$5,,,$B$2))</f>
        <v>#NAME?</v>
      </c>
      <c r="W7" s="19" t="e">
        <f ca="1">IF($A7="","",_xll.ciqfunctions.udf.CIQ($A7,"IQ_EPS_EST",H$4,$V$5,,,$B$2))</f>
        <v>#NAME?</v>
      </c>
      <c r="X7" s="19" t="e">
        <f ca="1">IF($A7="","",_xll.ciqfunctions.udf.CIQ($A7,"IQ_DILUT_EPS_EXCL",G$4,$X$5,,,$B$2))</f>
        <v>#NAME?</v>
      </c>
      <c r="Y7" s="19" t="e">
        <f ca="1">IF($A7="","",_xll.ciqfunctions.udf.CIQ($A7,"IQ_EPS_EST",H$4,$X$5,,,$B$2))</f>
        <v>#NAME?</v>
      </c>
      <c r="Z7" s="3"/>
      <c r="AA7" s="3"/>
      <c r="AB7" s="4" t="e">
        <f ca="1">_xll.ciqfunctions.udf.CIQ("^SPX", "IQ_PRICEDATE", "12/31/2013")</f>
        <v>#NAME?</v>
      </c>
      <c r="AC7" s="16" t="e">
        <f ca="1">IF($AB7="","",_xll.ciqfunctions.udf.CIQ($B$1,"IQ_LASTSALEPRICE",$AB7))</f>
        <v>#NAME?</v>
      </c>
    </row>
    <row r="8" spans="1:29" x14ac:dyDescent="0.35">
      <c r="A8" s="2" t="s">
        <v>18</v>
      </c>
      <c r="B8" s="4" t="s">
        <v>524</v>
      </c>
      <c r="C8" s="4" t="s">
        <v>525</v>
      </c>
      <c r="D8" s="4" t="s">
        <v>526</v>
      </c>
      <c r="E8" s="4" t="s">
        <v>527</v>
      </c>
      <c r="F8" s="4" t="s">
        <v>527</v>
      </c>
      <c r="G8" s="14">
        <v>47.62</v>
      </c>
      <c r="H8" s="10">
        <v>12.431886</v>
      </c>
      <c r="I8" s="10">
        <v>25.099882000000001</v>
      </c>
      <c r="J8" s="10">
        <v>8.8809430000000003</v>
      </c>
      <c r="K8" s="15">
        <v>1.8479000000000002E-2</v>
      </c>
      <c r="L8" s="17">
        <v>8124.2858630000001</v>
      </c>
      <c r="M8" s="4" t="s">
        <v>528</v>
      </c>
      <c r="N8" s="19">
        <v>1.8972199999999999</v>
      </c>
      <c r="O8" s="19">
        <v>2.77</v>
      </c>
      <c r="P8" s="19">
        <v>1.699999</v>
      </c>
      <c r="Q8" s="19">
        <v>2.3384999999999998</v>
      </c>
      <c r="R8" s="19">
        <v>1.85</v>
      </c>
      <c r="S8" s="19">
        <v>2.0019999999999998</v>
      </c>
      <c r="T8" s="19">
        <v>1.85</v>
      </c>
      <c r="U8" s="19">
        <v>1.7150000000000001</v>
      </c>
      <c r="V8" s="19">
        <v>1.1399999999999999</v>
      </c>
      <c r="W8" s="19">
        <v>1.3201000000000001</v>
      </c>
      <c r="X8" s="19">
        <v>1.1399999999999999</v>
      </c>
      <c r="Y8" s="19">
        <v>1.3201000000000001</v>
      </c>
      <c r="Z8" s="4"/>
      <c r="AA8" s="4"/>
      <c r="AB8" s="4" t="e">
        <f ca="1">_xll.ciqfunctions.udf.CIQ("^SPX", "IQ_PRICEDATE", "1/2/2014")</f>
        <v>#NAME?</v>
      </c>
      <c r="AC8" s="16">
        <v>1831.9847069969001</v>
      </c>
    </row>
    <row r="9" spans="1:29" x14ac:dyDescent="0.35">
      <c r="A9" s="2" t="s">
        <v>19</v>
      </c>
      <c r="B9" s="4" t="s">
        <v>529</v>
      </c>
      <c r="C9" s="4" t="s">
        <v>530</v>
      </c>
      <c r="D9" s="4" t="s">
        <v>531</v>
      </c>
      <c r="E9" s="4" t="s">
        <v>532</v>
      </c>
      <c r="F9" s="4" t="s">
        <v>533</v>
      </c>
      <c r="G9" s="14">
        <v>70.23</v>
      </c>
      <c r="H9" s="10">
        <v>20.619713000000001</v>
      </c>
      <c r="I9" s="10">
        <v>151.43086299999999</v>
      </c>
      <c r="J9" s="10" t="s">
        <v>534</v>
      </c>
      <c r="K9" s="15">
        <v>1.5946999999999999E-2</v>
      </c>
      <c r="L9" s="17">
        <v>123205.84331500001</v>
      </c>
      <c r="M9" s="4" t="s">
        <v>535</v>
      </c>
      <c r="N9" s="19">
        <v>0.45742100000000002</v>
      </c>
      <c r="O9" s="19">
        <v>3.0392999999999999</v>
      </c>
      <c r="P9" s="19">
        <v>0.19770099999999999</v>
      </c>
      <c r="Q9" s="19">
        <v>2.7597</v>
      </c>
      <c r="R9" s="19">
        <v>0.71</v>
      </c>
      <c r="S9" s="19">
        <v>2.3942999999999999</v>
      </c>
      <c r="T9" s="19">
        <v>0.71</v>
      </c>
      <c r="U9" s="19">
        <v>2.2970000000000002</v>
      </c>
      <c r="V9" s="19">
        <v>1.1200000000000001</v>
      </c>
      <c r="W9" s="19">
        <v>2.2957000000000001</v>
      </c>
      <c r="X9" s="19">
        <v>1.1200000000000001</v>
      </c>
      <c r="Y9" s="19">
        <v>2.2957000000000001</v>
      </c>
      <c r="Z9" s="4"/>
      <c r="AA9" s="4"/>
      <c r="AB9" s="4" t="e">
        <f ca="1">_xll.ciqfunctions.udf.CIQ("^SPX", "IQ_PRICEDATE", "1/3/2014")</f>
        <v>#NAME?</v>
      </c>
      <c r="AC9" s="16">
        <v>1831.3665650882001</v>
      </c>
    </row>
    <row r="10" spans="1:29" x14ac:dyDescent="0.35">
      <c r="A10" s="2" t="s">
        <v>20</v>
      </c>
      <c r="B10" s="4" t="s">
        <v>536</v>
      </c>
      <c r="C10" s="4" t="s">
        <v>530</v>
      </c>
      <c r="D10" s="4" t="s">
        <v>537</v>
      </c>
      <c r="E10" s="4" t="s">
        <v>538</v>
      </c>
      <c r="F10" s="4" t="s">
        <v>538</v>
      </c>
      <c r="G10" s="14">
        <v>92.27</v>
      </c>
      <c r="H10" s="10">
        <v>13.411451</v>
      </c>
      <c r="I10" s="10">
        <v>22.903839999999999</v>
      </c>
      <c r="J10" s="10" t="s">
        <v>534</v>
      </c>
      <c r="K10" s="15">
        <v>4.1616E-2</v>
      </c>
      <c r="L10" s="17">
        <v>139721.94184399999</v>
      </c>
      <c r="M10" s="4" t="s">
        <v>539</v>
      </c>
      <c r="N10" s="19">
        <v>4.0285820000000001</v>
      </c>
      <c r="O10" s="19">
        <v>8.2057000000000002</v>
      </c>
      <c r="P10" s="19">
        <v>3.3</v>
      </c>
      <c r="Q10" s="19">
        <v>6.2378999999999998</v>
      </c>
      <c r="R10" s="19">
        <v>3.63</v>
      </c>
      <c r="S10" s="19">
        <v>5.2127999999999997</v>
      </c>
      <c r="T10" s="19">
        <v>3.63</v>
      </c>
      <c r="U10" s="19">
        <v>4.7849000000000004</v>
      </c>
      <c r="V10" s="19">
        <v>1.1000000000000001</v>
      </c>
      <c r="W10" s="19">
        <v>3.9489000000000001</v>
      </c>
      <c r="X10" s="19">
        <v>1.1000000000000001</v>
      </c>
      <c r="Y10" s="19">
        <v>3.9489000000000001</v>
      </c>
      <c r="Z10" s="4"/>
      <c r="AA10" s="4"/>
      <c r="AB10" s="4" t="e">
        <f ca="1">_xll.ciqfunctions.udf.CIQ("^SPX", "IQ_PRICEDATE", "1/6/2014")</f>
        <v>#NAME?</v>
      </c>
      <c r="AC10" s="16">
        <v>1826.7671905136999</v>
      </c>
    </row>
    <row r="11" spans="1:29" x14ac:dyDescent="0.35">
      <c r="A11" s="2" t="s">
        <v>21</v>
      </c>
      <c r="B11" s="4" t="s">
        <v>540</v>
      </c>
      <c r="C11" s="4" t="s">
        <v>530</v>
      </c>
      <c r="D11" s="4" t="s">
        <v>531</v>
      </c>
      <c r="E11" s="4" t="s">
        <v>532</v>
      </c>
      <c r="F11" s="4" t="s">
        <v>533</v>
      </c>
      <c r="G11" s="14">
        <v>389.79</v>
      </c>
      <c r="H11" s="10">
        <v>93.505396000000005</v>
      </c>
      <c r="I11" s="10">
        <v>108.669015</v>
      </c>
      <c r="J11" s="10">
        <v>25.372848999999999</v>
      </c>
      <c r="K11" s="15">
        <v>0</v>
      </c>
      <c r="L11" s="17">
        <v>17492.668195999999</v>
      </c>
      <c r="M11" s="4" t="s">
        <v>541</v>
      </c>
      <c r="N11" s="19">
        <v>3.5869469999999999</v>
      </c>
      <c r="O11" s="19">
        <v>3.7967</v>
      </c>
      <c r="P11" s="19">
        <v>1.9928250000000001</v>
      </c>
      <c r="Q11" s="19">
        <v>2.3254999999999999</v>
      </c>
      <c r="R11" s="19">
        <v>1.069429</v>
      </c>
      <c r="S11" s="19">
        <v>1.5048999999999999</v>
      </c>
      <c r="T11" s="19">
        <v>1.069429</v>
      </c>
      <c r="U11" s="19">
        <v>0.83340000000000003</v>
      </c>
      <c r="V11" s="19">
        <v>0.43869999999999998</v>
      </c>
      <c r="W11" s="19">
        <v>0.27</v>
      </c>
      <c r="X11" s="19">
        <v>0.43869999999999998</v>
      </c>
      <c r="Y11" s="19">
        <v>0.27</v>
      </c>
      <c r="Z11" s="4"/>
      <c r="AA11" s="4"/>
      <c r="AB11" s="4" t="e">
        <f ca="1">_xll.ciqfunctions.udf.CIQ("^SPX", "IQ_PRICEDATE", "1/7/2014")</f>
        <v>#NAME?</v>
      </c>
      <c r="AC11" s="16">
        <v>1837.8771502604</v>
      </c>
    </row>
    <row r="12" spans="1:29" x14ac:dyDescent="0.35">
      <c r="A12" s="2" t="s">
        <v>22</v>
      </c>
      <c r="B12" s="4" t="s">
        <v>542</v>
      </c>
      <c r="C12" s="4" t="s">
        <v>543</v>
      </c>
      <c r="D12" s="4" t="s">
        <v>544</v>
      </c>
      <c r="E12" s="4" t="s">
        <v>545</v>
      </c>
      <c r="F12" s="4" t="s">
        <v>546</v>
      </c>
      <c r="G12" s="14">
        <v>158.9</v>
      </c>
      <c r="H12" s="10">
        <v>14.352510000000001</v>
      </c>
      <c r="I12" s="10">
        <v>25.060727</v>
      </c>
      <c r="J12" s="10">
        <v>20.432095</v>
      </c>
      <c r="K12" s="15">
        <v>1.8376E-2</v>
      </c>
      <c r="L12" s="17">
        <v>101814.86975300001</v>
      </c>
      <c r="M12" s="4" t="s">
        <v>547</v>
      </c>
      <c r="N12" s="19">
        <v>6.340598</v>
      </c>
      <c r="O12" s="19">
        <v>7.2157799999999996</v>
      </c>
      <c r="P12" s="19">
        <v>5.6416959999999996</v>
      </c>
      <c r="Q12" s="19">
        <v>6.7298</v>
      </c>
      <c r="R12" s="19">
        <v>6.7577980000000002</v>
      </c>
      <c r="S12" s="19">
        <v>5.9042000000000003</v>
      </c>
      <c r="T12" s="19">
        <v>6.7577980000000002</v>
      </c>
      <c r="U12" s="19">
        <v>5.3948</v>
      </c>
      <c r="V12" s="19">
        <v>4.6630919999999998</v>
      </c>
      <c r="W12" s="19">
        <v>4.8414000000000001</v>
      </c>
      <c r="X12" s="19">
        <v>4.6630919999999998</v>
      </c>
      <c r="Y12" s="19">
        <v>4.8414000000000001</v>
      </c>
      <c r="Z12" s="4"/>
      <c r="AA12" s="4"/>
      <c r="AB12" s="4" t="e">
        <f ca="1">_xll.ciqfunctions.udf.CIQ("^SPX", "IQ_PRICEDATE", "1/8/2014")</f>
        <v>#NAME?</v>
      </c>
      <c r="AC12" s="16">
        <v>1837.4946026504999</v>
      </c>
    </row>
    <row r="13" spans="1:29" x14ac:dyDescent="0.35">
      <c r="A13" s="2" t="s">
        <v>23</v>
      </c>
      <c r="B13" s="4" t="s">
        <v>548</v>
      </c>
      <c r="C13" s="4" t="s">
        <v>549</v>
      </c>
      <c r="D13" s="4" t="s">
        <v>550</v>
      </c>
      <c r="E13" s="4" t="s">
        <v>551</v>
      </c>
      <c r="F13" s="4" t="s">
        <v>552</v>
      </c>
      <c r="G13" s="14">
        <v>78.3</v>
      </c>
      <c r="H13" s="10">
        <v>26.368684999999999</v>
      </c>
      <c r="I13" s="10">
        <v>119.25867700000001</v>
      </c>
      <c r="J13" s="10" t="s">
        <v>534</v>
      </c>
      <c r="K13" s="15">
        <v>4.3419999999999995E-3</v>
      </c>
      <c r="L13" s="17">
        <v>59696.592362000003</v>
      </c>
      <c r="M13" s="4" t="s">
        <v>553</v>
      </c>
      <c r="N13" s="19">
        <v>0.65655600000000003</v>
      </c>
      <c r="O13" s="19">
        <v>2.8862999999999999</v>
      </c>
      <c r="P13" s="19">
        <v>0.36</v>
      </c>
      <c r="Q13" s="19">
        <v>2.3892000000000002</v>
      </c>
      <c r="R13" s="19">
        <v>1.28</v>
      </c>
      <c r="S13" s="19">
        <v>1.9939</v>
      </c>
      <c r="T13" s="19">
        <v>1.28</v>
      </c>
      <c r="U13" s="19">
        <v>1.4822</v>
      </c>
      <c r="V13" s="19">
        <v>1.1299999999999999</v>
      </c>
      <c r="W13" s="19">
        <v>1.3381000000000001</v>
      </c>
      <c r="X13" s="19">
        <v>1.1299999999999999</v>
      </c>
      <c r="Y13" s="19">
        <v>1.3381000000000001</v>
      </c>
      <c r="Z13" s="4"/>
      <c r="AA13" s="4"/>
      <c r="AB13" s="4" t="e">
        <f ca="1">_xll.ciqfunctions.udf.CIQ("^SPX", "IQ_PRICEDATE", "1/9/2014")</f>
        <v>#NAME?</v>
      </c>
      <c r="AC13" s="16">
        <v>1838.1253009133</v>
      </c>
    </row>
    <row r="14" spans="1:29" x14ac:dyDescent="0.35">
      <c r="A14" s="2" t="s">
        <v>24</v>
      </c>
      <c r="B14" s="4" t="s">
        <v>554</v>
      </c>
      <c r="C14" s="4" t="s">
        <v>543</v>
      </c>
      <c r="D14" s="4" t="s">
        <v>544</v>
      </c>
      <c r="E14" s="4" t="s">
        <v>555</v>
      </c>
      <c r="F14" s="4" t="s">
        <v>556</v>
      </c>
      <c r="G14" s="14">
        <v>258.91000000000003</v>
      </c>
      <c r="H14" s="10">
        <v>39.908220999999998</v>
      </c>
      <c r="I14" s="10">
        <v>53.507344000000003</v>
      </c>
      <c r="J14" s="10">
        <v>119.940592</v>
      </c>
      <c r="K14" s="15">
        <v>0</v>
      </c>
      <c r="L14" s="17">
        <v>126382.651476</v>
      </c>
      <c r="M14" s="4" t="s">
        <v>557</v>
      </c>
      <c r="N14" s="19">
        <v>4.838775</v>
      </c>
      <c r="O14" s="19">
        <v>7.5877999999999997</v>
      </c>
      <c r="P14" s="19">
        <v>3.38</v>
      </c>
      <c r="Q14" s="19">
        <v>5.5664100000000003</v>
      </c>
      <c r="R14" s="19">
        <v>2.3199999999999998</v>
      </c>
      <c r="S14" s="19">
        <v>3.8252299999999999</v>
      </c>
      <c r="T14" s="19">
        <v>2.3199999999999998</v>
      </c>
      <c r="U14" s="19">
        <v>2.7635700000000001</v>
      </c>
      <c r="V14" s="19">
        <v>0.53</v>
      </c>
      <c r="W14" s="19">
        <v>2.1261000000000001</v>
      </c>
      <c r="X14" s="19">
        <v>0.53</v>
      </c>
      <c r="Y14" s="19">
        <v>2.1261000000000001</v>
      </c>
      <c r="Z14" s="4"/>
      <c r="AA14" s="4"/>
      <c r="AB14" s="4" t="e">
        <f ca="1">_xll.ciqfunctions.udf.CIQ("^SPX", "IQ_PRICEDATE", "1/10/2014")</f>
        <v>#NAME?</v>
      </c>
      <c r="AC14" s="16">
        <v>1842.3721870462</v>
      </c>
    </row>
    <row r="15" spans="1:29" x14ac:dyDescent="0.35">
      <c r="A15" s="2" t="s">
        <v>25</v>
      </c>
      <c r="B15" s="4" t="s">
        <v>558</v>
      </c>
      <c r="C15" s="4" t="s">
        <v>559</v>
      </c>
      <c r="D15" s="4" t="s">
        <v>560</v>
      </c>
      <c r="E15" s="4" t="s">
        <v>561</v>
      </c>
      <c r="F15" s="4" t="s">
        <v>562</v>
      </c>
      <c r="G15" s="14">
        <v>159.58000000000001</v>
      </c>
      <c r="H15" s="10">
        <v>12.834377999999999</v>
      </c>
      <c r="I15" s="10">
        <v>22.104013999999999</v>
      </c>
      <c r="J15" s="10">
        <v>5.6433559999999998</v>
      </c>
      <c r="K15" s="15">
        <v>1.503E-3</v>
      </c>
      <c r="L15" s="17">
        <v>11821.686400000001</v>
      </c>
      <c r="M15" s="4" t="s">
        <v>563</v>
      </c>
      <c r="N15" s="19">
        <v>7.2195029999999996</v>
      </c>
      <c r="O15" s="19">
        <v>7.5393999999999997</v>
      </c>
      <c r="P15" s="19">
        <v>6.42</v>
      </c>
      <c r="Q15" s="19">
        <v>5.6608000000000001</v>
      </c>
      <c r="R15" s="19">
        <v>6.2</v>
      </c>
      <c r="S15" s="19">
        <v>7.5974000000000004</v>
      </c>
      <c r="T15" s="19">
        <v>6.2</v>
      </c>
      <c r="U15" s="19">
        <v>8.8721999999999994</v>
      </c>
      <c r="V15" s="19">
        <v>6.229724</v>
      </c>
      <c r="W15" s="19">
        <v>8.5260999999999996</v>
      </c>
      <c r="X15" s="19">
        <v>6.229724</v>
      </c>
      <c r="Y15" s="19">
        <v>8.5260999999999996</v>
      </c>
      <c r="Z15" s="4"/>
      <c r="AA15" s="4"/>
      <c r="AB15" s="4" t="e">
        <f ca="1">_xll.ciqfunctions.udf.CIQ("^SPX", "IQ_PRICEDATE", "1/13/2014")</f>
        <v>#NAME?</v>
      </c>
      <c r="AC15" s="16">
        <v>1819.2026637956001</v>
      </c>
    </row>
    <row r="16" spans="1:29" x14ac:dyDescent="0.35">
      <c r="A16" s="2" t="s">
        <v>26</v>
      </c>
      <c r="B16" s="4" t="s">
        <v>564</v>
      </c>
      <c r="C16" s="4" t="s">
        <v>543</v>
      </c>
      <c r="D16" s="4" t="s">
        <v>565</v>
      </c>
      <c r="E16" s="4" t="s">
        <v>565</v>
      </c>
      <c r="F16" s="4" t="s">
        <v>566</v>
      </c>
      <c r="G16" s="14">
        <v>27.3</v>
      </c>
      <c r="H16" s="10">
        <v>43.307718999999999</v>
      </c>
      <c r="I16" s="10">
        <v>94.396381000000005</v>
      </c>
      <c r="J16" s="10">
        <v>89.320476999999997</v>
      </c>
      <c r="K16" s="15">
        <v>0</v>
      </c>
      <c r="L16" s="17">
        <v>26614.016766000001</v>
      </c>
      <c r="M16" s="4" t="s">
        <v>567</v>
      </c>
      <c r="N16" s="19">
        <v>0.28920600000000002</v>
      </c>
      <c r="O16" s="19">
        <v>0.51690000000000003</v>
      </c>
      <c r="P16" s="19">
        <v>0.04</v>
      </c>
      <c r="Q16" s="19">
        <v>0.28760000000000002</v>
      </c>
      <c r="R16" s="19">
        <v>-0.6</v>
      </c>
      <c r="S16" s="19">
        <v>6.4000000000000003E-3</v>
      </c>
      <c r="T16" s="19">
        <v>-0.6</v>
      </c>
      <c r="U16" s="19">
        <v>-0.36670000000000003</v>
      </c>
      <c r="V16" s="19">
        <v>-0.53</v>
      </c>
      <c r="W16" s="19">
        <v>6.59E-2</v>
      </c>
      <c r="X16" s="19">
        <v>-0.53</v>
      </c>
      <c r="Y16" s="19">
        <v>6.59E-2</v>
      </c>
      <c r="Z16" s="4"/>
      <c r="AA16" s="4"/>
      <c r="AB16" s="4" t="e">
        <f ca="1">_xll.ciqfunctions.udf.CIQ("^SPX", "IQ_PRICEDATE", "1/14/2014")</f>
        <v>#NAME?</v>
      </c>
      <c r="AC16" s="16">
        <v>1838.8825956266001</v>
      </c>
    </row>
    <row r="17" spans="1:29" x14ac:dyDescent="0.35">
      <c r="A17" s="2" t="s">
        <v>27</v>
      </c>
      <c r="B17" s="4" t="s">
        <v>568</v>
      </c>
      <c r="C17" s="4" t="s">
        <v>530</v>
      </c>
      <c r="D17" s="4" t="s">
        <v>531</v>
      </c>
      <c r="E17" s="4" t="s">
        <v>569</v>
      </c>
      <c r="F17" s="4" t="s">
        <v>570</v>
      </c>
      <c r="G17" s="14">
        <v>201.29</v>
      </c>
      <c r="H17" s="10">
        <v>10.971513</v>
      </c>
      <c r="I17" s="10">
        <v>18.976153</v>
      </c>
      <c r="J17" s="10">
        <v>11.517362</v>
      </c>
      <c r="K17" s="15">
        <v>9.9350000000000011E-3</v>
      </c>
      <c r="L17" s="17">
        <v>65902.346000000005</v>
      </c>
      <c r="M17" s="4" t="s">
        <v>571</v>
      </c>
      <c r="N17" s="19">
        <v>10.607524</v>
      </c>
      <c r="O17" s="19">
        <v>11.4535</v>
      </c>
      <c r="P17" s="19">
        <v>5.68</v>
      </c>
      <c r="Q17" s="19">
        <v>9.3135999999999992</v>
      </c>
      <c r="R17" s="19">
        <v>6.41</v>
      </c>
      <c r="S17" s="19">
        <v>8.4269999999999996</v>
      </c>
      <c r="T17" s="19">
        <v>6.41</v>
      </c>
      <c r="U17" s="19">
        <v>7.7839999999999998</v>
      </c>
      <c r="V17" s="19">
        <v>5.68</v>
      </c>
      <c r="W17" s="19">
        <v>6.8905000000000003</v>
      </c>
      <c r="X17" s="19">
        <v>5.68</v>
      </c>
      <c r="Y17" s="19">
        <v>6.8905000000000003</v>
      </c>
      <c r="Z17" s="4"/>
      <c r="AA17" s="4"/>
      <c r="AB17" s="4" t="e">
        <f ca="1">_xll.ciqfunctions.udf.CIQ("^SPX", "IQ_PRICEDATE", "1/15/2014")</f>
        <v>#NAME?</v>
      </c>
      <c r="AC17" s="16">
        <v>1848.3784960119001</v>
      </c>
    </row>
    <row r="18" spans="1:29" x14ac:dyDescent="0.35">
      <c r="A18" s="2" t="s">
        <v>28</v>
      </c>
      <c r="B18" s="4" t="s">
        <v>572</v>
      </c>
      <c r="C18" s="4" t="s">
        <v>573</v>
      </c>
      <c r="D18" s="4" t="s">
        <v>574</v>
      </c>
      <c r="E18" s="4" t="s">
        <v>575</v>
      </c>
      <c r="F18" s="4" t="s">
        <v>576</v>
      </c>
      <c r="G18" s="14">
        <v>127.3</v>
      </c>
      <c r="H18" s="10">
        <v>8.0659589999999994</v>
      </c>
      <c r="I18" s="10">
        <v>10.055982999999999</v>
      </c>
      <c r="J18" s="10" t="s">
        <v>534</v>
      </c>
      <c r="K18" s="15">
        <v>9.4260000000000004E-3</v>
      </c>
      <c r="L18" s="17">
        <v>6801.8869800000002</v>
      </c>
      <c r="M18" s="4" t="s">
        <v>577</v>
      </c>
      <c r="N18" s="19">
        <v>12.659129999999999</v>
      </c>
      <c r="O18" s="19">
        <v>15.7136</v>
      </c>
      <c r="P18" s="19">
        <v>12.030716</v>
      </c>
      <c r="Q18" s="19">
        <v>15.8079</v>
      </c>
      <c r="R18" s="19">
        <v>8.5666659999999997</v>
      </c>
      <c r="S18" s="19">
        <v>13.959</v>
      </c>
      <c r="T18" s="19">
        <v>8.5666659999999997</v>
      </c>
      <c r="U18" s="19">
        <v>13.321099999999999</v>
      </c>
      <c r="V18" s="19">
        <v>7.6900680000000001</v>
      </c>
      <c r="W18" s="19">
        <v>12.5372</v>
      </c>
      <c r="X18" s="19">
        <v>7.6900680000000001</v>
      </c>
      <c r="Y18" s="19">
        <v>12.5372</v>
      </c>
      <c r="Z18" s="4"/>
      <c r="AA18" s="4"/>
      <c r="AB18" s="4" t="e">
        <f ca="1">_xll.ciqfunctions.udf.CIQ("^SPX", "IQ_PRICEDATE", "1/16/2014")</f>
        <v>#NAME?</v>
      </c>
      <c r="AC18" s="16">
        <v>1845.8910317350999</v>
      </c>
    </row>
    <row r="19" spans="1:29" x14ac:dyDescent="0.35">
      <c r="A19" s="2" t="s">
        <v>29</v>
      </c>
      <c r="B19" s="4" t="s">
        <v>578</v>
      </c>
      <c r="C19" s="4" t="s">
        <v>573</v>
      </c>
      <c r="D19" s="4" t="s">
        <v>579</v>
      </c>
      <c r="E19" s="4" t="s">
        <v>579</v>
      </c>
      <c r="F19" s="4" t="s">
        <v>580</v>
      </c>
      <c r="G19" s="14">
        <v>44.72</v>
      </c>
      <c r="H19" s="10">
        <v>8.5708760000000002</v>
      </c>
      <c r="I19" s="10">
        <v>7.2554119999999998</v>
      </c>
      <c r="J19" s="10">
        <v>1.4454549999999999</v>
      </c>
      <c r="K19" s="15">
        <v>2.3254999999999998E-2</v>
      </c>
      <c r="L19" s="17">
        <v>34336.027538000002</v>
      </c>
      <c r="M19" s="4" t="s">
        <v>581</v>
      </c>
      <c r="N19" s="19">
        <v>6.1636740000000003</v>
      </c>
      <c r="O19" s="19">
        <v>4.0414000000000003</v>
      </c>
      <c r="P19" s="19">
        <v>5.77</v>
      </c>
      <c r="Q19" s="19">
        <v>3.3582000000000001</v>
      </c>
      <c r="R19" s="19">
        <v>3.21</v>
      </c>
      <c r="S19" s="19">
        <v>3.2810999999999999</v>
      </c>
      <c r="T19" s="19">
        <v>3.21</v>
      </c>
      <c r="U19" s="19">
        <v>3.1200999999999999</v>
      </c>
      <c r="V19" s="19">
        <v>3.25</v>
      </c>
      <c r="W19" s="19">
        <v>3.0108000000000001</v>
      </c>
      <c r="X19" s="19">
        <v>3.25</v>
      </c>
      <c r="Y19" s="19">
        <v>3.0108000000000001</v>
      </c>
      <c r="Z19" s="4"/>
      <c r="AA19" s="4"/>
      <c r="AB19" s="4" t="e">
        <f ca="1">_xll.ciqfunctions.udf.CIQ("^SPX", "IQ_PRICEDATE", "1/17/2014")</f>
        <v>#NAME?</v>
      </c>
      <c r="AC19" s="16">
        <v>1838.6994866672001</v>
      </c>
    </row>
    <row r="20" spans="1:29" x14ac:dyDescent="0.35">
      <c r="A20" s="2" t="s">
        <v>30</v>
      </c>
      <c r="B20" s="4" t="s">
        <v>582</v>
      </c>
      <c r="C20" s="4" t="s">
        <v>530</v>
      </c>
      <c r="D20" s="4" t="s">
        <v>537</v>
      </c>
      <c r="E20" s="4" t="s">
        <v>583</v>
      </c>
      <c r="F20" s="4" t="s">
        <v>583</v>
      </c>
      <c r="G20" s="14">
        <v>67.2</v>
      </c>
      <c r="H20" s="10">
        <v>18.043894999999999</v>
      </c>
      <c r="I20" s="10">
        <v>73.628907999999996</v>
      </c>
      <c r="J20" s="10">
        <v>19.208604999999999</v>
      </c>
      <c r="K20" s="15">
        <v>8.8690000000000001E-3</v>
      </c>
      <c r="L20" s="17">
        <v>21421.313558000002</v>
      </c>
      <c r="M20" s="4" t="s">
        <v>584</v>
      </c>
      <c r="N20" s="19">
        <v>0.91268499999999997</v>
      </c>
      <c r="O20" s="19">
        <v>2.9154</v>
      </c>
      <c r="P20" s="19">
        <v>2.1</v>
      </c>
      <c r="Q20" s="19">
        <v>2.5831</v>
      </c>
      <c r="R20" s="19">
        <v>1.4</v>
      </c>
      <c r="S20" s="19">
        <v>2.1518000000000002</v>
      </c>
      <c r="T20" s="19">
        <v>1.4</v>
      </c>
      <c r="U20" s="19">
        <v>1.8944000000000001</v>
      </c>
      <c r="V20" s="19">
        <v>0.69</v>
      </c>
      <c r="W20" s="19">
        <v>1.73434</v>
      </c>
      <c r="X20" s="19">
        <v>0.69</v>
      </c>
      <c r="Y20" s="19">
        <v>1.73434</v>
      </c>
      <c r="Z20" s="4"/>
      <c r="AA20" s="4"/>
      <c r="AB20" s="4" t="e">
        <f ca="1">_xll.ciqfunctions.udf.CIQ("^SPX", "IQ_PRICEDATE", "1/21/2014")</f>
        <v>#NAME?</v>
      </c>
      <c r="AC20" s="16">
        <v>1843.8044457285</v>
      </c>
    </row>
    <row r="21" spans="1:29" x14ac:dyDescent="0.35">
      <c r="A21" s="2" t="s">
        <v>31</v>
      </c>
      <c r="B21" s="4" t="s">
        <v>585</v>
      </c>
      <c r="C21" s="4" t="s">
        <v>586</v>
      </c>
      <c r="D21" s="4" t="s">
        <v>586</v>
      </c>
      <c r="E21" s="4" t="s">
        <v>587</v>
      </c>
      <c r="F21" s="4" t="s">
        <v>588</v>
      </c>
      <c r="G21" s="14">
        <v>159.47999999999999</v>
      </c>
      <c r="H21" s="10">
        <v>12.168284</v>
      </c>
      <c r="I21" s="10">
        <v>23.810020999999999</v>
      </c>
      <c r="J21" s="10">
        <v>3.783398</v>
      </c>
      <c r="K21" s="15">
        <v>2.7589000000000002E-2</v>
      </c>
      <c r="L21" s="17">
        <v>34969.577662000003</v>
      </c>
      <c r="M21" s="4" t="s">
        <v>589</v>
      </c>
      <c r="N21" s="19">
        <v>6.6980199999999996</v>
      </c>
      <c r="O21" s="19">
        <v>7.9725000000000001</v>
      </c>
      <c r="P21" s="19">
        <v>4.708685</v>
      </c>
      <c r="Q21" s="19">
        <v>7.02379</v>
      </c>
      <c r="R21" s="19">
        <v>4.8997820000000001</v>
      </c>
      <c r="S21" s="19">
        <v>6.4468800000000002</v>
      </c>
      <c r="T21" s="19">
        <v>4.8997820000000001</v>
      </c>
      <c r="U21" s="19">
        <v>7.3868499999999999</v>
      </c>
      <c r="V21" s="19">
        <v>4.7526630000000001</v>
      </c>
      <c r="W21" s="19">
        <v>6.47464</v>
      </c>
      <c r="X21" s="19">
        <v>4.7526630000000001</v>
      </c>
      <c r="Y21" s="19">
        <v>6.47464</v>
      </c>
      <c r="Z21" s="4"/>
      <c r="AA21" s="4"/>
      <c r="AB21" s="4" t="e">
        <f ca="1">_xll.ciqfunctions.udf.CIQ("^SPX", "IQ_PRICEDATE", "1/22/2014")</f>
        <v>#NAME?</v>
      </c>
      <c r="AC21" s="16">
        <v>1844.8559052889</v>
      </c>
    </row>
    <row r="22" spans="1:29" x14ac:dyDescent="0.35">
      <c r="A22" s="2" t="s">
        <v>32</v>
      </c>
      <c r="B22" s="4" t="s">
        <v>590</v>
      </c>
      <c r="C22" s="4" t="s">
        <v>543</v>
      </c>
      <c r="D22" s="4" t="s">
        <v>544</v>
      </c>
      <c r="E22" s="4" t="s">
        <v>545</v>
      </c>
      <c r="F22" s="4" t="s">
        <v>591</v>
      </c>
      <c r="G22" s="14">
        <v>65.69</v>
      </c>
      <c r="H22" s="10">
        <v>16.105796000000002</v>
      </c>
      <c r="I22" s="10">
        <v>61.511983000000001</v>
      </c>
      <c r="J22" s="10">
        <v>6.2977559999999997</v>
      </c>
      <c r="K22" s="15">
        <v>0</v>
      </c>
      <c r="L22" s="17">
        <v>11134.759013000001</v>
      </c>
      <c r="M22" s="4" t="s">
        <v>592</v>
      </c>
      <c r="N22" s="19">
        <v>1.067922</v>
      </c>
      <c r="O22" s="19">
        <v>3.5804</v>
      </c>
      <c r="P22" s="19">
        <v>1.26</v>
      </c>
      <c r="Q22" s="19">
        <v>2.5524</v>
      </c>
      <c r="R22" s="19">
        <v>1.79</v>
      </c>
      <c r="S22" s="19">
        <v>2.7942999999999998</v>
      </c>
      <c r="T22" s="19">
        <v>1.79</v>
      </c>
      <c r="U22" s="19">
        <v>2.5880999999999998</v>
      </c>
      <c r="V22" s="19">
        <v>1.84</v>
      </c>
      <c r="W22" s="19">
        <v>2.6307</v>
      </c>
      <c r="X22" s="19">
        <v>1.84</v>
      </c>
      <c r="Y22" s="19">
        <v>2.6307</v>
      </c>
      <c r="Z22" s="4"/>
      <c r="AA22" s="4"/>
      <c r="AB22" s="4" t="e">
        <f ca="1">_xll.ciqfunctions.udf.CIQ("^SPX", "IQ_PRICEDATE", "1/23/2014")</f>
        <v>#NAME?</v>
      </c>
      <c r="AC22" s="16">
        <v>1828.4642100517999</v>
      </c>
    </row>
    <row r="23" spans="1:29" x14ac:dyDescent="0.35">
      <c r="A23" s="2" t="s">
        <v>33</v>
      </c>
      <c r="B23" s="4" t="s">
        <v>593</v>
      </c>
      <c r="C23" s="4" t="s">
        <v>525</v>
      </c>
      <c r="D23" s="4" t="s">
        <v>594</v>
      </c>
      <c r="E23" s="4" t="s">
        <v>595</v>
      </c>
      <c r="F23" s="4" t="s">
        <v>595</v>
      </c>
      <c r="G23" s="14">
        <v>64.489999999999995</v>
      </c>
      <c r="H23" s="10">
        <v>6.3517780000000004</v>
      </c>
      <c r="I23" s="10">
        <v>9.4285270000000008</v>
      </c>
      <c r="J23" s="10">
        <v>5.2272410000000002</v>
      </c>
      <c r="K23" s="15">
        <v>1.9847999999999998E-2</v>
      </c>
      <c r="L23" s="17">
        <v>7957.9370200000003</v>
      </c>
      <c r="M23" s="4" t="s">
        <v>596</v>
      </c>
      <c r="N23" s="19">
        <v>6.83988</v>
      </c>
      <c r="O23" s="19">
        <v>4.9287000000000001</v>
      </c>
      <c r="P23" s="19">
        <v>8.35</v>
      </c>
      <c r="Q23" s="19">
        <v>5.9124999999999996</v>
      </c>
      <c r="R23" s="19">
        <v>6.54</v>
      </c>
      <c r="S23" s="19">
        <v>7.1219999999999999</v>
      </c>
      <c r="T23" s="19">
        <v>6.54</v>
      </c>
      <c r="U23" s="19">
        <v>7.1466000000000003</v>
      </c>
      <c r="V23" s="19">
        <v>4.42</v>
      </c>
      <c r="W23" s="19">
        <v>5.0696000000000003</v>
      </c>
      <c r="X23" s="19">
        <v>4.42</v>
      </c>
      <c r="Y23" s="19">
        <v>5.0696000000000003</v>
      </c>
      <c r="Z23" s="4"/>
      <c r="AA23" s="4"/>
      <c r="AB23" s="4" t="e">
        <f ca="1">_xll.ciqfunctions.udf.CIQ("^SPX", "IQ_PRICEDATE", "1/24/2014")</f>
        <v>#NAME?</v>
      </c>
      <c r="AC23" s="16">
        <v>1790.2854774268999</v>
      </c>
    </row>
    <row r="24" spans="1:29" x14ac:dyDescent="0.35">
      <c r="A24" s="2" t="s">
        <v>34</v>
      </c>
      <c r="B24" s="4" t="s">
        <v>597</v>
      </c>
      <c r="C24" s="4" t="s">
        <v>586</v>
      </c>
      <c r="D24" s="4" t="s">
        <v>586</v>
      </c>
      <c r="E24" s="4" t="s">
        <v>587</v>
      </c>
      <c r="F24" s="4" t="s">
        <v>598</v>
      </c>
      <c r="G24" s="14">
        <v>96.32</v>
      </c>
      <c r="H24" s="10">
        <v>11.009551</v>
      </c>
      <c r="I24" s="10">
        <v>32.144286000000001</v>
      </c>
      <c r="J24" s="10">
        <v>6.1348890000000003</v>
      </c>
      <c r="K24" s="15">
        <v>1.3911E-2</v>
      </c>
      <c r="L24" s="17">
        <v>10445.881171999999</v>
      </c>
      <c r="M24" s="4" t="s">
        <v>599</v>
      </c>
      <c r="N24" s="19">
        <v>2.996489</v>
      </c>
      <c r="O24" s="19">
        <v>5.8300999999999998</v>
      </c>
      <c r="P24" s="19">
        <v>0.49</v>
      </c>
      <c r="Q24" s="19">
        <v>4.9772999999999996</v>
      </c>
      <c r="R24" s="19">
        <v>3.9</v>
      </c>
      <c r="S24" s="19">
        <v>3.6690999999999998</v>
      </c>
      <c r="T24" s="19">
        <v>3.9</v>
      </c>
      <c r="U24" s="19">
        <v>3.7957000000000001</v>
      </c>
      <c r="V24" s="19">
        <v>2.57</v>
      </c>
      <c r="W24" s="19">
        <v>4.4009</v>
      </c>
      <c r="X24" s="19">
        <v>2.57</v>
      </c>
      <c r="Y24" s="19">
        <v>4.4009</v>
      </c>
      <c r="Z24" s="4"/>
      <c r="AA24" s="4"/>
      <c r="AB24" s="4" t="e">
        <f ca="1">_xll.ciqfunctions.udf.CIQ("^SPX", "IQ_PRICEDATE", "1/27/2014")</f>
        <v>#NAME?</v>
      </c>
      <c r="AC24" s="16">
        <v>1781.5598990844001</v>
      </c>
    </row>
    <row r="25" spans="1:29" x14ac:dyDescent="0.35">
      <c r="A25" s="2" t="s">
        <v>35</v>
      </c>
      <c r="B25" s="4" t="s">
        <v>600</v>
      </c>
      <c r="C25" s="4" t="s">
        <v>601</v>
      </c>
      <c r="D25" s="4" t="s">
        <v>601</v>
      </c>
      <c r="E25" s="4" t="s">
        <v>602</v>
      </c>
      <c r="F25" s="4" t="s">
        <v>603</v>
      </c>
      <c r="G25" s="14">
        <v>122.57</v>
      </c>
      <c r="H25" s="10">
        <v>24.392128</v>
      </c>
      <c r="I25" s="10">
        <v>43.903275000000001</v>
      </c>
      <c r="J25" s="10">
        <v>2.0320589999999998</v>
      </c>
      <c r="K25" s="15">
        <v>3.0350000000000002E-2</v>
      </c>
      <c r="L25" s="17">
        <v>12962.680963000001</v>
      </c>
      <c r="M25" s="4" t="s">
        <v>604</v>
      </c>
      <c r="N25" s="19">
        <v>2.7918189999999998</v>
      </c>
      <c r="O25" s="19">
        <v>2.3774999999999999</v>
      </c>
      <c r="P25" s="19">
        <v>1.5799989999999999</v>
      </c>
      <c r="Q25" s="19">
        <v>1.9208000000000001</v>
      </c>
      <c r="R25" s="19">
        <v>-1.99</v>
      </c>
      <c r="S25" s="19">
        <v>1.8141</v>
      </c>
      <c r="T25" s="19">
        <v>-1.99</v>
      </c>
      <c r="U25" s="19">
        <v>1.9378</v>
      </c>
      <c r="V25" s="19">
        <v>0.98999899999999996</v>
      </c>
      <c r="W25" s="19">
        <v>1.6573</v>
      </c>
      <c r="X25" s="19">
        <v>0.98999899999999996</v>
      </c>
      <c r="Y25" s="19">
        <v>1.6573</v>
      </c>
      <c r="Z25" s="4"/>
      <c r="AA25" s="4"/>
      <c r="AB25" s="4" t="e">
        <f ca="1">_xll.ciqfunctions.udf.CIQ("^SPX", "IQ_PRICEDATE", "1/28/2014")</f>
        <v>#NAME?</v>
      </c>
      <c r="AC25" s="16">
        <v>1792.4964343403001</v>
      </c>
    </row>
    <row r="26" spans="1:29" x14ac:dyDescent="0.35">
      <c r="A26" s="2" t="s">
        <v>36</v>
      </c>
      <c r="B26" s="4" t="s">
        <v>605</v>
      </c>
      <c r="C26" s="4" t="s">
        <v>530</v>
      </c>
      <c r="D26" s="4" t="s">
        <v>537</v>
      </c>
      <c r="E26" s="4" t="s">
        <v>538</v>
      </c>
      <c r="F26" s="4" t="s">
        <v>538</v>
      </c>
      <c r="G26" s="14">
        <v>128.94</v>
      </c>
      <c r="H26" s="10">
        <v>18.010165000000001</v>
      </c>
      <c r="I26" s="10" t="s">
        <v>534</v>
      </c>
      <c r="J26" s="10" t="s">
        <v>534</v>
      </c>
      <c r="K26" s="15">
        <v>0</v>
      </c>
      <c r="L26" s="17">
        <v>28735.458543000001</v>
      </c>
      <c r="M26" s="4" t="s">
        <v>606</v>
      </c>
      <c r="N26" s="19">
        <v>-0.454295</v>
      </c>
      <c r="O26" s="19">
        <v>7.6116999999999999</v>
      </c>
      <c r="P26" s="19">
        <v>1.97</v>
      </c>
      <c r="Q26" s="19">
        <v>6.35</v>
      </c>
      <c r="R26" s="19">
        <v>1.76</v>
      </c>
      <c r="S26" s="19">
        <v>5.4255000000000004</v>
      </c>
      <c r="T26" s="19">
        <v>1.76</v>
      </c>
      <c r="U26" s="19">
        <v>4.9871999999999996</v>
      </c>
      <c r="V26" s="19">
        <v>3.26</v>
      </c>
      <c r="W26" s="19">
        <v>5.4734999999999996</v>
      </c>
      <c r="X26" s="19">
        <v>3.26</v>
      </c>
      <c r="Y26" s="19">
        <v>5.4734999999999996</v>
      </c>
      <c r="Z26" s="4"/>
      <c r="AA26" s="4"/>
      <c r="AB26" s="4" t="e">
        <f ca="1">_xll.ciqfunctions.udf.CIQ("^SPX", "IQ_PRICEDATE", "1/29/2014")</f>
        <v>#NAME?</v>
      </c>
      <c r="AC26" s="16">
        <v>1774.202749994</v>
      </c>
    </row>
    <row r="27" spans="1:29" x14ac:dyDescent="0.35">
      <c r="A27" s="2" t="s">
        <v>37</v>
      </c>
      <c r="B27" s="4" t="s">
        <v>607</v>
      </c>
      <c r="C27" s="4" t="s">
        <v>530</v>
      </c>
      <c r="D27" s="4" t="s">
        <v>531</v>
      </c>
      <c r="E27" s="4" t="s">
        <v>532</v>
      </c>
      <c r="F27" s="4" t="s">
        <v>608</v>
      </c>
      <c r="G27" s="14">
        <v>332.83</v>
      </c>
      <c r="H27" s="10">
        <v>55.485967000000002</v>
      </c>
      <c r="I27" s="10">
        <v>92.256270999999998</v>
      </c>
      <c r="J27" s="10">
        <v>23.579172</v>
      </c>
      <c r="K27" s="15">
        <v>0</v>
      </c>
      <c r="L27" s="17">
        <v>26732.932892000001</v>
      </c>
      <c r="M27" s="4" t="s">
        <v>609</v>
      </c>
      <c r="N27" s="19">
        <v>3.6076679999999999</v>
      </c>
      <c r="O27" s="19">
        <v>5.3796999999999997</v>
      </c>
      <c r="P27" s="19">
        <v>2.83</v>
      </c>
      <c r="Q27" s="19">
        <v>4.1074000000000002</v>
      </c>
      <c r="R27" s="19">
        <v>2.33</v>
      </c>
      <c r="S27" s="19">
        <v>2.8119999999999998</v>
      </c>
      <c r="T27" s="19">
        <v>2.33</v>
      </c>
      <c r="U27" s="19">
        <v>2.1110000000000002</v>
      </c>
      <c r="V27" s="19">
        <v>1.77</v>
      </c>
      <c r="W27" s="19">
        <v>2.0026000000000002</v>
      </c>
      <c r="X27" s="19">
        <v>1.77</v>
      </c>
      <c r="Y27" s="19">
        <v>2.0026000000000002</v>
      </c>
      <c r="Z27" s="4"/>
      <c r="AA27" s="4"/>
      <c r="AB27" s="4" t="e">
        <f ca="1">_xll.ciqfunctions.udf.CIQ("^SPX", "IQ_PRICEDATE", "1/30/2014")</f>
        <v>#NAME?</v>
      </c>
      <c r="AC27" s="16">
        <v>1794.1901899019001</v>
      </c>
    </row>
    <row r="28" spans="1:29" x14ac:dyDescent="0.35">
      <c r="A28" s="2" t="s">
        <v>38</v>
      </c>
      <c r="B28" s="4" t="s">
        <v>610</v>
      </c>
      <c r="C28" s="4" t="s">
        <v>525</v>
      </c>
      <c r="D28" s="4" t="s">
        <v>526</v>
      </c>
      <c r="E28" s="4" t="s">
        <v>527</v>
      </c>
      <c r="F28" s="4" t="s">
        <v>527</v>
      </c>
      <c r="G28" s="14">
        <v>84.17</v>
      </c>
      <c r="H28" s="10">
        <v>15.928915</v>
      </c>
      <c r="I28" s="10">
        <v>28.258327000000001</v>
      </c>
      <c r="J28" s="10" t="s">
        <v>534</v>
      </c>
      <c r="K28" s="15">
        <v>9.979E-3</v>
      </c>
      <c r="L28" s="17">
        <v>7996.4288550000001</v>
      </c>
      <c r="M28" s="4" t="s">
        <v>611</v>
      </c>
      <c r="N28" s="19">
        <v>2.9785910000000002</v>
      </c>
      <c r="O28" s="19">
        <v>4.6982999999999997</v>
      </c>
      <c r="P28" s="19">
        <v>2.85</v>
      </c>
      <c r="Q28" s="19">
        <v>4.0679999999999996</v>
      </c>
      <c r="R28" s="19">
        <v>2.36</v>
      </c>
      <c r="S28" s="19">
        <v>3.6274999999999999</v>
      </c>
      <c r="T28" s="19">
        <v>2.36</v>
      </c>
      <c r="U28" s="19">
        <v>3.2574000000000001</v>
      </c>
      <c r="V28" s="19">
        <v>1.92</v>
      </c>
      <c r="W28" s="19">
        <v>2.8837000000000002</v>
      </c>
      <c r="X28" s="19">
        <v>1.92</v>
      </c>
      <c r="Y28" s="19">
        <v>2.8837000000000002</v>
      </c>
      <c r="Z28" s="4"/>
      <c r="AA28" s="4"/>
      <c r="AB28" s="4" t="e">
        <f ca="1">_xll.ciqfunctions.udf.CIQ("^SPX", "IQ_PRICEDATE", "1/31/2014")</f>
        <v>#NAME?</v>
      </c>
      <c r="AC28" s="16">
        <v>1782.5869667694001</v>
      </c>
    </row>
    <row r="29" spans="1:29" x14ac:dyDescent="0.35">
      <c r="A29" s="2" t="s">
        <v>39</v>
      </c>
      <c r="B29" s="4" t="s">
        <v>612</v>
      </c>
      <c r="C29" s="4" t="s">
        <v>530</v>
      </c>
      <c r="D29" s="4" t="s">
        <v>537</v>
      </c>
      <c r="E29" s="4" t="s">
        <v>613</v>
      </c>
      <c r="F29" s="4" t="s">
        <v>613</v>
      </c>
      <c r="G29" s="14">
        <v>191</v>
      </c>
      <c r="H29" s="10">
        <v>11.933862</v>
      </c>
      <c r="I29" s="10" t="s">
        <v>534</v>
      </c>
      <c r="J29" s="10" t="s">
        <v>534</v>
      </c>
      <c r="K29" s="15">
        <v>1.5078000000000001E-2</v>
      </c>
      <c r="L29" s="17">
        <v>64833.884601999998</v>
      </c>
      <c r="M29" s="4" t="s">
        <v>614</v>
      </c>
      <c r="N29" s="19">
        <v>-4.1488509999999996</v>
      </c>
      <c r="O29" s="19">
        <v>16.184799999999999</v>
      </c>
      <c r="P29" s="19">
        <v>-11.99</v>
      </c>
      <c r="Q29" s="19">
        <v>16.450600000000001</v>
      </c>
      <c r="R29" s="19">
        <v>-3.17</v>
      </c>
      <c r="S29" s="19">
        <v>15.389900000000001</v>
      </c>
      <c r="T29" s="19">
        <v>-3.17</v>
      </c>
      <c r="U29" s="19">
        <v>15.541399999999999</v>
      </c>
      <c r="V29" s="19">
        <v>-11.31</v>
      </c>
      <c r="W29" s="19">
        <v>15.8141</v>
      </c>
      <c r="X29" s="19">
        <v>-11.31</v>
      </c>
      <c r="Y29" s="19">
        <v>15.8141</v>
      </c>
      <c r="Z29" s="4"/>
      <c r="AA29" s="4"/>
      <c r="AB29" s="4" t="e">
        <f ca="1">_xll.ciqfunctions.udf.CIQ("^SPX", "IQ_PRICEDATE", "2/3/2014")</f>
        <v>#NAME?</v>
      </c>
      <c r="AC29" s="16">
        <v>1741.8855076612001</v>
      </c>
    </row>
    <row r="30" spans="1:29" x14ac:dyDescent="0.35">
      <c r="A30" s="2" t="s">
        <v>40</v>
      </c>
      <c r="B30" s="4" t="s">
        <v>615</v>
      </c>
      <c r="C30" s="4" t="s">
        <v>543</v>
      </c>
      <c r="D30" s="4" t="s">
        <v>544</v>
      </c>
      <c r="E30" s="4" t="s">
        <v>545</v>
      </c>
      <c r="F30" s="4" t="s">
        <v>616</v>
      </c>
      <c r="G30" s="14">
        <v>211.46</v>
      </c>
      <c r="H30" s="10">
        <v>18.218432</v>
      </c>
      <c r="I30" s="10">
        <v>13.258654</v>
      </c>
      <c r="J30" s="10" t="s">
        <v>534</v>
      </c>
      <c r="K30" s="15">
        <v>1.0782E-2</v>
      </c>
      <c r="L30" s="17">
        <v>11618.371752999999</v>
      </c>
      <c r="M30" s="4" t="s">
        <v>617</v>
      </c>
      <c r="N30" s="19">
        <v>15.948828000000001</v>
      </c>
      <c r="O30" s="19">
        <v>24.6281</v>
      </c>
      <c r="P30" s="19">
        <v>14.1</v>
      </c>
      <c r="Q30" s="19">
        <v>20.595700000000001</v>
      </c>
      <c r="R30" s="19">
        <v>7.34</v>
      </c>
      <c r="S30" s="19">
        <v>18.249500000000001</v>
      </c>
      <c r="T30" s="19">
        <v>7.34</v>
      </c>
      <c r="U30" s="19">
        <v>16.690100000000001</v>
      </c>
      <c r="V30" s="19">
        <v>7.87</v>
      </c>
      <c r="W30" s="19">
        <v>14.158099999999999</v>
      </c>
      <c r="X30" s="19">
        <v>7.87</v>
      </c>
      <c r="Y30" s="19">
        <v>14.158099999999999</v>
      </c>
      <c r="Z30" s="4"/>
      <c r="AA30" s="4"/>
      <c r="AB30" s="4" t="e">
        <f ca="1">_xll.ciqfunctions.udf.CIQ("^SPX", "IQ_PRICEDATE", "2/4/2014")</f>
        <v>#NAME?</v>
      </c>
      <c r="AC30" s="16">
        <v>1755.2041996217999</v>
      </c>
    </row>
    <row r="31" spans="1:29" x14ac:dyDescent="0.35">
      <c r="A31" s="2" t="s">
        <v>41</v>
      </c>
      <c r="B31" s="4" t="s">
        <v>618</v>
      </c>
      <c r="C31" s="4" t="s">
        <v>619</v>
      </c>
      <c r="D31" s="4" t="s">
        <v>619</v>
      </c>
      <c r="E31" s="4" t="s">
        <v>620</v>
      </c>
      <c r="F31" s="4" t="s">
        <v>620</v>
      </c>
      <c r="G31" s="14">
        <v>43.23</v>
      </c>
      <c r="H31" s="10">
        <v>13.025459</v>
      </c>
      <c r="I31" s="10">
        <v>20.672498999999998</v>
      </c>
      <c r="J31" s="10">
        <v>2.322845</v>
      </c>
      <c r="K31" s="15">
        <v>3.0996000000000003E-2</v>
      </c>
      <c r="L31" s="17">
        <v>10287.568813</v>
      </c>
      <c r="M31" s="4" t="s">
        <v>621</v>
      </c>
      <c r="N31" s="19">
        <v>2.0911840000000002</v>
      </c>
      <c r="O31" s="19">
        <v>2.1358000000000001</v>
      </c>
      <c r="P31" s="19">
        <v>1.9847619999999999</v>
      </c>
      <c r="Q31" s="19">
        <v>2.2665999999999999</v>
      </c>
      <c r="R31" s="19">
        <v>1.6459699999999999</v>
      </c>
      <c r="S31" s="19">
        <v>2.0745</v>
      </c>
      <c r="T31" s="19">
        <v>1.6459699999999999</v>
      </c>
      <c r="U31" s="19">
        <v>1.921</v>
      </c>
      <c r="V31" s="19">
        <v>1.738836</v>
      </c>
      <c r="W31" s="19">
        <v>1.8338000000000001</v>
      </c>
      <c r="X31" s="19">
        <v>1.738836</v>
      </c>
      <c r="Y31" s="19">
        <v>1.8338000000000001</v>
      </c>
      <c r="Z31" s="4"/>
      <c r="AA31" s="4"/>
      <c r="AB31" s="4" t="e">
        <f ca="1">_xll.ciqfunctions.udf.CIQ("^SPX", "IQ_PRICEDATE", "2/5/2014")</f>
        <v>#NAME?</v>
      </c>
      <c r="AC31" s="16">
        <v>1751.6417690134999</v>
      </c>
    </row>
    <row r="32" spans="1:29" x14ac:dyDescent="0.35">
      <c r="A32" s="2" t="s">
        <v>42</v>
      </c>
      <c r="B32" s="4" t="s">
        <v>622</v>
      </c>
      <c r="C32" s="4" t="s">
        <v>549</v>
      </c>
      <c r="D32" s="4" t="s">
        <v>550</v>
      </c>
      <c r="E32" s="4" t="s">
        <v>623</v>
      </c>
      <c r="F32" s="4" t="s">
        <v>623</v>
      </c>
      <c r="G32" s="14">
        <v>1115.69</v>
      </c>
      <c r="H32" s="10">
        <v>17.851136</v>
      </c>
      <c r="I32" s="10">
        <v>0</v>
      </c>
      <c r="J32" s="10">
        <v>0</v>
      </c>
      <c r="K32" s="15">
        <v>0</v>
      </c>
      <c r="L32" s="17">
        <v>780275.68643100001</v>
      </c>
      <c r="M32" s="4" t="s">
        <v>624</v>
      </c>
      <c r="N32" s="19">
        <v>23.155086000000001</v>
      </c>
      <c r="O32" s="19">
        <v>44.751199999999997</v>
      </c>
      <c r="P32" s="19">
        <v>17.996428999999999</v>
      </c>
      <c r="Q32" s="19">
        <v>39.5794</v>
      </c>
      <c r="R32" s="19">
        <v>27.877247000000001</v>
      </c>
      <c r="S32" s="19">
        <v>39.429200000000002</v>
      </c>
      <c r="T32" s="19">
        <v>27.877247000000001</v>
      </c>
      <c r="U32" s="19">
        <v>32.428199999999997</v>
      </c>
      <c r="V32" s="19">
        <v>19.823307</v>
      </c>
      <c r="W32" s="19">
        <v>28.783000000000001</v>
      </c>
      <c r="X32" s="19">
        <v>19.823307</v>
      </c>
      <c r="Y32" s="19">
        <v>28.783000000000001</v>
      </c>
      <c r="Z32" s="4"/>
      <c r="AA32" s="4"/>
      <c r="AB32" s="4" t="e">
        <f ca="1">_xll.ciqfunctions.udf.CIQ("^SPX", "IQ_PRICEDATE", "2/6/2014")</f>
        <v>#NAME?</v>
      </c>
      <c r="AC32" s="16">
        <v>1773.4299637595</v>
      </c>
    </row>
    <row r="33" spans="1:29" x14ac:dyDescent="0.35">
      <c r="A33" s="2" t="s">
        <v>43</v>
      </c>
      <c r="B33" s="4" t="s">
        <v>622</v>
      </c>
      <c r="C33" s="4" t="s">
        <v>549</v>
      </c>
      <c r="D33" s="4" t="s">
        <v>550</v>
      </c>
      <c r="E33" s="4" t="s">
        <v>623</v>
      </c>
      <c r="F33" s="4" t="s">
        <v>623</v>
      </c>
      <c r="G33" s="14">
        <v>1127.5899999999999</v>
      </c>
      <c r="H33" s="10">
        <v>17.851136</v>
      </c>
      <c r="I33" s="10">
        <v>48.697291999999997</v>
      </c>
      <c r="J33" s="10">
        <v>5.5481129999999999</v>
      </c>
      <c r="K33" s="15">
        <v>0</v>
      </c>
      <c r="L33" s="17">
        <v>780275.68643100001</v>
      </c>
      <c r="M33" s="4" t="s">
        <v>624</v>
      </c>
      <c r="N33" s="19">
        <v>23.155086000000001</v>
      </c>
      <c r="O33" s="19">
        <v>43.810899999999997</v>
      </c>
      <c r="P33" s="19">
        <v>17.996428999999999</v>
      </c>
      <c r="Q33" s="19">
        <v>39.5794</v>
      </c>
      <c r="R33" s="19">
        <v>27.877247000000001</v>
      </c>
      <c r="S33" s="19">
        <v>39.433999999999997</v>
      </c>
      <c r="T33" s="19">
        <v>27.877247000000001</v>
      </c>
      <c r="U33" s="19">
        <v>32.431699999999999</v>
      </c>
      <c r="V33" s="19">
        <v>19.823307</v>
      </c>
      <c r="W33" s="19">
        <v>28.863</v>
      </c>
      <c r="X33" s="19">
        <v>19.823307</v>
      </c>
      <c r="Y33" s="19">
        <v>28.863</v>
      </c>
      <c r="Z33" s="4"/>
      <c r="AA33" s="4"/>
      <c r="AB33" s="4" t="e">
        <f ca="1">_xll.ciqfunctions.udf.CIQ("^SPX", "IQ_PRICEDATE", "2/7/2014")</f>
        <v>#NAME?</v>
      </c>
      <c r="AC33" s="16">
        <v>1797.0169234533</v>
      </c>
    </row>
    <row r="34" spans="1:29" x14ac:dyDescent="0.35">
      <c r="A34" s="2" t="s">
        <v>44</v>
      </c>
      <c r="B34" s="4" t="s">
        <v>625</v>
      </c>
      <c r="C34" s="4" t="s">
        <v>626</v>
      </c>
      <c r="D34" s="4" t="s">
        <v>627</v>
      </c>
      <c r="E34" s="4" t="s">
        <v>628</v>
      </c>
      <c r="F34" s="4" t="s">
        <v>628</v>
      </c>
      <c r="G34" s="14">
        <v>60.62</v>
      </c>
      <c r="H34" s="10">
        <v>11.487541999999999</v>
      </c>
      <c r="I34" s="10">
        <v>10.889616</v>
      </c>
      <c r="J34" s="10" t="s">
        <v>534</v>
      </c>
      <c r="K34" s="15">
        <v>5.2787000000000001E-2</v>
      </c>
      <c r="L34" s="17">
        <v>114279.00539999999</v>
      </c>
      <c r="M34" s="4" t="s">
        <v>629</v>
      </c>
      <c r="N34" s="19">
        <v>5.5667710000000001</v>
      </c>
      <c r="O34" s="19">
        <v>4.1566999999999998</v>
      </c>
      <c r="P34" s="19">
        <v>5.31</v>
      </c>
      <c r="Q34" s="19">
        <v>3.5179999999999998</v>
      </c>
      <c r="R34" s="19">
        <v>7.28</v>
      </c>
      <c r="S34" s="19">
        <v>3.2063000000000001</v>
      </c>
      <c r="T34" s="19">
        <v>7.28</v>
      </c>
      <c r="U34" s="19">
        <v>2.9863</v>
      </c>
      <c r="V34" s="19">
        <v>2.5571280000000001</v>
      </c>
      <c r="W34" s="19">
        <v>2.7555999999999998</v>
      </c>
      <c r="X34" s="19">
        <v>2.5571280000000001</v>
      </c>
      <c r="Y34" s="19">
        <v>2.7555999999999998</v>
      </c>
      <c r="Z34" s="4"/>
      <c r="AA34" s="4"/>
      <c r="AB34" s="4" t="e">
        <f ca="1">_xll.ciqfunctions.udf.CIQ("^SPX", "IQ_PRICEDATE", "2/10/2014")</f>
        <v>#NAME?</v>
      </c>
      <c r="AC34" s="16">
        <v>1799.8393518810001</v>
      </c>
    </row>
    <row r="35" spans="1:29" x14ac:dyDescent="0.35">
      <c r="A35" s="2" t="s">
        <v>45</v>
      </c>
      <c r="B35" s="4" t="s">
        <v>630</v>
      </c>
      <c r="C35" s="4" t="s">
        <v>559</v>
      </c>
      <c r="D35" s="4" t="s">
        <v>560</v>
      </c>
      <c r="E35" s="4" t="s">
        <v>631</v>
      </c>
      <c r="F35" s="4" t="s">
        <v>631</v>
      </c>
      <c r="G35" s="14">
        <v>1831.73</v>
      </c>
      <c r="H35" s="10">
        <v>44.208266000000002</v>
      </c>
      <c r="I35" s="10">
        <v>145.068691</v>
      </c>
      <c r="J35" s="10">
        <v>42.375779000000001</v>
      </c>
      <c r="K35" s="15">
        <v>0</v>
      </c>
      <c r="L35" s="17">
        <v>893410.16812699998</v>
      </c>
      <c r="M35" s="4" t="s">
        <v>632</v>
      </c>
      <c r="N35" s="19">
        <v>12.626639000000001</v>
      </c>
      <c r="O35" s="19">
        <v>20.139900000000001</v>
      </c>
      <c r="P35" s="19">
        <v>6.15</v>
      </c>
      <c r="Q35" s="19">
        <v>6.0980999999999996</v>
      </c>
      <c r="R35" s="19">
        <v>4.9000000000000004</v>
      </c>
      <c r="S35" s="19">
        <v>7.1908000000000003</v>
      </c>
      <c r="T35" s="19">
        <v>4.9000000000000004</v>
      </c>
      <c r="U35" s="19">
        <v>4.3808999999999996</v>
      </c>
      <c r="V35" s="19">
        <v>-0.52164500000000003</v>
      </c>
      <c r="W35" s="19">
        <v>5.5E-2</v>
      </c>
      <c r="X35" s="19">
        <v>-0.52164500000000003</v>
      </c>
      <c r="Y35" s="19">
        <v>5.5E-2</v>
      </c>
      <c r="Z35" s="4"/>
      <c r="AA35" s="4"/>
      <c r="AB35" s="4" t="e">
        <f ca="1">_xll.ciqfunctions.udf.CIQ("^SPX", "IQ_PRICEDATE", "2/11/2014")</f>
        <v>#NAME?</v>
      </c>
      <c r="AC35" s="16">
        <v>1819.7478427199001</v>
      </c>
    </row>
    <row r="36" spans="1:29" x14ac:dyDescent="0.35">
      <c r="A36" s="2" t="s">
        <v>46</v>
      </c>
      <c r="B36" s="4" t="s">
        <v>633</v>
      </c>
      <c r="C36" s="4" t="s">
        <v>619</v>
      </c>
      <c r="D36" s="4" t="s">
        <v>619</v>
      </c>
      <c r="E36" s="4" t="s">
        <v>634</v>
      </c>
      <c r="F36" s="4" t="s">
        <v>634</v>
      </c>
      <c r="G36" s="14">
        <v>64.760000000000005</v>
      </c>
      <c r="H36" s="10">
        <v>10.078181000000001</v>
      </c>
      <c r="I36" s="10">
        <v>25.687097999999999</v>
      </c>
      <c r="J36" s="10">
        <v>2.2654390000000002</v>
      </c>
      <c r="K36" s="15">
        <v>2.9339E-2</v>
      </c>
      <c r="L36" s="17">
        <v>15804.029105</v>
      </c>
      <c r="M36" s="4" t="s">
        <v>635</v>
      </c>
      <c r="N36" s="19">
        <v>2.5211100000000002</v>
      </c>
      <c r="O36" s="19">
        <v>3.3363999999999998</v>
      </c>
      <c r="P36" s="19">
        <v>2.14</v>
      </c>
      <c r="Q36" s="19">
        <v>2.8441999999999998</v>
      </c>
      <c r="R36" s="19">
        <v>2.68</v>
      </c>
      <c r="S36" s="19">
        <v>2.73</v>
      </c>
      <c r="T36" s="19">
        <v>2.68</v>
      </c>
      <c r="U36" s="19">
        <v>2.3107000000000002</v>
      </c>
      <c r="V36" s="19">
        <v>2.4</v>
      </c>
      <c r="W36" s="19">
        <v>2.5133999999999999</v>
      </c>
      <c r="X36" s="19">
        <v>2.4</v>
      </c>
      <c r="Y36" s="19">
        <v>2.5133999999999999</v>
      </c>
      <c r="Z36" s="4"/>
      <c r="AA36" s="4"/>
      <c r="AB36" s="4" t="e">
        <f ca="1">_xll.ciqfunctions.udf.CIQ("^SPX", "IQ_PRICEDATE", "2/12/2014")</f>
        <v>#NAME?</v>
      </c>
      <c r="AC36" s="16">
        <v>1819.2642758690999</v>
      </c>
    </row>
    <row r="37" spans="1:29" x14ac:dyDescent="0.35">
      <c r="A37" s="2" t="s">
        <v>47</v>
      </c>
      <c r="B37" s="4" t="s">
        <v>636</v>
      </c>
      <c r="C37" s="4" t="s">
        <v>525</v>
      </c>
      <c r="D37" s="4" t="s">
        <v>594</v>
      </c>
      <c r="E37" s="4" t="s">
        <v>595</v>
      </c>
      <c r="F37" s="4" t="s">
        <v>595</v>
      </c>
      <c r="G37" s="14">
        <v>33.57</v>
      </c>
      <c r="H37" s="10">
        <v>5.791874</v>
      </c>
      <c r="I37" s="10">
        <v>10.928908</v>
      </c>
      <c r="J37" s="10" t="s">
        <v>534</v>
      </c>
      <c r="K37" s="15">
        <v>1.1915E-2</v>
      </c>
      <c r="L37" s="17">
        <v>15459.294381</v>
      </c>
      <c r="M37" s="4" t="s">
        <v>637</v>
      </c>
      <c r="N37" s="19">
        <v>3.0716700000000001</v>
      </c>
      <c r="O37" s="19">
        <v>4.5327000000000002</v>
      </c>
      <c r="P37" s="19">
        <v>3.9</v>
      </c>
      <c r="Q37" s="19">
        <v>4.7663000000000002</v>
      </c>
      <c r="R37" s="19">
        <v>4.8099999999999996</v>
      </c>
      <c r="S37" s="19">
        <v>4.4809000000000001</v>
      </c>
      <c r="T37" s="19">
        <v>4.8099999999999996</v>
      </c>
      <c r="U37" s="19">
        <v>7.1485000000000003</v>
      </c>
      <c r="V37" s="19">
        <v>3.9304320000000001</v>
      </c>
      <c r="W37" s="19">
        <v>8.4161000000000001</v>
      </c>
      <c r="X37" s="19">
        <v>3.9304320000000001</v>
      </c>
      <c r="Y37" s="19">
        <v>8.4161000000000001</v>
      </c>
      <c r="Z37" s="4"/>
      <c r="AA37" s="4"/>
      <c r="AB37" s="4" t="e">
        <f ca="1">_xll.ciqfunctions.udf.CIQ("^SPX", "IQ_PRICEDATE", "2/13/2014")</f>
        <v>#NAME?</v>
      </c>
      <c r="AC37" s="16">
        <v>1829.82975844</v>
      </c>
    </row>
    <row r="38" spans="1:29" x14ac:dyDescent="0.35">
      <c r="A38" s="2" t="s">
        <v>48</v>
      </c>
      <c r="B38" s="4" t="s">
        <v>638</v>
      </c>
      <c r="C38" s="4" t="s">
        <v>619</v>
      </c>
      <c r="D38" s="4" t="s">
        <v>619</v>
      </c>
      <c r="E38" s="4" t="s">
        <v>620</v>
      </c>
      <c r="F38" s="4" t="s">
        <v>620</v>
      </c>
      <c r="G38" s="14">
        <v>71.72</v>
      </c>
      <c r="H38" s="10">
        <v>11.156098</v>
      </c>
      <c r="I38" s="10">
        <v>18.342466999999999</v>
      </c>
      <c r="J38" s="10">
        <v>1.8935759999999999</v>
      </c>
      <c r="K38" s="15">
        <v>3.4578000000000005E-2</v>
      </c>
      <c r="L38" s="17">
        <v>35353.230640000002</v>
      </c>
      <c r="M38" s="4" t="s">
        <v>639</v>
      </c>
      <c r="N38" s="19">
        <v>3.9100519999999999</v>
      </c>
      <c r="O38" s="19">
        <v>3.9563999999999999</v>
      </c>
      <c r="P38" s="19">
        <v>3.88</v>
      </c>
      <c r="Q38" s="19">
        <v>3.7833000000000001</v>
      </c>
      <c r="R38" s="19">
        <v>1.248027</v>
      </c>
      <c r="S38" s="19">
        <v>3.5844999999999998</v>
      </c>
      <c r="T38" s="19">
        <v>1.248027</v>
      </c>
      <c r="U38" s="19">
        <v>3.5718000000000001</v>
      </c>
      <c r="V38" s="19">
        <v>3.24</v>
      </c>
      <c r="W38" s="19">
        <v>3.3292999999999999</v>
      </c>
      <c r="X38" s="19">
        <v>3.24</v>
      </c>
      <c r="Y38" s="19">
        <v>3.3292999999999999</v>
      </c>
      <c r="Z38" s="4"/>
      <c r="AA38" s="4"/>
      <c r="AB38" s="4" t="e">
        <f ca="1">_xll.ciqfunctions.udf.CIQ("^SPX", "IQ_PRICEDATE", "2/14/2014")</f>
        <v>#NAME?</v>
      </c>
      <c r="AC38" s="16">
        <v>1838.6327143240001</v>
      </c>
    </row>
    <row r="39" spans="1:29" x14ac:dyDescent="0.35">
      <c r="A39" s="2" t="s">
        <v>49</v>
      </c>
      <c r="B39" s="4" t="s">
        <v>640</v>
      </c>
      <c r="C39" s="4" t="s">
        <v>573</v>
      </c>
      <c r="D39" s="4" t="s">
        <v>574</v>
      </c>
      <c r="E39" s="4" t="s">
        <v>641</v>
      </c>
      <c r="F39" s="4" t="s">
        <v>641</v>
      </c>
      <c r="G39" s="14">
        <v>104.34</v>
      </c>
      <c r="H39" s="10">
        <v>0</v>
      </c>
      <c r="I39" s="10">
        <v>27.540894000000002</v>
      </c>
      <c r="J39" s="10">
        <v>4.3000540000000003</v>
      </c>
      <c r="K39" s="15">
        <v>1.3416999999999998E-2</v>
      </c>
      <c r="L39" s="17">
        <v>89842.400445000007</v>
      </c>
      <c r="M39" s="4" t="s">
        <v>642</v>
      </c>
      <c r="N39" s="19">
        <v>3.788548</v>
      </c>
      <c r="O39" s="19">
        <v>7.5248999999999997</v>
      </c>
      <c r="P39" s="19">
        <v>2.97</v>
      </c>
      <c r="Q39" s="19">
        <v>6.3056000000000001</v>
      </c>
      <c r="R39" s="19">
        <v>5.65</v>
      </c>
      <c r="S39" s="19">
        <v>5.2156000000000002</v>
      </c>
      <c r="T39" s="19">
        <v>5.65</v>
      </c>
      <c r="U39" s="19">
        <v>5.2336</v>
      </c>
      <c r="V39" s="19">
        <v>5.56</v>
      </c>
      <c r="W39" s="19">
        <v>5.9082999999999997</v>
      </c>
      <c r="X39" s="19">
        <v>5.56</v>
      </c>
      <c r="Y39" s="19">
        <v>5.9082999999999997</v>
      </c>
      <c r="Z39" s="4"/>
      <c r="AA39" s="4"/>
      <c r="AB39" s="4" t="e">
        <f ca="1">_xll.ciqfunctions.udf.CIQ("^SPX", "IQ_PRICEDATE", "2/18/2014")</f>
        <v>#NAME?</v>
      </c>
      <c r="AC39" s="16">
        <v>1840.7563614977</v>
      </c>
    </row>
    <row r="40" spans="1:29" x14ac:dyDescent="0.35">
      <c r="A40" s="2" t="s">
        <v>50</v>
      </c>
      <c r="B40" s="4" t="s">
        <v>643</v>
      </c>
      <c r="C40" s="4" t="s">
        <v>573</v>
      </c>
      <c r="D40" s="4" t="s">
        <v>579</v>
      </c>
      <c r="E40" s="4" t="s">
        <v>579</v>
      </c>
      <c r="F40" s="4" t="s">
        <v>644</v>
      </c>
      <c r="G40" s="14">
        <v>49.62</v>
      </c>
      <c r="H40" s="10">
        <v>11.805273</v>
      </c>
      <c r="I40" s="10" t="s">
        <v>534</v>
      </c>
      <c r="J40" s="10">
        <v>0.72274700000000003</v>
      </c>
      <c r="K40" s="15">
        <v>2.5795999999999999E-2</v>
      </c>
      <c r="L40" s="17">
        <v>44084.703867999997</v>
      </c>
      <c r="M40" s="4" t="s">
        <v>645</v>
      </c>
      <c r="N40" s="19">
        <v>-7.1890980000000004</v>
      </c>
      <c r="O40" s="19">
        <v>5.0500999999999996</v>
      </c>
      <c r="P40" s="19">
        <v>-6.5422880000000001</v>
      </c>
      <c r="Q40" s="19">
        <v>4.6581999999999999</v>
      </c>
      <c r="R40" s="19">
        <v>-0.7</v>
      </c>
      <c r="S40" s="19">
        <v>5.1496000000000004</v>
      </c>
      <c r="T40" s="19">
        <v>-0.7</v>
      </c>
      <c r="U40" s="19">
        <v>4.9114000000000004</v>
      </c>
      <c r="V40" s="19">
        <v>5.2399990000000001</v>
      </c>
      <c r="W40" s="19">
        <v>4.7538</v>
      </c>
      <c r="X40" s="19">
        <v>5.2399990000000001</v>
      </c>
      <c r="Y40" s="19">
        <v>4.7538</v>
      </c>
      <c r="Z40" s="4"/>
      <c r="AA40" s="4"/>
      <c r="AB40" s="4" t="e">
        <f ca="1">_xll.ciqfunctions.udf.CIQ("^SPX", "IQ_PRICEDATE", "2/19/2014")</f>
        <v>#NAME?</v>
      </c>
      <c r="AC40" s="16">
        <v>1828.7467956528999</v>
      </c>
    </row>
    <row r="41" spans="1:29" x14ac:dyDescent="0.35">
      <c r="A41" s="2" t="s">
        <v>51</v>
      </c>
      <c r="B41" s="4" t="s">
        <v>646</v>
      </c>
      <c r="C41" s="4" t="s">
        <v>601</v>
      </c>
      <c r="D41" s="4" t="s">
        <v>601</v>
      </c>
      <c r="E41" s="4" t="s">
        <v>602</v>
      </c>
      <c r="F41" s="4" t="s">
        <v>647</v>
      </c>
      <c r="G41" s="14">
        <v>146.68</v>
      </c>
      <c r="H41" s="10">
        <v>21.115278</v>
      </c>
      <c r="I41" s="10">
        <v>58.161458000000003</v>
      </c>
      <c r="J41" s="10" t="s">
        <v>534</v>
      </c>
      <c r="K41" s="15">
        <v>2.1543E-2</v>
      </c>
      <c r="L41" s="17">
        <v>64661.686307000004</v>
      </c>
      <c r="M41" s="4" t="s">
        <v>648</v>
      </c>
      <c r="N41" s="19">
        <v>2.5219450000000001</v>
      </c>
      <c r="O41" s="19">
        <v>3.5129999999999999</v>
      </c>
      <c r="P41" s="19">
        <v>2.67</v>
      </c>
      <c r="Q41" s="19">
        <v>3.3589000000000002</v>
      </c>
      <c r="R41" s="19">
        <v>1.98</v>
      </c>
      <c r="S41" s="19">
        <v>2.5825</v>
      </c>
      <c r="T41" s="19">
        <v>1.98</v>
      </c>
      <c r="U41" s="19">
        <v>2.2949999999999999</v>
      </c>
      <c r="V41" s="19">
        <v>2</v>
      </c>
      <c r="W41" s="19">
        <v>2.5792000000000002</v>
      </c>
      <c r="X41" s="19">
        <v>2</v>
      </c>
      <c r="Y41" s="19">
        <v>2.5792000000000002</v>
      </c>
      <c r="Z41" s="4"/>
      <c r="AA41" s="4"/>
      <c r="AB41" s="4" t="e">
        <f ca="1">_xll.ciqfunctions.udf.CIQ("^SPX", "IQ_PRICEDATE", "2/20/2014")</f>
        <v>#NAME?</v>
      </c>
      <c r="AC41" s="16">
        <v>1839.7822149358999</v>
      </c>
    </row>
    <row r="42" spans="1:29" x14ac:dyDescent="0.35">
      <c r="A42" s="2" t="s">
        <v>52</v>
      </c>
      <c r="B42" s="4" t="s">
        <v>649</v>
      </c>
      <c r="C42" s="4" t="s">
        <v>619</v>
      </c>
      <c r="D42" s="4" t="s">
        <v>619</v>
      </c>
      <c r="E42" s="4" t="s">
        <v>650</v>
      </c>
      <c r="F42" s="4" t="s">
        <v>650</v>
      </c>
      <c r="G42" s="14">
        <v>89.95</v>
      </c>
      <c r="H42" s="10">
        <v>14.688186999999999</v>
      </c>
      <c r="I42" s="10">
        <v>34.332061000000003</v>
      </c>
      <c r="J42" s="10">
        <v>4.0446179999999998</v>
      </c>
      <c r="K42" s="15">
        <v>2.0232999999999998E-2</v>
      </c>
      <c r="L42" s="17">
        <v>16235.273209999999</v>
      </c>
      <c r="M42" s="4" t="s">
        <v>651</v>
      </c>
      <c r="N42" s="19">
        <v>2.62</v>
      </c>
      <c r="O42" s="19">
        <v>3.3288000000000002</v>
      </c>
      <c r="P42" s="19">
        <v>2.38</v>
      </c>
      <c r="Q42" s="19">
        <v>3.1894</v>
      </c>
      <c r="R42" s="19">
        <v>2.62</v>
      </c>
      <c r="S42" s="19">
        <v>2.9403999999999999</v>
      </c>
      <c r="T42" s="19">
        <v>2.62</v>
      </c>
      <c r="U42" s="19">
        <v>2.7743000000000002</v>
      </c>
      <c r="V42" s="19">
        <v>2.39</v>
      </c>
      <c r="W42" s="19">
        <v>2.5543</v>
      </c>
      <c r="X42" s="19">
        <v>2.39</v>
      </c>
      <c r="Y42" s="19">
        <v>2.5543</v>
      </c>
      <c r="Z42" s="4"/>
      <c r="AA42" s="4"/>
      <c r="AB42" s="4" t="e">
        <f ca="1">_xll.ciqfunctions.udf.CIQ("^SPX", "IQ_PRICEDATE", "2/21/2014")</f>
        <v>#NAME?</v>
      </c>
      <c r="AC42" s="16">
        <v>1836.2461813611001</v>
      </c>
    </row>
    <row r="43" spans="1:29" x14ac:dyDescent="0.35">
      <c r="A43" s="2" t="s">
        <v>53</v>
      </c>
      <c r="B43" s="4" t="s">
        <v>652</v>
      </c>
      <c r="C43" s="4" t="s">
        <v>573</v>
      </c>
      <c r="D43" s="4" t="s">
        <v>574</v>
      </c>
      <c r="E43" s="4" t="s">
        <v>575</v>
      </c>
      <c r="F43" s="4" t="s">
        <v>576</v>
      </c>
      <c r="G43" s="14">
        <v>138.37</v>
      </c>
      <c r="H43" s="10">
        <v>5.8799390000000002</v>
      </c>
      <c r="I43" s="10">
        <v>12.130046999999999</v>
      </c>
      <c r="J43" s="10">
        <v>3.4941469999999999</v>
      </c>
      <c r="K43" s="15">
        <v>2.6017000000000002E-2</v>
      </c>
      <c r="L43" s="17">
        <v>19629.701201</v>
      </c>
      <c r="M43" s="4" t="s">
        <v>653</v>
      </c>
      <c r="N43" s="19">
        <v>11.407209999999999</v>
      </c>
      <c r="O43" s="19">
        <v>15.475300000000001</v>
      </c>
      <c r="P43" s="19">
        <v>9.44</v>
      </c>
      <c r="Q43" s="19">
        <v>12.704599999999999</v>
      </c>
      <c r="R43" s="19">
        <v>7.81</v>
      </c>
      <c r="S43" s="19">
        <v>10.0672</v>
      </c>
      <c r="T43" s="19">
        <v>7.81</v>
      </c>
      <c r="U43" s="19">
        <v>9.9716000000000005</v>
      </c>
      <c r="V43" s="19">
        <v>8.31</v>
      </c>
      <c r="W43" s="19">
        <v>9.2737999999999996</v>
      </c>
      <c r="X43" s="19">
        <v>8.31</v>
      </c>
      <c r="Y43" s="19">
        <v>9.2737999999999996</v>
      </c>
      <c r="Z43" s="4"/>
      <c r="AA43" s="4"/>
      <c r="AB43" s="4" t="e">
        <f ca="1">_xll.ciqfunctions.udf.CIQ("^SPX", "IQ_PRICEDATE", "2/24/2014")</f>
        <v>#NAME?</v>
      </c>
      <c r="AC43" s="16">
        <v>1847.6146440903001</v>
      </c>
    </row>
    <row r="44" spans="1:29" x14ac:dyDescent="0.35">
      <c r="A44" s="2" t="s">
        <v>54</v>
      </c>
      <c r="B44" s="4" t="s">
        <v>654</v>
      </c>
      <c r="C44" s="4" t="s">
        <v>530</v>
      </c>
      <c r="D44" s="4" t="s">
        <v>531</v>
      </c>
      <c r="E44" s="4" t="s">
        <v>569</v>
      </c>
      <c r="F44" s="4" t="s">
        <v>655</v>
      </c>
      <c r="G44" s="14">
        <v>93.76</v>
      </c>
      <c r="H44" s="10">
        <v>9.5782790000000002</v>
      </c>
      <c r="I44" s="10">
        <v>19.227425</v>
      </c>
      <c r="J44" s="10" t="s">
        <v>534</v>
      </c>
      <c r="K44" s="15">
        <v>1.6211E-2</v>
      </c>
      <c r="L44" s="17">
        <v>20285.598941</v>
      </c>
      <c r="M44" s="4" t="s">
        <v>656</v>
      </c>
      <c r="N44" s="19">
        <v>4.8763680000000003</v>
      </c>
      <c r="O44" s="19">
        <v>6.9241999999999999</v>
      </c>
      <c r="P44" s="19">
        <v>4.420153</v>
      </c>
      <c r="Q44" s="19">
        <v>6.0747600000000004</v>
      </c>
      <c r="R44" s="19">
        <v>5.9869690000000002</v>
      </c>
      <c r="S44" s="19">
        <v>5.7546099999999996</v>
      </c>
      <c r="T44" s="19">
        <v>5.9869690000000002</v>
      </c>
      <c r="U44" s="19">
        <v>5.8305100000000003</v>
      </c>
      <c r="V44" s="19">
        <v>0.15307399999999999</v>
      </c>
      <c r="W44" s="19">
        <v>4.4666899999999998</v>
      </c>
      <c r="X44" s="19">
        <v>0.15307399999999999</v>
      </c>
      <c r="Y44" s="19">
        <v>4.4666899999999998</v>
      </c>
      <c r="Z44" s="4"/>
      <c r="AA44" s="4"/>
      <c r="AB44" s="4" t="e">
        <f ca="1">_xll.ciqfunctions.udf.CIQ("^SPX", "IQ_PRICEDATE", "2/25/2014")</f>
        <v>#NAME?</v>
      </c>
      <c r="AC44" s="16">
        <v>1845.1199680528</v>
      </c>
    </row>
    <row r="45" spans="1:29" x14ac:dyDescent="0.35">
      <c r="A45" s="2" t="s">
        <v>55</v>
      </c>
      <c r="B45" s="4" t="s">
        <v>657</v>
      </c>
      <c r="C45" s="4" t="s">
        <v>525</v>
      </c>
      <c r="D45" s="4" t="s">
        <v>526</v>
      </c>
      <c r="E45" s="4" t="s">
        <v>658</v>
      </c>
      <c r="F45" s="4" t="s">
        <v>659</v>
      </c>
      <c r="G45" s="14">
        <v>73.31</v>
      </c>
      <c r="H45" s="10">
        <v>15.390796</v>
      </c>
      <c r="I45" s="10">
        <v>22.222995999999998</v>
      </c>
      <c r="J45" s="10" t="s">
        <v>534</v>
      </c>
      <c r="K45" s="15">
        <v>7.6380000000000007E-3</v>
      </c>
      <c r="L45" s="17">
        <v>17000.381020000001</v>
      </c>
      <c r="M45" s="4" t="s">
        <v>660</v>
      </c>
      <c r="N45" s="19">
        <v>3.298835</v>
      </c>
      <c r="O45" s="19">
        <v>3.3536000000000001</v>
      </c>
      <c r="P45" s="19">
        <v>2.94</v>
      </c>
      <c r="Q45" s="19">
        <v>2.8050999999999999</v>
      </c>
      <c r="R45" s="19">
        <v>2.19</v>
      </c>
      <c r="S45" s="19">
        <v>2.3963999999999999</v>
      </c>
      <c r="T45" s="19">
        <v>2.19</v>
      </c>
      <c r="U45" s="19">
        <v>2.6741999999999999</v>
      </c>
      <c r="V45" s="19">
        <v>2.37</v>
      </c>
      <c r="W45" s="19">
        <v>2.5880999999999998</v>
      </c>
      <c r="X45" s="19">
        <v>2.37</v>
      </c>
      <c r="Y45" s="19">
        <v>2.5880999999999998</v>
      </c>
      <c r="Z45" s="4"/>
      <c r="AA45" s="4"/>
      <c r="AB45" s="4" t="e">
        <f ca="1">_xll.ciqfunctions.udf.CIQ("^SPX", "IQ_PRICEDATE", "2/26/2014")</f>
        <v>#NAME?</v>
      </c>
      <c r="AC45" s="16">
        <v>1845.1639780911</v>
      </c>
    </row>
    <row r="46" spans="1:29" x14ac:dyDescent="0.35">
      <c r="A46" s="2" t="s">
        <v>56</v>
      </c>
      <c r="B46" s="4" t="s">
        <v>661</v>
      </c>
      <c r="C46" s="4" t="s">
        <v>530</v>
      </c>
      <c r="D46" s="4" t="s">
        <v>537</v>
      </c>
      <c r="E46" s="4" t="s">
        <v>538</v>
      </c>
      <c r="F46" s="4" t="s">
        <v>538</v>
      </c>
      <c r="G46" s="14">
        <v>202.77</v>
      </c>
      <c r="H46" s="10">
        <v>10.840305000000001</v>
      </c>
      <c r="I46" s="10">
        <v>60.741714999999999</v>
      </c>
      <c r="J46" s="10" t="s">
        <v>534</v>
      </c>
      <c r="K46" s="15">
        <v>2.6039E-2</v>
      </c>
      <c r="L46" s="17">
        <v>131247.35702600001</v>
      </c>
      <c r="M46" s="4" t="s">
        <v>662</v>
      </c>
      <c r="N46" s="19">
        <v>3.3382329999999998</v>
      </c>
      <c r="O46" s="19">
        <v>14.0382</v>
      </c>
      <c r="P46" s="19">
        <v>2.69</v>
      </c>
      <c r="Q46" s="19">
        <v>12.5274</v>
      </c>
      <c r="R46" s="19">
        <v>10.24</v>
      </c>
      <c r="S46" s="19">
        <v>11.9491</v>
      </c>
      <c r="T46" s="19">
        <v>10.24</v>
      </c>
      <c r="U46" s="19">
        <v>10.189399999999999</v>
      </c>
      <c r="V46" s="19">
        <v>6.7</v>
      </c>
      <c r="W46" s="19">
        <v>8.8605</v>
      </c>
      <c r="X46" s="19">
        <v>6.7</v>
      </c>
      <c r="Y46" s="19">
        <v>8.8605</v>
      </c>
      <c r="Z46" s="4"/>
      <c r="AA46" s="4"/>
      <c r="AB46" s="4" t="e">
        <f ca="1">_xll.ciqfunctions.udf.CIQ("^SPX", "IQ_PRICEDATE", "2/27/2014")</f>
        <v>#NAME?</v>
      </c>
      <c r="AC46" s="16">
        <v>1854.2920045507999</v>
      </c>
    </row>
    <row r="47" spans="1:29" x14ac:dyDescent="0.35">
      <c r="A47" s="2" t="s">
        <v>57</v>
      </c>
      <c r="B47" s="4" t="s">
        <v>663</v>
      </c>
      <c r="C47" s="4" t="s">
        <v>543</v>
      </c>
      <c r="D47" s="4" t="s">
        <v>664</v>
      </c>
      <c r="E47" s="4" t="s">
        <v>665</v>
      </c>
      <c r="F47" s="4" t="s">
        <v>666</v>
      </c>
      <c r="G47" s="14">
        <v>85.83</v>
      </c>
      <c r="H47" s="10">
        <v>15.702054</v>
      </c>
      <c r="I47" s="10">
        <v>37.384796999999999</v>
      </c>
      <c r="J47" s="10" t="s">
        <v>534</v>
      </c>
      <c r="K47" s="15">
        <v>1.0718E-2</v>
      </c>
      <c r="L47" s="17">
        <v>25779.260396000001</v>
      </c>
      <c r="M47" s="4" t="s">
        <v>667</v>
      </c>
      <c r="N47" s="19">
        <v>2.2958530000000001</v>
      </c>
      <c r="O47" s="19">
        <v>3.7726999999999999</v>
      </c>
      <c r="P47" s="19">
        <v>2.06</v>
      </c>
      <c r="Q47" s="19">
        <v>3.3321000000000001</v>
      </c>
      <c r="R47" s="19">
        <v>2.61</v>
      </c>
      <c r="S47" s="19">
        <v>2.9285000000000001</v>
      </c>
      <c r="T47" s="19">
        <v>2.61</v>
      </c>
      <c r="U47" s="19">
        <v>2.4822000000000002</v>
      </c>
      <c r="V47" s="19">
        <v>2.21</v>
      </c>
      <c r="W47" s="19">
        <v>2.411</v>
      </c>
      <c r="X47" s="19">
        <v>2.21</v>
      </c>
      <c r="Y47" s="19">
        <v>2.411</v>
      </c>
      <c r="Z47" s="4"/>
      <c r="AA47" s="4"/>
      <c r="AB47" s="4" t="e">
        <f ca="1">_xll.ciqfunctions.udf.CIQ("^SPX", "IQ_PRICEDATE", "2/28/2014")</f>
        <v>#NAME?</v>
      </c>
      <c r="AC47" s="16">
        <v>1859.4493719912</v>
      </c>
    </row>
    <row r="48" spans="1:29" x14ac:dyDescent="0.35">
      <c r="A48" s="2" t="s">
        <v>58</v>
      </c>
      <c r="B48" s="4" t="s">
        <v>668</v>
      </c>
      <c r="C48" s="4" t="s">
        <v>669</v>
      </c>
      <c r="D48" s="4" t="s">
        <v>669</v>
      </c>
      <c r="E48" s="4" t="s">
        <v>670</v>
      </c>
      <c r="F48" s="4" t="s">
        <v>671</v>
      </c>
      <c r="G48" s="14">
        <v>67.05</v>
      </c>
      <c r="H48" s="10">
        <v>10.743789</v>
      </c>
      <c r="I48" s="10">
        <v>85.307079999999999</v>
      </c>
      <c r="J48" s="10">
        <v>10.329324</v>
      </c>
      <c r="K48" s="15">
        <v>1.4914E-2</v>
      </c>
      <c r="L48" s="17">
        <v>34334.632974</v>
      </c>
      <c r="M48" s="4" t="s">
        <v>672</v>
      </c>
      <c r="N48" s="19">
        <v>0.78598400000000002</v>
      </c>
      <c r="O48" s="19">
        <v>4.0381</v>
      </c>
      <c r="P48" s="19">
        <v>-0.85036400000000001</v>
      </c>
      <c r="Q48" s="19">
        <v>-0.4073</v>
      </c>
      <c r="R48" s="19">
        <v>-5.8984670000000001</v>
      </c>
      <c r="S48" s="19">
        <v>-0.56389999999999996</v>
      </c>
      <c r="T48" s="19">
        <v>-5.8984670000000001</v>
      </c>
      <c r="U48" s="19">
        <v>-2.6663000000000001</v>
      </c>
      <c r="V48" s="19">
        <v>-3.47</v>
      </c>
      <c r="W48" s="19">
        <v>2.8883000000000001</v>
      </c>
      <c r="X48" s="19">
        <v>-3.47</v>
      </c>
      <c r="Y48" s="19">
        <v>2.8883000000000001</v>
      </c>
      <c r="Z48" s="4"/>
      <c r="AA48" s="4"/>
      <c r="AB48" s="4" t="e">
        <f ca="1">_xll.ciqfunctions.udf.CIQ("^SPX", "IQ_PRICEDATE", "3/3/2014")</f>
        <v>#NAME?</v>
      </c>
      <c r="AC48" s="16">
        <v>1845.7344417764</v>
      </c>
    </row>
    <row r="49" spans="1:29" x14ac:dyDescent="0.35">
      <c r="A49" s="2" t="s">
        <v>59</v>
      </c>
      <c r="B49" s="4" t="s">
        <v>673</v>
      </c>
      <c r="C49" s="4" t="s">
        <v>543</v>
      </c>
      <c r="D49" s="4" t="s">
        <v>565</v>
      </c>
      <c r="E49" s="4" t="s">
        <v>565</v>
      </c>
      <c r="F49" s="4" t="s">
        <v>566</v>
      </c>
      <c r="G49" s="14">
        <v>85.25</v>
      </c>
      <c r="H49" s="10">
        <v>13.499216000000001</v>
      </c>
      <c r="I49" s="10">
        <v>22.70299</v>
      </c>
      <c r="J49" s="10" t="s">
        <v>534</v>
      </c>
      <c r="K49" s="15">
        <v>2.2520999999999999E-2</v>
      </c>
      <c r="L49" s="17">
        <v>31684.864602000001</v>
      </c>
      <c r="M49" s="4" t="s">
        <v>674</v>
      </c>
      <c r="N49" s="19">
        <v>3.7550119999999998</v>
      </c>
      <c r="O49" s="19">
        <v>5.819</v>
      </c>
      <c r="P49" s="19">
        <v>2.0699999999999998</v>
      </c>
      <c r="Q49" s="19">
        <v>5.1731600000000002</v>
      </c>
      <c r="R49" s="19">
        <v>2.76</v>
      </c>
      <c r="S49" s="19">
        <v>3.40123</v>
      </c>
      <c r="T49" s="19">
        <v>2.76</v>
      </c>
      <c r="U49" s="19">
        <v>3.2889200000000001</v>
      </c>
      <c r="V49" s="19">
        <v>1.98</v>
      </c>
      <c r="W49" s="19">
        <v>2.8330899999999999</v>
      </c>
      <c r="X49" s="19">
        <v>1.98</v>
      </c>
      <c r="Y49" s="19">
        <v>2.8330899999999999</v>
      </c>
      <c r="Z49" s="4"/>
      <c r="AA49" s="4"/>
      <c r="AB49" s="4" t="e">
        <f ca="1">_xll.ciqfunctions.udf.CIQ("^SPX", "IQ_PRICEDATE", "3/4/2014")</f>
        <v>#NAME?</v>
      </c>
      <c r="AC49" s="16">
        <v>1873.9137272164</v>
      </c>
    </row>
    <row r="50" spans="1:29" x14ac:dyDescent="0.35">
      <c r="A50" s="2" t="s">
        <v>60</v>
      </c>
      <c r="B50" s="4" t="s">
        <v>675</v>
      </c>
      <c r="C50" s="4" t="s">
        <v>543</v>
      </c>
      <c r="D50" s="4" t="s">
        <v>544</v>
      </c>
      <c r="E50" s="4" t="s">
        <v>555</v>
      </c>
      <c r="F50" s="4" t="s">
        <v>556</v>
      </c>
      <c r="G50" s="14">
        <v>158.85</v>
      </c>
      <c r="H50" s="10">
        <v>27.055145</v>
      </c>
      <c r="I50" s="10">
        <v>45.285257999999999</v>
      </c>
      <c r="J50" s="10">
        <v>19.048786</v>
      </c>
      <c r="K50" s="15">
        <v>0</v>
      </c>
      <c r="L50" s="17">
        <v>13390.707753999999</v>
      </c>
      <c r="M50" s="4" t="s">
        <v>676</v>
      </c>
      <c r="N50" s="19">
        <v>3.5077639999999999</v>
      </c>
      <c r="O50" s="19">
        <v>5.1750999999999996</v>
      </c>
      <c r="P50" s="19">
        <v>2.98</v>
      </c>
      <c r="Q50" s="19">
        <v>4.1280999999999999</v>
      </c>
      <c r="R50" s="19">
        <v>2.99</v>
      </c>
      <c r="S50" s="19">
        <v>3.7214</v>
      </c>
      <c r="T50" s="19">
        <v>2.99</v>
      </c>
      <c r="U50" s="19">
        <v>3.5400999999999998</v>
      </c>
      <c r="V50" s="19">
        <v>2.7</v>
      </c>
      <c r="W50" s="19">
        <v>3.4318</v>
      </c>
      <c r="X50" s="19">
        <v>2.7</v>
      </c>
      <c r="Y50" s="19">
        <v>3.4318</v>
      </c>
      <c r="Z50" s="4"/>
      <c r="AA50" s="4"/>
      <c r="AB50" s="4" t="e">
        <f ca="1">_xll.ciqfunctions.udf.CIQ("^SPX", "IQ_PRICEDATE", "3/5/2014")</f>
        <v>#NAME?</v>
      </c>
      <c r="AC50" s="16">
        <v>1873.8115208239999</v>
      </c>
    </row>
    <row r="51" spans="1:29" x14ac:dyDescent="0.35">
      <c r="A51" s="2" t="s">
        <v>61</v>
      </c>
      <c r="B51" s="4" t="s">
        <v>677</v>
      </c>
      <c r="C51" s="4" t="s">
        <v>530</v>
      </c>
      <c r="D51" s="4" t="s">
        <v>531</v>
      </c>
      <c r="E51" s="4" t="s">
        <v>569</v>
      </c>
      <c r="F51" s="4" t="s">
        <v>570</v>
      </c>
      <c r="G51" s="14">
        <v>279.58</v>
      </c>
      <c r="H51" s="10">
        <v>14.451527</v>
      </c>
      <c r="I51" s="10">
        <v>17.014026000000001</v>
      </c>
      <c r="J51" s="10" t="s">
        <v>534</v>
      </c>
      <c r="K51" s="15">
        <v>1.073E-2</v>
      </c>
      <c r="L51" s="17">
        <v>72677.849295000007</v>
      </c>
      <c r="M51" s="4" t="s">
        <v>678</v>
      </c>
      <c r="N51" s="19">
        <v>16.432324000000001</v>
      </c>
      <c r="O51" s="19">
        <v>16.466000000000001</v>
      </c>
      <c r="P51" s="19">
        <v>14.35</v>
      </c>
      <c r="Q51" s="19">
        <v>12.1853</v>
      </c>
      <c r="R51" s="19">
        <v>9.2100000000000009</v>
      </c>
      <c r="S51" s="19">
        <v>11.354699999999999</v>
      </c>
      <c r="T51" s="19">
        <v>9.2100000000000009</v>
      </c>
      <c r="U51" s="19">
        <v>10.542</v>
      </c>
      <c r="V51" s="19">
        <v>8.9600000000000009</v>
      </c>
      <c r="W51" s="19">
        <v>9.2853999999999992</v>
      </c>
      <c r="X51" s="19">
        <v>8.9600000000000009</v>
      </c>
      <c r="Y51" s="19">
        <v>9.2853999999999992</v>
      </c>
      <c r="Z51" s="4"/>
      <c r="AA51" s="4"/>
      <c r="AB51" s="4" t="e">
        <f ca="1">_xll.ciqfunctions.udf.CIQ("^SPX", "IQ_PRICEDATE", "3/6/2014")</f>
        <v>#NAME?</v>
      </c>
      <c r="AC51" s="16">
        <v>1877.0258953811001</v>
      </c>
    </row>
    <row r="52" spans="1:29" x14ac:dyDescent="0.35">
      <c r="A52" s="2" t="s">
        <v>62</v>
      </c>
      <c r="B52" s="4" t="s">
        <v>679</v>
      </c>
      <c r="C52" s="4" t="s">
        <v>573</v>
      </c>
      <c r="D52" s="4" t="s">
        <v>579</v>
      </c>
      <c r="E52" s="4" t="s">
        <v>579</v>
      </c>
      <c r="F52" s="4" t="s">
        <v>680</v>
      </c>
      <c r="G52" s="14">
        <v>150.46</v>
      </c>
      <c r="H52" s="10">
        <v>18.739305999999999</v>
      </c>
      <c r="I52" s="10">
        <v>45.505878000000003</v>
      </c>
      <c r="J52" s="10" t="s">
        <v>534</v>
      </c>
      <c r="K52" s="15">
        <v>1.0633999999999999E-2</v>
      </c>
      <c r="L52" s="17">
        <v>36509.922908</v>
      </c>
      <c r="M52" s="4" t="s">
        <v>681</v>
      </c>
      <c r="N52" s="19">
        <v>3.3063859999999998</v>
      </c>
      <c r="O52" s="19">
        <v>8.5817999999999994</v>
      </c>
      <c r="P52" s="19">
        <v>1.53</v>
      </c>
      <c r="Q52" s="19">
        <v>7.5286999999999997</v>
      </c>
      <c r="R52" s="19">
        <v>4.51</v>
      </c>
      <c r="S52" s="19">
        <v>6.8296000000000001</v>
      </c>
      <c r="T52" s="19">
        <v>4.51</v>
      </c>
      <c r="U52" s="19">
        <v>6.2182000000000004</v>
      </c>
      <c r="V52" s="19">
        <v>4.6628829999999999</v>
      </c>
      <c r="W52" s="19">
        <v>5.8129</v>
      </c>
      <c r="X52" s="19">
        <v>4.6628829999999999</v>
      </c>
      <c r="Y52" s="19">
        <v>5.8129</v>
      </c>
      <c r="Z52" s="4"/>
      <c r="AA52" s="4"/>
      <c r="AB52" s="4" t="e">
        <f ca="1">_xll.ciqfunctions.udf.CIQ("^SPX", "IQ_PRICEDATE", "3/7/2014")</f>
        <v>#NAME?</v>
      </c>
      <c r="AC52" s="16">
        <v>1878.0391851899001</v>
      </c>
    </row>
    <row r="53" spans="1:29" x14ac:dyDescent="0.35">
      <c r="A53" s="2" t="s">
        <v>63</v>
      </c>
      <c r="B53" s="4" t="s">
        <v>682</v>
      </c>
      <c r="C53" s="4" t="s">
        <v>669</v>
      </c>
      <c r="D53" s="4" t="s">
        <v>669</v>
      </c>
      <c r="E53" s="4" t="s">
        <v>670</v>
      </c>
      <c r="F53" s="4" t="s">
        <v>671</v>
      </c>
      <c r="G53" s="14">
        <v>43.28</v>
      </c>
      <c r="H53" s="10">
        <v>6.2995989999999997</v>
      </c>
      <c r="I53" s="10">
        <v>19.326829</v>
      </c>
      <c r="J53" s="10">
        <v>2.166601</v>
      </c>
      <c r="K53" s="15">
        <v>2.3105000000000001E-2</v>
      </c>
      <c r="L53" s="17">
        <v>16553.992045999999</v>
      </c>
      <c r="M53" s="4" t="s">
        <v>683</v>
      </c>
      <c r="N53" s="19">
        <v>2.2393740000000002</v>
      </c>
      <c r="O53" s="19">
        <v>2.0139999999999998</v>
      </c>
      <c r="P53" s="19">
        <v>3.41</v>
      </c>
      <c r="Q53" s="19">
        <v>0.89849999999999997</v>
      </c>
      <c r="R53" s="19">
        <v>-3.6200519999999998</v>
      </c>
      <c r="S53" s="19">
        <v>1.1649</v>
      </c>
      <c r="T53" s="19">
        <v>-3.6200519999999998</v>
      </c>
      <c r="U53" s="19">
        <v>-0.7903</v>
      </c>
      <c r="V53" s="19">
        <v>-17.325520000000001</v>
      </c>
      <c r="W53" s="19">
        <v>1.9764999999999999</v>
      </c>
      <c r="X53" s="19">
        <v>-17.325520000000001</v>
      </c>
      <c r="Y53" s="19">
        <v>1.9764999999999999</v>
      </c>
      <c r="Z53" s="4"/>
      <c r="AA53" s="4"/>
      <c r="AB53" s="4" t="e">
        <f ca="1">_xll.ciqfunctions.udf.CIQ("^SPX", "IQ_PRICEDATE", "3/10/2014")</f>
        <v>#NAME?</v>
      </c>
      <c r="AC53" s="16">
        <v>1877.1738938220001</v>
      </c>
    </row>
    <row r="54" spans="1:29" x14ac:dyDescent="0.35">
      <c r="A54" s="2" t="s">
        <v>64</v>
      </c>
      <c r="B54" s="4" t="s">
        <v>684</v>
      </c>
      <c r="C54" s="4" t="s">
        <v>601</v>
      </c>
      <c r="D54" s="4" t="s">
        <v>601</v>
      </c>
      <c r="E54" s="4" t="s">
        <v>602</v>
      </c>
      <c r="F54" s="4" t="s">
        <v>685</v>
      </c>
      <c r="G54" s="14">
        <v>42.84</v>
      </c>
      <c r="H54" s="10">
        <v>18.993903</v>
      </c>
      <c r="I54" s="10">
        <v>18.426662</v>
      </c>
      <c r="J54" s="10">
        <v>4.5242969999999998</v>
      </c>
      <c r="K54" s="15">
        <v>3.5479999999999998E-2</v>
      </c>
      <c r="L54" s="17">
        <v>6740.935176</v>
      </c>
      <c r="M54" s="4" t="s">
        <v>686</v>
      </c>
      <c r="N54" s="19">
        <v>2.3248920000000002</v>
      </c>
      <c r="O54" s="19">
        <v>0.33029999999999998</v>
      </c>
      <c r="P54" s="19">
        <v>1.96</v>
      </c>
      <c r="Q54" s="19">
        <v>0.66559999999999997</v>
      </c>
      <c r="R54" s="19">
        <v>2.67</v>
      </c>
      <c r="S54" s="19">
        <v>0.29970000000000002</v>
      </c>
      <c r="T54" s="19">
        <v>2.67</v>
      </c>
      <c r="U54" s="19">
        <v>0.47310000000000002</v>
      </c>
      <c r="V54" s="19">
        <v>2.06</v>
      </c>
      <c r="W54" s="19">
        <v>0.43669999999999998</v>
      </c>
      <c r="X54" s="19">
        <v>2.06</v>
      </c>
      <c r="Y54" s="19">
        <v>0.43669999999999998</v>
      </c>
      <c r="Z54" s="4"/>
      <c r="AA54" s="4"/>
      <c r="AB54" s="4" t="e">
        <f ca="1">_xll.ciqfunctions.udf.CIQ("^SPX", "IQ_PRICEDATE", "3/11/2014")</f>
        <v>#NAME?</v>
      </c>
      <c r="AC54" s="16">
        <v>1867.6260374315</v>
      </c>
    </row>
    <row r="55" spans="1:29" x14ac:dyDescent="0.35">
      <c r="A55" s="2" t="s">
        <v>65</v>
      </c>
      <c r="B55" s="4" t="s">
        <v>687</v>
      </c>
      <c r="C55" s="4" t="s">
        <v>543</v>
      </c>
      <c r="D55" s="4" t="s">
        <v>664</v>
      </c>
      <c r="E55" s="4" t="s">
        <v>688</v>
      </c>
      <c r="F55" s="4" t="s">
        <v>688</v>
      </c>
      <c r="G55" s="14">
        <v>221.19</v>
      </c>
      <c r="H55" s="10">
        <v>14.159171000000001</v>
      </c>
      <c r="I55" s="10">
        <v>20.039470000000001</v>
      </c>
      <c r="J55" s="10">
        <v>9.3189569999999993</v>
      </c>
      <c r="K55" s="15">
        <v>1.3201000000000001E-2</v>
      </c>
      <c r="L55" s="17">
        <v>1068332.2167</v>
      </c>
      <c r="M55" s="4" t="s">
        <v>689</v>
      </c>
      <c r="N55" s="19">
        <v>11.037717000000001</v>
      </c>
      <c r="O55" s="19">
        <v>13.3803</v>
      </c>
      <c r="P55" s="19">
        <v>9.7002210000000009</v>
      </c>
      <c r="Q55" s="19">
        <v>11.456049999999999</v>
      </c>
      <c r="R55" s="19">
        <v>8.3295469999999998</v>
      </c>
      <c r="S55" s="19">
        <v>9.0141500000000008</v>
      </c>
      <c r="T55" s="19">
        <v>8.3295469999999998</v>
      </c>
      <c r="U55" s="19">
        <v>9.7505699999999997</v>
      </c>
      <c r="V55" s="19">
        <v>7.3854069999999998</v>
      </c>
      <c r="W55" s="19">
        <v>7.7707300000000004</v>
      </c>
      <c r="X55" s="19">
        <v>7.3854069999999998</v>
      </c>
      <c r="Y55" s="19">
        <v>7.7707300000000004</v>
      </c>
      <c r="Z55" s="4"/>
      <c r="AA55" s="4"/>
      <c r="AB55" s="4" t="e">
        <f ca="1">_xll.ciqfunctions.udf.CIQ("^SPX", "IQ_PRICEDATE", "3/12/2014")</f>
        <v>#NAME?</v>
      </c>
      <c r="AC55" s="16">
        <v>1868.1951226484</v>
      </c>
    </row>
    <row r="56" spans="1:29" x14ac:dyDescent="0.35">
      <c r="A56" s="2" t="s">
        <v>66</v>
      </c>
      <c r="B56" s="4" t="s">
        <v>690</v>
      </c>
      <c r="C56" s="4" t="s">
        <v>543</v>
      </c>
      <c r="D56" s="4" t="s">
        <v>565</v>
      </c>
      <c r="E56" s="4" t="s">
        <v>565</v>
      </c>
      <c r="F56" s="4" t="s">
        <v>691</v>
      </c>
      <c r="G56" s="14">
        <v>34.96</v>
      </c>
      <c r="H56" s="10">
        <v>6.7097850000000001</v>
      </c>
      <c r="I56" s="10">
        <v>10.708788999999999</v>
      </c>
      <c r="J56" s="10">
        <v>10.759346000000001</v>
      </c>
      <c r="K56" s="15">
        <v>2.2883000000000001E-2</v>
      </c>
      <c r="L56" s="17">
        <v>34365.348614000002</v>
      </c>
      <c r="M56" s="4" t="s">
        <v>692</v>
      </c>
      <c r="N56" s="19">
        <v>3.264608</v>
      </c>
      <c r="O56" s="19">
        <v>3.9666999999999999</v>
      </c>
      <c r="P56" s="19">
        <v>3.17</v>
      </c>
      <c r="Q56" s="19">
        <v>4.0048399999999997</v>
      </c>
      <c r="R56" s="19">
        <v>1.54</v>
      </c>
      <c r="S56" s="19">
        <v>2.37785</v>
      </c>
      <c r="T56" s="19">
        <v>1.54</v>
      </c>
      <c r="U56" s="19">
        <v>1.2066399999999999</v>
      </c>
      <c r="V56" s="19">
        <v>0.87</v>
      </c>
      <c r="W56" s="19">
        <v>1.30138</v>
      </c>
      <c r="X56" s="19">
        <v>0.87</v>
      </c>
      <c r="Y56" s="19">
        <v>1.30138</v>
      </c>
      <c r="Z56" s="4"/>
      <c r="AA56" s="4"/>
      <c r="AB56" s="4" t="e">
        <f ca="1">_xll.ciqfunctions.udf.CIQ("^SPX", "IQ_PRICEDATE", "3/13/2014")</f>
        <v>#NAME?</v>
      </c>
      <c r="AC56" s="16">
        <v>1846.3448121255001</v>
      </c>
    </row>
    <row r="57" spans="1:29" x14ac:dyDescent="0.35">
      <c r="A57" s="2" t="s">
        <v>67</v>
      </c>
      <c r="B57" s="4" t="s">
        <v>693</v>
      </c>
      <c r="C57" s="4" t="s">
        <v>559</v>
      </c>
      <c r="D57" s="4" t="s">
        <v>694</v>
      </c>
      <c r="E57" s="4" t="s">
        <v>695</v>
      </c>
      <c r="F57" s="4" t="s">
        <v>696</v>
      </c>
      <c r="G57" s="14">
        <v>73.98</v>
      </c>
      <c r="H57" s="10">
        <v>10.14565</v>
      </c>
      <c r="I57" s="10">
        <v>18.121883</v>
      </c>
      <c r="J57" s="10">
        <v>161.92789999999999</v>
      </c>
      <c r="K57" s="15">
        <v>1.1894999999999999E-2</v>
      </c>
      <c r="L57" s="17">
        <v>19585.316129999999</v>
      </c>
      <c r="M57" s="4" t="s">
        <v>697</v>
      </c>
      <c r="N57" s="19">
        <v>4.082357</v>
      </c>
      <c r="O57" s="19">
        <v>5.5492999999999997</v>
      </c>
      <c r="P57" s="19">
        <v>3.6982119999999998</v>
      </c>
      <c r="Q57" s="19">
        <v>5.1178999999999997</v>
      </c>
      <c r="R57" s="19">
        <v>2.9166349999999999</v>
      </c>
      <c r="S57" s="19">
        <v>6.3044000000000002</v>
      </c>
      <c r="T57" s="19">
        <v>2.9166349999999999</v>
      </c>
      <c r="U57" s="19">
        <v>5.9668999999999999</v>
      </c>
      <c r="V57" s="19">
        <v>4.2812520000000003</v>
      </c>
      <c r="W57" s="19">
        <v>5.5155000000000003</v>
      </c>
      <c r="X57" s="19">
        <v>4.2812520000000003</v>
      </c>
      <c r="Y57" s="19">
        <v>5.5155000000000003</v>
      </c>
      <c r="Z57" s="4"/>
      <c r="AA57" s="4"/>
      <c r="AB57" s="4" t="e">
        <f ca="1">_xll.ciqfunctions.udf.CIQ("^SPX", "IQ_PRICEDATE", "3/14/2014")</f>
        <v>#NAME?</v>
      </c>
      <c r="AC57" s="16">
        <v>1841.1335089520001</v>
      </c>
    </row>
    <row r="58" spans="1:29" x14ac:dyDescent="0.35">
      <c r="A58" s="2" t="s">
        <v>68</v>
      </c>
      <c r="B58" s="4" t="s">
        <v>698</v>
      </c>
      <c r="C58" s="4" t="s">
        <v>626</v>
      </c>
      <c r="D58" s="4" t="s">
        <v>627</v>
      </c>
      <c r="E58" s="4" t="s">
        <v>699</v>
      </c>
      <c r="F58" s="4" t="s">
        <v>700</v>
      </c>
      <c r="G58" s="14">
        <v>49.03</v>
      </c>
      <c r="H58" s="10">
        <v>10.862416</v>
      </c>
      <c r="I58" s="10">
        <v>14.316916000000001</v>
      </c>
      <c r="J58" s="10">
        <v>1.8424149999999999</v>
      </c>
      <c r="K58" s="15">
        <v>2.733E-2</v>
      </c>
      <c r="L58" s="17">
        <v>27443.924623999999</v>
      </c>
      <c r="M58" s="4" t="s">
        <v>701</v>
      </c>
      <c r="N58" s="19">
        <v>3.42462</v>
      </c>
      <c r="O58" s="19">
        <v>3.6072000000000002</v>
      </c>
      <c r="P58" s="19">
        <v>2.79</v>
      </c>
      <c r="Q58" s="19">
        <v>2.6318000000000001</v>
      </c>
      <c r="R58" s="19">
        <v>2.16</v>
      </c>
      <c r="S58" s="19">
        <v>2.8992</v>
      </c>
      <c r="T58" s="19">
        <v>2.16</v>
      </c>
      <c r="U58" s="19">
        <v>2.9195000000000002</v>
      </c>
      <c r="V58" s="19">
        <v>3.43</v>
      </c>
      <c r="W58" s="19">
        <v>3.5432000000000001</v>
      </c>
      <c r="X58" s="19">
        <v>3.43</v>
      </c>
      <c r="Y58" s="19">
        <v>3.5432000000000001</v>
      </c>
      <c r="Z58" s="4"/>
      <c r="AA58" s="4"/>
      <c r="AB58" s="4" t="e">
        <f ca="1">_xll.ciqfunctions.udf.CIQ("^SPX", "IQ_PRICEDATE", "3/17/2014")</f>
        <v>#NAME?</v>
      </c>
      <c r="AC58" s="16">
        <v>1858.8322294687</v>
      </c>
    </row>
    <row r="59" spans="1:29" x14ac:dyDescent="0.35">
      <c r="A59" s="2" t="s">
        <v>69</v>
      </c>
      <c r="B59" s="4" t="s">
        <v>702</v>
      </c>
      <c r="C59" s="4" t="s">
        <v>525</v>
      </c>
      <c r="D59" s="4" t="s">
        <v>526</v>
      </c>
      <c r="E59" s="4" t="s">
        <v>703</v>
      </c>
      <c r="F59" s="4" t="s">
        <v>703</v>
      </c>
      <c r="G59" s="14">
        <v>22.52</v>
      </c>
      <c r="H59" s="10">
        <v>9.0503370000000007</v>
      </c>
      <c r="I59" s="10" t="s">
        <v>534</v>
      </c>
      <c r="J59" s="10" t="s">
        <v>534</v>
      </c>
      <c r="K59" s="15">
        <v>1.0657000000000002E-2</v>
      </c>
      <c r="L59" s="17">
        <v>10876.140249</v>
      </c>
      <c r="M59" s="4" t="s">
        <v>704</v>
      </c>
      <c r="N59" s="19">
        <v>-0.83657099999999995</v>
      </c>
      <c r="O59" s="19">
        <v>1.3976</v>
      </c>
      <c r="P59" s="19">
        <v>-0.28159600000000001</v>
      </c>
      <c r="Q59" s="19">
        <v>1.3622000000000001</v>
      </c>
      <c r="R59" s="19">
        <v>-2.5821909999999999</v>
      </c>
      <c r="S59" s="19">
        <v>1.2056500000000001</v>
      </c>
      <c r="T59" s="19">
        <v>-2.5821909999999999</v>
      </c>
      <c r="U59" s="19">
        <v>0</v>
      </c>
      <c r="V59" s="19">
        <v>-0.21188599999999999</v>
      </c>
      <c r="W59" s="19">
        <v>0</v>
      </c>
      <c r="X59" s="19">
        <v>-0.21188599999999999</v>
      </c>
      <c r="Y59" s="19">
        <v>0</v>
      </c>
      <c r="Z59" s="4"/>
      <c r="AA59" s="4"/>
      <c r="AB59" s="4" t="e">
        <f ca="1">_xll.ciqfunctions.udf.CIQ("^SPX", "IQ_PRICEDATE", "3/18/2014")</f>
        <v>#NAME?</v>
      </c>
      <c r="AC59" s="16">
        <v>1872.2515034585999</v>
      </c>
    </row>
    <row r="60" spans="1:29" x14ac:dyDescent="0.35">
      <c r="A60" s="2" t="s">
        <v>70</v>
      </c>
      <c r="B60" s="4" t="s">
        <v>705</v>
      </c>
      <c r="C60" s="4" t="s">
        <v>543</v>
      </c>
      <c r="D60" s="4" t="s">
        <v>664</v>
      </c>
      <c r="E60" s="4" t="s">
        <v>706</v>
      </c>
      <c r="F60" s="4" t="s">
        <v>706</v>
      </c>
      <c r="G60" s="14">
        <v>238.95</v>
      </c>
      <c r="H60" s="10">
        <v>26.489977</v>
      </c>
      <c r="I60" s="10">
        <v>81.112485000000007</v>
      </c>
      <c r="J60" s="10">
        <v>10.390459</v>
      </c>
      <c r="K60" s="15">
        <v>0</v>
      </c>
      <c r="L60" s="17">
        <v>17879.120487</v>
      </c>
      <c r="M60" s="4" t="s">
        <v>707</v>
      </c>
      <c r="N60" s="19">
        <v>2.9459089999999999</v>
      </c>
      <c r="O60" s="19">
        <v>7.7565999999999997</v>
      </c>
      <c r="P60" s="19">
        <v>5.349253</v>
      </c>
      <c r="Q60" s="19">
        <v>5.8776999999999999</v>
      </c>
      <c r="R60" s="19">
        <v>2.499781</v>
      </c>
      <c r="S60" s="19">
        <v>3.2968000000000002</v>
      </c>
      <c r="T60" s="19">
        <v>2.499781</v>
      </c>
      <c r="U60" s="19">
        <v>2.4504000000000001</v>
      </c>
      <c r="V60" s="19">
        <v>1.291884</v>
      </c>
      <c r="W60" s="19">
        <v>1.4689000000000001</v>
      </c>
      <c r="X60" s="19">
        <v>1.291884</v>
      </c>
      <c r="Y60" s="19">
        <v>1.4689000000000001</v>
      </c>
      <c r="Z60" s="4"/>
      <c r="AA60" s="4"/>
      <c r="AB60" s="4" t="e">
        <f ca="1">_xll.ciqfunctions.udf.CIQ("^SPX", "IQ_PRICEDATE", "3/19/2014")</f>
        <v>#NAME?</v>
      </c>
      <c r="AC60" s="16">
        <v>1860.771428732</v>
      </c>
    </row>
    <row r="61" spans="1:29" x14ac:dyDescent="0.35">
      <c r="A61" s="2" t="s">
        <v>71</v>
      </c>
      <c r="B61" s="4" t="s">
        <v>708</v>
      </c>
      <c r="C61" s="4" t="s">
        <v>573</v>
      </c>
      <c r="D61" s="4" t="s">
        <v>579</v>
      </c>
      <c r="E61" s="4" t="s">
        <v>579</v>
      </c>
      <c r="F61" s="4" t="s">
        <v>680</v>
      </c>
      <c r="G61" s="14">
        <v>72.11</v>
      </c>
      <c r="H61" s="10">
        <v>15.740428</v>
      </c>
      <c r="I61" s="10">
        <v>24.028448000000001</v>
      </c>
      <c r="J61" s="10" t="s">
        <v>534</v>
      </c>
      <c r="K61" s="15">
        <v>2.2743000000000003E-2</v>
      </c>
      <c r="L61" s="17">
        <v>13168.151320000001</v>
      </c>
      <c r="M61" s="4" t="s">
        <v>709</v>
      </c>
      <c r="N61" s="19">
        <v>3.001026</v>
      </c>
      <c r="O61" s="19">
        <v>3.6972</v>
      </c>
      <c r="P61" s="19">
        <v>2.54</v>
      </c>
      <c r="Q61" s="19">
        <v>3.2663000000000002</v>
      </c>
      <c r="R61" s="19">
        <v>2.3199999999999998</v>
      </c>
      <c r="S61" s="19">
        <v>2.9754</v>
      </c>
      <c r="T61" s="19">
        <v>2.3199999999999998</v>
      </c>
      <c r="U61" s="19">
        <v>2.6560000000000001</v>
      </c>
      <c r="V61" s="19">
        <v>1.97</v>
      </c>
      <c r="W61" s="19">
        <v>2.6497999999999999</v>
      </c>
      <c r="X61" s="19">
        <v>1.97</v>
      </c>
      <c r="Y61" s="19">
        <v>2.6497999999999999</v>
      </c>
      <c r="Z61" s="4"/>
      <c r="AA61" s="4"/>
      <c r="AB61" s="4" t="e">
        <f ca="1">_xll.ciqfunctions.udf.CIQ("^SPX", "IQ_PRICEDATE", "3/20/2014")</f>
        <v>#NAME?</v>
      </c>
      <c r="AC61" s="16">
        <v>1872.0084084619</v>
      </c>
    </row>
    <row r="62" spans="1:29" x14ac:dyDescent="0.35">
      <c r="A62" s="2" t="s">
        <v>72</v>
      </c>
      <c r="B62" s="4" t="s">
        <v>710</v>
      </c>
      <c r="C62" s="4" t="s">
        <v>573</v>
      </c>
      <c r="D62" s="4" t="s">
        <v>579</v>
      </c>
      <c r="E62" s="4" t="s">
        <v>579</v>
      </c>
      <c r="F62" s="4" t="s">
        <v>644</v>
      </c>
      <c r="G62" s="14">
        <v>105.89</v>
      </c>
      <c r="H62" s="10">
        <v>14.818097</v>
      </c>
      <c r="I62" s="10">
        <v>13.824254</v>
      </c>
      <c r="J62" s="10">
        <v>2.935953</v>
      </c>
      <c r="K62" s="15">
        <v>2.1154000000000003E-2</v>
      </c>
      <c r="L62" s="17">
        <v>6616.8672390000002</v>
      </c>
      <c r="M62" s="4" t="s">
        <v>711</v>
      </c>
      <c r="N62" s="19">
        <v>7.659726</v>
      </c>
      <c r="O62" s="19">
        <v>7.9082999999999997</v>
      </c>
      <c r="P62" s="19">
        <v>9.3899989999999995</v>
      </c>
      <c r="Q62" s="19">
        <v>6.7249999999999996</v>
      </c>
      <c r="R62" s="19">
        <v>9.1300000000000008</v>
      </c>
      <c r="S62" s="19">
        <v>5.0307000000000004</v>
      </c>
      <c r="T62" s="19">
        <v>9.1300000000000008</v>
      </c>
      <c r="U62" s="19">
        <v>6.3696000000000002</v>
      </c>
      <c r="V62" s="19">
        <v>6.4399990000000003</v>
      </c>
      <c r="W62" s="19">
        <v>6.4756</v>
      </c>
      <c r="X62" s="19">
        <v>6.4399990000000003</v>
      </c>
      <c r="Y62" s="19">
        <v>6.4756</v>
      </c>
      <c r="Z62" s="4"/>
      <c r="AA62" s="4"/>
      <c r="AB62" s="4" t="e">
        <f ca="1">_xll.ciqfunctions.udf.CIQ("^SPX", "IQ_PRICEDATE", "3/21/2014")</f>
        <v>#NAME?</v>
      </c>
      <c r="AC62" s="16">
        <v>1866.5207372805</v>
      </c>
    </row>
    <row r="63" spans="1:29" x14ac:dyDescent="0.35">
      <c r="A63" s="2" t="s">
        <v>73</v>
      </c>
      <c r="B63" s="4" t="s">
        <v>712</v>
      </c>
      <c r="C63" s="4" t="s">
        <v>549</v>
      </c>
      <c r="D63" s="4" t="s">
        <v>713</v>
      </c>
      <c r="E63" s="4" t="s">
        <v>714</v>
      </c>
      <c r="F63" s="4" t="s">
        <v>715</v>
      </c>
      <c r="G63" s="14">
        <v>32.57</v>
      </c>
      <c r="H63" s="10">
        <v>9.1452080000000002</v>
      </c>
      <c r="I63" s="10">
        <v>6.364617</v>
      </c>
      <c r="J63" s="10" t="s">
        <v>534</v>
      </c>
      <c r="K63" s="15">
        <v>6.1406000000000002E-2</v>
      </c>
      <c r="L63" s="17">
        <v>236523.34</v>
      </c>
      <c r="M63" s="4" t="s">
        <v>716</v>
      </c>
      <c r="N63" s="19">
        <v>5.1173539999999997</v>
      </c>
      <c r="O63" s="19">
        <v>3.5756999999999999</v>
      </c>
      <c r="P63" s="19">
        <v>4.7651620000000001</v>
      </c>
      <c r="Q63" s="19">
        <v>2.9018000000000002</v>
      </c>
      <c r="R63" s="19">
        <v>2.0987230000000001</v>
      </c>
      <c r="S63" s="19">
        <v>2.9396</v>
      </c>
      <c r="T63" s="19">
        <v>2.0987230000000001</v>
      </c>
      <c r="U63" s="19">
        <v>2.8005</v>
      </c>
      <c r="V63" s="19">
        <v>1.236353</v>
      </c>
      <c r="W63" s="19">
        <v>2.5251000000000001</v>
      </c>
      <c r="X63" s="19">
        <v>1.236353</v>
      </c>
      <c r="Y63" s="19">
        <v>2.5251000000000001</v>
      </c>
      <c r="Z63" s="4"/>
      <c r="AA63" s="4"/>
      <c r="AB63" s="4" t="e">
        <f ca="1">_xll.ciqfunctions.udf.CIQ("^SPX", "IQ_PRICEDATE", "3/24/2014")</f>
        <v>#NAME?</v>
      </c>
      <c r="AC63" s="16">
        <v>1857.4444747878999</v>
      </c>
    </row>
    <row r="64" spans="1:29" x14ac:dyDescent="0.35">
      <c r="A64" s="2" t="s">
        <v>74</v>
      </c>
      <c r="B64" s="4" t="s">
        <v>717</v>
      </c>
      <c r="C64" s="4" t="s">
        <v>543</v>
      </c>
      <c r="D64" s="4" t="s">
        <v>544</v>
      </c>
      <c r="E64" s="4" t="s">
        <v>555</v>
      </c>
      <c r="F64" s="4" t="s">
        <v>556</v>
      </c>
      <c r="G64" s="14">
        <v>141.77000000000001</v>
      </c>
      <c r="H64" s="10" t="s">
        <v>534</v>
      </c>
      <c r="I64" s="10" t="s">
        <v>534</v>
      </c>
      <c r="J64" s="10" t="s">
        <v>534</v>
      </c>
      <c r="K64" s="15">
        <v>0</v>
      </c>
      <c r="L64" s="17">
        <v>30993.280060000001</v>
      </c>
      <c r="M64" s="4" t="s">
        <v>718</v>
      </c>
      <c r="N64" s="19">
        <v>-1.8950009999999999</v>
      </c>
      <c r="O64" s="19">
        <v>1.9783999999999999</v>
      </c>
      <c r="P64" s="19">
        <v>-2.5763630000000002</v>
      </c>
      <c r="Q64" s="19">
        <v>0.66180000000000005</v>
      </c>
      <c r="R64" s="19">
        <v>-1.9964839999999999</v>
      </c>
      <c r="S64" s="19">
        <v>-0.52749999999999997</v>
      </c>
      <c r="T64" s="19">
        <v>-1.9964839999999999</v>
      </c>
      <c r="U64" s="19">
        <v>-0.3221</v>
      </c>
      <c r="V64" s="19">
        <v>0.53063800000000005</v>
      </c>
      <c r="W64" s="19">
        <v>1.2554000000000001</v>
      </c>
      <c r="X64" s="19">
        <v>0.53063800000000005</v>
      </c>
      <c r="Y64" s="19">
        <v>1.2554000000000001</v>
      </c>
      <c r="Z64" s="4"/>
      <c r="AA64" s="4"/>
      <c r="AB64" s="4" t="e">
        <f ca="1">_xll.ciqfunctions.udf.CIQ("^SPX", "IQ_PRICEDATE", "3/25/2014")</f>
        <v>#NAME?</v>
      </c>
      <c r="AC64" s="16">
        <v>1865.6243739253</v>
      </c>
    </row>
    <row r="65" spans="1:29" x14ac:dyDescent="0.35">
      <c r="A65" s="2" t="s">
        <v>75</v>
      </c>
      <c r="B65" s="4" t="s">
        <v>719</v>
      </c>
      <c r="C65" s="4" t="s">
        <v>543</v>
      </c>
      <c r="D65" s="4" t="s">
        <v>544</v>
      </c>
      <c r="E65" s="4" t="s">
        <v>545</v>
      </c>
      <c r="F65" s="4" t="s">
        <v>616</v>
      </c>
      <c r="G65" s="14">
        <v>143.66</v>
      </c>
      <c r="H65" s="10">
        <v>21.476887999999999</v>
      </c>
      <c r="I65" s="10">
        <v>39.251365999999997</v>
      </c>
      <c r="J65" s="10">
        <v>191.19817599999999</v>
      </c>
      <c r="K65" s="15">
        <v>1.9212E-2</v>
      </c>
      <c r="L65" s="17">
        <v>62842.607558000003</v>
      </c>
      <c r="M65" s="4" t="s">
        <v>720</v>
      </c>
      <c r="N65" s="19">
        <v>3.66</v>
      </c>
      <c r="O65" s="19">
        <v>5.1756099999999998</v>
      </c>
      <c r="P65" s="19">
        <v>3.8696419999999998</v>
      </c>
      <c r="Q65" s="19">
        <v>3.9645000000000001</v>
      </c>
      <c r="R65" s="19">
        <v>3.7221359999999999</v>
      </c>
      <c r="S65" s="19">
        <v>3.6962000000000002</v>
      </c>
      <c r="T65" s="19">
        <v>3.7221359999999999</v>
      </c>
      <c r="U65" s="19">
        <v>3.3454999999999999</v>
      </c>
      <c r="V65" s="19">
        <v>2.6802760000000001</v>
      </c>
      <c r="W65" s="19">
        <v>3.0026000000000002</v>
      </c>
      <c r="X65" s="19">
        <v>2.6802760000000001</v>
      </c>
      <c r="Y65" s="19">
        <v>3.0026000000000002</v>
      </c>
      <c r="Z65" s="4"/>
      <c r="AA65" s="4"/>
      <c r="AB65" s="4" t="e">
        <f ca="1">_xll.ciqfunctions.udf.CIQ("^SPX", "IQ_PRICEDATE", "3/26/2014")</f>
        <v>#NAME?</v>
      </c>
      <c r="AC65" s="16">
        <v>1852.5611685929</v>
      </c>
    </row>
    <row r="66" spans="1:29" x14ac:dyDescent="0.35">
      <c r="A66" s="2" t="s">
        <v>76</v>
      </c>
      <c r="B66" s="4" t="s">
        <v>721</v>
      </c>
      <c r="C66" s="4" t="s">
        <v>559</v>
      </c>
      <c r="D66" s="4" t="s">
        <v>560</v>
      </c>
      <c r="E66" s="4" t="s">
        <v>561</v>
      </c>
      <c r="F66" s="4" t="s">
        <v>562</v>
      </c>
      <c r="G66" s="14">
        <v>714.71</v>
      </c>
      <c r="H66" s="10">
        <v>9.9934390000000004</v>
      </c>
      <c r="I66" s="10">
        <v>14.654705</v>
      </c>
      <c r="J66" s="10" t="s">
        <v>534</v>
      </c>
      <c r="K66" s="15">
        <v>0</v>
      </c>
      <c r="L66" s="17">
        <v>18398.06482</v>
      </c>
      <c r="M66" s="4" t="s">
        <v>722</v>
      </c>
      <c r="N66" s="19">
        <v>48.77</v>
      </c>
      <c r="O66" s="19">
        <v>57.526809999999998</v>
      </c>
      <c r="P66" s="19">
        <v>44.790261000000001</v>
      </c>
      <c r="Q66" s="19">
        <v>47.839100000000002</v>
      </c>
      <c r="R66" s="19">
        <v>41.844641000000003</v>
      </c>
      <c r="S66" s="19">
        <v>46.582099999999997</v>
      </c>
      <c r="T66" s="19">
        <v>41.844641000000003</v>
      </c>
      <c r="U66" s="19">
        <v>41.786000000000001</v>
      </c>
      <c r="V66" s="19">
        <v>32.623027999999998</v>
      </c>
      <c r="W66" s="19">
        <v>36.801200000000001</v>
      </c>
      <c r="X66" s="19">
        <v>32.623027999999998</v>
      </c>
      <c r="Y66" s="19">
        <v>36.801200000000001</v>
      </c>
      <c r="Z66" s="4"/>
      <c r="AA66" s="4"/>
      <c r="AB66" s="4" t="e">
        <f ca="1">_xll.ciqfunctions.udf.CIQ("^SPX", "IQ_PRICEDATE", "3/27/2014")</f>
        <v>#NAME?</v>
      </c>
      <c r="AC66" s="16">
        <v>1849.0426430863999</v>
      </c>
    </row>
    <row r="67" spans="1:29" x14ac:dyDescent="0.35">
      <c r="A67" s="2" t="s">
        <v>77</v>
      </c>
      <c r="B67" s="4" t="s">
        <v>723</v>
      </c>
      <c r="C67" s="4" t="s">
        <v>601</v>
      </c>
      <c r="D67" s="4" t="s">
        <v>601</v>
      </c>
      <c r="E67" s="4" t="s">
        <v>602</v>
      </c>
      <c r="F67" s="4" t="s">
        <v>685</v>
      </c>
      <c r="G67" s="14">
        <v>176</v>
      </c>
      <c r="H67" s="10">
        <v>21.987911</v>
      </c>
      <c r="I67" s="10">
        <v>27.894634</v>
      </c>
      <c r="J67" s="10">
        <v>2.3331940000000002</v>
      </c>
      <c r="K67" s="15">
        <v>3.3409000000000001E-2</v>
      </c>
      <c r="L67" s="17">
        <v>24326.496127999999</v>
      </c>
      <c r="M67" s="4" t="s">
        <v>724</v>
      </c>
      <c r="N67" s="19">
        <v>6.3094570000000001</v>
      </c>
      <c r="O67" s="19">
        <v>4.8205</v>
      </c>
      <c r="P67" s="19">
        <v>6.3517340000000004</v>
      </c>
      <c r="Q67" s="19">
        <v>4.6833</v>
      </c>
      <c r="R67" s="19">
        <v>7.522411</v>
      </c>
      <c r="S67" s="19">
        <v>4.4530000000000003</v>
      </c>
      <c r="T67" s="19">
        <v>7.522411</v>
      </c>
      <c r="U67" s="19">
        <v>4.3085000000000004</v>
      </c>
      <c r="V67" s="19">
        <v>4.9179760000000003</v>
      </c>
      <c r="W67" s="19">
        <v>3.7132999999999998</v>
      </c>
      <c r="X67" s="19">
        <v>4.9179760000000003</v>
      </c>
      <c r="Y67" s="19">
        <v>3.7132999999999998</v>
      </c>
      <c r="Z67" s="4"/>
      <c r="AA67" s="4"/>
      <c r="AB67" s="4" t="e">
        <f ca="1">_xll.ciqfunctions.udf.CIQ("^SPX", "IQ_PRICEDATE", "3/28/2014")</f>
        <v>#NAME?</v>
      </c>
      <c r="AC67" s="16">
        <v>1857.6207873610999</v>
      </c>
    </row>
    <row r="68" spans="1:29" x14ac:dyDescent="0.35">
      <c r="A68" s="2" t="s">
        <v>78</v>
      </c>
      <c r="B68" s="4" t="s">
        <v>725</v>
      </c>
      <c r="C68" s="4" t="s">
        <v>586</v>
      </c>
      <c r="D68" s="4" t="s">
        <v>586</v>
      </c>
      <c r="E68" s="4" t="s">
        <v>726</v>
      </c>
      <c r="F68" s="4" t="s">
        <v>727</v>
      </c>
      <c r="G68" s="14">
        <v>99.55</v>
      </c>
      <c r="H68" s="10">
        <v>10.900296000000001</v>
      </c>
      <c r="I68" s="10">
        <v>33.142623</v>
      </c>
      <c r="J68" s="10" t="s">
        <v>534</v>
      </c>
      <c r="K68" s="15">
        <v>2.0893999999999999E-2</v>
      </c>
      <c r="L68" s="17">
        <v>8702.4660810000005</v>
      </c>
      <c r="M68" s="4" t="s">
        <v>728</v>
      </c>
      <c r="N68" s="19">
        <v>3.0036849999999999</v>
      </c>
      <c r="O68" s="19">
        <v>6.3192000000000004</v>
      </c>
      <c r="P68" s="19">
        <v>3.13</v>
      </c>
      <c r="Q68" s="19">
        <v>5.5392999999999999</v>
      </c>
      <c r="R68" s="19">
        <v>3.54</v>
      </c>
      <c r="S68" s="19">
        <v>4.3076999999999996</v>
      </c>
      <c r="T68" s="19">
        <v>3.54</v>
      </c>
      <c r="U68" s="19">
        <v>3.6417000000000002</v>
      </c>
      <c r="V68" s="19">
        <v>2.2942740000000001</v>
      </c>
      <c r="W68" s="19">
        <v>3.3010000000000002</v>
      </c>
      <c r="X68" s="19">
        <v>2.2942740000000001</v>
      </c>
      <c r="Y68" s="19">
        <v>3.3010000000000002</v>
      </c>
      <c r="Z68" s="4"/>
      <c r="AA68" s="4"/>
      <c r="AB68" s="4" t="e">
        <f ca="1">_xll.ciqfunctions.udf.CIQ("^SPX", "IQ_PRICEDATE", "3/31/2014")</f>
        <v>#NAME?</v>
      </c>
      <c r="AC68" s="16">
        <v>1872.3351792173</v>
      </c>
    </row>
    <row r="69" spans="1:29" x14ac:dyDescent="0.35">
      <c r="A69" s="2" t="s">
        <v>79</v>
      </c>
      <c r="B69" s="4" t="s">
        <v>729</v>
      </c>
      <c r="C69" s="4" t="s">
        <v>669</v>
      </c>
      <c r="D69" s="4" t="s">
        <v>669</v>
      </c>
      <c r="E69" s="4" t="s">
        <v>730</v>
      </c>
      <c r="F69" s="4" t="s">
        <v>731</v>
      </c>
      <c r="G69" s="14">
        <v>30.79</v>
      </c>
      <c r="H69" s="10">
        <v>16.215605</v>
      </c>
      <c r="I69" s="10" t="s">
        <v>534</v>
      </c>
      <c r="J69" s="10" t="s">
        <v>534</v>
      </c>
      <c r="K69" s="15">
        <v>2.3384000000000002E-2</v>
      </c>
      <c r="L69" s="17">
        <v>12674.751071000001</v>
      </c>
      <c r="M69" s="4" t="s">
        <v>732</v>
      </c>
      <c r="N69" s="19">
        <v>-5.3901999999999999E-2</v>
      </c>
      <c r="O69" s="19">
        <v>1.0951</v>
      </c>
      <c r="P69" s="19">
        <v>-0.17096</v>
      </c>
      <c r="Q69" s="19">
        <v>0.8427</v>
      </c>
      <c r="R69" s="19">
        <v>0</v>
      </c>
      <c r="S69" s="19">
        <v>0</v>
      </c>
      <c r="T69" s="19">
        <v>0</v>
      </c>
      <c r="U69" s="19">
        <v>0</v>
      </c>
      <c r="V69" s="19">
        <v>0</v>
      </c>
      <c r="W69" s="19">
        <v>0</v>
      </c>
      <c r="X69" s="19">
        <v>0</v>
      </c>
      <c r="Y69" s="19">
        <v>0</v>
      </c>
      <c r="Z69" s="4"/>
      <c r="AA69" s="4"/>
      <c r="AB69" s="4" t="e">
        <f ca="1">_xll.ciqfunctions.udf.CIQ("^SPX", "IQ_PRICEDATE", "4/1/2014")</f>
        <v>#NAME?</v>
      </c>
      <c r="AC69" s="16">
        <v>1885.5225739334001</v>
      </c>
    </row>
    <row r="70" spans="1:29" x14ac:dyDescent="0.35">
      <c r="A70" s="2" t="s">
        <v>80</v>
      </c>
      <c r="B70" s="4" t="s">
        <v>733</v>
      </c>
      <c r="C70" s="4" t="s">
        <v>586</v>
      </c>
      <c r="D70" s="4" t="s">
        <v>586</v>
      </c>
      <c r="E70" s="4" t="s">
        <v>726</v>
      </c>
      <c r="F70" s="4" t="s">
        <v>734</v>
      </c>
      <c r="G70" s="14">
        <v>46.2</v>
      </c>
      <c r="H70" s="10">
        <v>12.136112000000001</v>
      </c>
      <c r="I70" s="10">
        <v>36.649678999999999</v>
      </c>
      <c r="J70" s="10" t="s">
        <v>534</v>
      </c>
      <c r="K70" s="15">
        <v>8.6580000000000008E-3</v>
      </c>
      <c r="L70" s="17">
        <v>15888.708251</v>
      </c>
      <c r="M70" s="4" t="s">
        <v>735</v>
      </c>
      <c r="N70" s="19">
        <v>1.2605839999999999</v>
      </c>
      <c r="O70" s="19">
        <v>2.4104000000000001</v>
      </c>
      <c r="P70" s="19">
        <v>1.05</v>
      </c>
      <c r="Q70" s="19">
        <v>2.2002999999999999</v>
      </c>
      <c r="R70" s="19">
        <v>0.81</v>
      </c>
      <c r="S70" s="19">
        <v>2.0415999999999999</v>
      </c>
      <c r="T70" s="19">
        <v>0.81</v>
      </c>
      <c r="U70" s="19">
        <v>1.7566999999999999</v>
      </c>
      <c r="V70" s="19">
        <v>1.65</v>
      </c>
      <c r="W70" s="19">
        <v>1.9826999999999999</v>
      </c>
      <c r="X70" s="19">
        <v>1.65</v>
      </c>
      <c r="Y70" s="19">
        <v>1.9826999999999999</v>
      </c>
      <c r="Z70" s="4"/>
      <c r="AA70" s="4"/>
      <c r="AB70" s="4" t="e">
        <f ca="1">_xll.ciqfunctions.udf.CIQ("^SPX", "IQ_PRICEDATE", "4/2/2014")</f>
        <v>#NAME?</v>
      </c>
      <c r="AC70" s="16">
        <v>1890.8987744302001</v>
      </c>
    </row>
    <row r="71" spans="1:29" x14ac:dyDescent="0.35">
      <c r="A71" s="2" t="s">
        <v>81</v>
      </c>
      <c r="B71" s="4" t="s">
        <v>736</v>
      </c>
      <c r="C71" s="4" t="s">
        <v>573</v>
      </c>
      <c r="D71" s="4" t="s">
        <v>737</v>
      </c>
      <c r="E71" s="4" t="s">
        <v>737</v>
      </c>
      <c r="F71" s="4" t="s">
        <v>738</v>
      </c>
      <c r="G71" s="14">
        <v>28.9</v>
      </c>
      <c r="H71" s="10">
        <v>0</v>
      </c>
      <c r="I71" s="10">
        <v>13.790528999999999</v>
      </c>
      <c r="J71" s="10">
        <v>1.667262</v>
      </c>
      <c r="K71" s="15">
        <v>2.0760999999999998E-2</v>
      </c>
      <c r="L71" s="17">
        <v>284903.50132500002</v>
      </c>
      <c r="M71" s="4" t="s">
        <v>739</v>
      </c>
      <c r="N71" s="19">
        <v>2.0956410000000001</v>
      </c>
      <c r="O71" s="19">
        <v>2.7846000000000002</v>
      </c>
      <c r="P71" s="19">
        <v>1.5590390000000001</v>
      </c>
      <c r="Q71" s="19">
        <v>2.0701999999999998</v>
      </c>
      <c r="R71" s="19">
        <v>1.4882120000000001</v>
      </c>
      <c r="S71" s="19">
        <v>1.585</v>
      </c>
      <c r="T71" s="19">
        <v>1.4882120000000001</v>
      </c>
      <c r="U71" s="19">
        <v>1.4852000000000001</v>
      </c>
      <c r="V71" s="19">
        <v>0.42</v>
      </c>
      <c r="W71" s="19">
        <v>1.4008</v>
      </c>
      <c r="X71" s="19">
        <v>0.42</v>
      </c>
      <c r="Y71" s="19">
        <v>1.4008</v>
      </c>
      <c r="Z71" s="4"/>
      <c r="AA71" s="4"/>
      <c r="AB71" s="4" t="e">
        <f ca="1">_xll.ciqfunctions.udf.CIQ("^SPX", "IQ_PRICEDATE", "4/3/2014")</f>
        <v>#NAME?</v>
      </c>
      <c r="AC71" s="16">
        <v>1888.7704803894001</v>
      </c>
    </row>
    <row r="72" spans="1:29" x14ac:dyDescent="0.35">
      <c r="A72" s="2" t="s">
        <v>82</v>
      </c>
      <c r="B72" s="4" t="s">
        <v>740</v>
      </c>
      <c r="C72" s="4" t="s">
        <v>530</v>
      </c>
      <c r="D72" s="4" t="s">
        <v>531</v>
      </c>
      <c r="E72" s="4" t="s">
        <v>532</v>
      </c>
      <c r="F72" s="4" t="s">
        <v>533</v>
      </c>
      <c r="G72" s="14">
        <v>72.44</v>
      </c>
      <c r="H72" s="10">
        <v>16.729575000000001</v>
      </c>
      <c r="I72" s="10">
        <v>43.768250000000002</v>
      </c>
      <c r="J72" s="10">
        <v>8.6702689999999993</v>
      </c>
      <c r="K72" s="15">
        <v>1.0490999999999999E-2</v>
      </c>
      <c r="L72" s="17">
        <v>38702.232154999998</v>
      </c>
      <c r="M72" s="4" t="s">
        <v>741</v>
      </c>
      <c r="N72" s="19">
        <v>1.655081</v>
      </c>
      <c r="O72" s="19">
        <v>3.0848</v>
      </c>
      <c r="P72" s="19">
        <v>1.3</v>
      </c>
      <c r="Q72" s="19">
        <v>2.5802999999999998</v>
      </c>
      <c r="R72" s="19">
        <v>9.01</v>
      </c>
      <c r="S72" s="19">
        <v>2.0653000000000001</v>
      </c>
      <c r="T72" s="19">
        <v>9.01</v>
      </c>
      <c r="U72" s="19">
        <v>1.3563000000000001</v>
      </c>
      <c r="V72" s="19">
        <v>0.83</v>
      </c>
      <c r="W72" s="19">
        <v>4.6683000000000003</v>
      </c>
      <c r="X72" s="19">
        <v>0.83</v>
      </c>
      <c r="Y72" s="19">
        <v>4.6683000000000003</v>
      </c>
      <c r="Z72" s="4"/>
      <c r="AA72" s="4"/>
      <c r="AB72" s="4" t="e">
        <f ca="1">_xll.ciqfunctions.udf.CIQ("^SPX", "IQ_PRICEDATE", "4/4/2014")</f>
        <v>#NAME?</v>
      </c>
      <c r="AC72" s="16">
        <v>1865.093413869</v>
      </c>
    </row>
    <row r="73" spans="1:29" x14ac:dyDescent="0.35">
      <c r="A73" s="2" t="s">
        <v>83</v>
      </c>
      <c r="B73" s="4" t="s">
        <v>742</v>
      </c>
      <c r="C73" s="4" t="s">
        <v>573</v>
      </c>
      <c r="D73" s="4" t="s">
        <v>737</v>
      </c>
      <c r="E73" s="4" t="s">
        <v>737</v>
      </c>
      <c r="F73" s="4" t="s">
        <v>743</v>
      </c>
      <c r="G73" s="14">
        <v>47.71</v>
      </c>
      <c r="H73" s="10">
        <v>0</v>
      </c>
      <c r="I73" s="10">
        <v>13.868186</v>
      </c>
      <c r="J73" s="10">
        <v>2.2443569999999999</v>
      </c>
      <c r="K73" s="15">
        <v>3.3954999999999999E-2</v>
      </c>
      <c r="L73" s="17">
        <v>36948.860502000003</v>
      </c>
      <c r="M73" s="4" t="s">
        <v>744</v>
      </c>
      <c r="N73" s="19">
        <v>3.440248</v>
      </c>
      <c r="O73" s="19">
        <v>4.1311999999999998</v>
      </c>
      <c r="P73" s="19">
        <v>2.74</v>
      </c>
      <c r="Q73" s="19">
        <v>3.3536999999999999</v>
      </c>
      <c r="R73" s="19">
        <v>2.77</v>
      </c>
      <c r="S73" s="19">
        <v>3.0568</v>
      </c>
      <c r="T73" s="19">
        <v>2.77</v>
      </c>
      <c r="U73" s="19">
        <v>3.0432000000000001</v>
      </c>
      <c r="V73" s="19">
        <v>2.72</v>
      </c>
      <c r="W73" s="19">
        <v>2.9737</v>
      </c>
      <c r="X73" s="19">
        <v>2.72</v>
      </c>
      <c r="Y73" s="19">
        <v>2.9737</v>
      </c>
      <c r="Z73" s="4"/>
      <c r="AA73" s="4"/>
      <c r="AB73" s="4" t="e">
        <f ca="1">_xll.ciqfunctions.udf.CIQ("^SPX", "IQ_PRICEDATE", "4/7/2014")</f>
        <v>#NAME?</v>
      </c>
      <c r="AC73" s="16">
        <v>1845.0353750807999</v>
      </c>
    </row>
    <row r="74" spans="1:29" x14ac:dyDescent="0.35">
      <c r="A74" s="2" t="s">
        <v>84</v>
      </c>
      <c r="B74" s="4" t="s">
        <v>745</v>
      </c>
      <c r="C74" s="4" t="s">
        <v>530</v>
      </c>
      <c r="D74" s="4" t="s">
        <v>531</v>
      </c>
      <c r="E74" s="4" t="s">
        <v>532</v>
      </c>
      <c r="F74" s="4" t="s">
        <v>533</v>
      </c>
      <c r="G74" s="14">
        <v>244.98</v>
      </c>
      <c r="H74" s="10">
        <v>20.324798999999999</v>
      </c>
      <c r="I74" s="10">
        <v>100.458826</v>
      </c>
      <c r="J74" s="10" t="s">
        <v>534</v>
      </c>
      <c r="K74" s="15">
        <v>1.2244999999999999E-2</v>
      </c>
      <c r="L74" s="17">
        <v>65547.724359</v>
      </c>
      <c r="M74" s="4" t="s">
        <v>746</v>
      </c>
      <c r="N74" s="19">
        <v>2.4386109999999999</v>
      </c>
      <c r="O74" s="19">
        <v>12.128399999999999</v>
      </c>
      <c r="P74" s="19">
        <v>1.287857</v>
      </c>
      <c r="Q74" s="19">
        <v>10.95617</v>
      </c>
      <c r="R74" s="19">
        <v>6.0084809999999997</v>
      </c>
      <c r="S74" s="19">
        <v>9.4920399999999994</v>
      </c>
      <c r="T74" s="19">
        <v>6.0084809999999997</v>
      </c>
      <c r="U74" s="19">
        <v>8.4030100000000001</v>
      </c>
      <c r="V74" s="19">
        <v>5.8210879999999996</v>
      </c>
      <c r="W74" s="19">
        <v>6.8008100000000002</v>
      </c>
      <c r="X74" s="19">
        <v>5.8210879999999996</v>
      </c>
      <c r="Y74" s="19">
        <v>6.8008100000000002</v>
      </c>
      <c r="Z74" s="4"/>
      <c r="AA74" s="4"/>
      <c r="AB74" s="4" t="e">
        <f ca="1">_xll.ciqfunctions.udf.CIQ("^SPX", "IQ_PRICEDATE", "4/8/2014")</f>
        <v>#NAME?</v>
      </c>
      <c r="AC74" s="16">
        <v>1851.9568565739</v>
      </c>
    </row>
    <row r="75" spans="1:29" x14ac:dyDescent="0.35">
      <c r="A75" s="2" t="s">
        <v>85</v>
      </c>
      <c r="B75" s="4" t="s">
        <v>747</v>
      </c>
      <c r="C75" s="4" t="s">
        <v>573</v>
      </c>
      <c r="D75" s="4" t="s">
        <v>574</v>
      </c>
      <c r="E75" s="4" t="s">
        <v>748</v>
      </c>
      <c r="F75" s="4" t="s">
        <v>749</v>
      </c>
      <c r="G75" s="14">
        <v>210.52</v>
      </c>
      <c r="H75" s="10">
        <v>13.176541</v>
      </c>
      <c r="I75" s="10">
        <v>0</v>
      </c>
      <c r="J75" s="10">
        <v>0</v>
      </c>
      <c r="K75" s="15">
        <v>0</v>
      </c>
      <c r="L75" s="17">
        <v>522541.546638</v>
      </c>
      <c r="M75" s="4" t="s">
        <v>750</v>
      </c>
      <c r="N75" s="19">
        <v>28872.225612999999</v>
      </c>
      <c r="O75" s="19">
        <v>9.8932000000000002</v>
      </c>
      <c r="P75" s="19">
        <v>27325.544276000001</v>
      </c>
      <c r="Q75" s="19">
        <v>7.9211999999999998</v>
      </c>
      <c r="R75" s="19">
        <v>14645.102339999999</v>
      </c>
      <c r="S75" s="19">
        <v>8.2537000000000003</v>
      </c>
      <c r="T75" s="19">
        <v>14645.102339999999</v>
      </c>
      <c r="U75" s="19">
        <v>7.9124999999999996</v>
      </c>
      <c r="V75" s="19">
        <v>12091.592350999999</v>
      </c>
      <c r="W75" s="19">
        <v>7.3375000000000004</v>
      </c>
      <c r="X75" s="19">
        <v>12091.592350999999</v>
      </c>
      <c r="Y75" s="19">
        <v>7.3375000000000004</v>
      </c>
      <c r="Z75" s="4"/>
      <c r="AA75" s="4"/>
      <c r="AB75" s="4" t="e">
        <f ca="1">_xll.ciqfunctions.udf.CIQ("^SPX", "IQ_PRICEDATE", "4/9/2014")</f>
        <v>#NAME?</v>
      </c>
      <c r="AC75" s="16">
        <v>1872.1787969918</v>
      </c>
    </row>
    <row r="76" spans="1:29" x14ac:dyDescent="0.35">
      <c r="A76" s="2" t="s">
        <v>86</v>
      </c>
      <c r="B76" s="4" t="s">
        <v>751</v>
      </c>
      <c r="C76" s="4" t="s">
        <v>559</v>
      </c>
      <c r="D76" s="4" t="s">
        <v>560</v>
      </c>
      <c r="E76" s="4" t="s">
        <v>561</v>
      </c>
      <c r="F76" s="4" t="s">
        <v>752</v>
      </c>
      <c r="G76" s="14">
        <v>73.83</v>
      </c>
      <c r="H76" s="10">
        <v>6.8990669999999996</v>
      </c>
      <c r="I76" s="10">
        <v>20.536394000000001</v>
      </c>
      <c r="J76" s="10">
        <v>7.4287570000000001</v>
      </c>
      <c r="K76" s="15">
        <v>2.4380000000000002E-2</v>
      </c>
      <c r="L76" s="17">
        <v>20270.584286000001</v>
      </c>
      <c r="M76" s="4" t="s">
        <v>753</v>
      </c>
      <c r="N76" s="19">
        <v>3.595081</v>
      </c>
      <c r="O76" s="19">
        <v>5.2553000000000001</v>
      </c>
      <c r="P76" s="19">
        <v>3.9762970000000002</v>
      </c>
      <c r="Q76" s="19">
        <v>4.218</v>
      </c>
      <c r="R76" s="19">
        <v>3.2797740000000002</v>
      </c>
      <c r="S76" s="19">
        <v>3.395</v>
      </c>
      <c r="T76" s="19">
        <v>3.2797740000000002</v>
      </c>
      <c r="U76" s="19">
        <v>2.7639</v>
      </c>
      <c r="V76" s="19">
        <v>2.9402910000000002</v>
      </c>
      <c r="W76" s="19">
        <v>2.5731000000000002</v>
      </c>
      <c r="X76" s="19">
        <v>2.9402910000000002</v>
      </c>
      <c r="Y76" s="19">
        <v>2.5731000000000002</v>
      </c>
      <c r="Z76" s="4"/>
      <c r="AA76" s="4"/>
      <c r="AB76" s="4" t="e">
        <f ca="1">_xll.ciqfunctions.udf.CIQ("^SPX", "IQ_PRICEDATE", "4/10/2014")</f>
        <v>#NAME?</v>
      </c>
      <c r="AC76" s="16">
        <v>1833.0779771555999</v>
      </c>
    </row>
    <row r="77" spans="1:29" x14ac:dyDescent="0.35">
      <c r="A77" s="2" t="s">
        <v>87</v>
      </c>
      <c r="B77" s="4" t="s">
        <v>754</v>
      </c>
      <c r="C77" s="4" t="s">
        <v>530</v>
      </c>
      <c r="D77" s="4" t="s">
        <v>537</v>
      </c>
      <c r="E77" s="4" t="s">
        <v>538</v>
      </c>
      <c r="F77" s="4" t="s">
        <v>538</v>
      </c>
      <c r="G77" s="14">
        <v>338.23</v>
      </c>
      <c r="H77" s="10">
        <v>10.526857</v>
      </c>
      <c r="I77" s="10">
        <v>24.015906999999999</v>
      </c>
      <c r="J77" s="10">
        <v>19.868200000000002</v>
      </c>
      <c r="K77" s="15">
        <v>0</v>
      </c>
      <c r="L77" s="17">
        <v>68134.015155999994</v>
      </c>
      <c r="M77" s="4" t="s">
        <v>755</v>
      </c>
      <c r="N77" s="19">
        <v>14.083582</v>
      </c>
      <c r="O77" s="19">
        <v>27.034800000000001</v>
      </c>
      <c r="P77" s="19">
        <v>11.92</v>
      </c>
      <c r="Q77" s="19">
        <v>23.4514</v>
      </c>
      <c r="R77" s="19">
        <v>16.93</v>
      </c>
      <c r="S77" s="19">
        <v>20.423400000000001</v>
      </c>
      <c r="T77" s="19">
        <v>16.93</v>
      </c>
      <c r="U77" s="19">
        <v>17.5108</v>
      </c>
      <c r="V77" s="19">
        <v>12.37</v>
      </c>
      <c r="W77" s="19">
        <v>15.878500000000001</v>
      </c>
      <c r="X77" s="19">
        <v>12.37</v>
      </c>
      <c r="Y77" s="19">
        <v>15.878500000000001</v>
      </c>
      <c r="Z77" s="4"/>
      <c r="AA77" s="4"/>
      <c r="AB77" s="4" t="e">
        <f ca="1">_xll.ciqfunctions.udf.CIQ("^SPX", "IQ_PRICEDATE", "4/11/2014")</f>
        <v>#NAME?</v>
      </c>
      <c r="AC77" s="16">
        <v>1815.6850871536001</v>
      </c>
    </row>
    <row r="78" spans="1:29" x14ac:dyDescent="0.35">
      <c r="A78" s="2" t="s">
        <v>88</v>
      </c>
      <c r="B78" s="4" t="s">
        <v>756</v>
      </c>
      <c r="C78" s="4" t="s">
        <v>573</v>
      </c>
      <c r="D78" s="4" t="s">
        <v>574</v>
      </c>
      <c r="E78" s="4" t="s">
        <v>575</v>
      </c>
      <c r="F78" s="4" t="s">
        <v>576</v>
      </c>
      <c r="G78" s="14">
        <v>411.85</v>
      </c>
      <c r="H78" s="10">
        <v>10.503163000000001</v>
      </c>
      <c r="I78" s="10">
        <v>11.781677999999999</v>
      </c>
      <c r="J78" s="10">
        <v>42.775889999999997</v>
      </c>
      <c r="K78" s="15">
        <v>3.0398999999999999E-2</v>
      </c>
      <c r="L78" s="17">
        <v>65815.427312999993</v>
      </c>
      <c r="M78" s="4" t="s">
        <v>757</v>
      </c>
      <c r="N78" s="19">
        <v>34.95682</v>
      </c>
      <c r="O78" s="19">
        <v>28.341999999999999</v>
      </c>
      <c r="P78" s="19">
        <v>30.229998999999999</v>
      </c>
      <c r="Q78" s="19">
        <v>24.3644</v>
      </c>
      <c r="R78" s="19">
        <v>19.039999000000002</v>
      </c>
      <c r="S78" s="19">
        <v>21.220500000000001</v>
      </c>
      <c r="T78" s="19">
        <v>19.039999000000002</v>
      </c>
      <c r="U78" s="19">
        <v>20.105899999999998</v>
      </c>
      <c r="V78" s="19">
        <v>19.249998999999999</v>
      </c>
      <c r="W78" s="19">
        <v>19.6983</v>
      </c>
      <c r="X78" s="19">
        <v>19.249998999999999</v>
      </c>
      <c r="Y78" s="19">
        <v>19.6983</v>
      </c>
      <c r="Z78" s="4"/>
      <c r="AA78" s="4"/>
      <c r="AB78" s="4" t="e">
        <f ca="1">_xll.ciqfunctions.udf.CIQ("^SPX", "IQ_PRICEDATE", "4/14/2014")</f>
        <v>#NAME?</v>
      </c>
      <c r="AC78" s="16">
        <v>1830.6099712215</v>
      </c>
    </row>
    <row r="79" spans="1:29" x14ac:dyDescent="0.35">
      <c r="A79" s="2" t="s">
        <v>89</v>
      </c>
      <c r="B79" s="4" t="s">
        <v>758</v>
      </c>
      <c r="C79" s="4" t="s">
        <v>559</v>
      </c>
      <c r="D79" s="4" t="s">
        <v>560</v>
      </c>
      <c r="E79" s="4" t="s">
        <v>631</v>
      </c>
      <c r="F79" s="4" t="s">
        <v>631</v>
      </c>
      <c r="G79" s="14">
        <v>1850.51</v>
      </c>
      <c r="H79" s="10">
        <v>16.342027999999999</v>
      </c>
      <c r="I79" s="10">
        <v>33.222943000000001</v>
      </c>
      <c r="J79" s="10">
        <v>16.318456999999999</v>
      </c>
      <c r="K79" s="15">
        <v>0</v>
      </c>
      <c r="L79" s="17">
        <v>87847.458832999997</v>
      </c>
      <c r="M79" s="4" t="s">
        <v>759</v>
      </c>
      <c r="N79" s="19">
        <v>55.699759999999998</v>
      </c>
      <c r="O79" s="19">
        <v>93.3322</v>
      </c>
      <c r="P79" s="19">
        <v>46.86</v>
      </c>
      <c r="Q79" s="19">
        <v>80.751900000000006</v>
      </c>
      <c r="R79" s="19">
        <v>42.65</v>
      </c>
      <c r="S79" s="19">
        <v>75.648700000000005</v>
      </c>
      <c r="T79" s="19">
        <v>42.65</v>
      </c>
      <c r="U79" s="19">
        <v>65.969300000000004</v>
      </c>
      <c r="V79" s="19">
        <v>45.67</v>
      </c>
      <c r="W79" s="19">
        <v>59.284100000000002</v>
      </c>
      <c r="X79" s="19">
        <v>45.67</v>
      </c>
      <c r="Y79" s="19">
        <v>59.284100000000002</v>
      </c>
      <c r="Z79" s="4"/>
      <c r="AA79" s="4"/>
      <c r="AB79" s="4" t="e">
        <f ca="1">_xll.ciqfunctions.udf.CIQ("^SPX", "IQ_PRICEDATE", "4/15/2014")</f>
        <v>#NAME?</v>
      </c>
      <c r="AC79" s="16">
        <v>1842.9812684377</v>
      </c>
    </row>
    <row r="80" spans="1:29" x14ac:dyDescent="0.35">
      <c r="A80" s="2" t="s">
        <v>90</v>
      </c>
      <c r="B80" s="4" t="s">
        <v>760</v>
      </c>
      <c r="C80" s="4" t="s">
        <v>559</v>
      </c>
      <c r="D80" s="4" t="s">
        <v>694</v>
      </c>
      <c r="E80" s="4" t="s">
        <v>695</v>
      </c>
      <c r="F80" s="4" t="s">
        <v>696</v>
      </c>
      <c r="G80" s="14">
        <v>37.9</v>
      </c>
      <c r="H80" s="10">
        <v>5.4776449999999999</v>
      </c>
      <c r="I80" s="10">
        <v>14.90521</v>
      </c>
      <c r="J80" s="10">
        <v>4.8259889999999999</v>
      </c>
      <c r="K80" s="15">
        <v>1.7940999999999999E-2</v>
      </c>
      <c r="L80" s="17">
        <v>7916.0707460000003</v>
      </c>
      <c r="M80" s="4" t="s">
        <v>761</v>
      </c>
      <c r="N80" s="19">
        <v>2.542735</v>
      </c>
      <c r="O80" s="19">
        <v>4.5087999999999999</v>
      </c>
      <c r="P80" s="19">
        <v>2.08</v>
      </c>
      <c r="Q80" s="19">
        <v>4.1189999999999998</v>
      </c>
      <c r="R80" s="19">
        <v>0.55000000000000004</v>
      </c>
      <c r="S80" s="19">
        <v>3.3852000000000002</v>
      </c>
      <c r="T80" s="19">
        <v>0.55000000000000004</v>
      </c>
      <c r="U80" s="19">
        <v>3.2254</v>
      </c>
      <c r="V80" s="19">
        <v>2.86</v>
      </c>
      <c r="W80" s="19">
        <v>3.5762999999999998</v>
      </c>
      <c r="X80" s="19">
        <v>2.86</v>
      </c>
      <c r="Y80" s="19">
        <v>3.5762999999999998</v>
      </c>
      <c r="Z80" s="4"/>
      <c r="AA80" s="4"/>
      <c r="AB80" s="4" t="e">
        <f ca="1">_xll.ciqfunctions.udf.CIQ("^SPX", "IQ_PRICEDATE", "4/16/2014")</f>
        <v>#NAME?</v>
      </c>
      <c r="AC80" s="16">
        <v>1862.3119970058001</v>
      </c>
    </row>
    <row r="81" spans="1:29" x14ac:dyDescent="0.35">
      <c r="A81" s="2" t="s">
        <v>91</v>
      </c>
      <c r="B81" s="4" t="s">
        <v>762</v>
      </c>
      <c r="C81" s="4" t="s">
        <v>601</v>
      </c>
      <c r="D81" s="4" t="s">
        <v>601</v>
      </c>
      <c r="E81" s="4" t="s">
        <v>602</v>
      </c>
      <c r="F81" s="4" t="s">
        <v>603</v>
      </c>
      <c r="G81" s="14">
        <v>117.52</v>
      </c>
      <c r="H81" s="10">
        <v>20.020022000000001</v>
      </c>
      <c r="I81" s="10">
        <v>34.561849000000002</v>
      </c>
      <c r="J81" s="10">
        <v>3.1875900000000001</v>
      </c>
      <c r="K81" s="15">
        <v>3.2334000000000002E-2</v>
      </c>
      <c r="L81" s="17">
        <v>18147.415601000001</v>
      </c>
      <c r="M81" s="4" t="s">
        <v>763</v>
      </c>
      <c r="N81" s="19">
        <v>3.4002810000000001</v>
      </c>
      <c r="O81" s="19">
        <v>2.8677000000000001</v>
      </c>
      <c r="P81" s="19">
        <v>2.93</v>
      </c>
      <c r="Q81" s="19">
        <v>2.8548</v>
      </c>
      <c r="R81" s="19">
        <v>3.26</v>
      </c>
      <c r="S81" s="19">
        <v>2.0867</v>
      </c>
      <c r="T81" s="19">
        <v>3.26</v>
      </c>
      <c r="U81" s="19">
        <v>1.9963</v>
      </c>
      <c r="V81" s="19">
        <v>2.829145</v>
      </c>
      <c r="W81" s="19">
        <v>1.458</v>
      </c>
      <c r="X81" s="19">
        <v>2.829145</v>
      </c>
      <c r="Y81" s="19">
        <v>1.458</v>
      </c>
      <c r="Z81" s="4"/>
      <c r="AA81" s="4"/>
      <c r="AB81" s="4" t="e">
        <f ca="1">_xll.ciqfunctions.udf.CIQ("^SPX", "IQ_PRICEDATE", "4/17/2014")</f>
        <v>#NAME?</v>
      </c>
      <c r="AC81" s="16">
        <v>1864.8513770633001</v>
      </c>
    </row>
    <row r="82" spans="1:29" x14ac:dyDescent="0.35">
      <c r="A82" s="2" t="s">
        <v>92</v>
      </c>
      <c r="B82" s="4" t="s">
        <v>764</v>
      </c>
      <c r="C82" s="4" t="s">
        <v>530</v>
      </c>
      <c r="D82" s="4" t="s">
        <v>531</v>
      </c>
      <c r="E82" s="4" t="s">
        <v>532</v>
      </c>
      <c r="F82" s="4" t="s">
        <v>533</v>
      </c>
      <c r="G82" s="14">
        <v>38</v>
      </c>
      <c r="H82" s="10">
        <v>22.884535</v>
      </c>
      <c r="I82" s="10">
        <v>100.32817799999999</v>
      </c>
      <c r="J82" s="10" t="s">
        <v>534</v>
      </c>
      <c r="K82" s="15">
        <v>0</v>
      </c>
      <c r="L82" s="17">
        <v>52551.141525999999</v>
      </c>
      <c r="M82" s="4" t="s">
        <v>765</v>
      </c>
      <c r="N82" s="19">
        <v>0.37875700000000001</v>
      </c>
      <c r="O82" s="19">
        <v>1.4548000000000001</v>
      </c>
      <c r="P82" s="19">
        <v>7.5906000000000001E-2</v>
      </c>
      <c r="Q82" s="19">
        <v>1.337</v>
      </c>
      <c r="R82" s="19">
        <v>0.25</v>
      </c>
      <c r="S82" s="19">
        <v>1.2065999999999999</v>
      </c>
      <c r="T82" s="19">
        <v>0.25</v>
      </c>
      <c r="U82" s="19">
        <v>1.0217000000000001</v>
      </c>
      <c r="V82" s="19">
        <v>-0.09</v>
      </c>
      <c r="W82" s="19">
        <v>0.87619999999999998</v>
      </c>
      <c r="X82" s="19">
        <v>-0.09</v>
      </c>
      <c r="Y82" s="19">
        <v>0.87619999999999998</v>
      </c>
      <c r="Z82" s="4"/>
      <c r="AA82" s="4"/>
      <c r="AB82" s="4" t="e">
        <f ca="1">_xll.ciqfunctions.udf.CIQ("^SPX", "IQ_PRICEDATE", "4/21/2014")</f>
        <v>#NAME?</v>
      </c>
      <c r="AC82" s="16">
        <v>1871.8875618069001</v>
      </c>
    </row>
    <row r="83" spans="1:29" x14ac:dyDescent="0.35">
      <c r="A83" s="2" t="s">
        <v>93</v>
      </c>
      <c r="B83" s="4" t="s">
        <v>766</v>
      </c>
      <c r="C83" s="4" t="s">
        <v>573</v>
      </c>
      <c r="D83" s="4" t="s">
        <v>579</v>
      </c>
      <c r="E83" s="4" t="s">
        <v>579</v>
      </c>
      <c r="F83" s="4" t="s">
        <v>580</v>
      </c>
      <c r="G83" s="14">
        <v>44.06</v>
      </c>
      <c r="H83" s="10" t="s">
        <v>534</v>
      </c>
      <c r="I83" s="10" t="s">
        <v>534</v>
      </c>
      <c r="J83" s="10">
        <v>0.39279500000000001</v>
      </c>
      <c r="K83" s="15">
        <v>0</v>
      </c>
      <c r="L83" s="17">
        <v>5277.6243519999998</v>
      </c>
      <c r="M83" s="4" t="s">
        <v>767</v>
      </c>
      <c r="N83" s="19">
        <v>-4.8559669999999997</v>
      </c>
      <c r="O83" s="19">
        <v>8.5884</v>
      </c>
      <c r="P83" s="19">
        <v>-3.155967</v>
      </c>
      <c r="Q83" s="19">
        <v>8.6027000000000005</v>
      </c>
      <c r="R83" s="19">
        <v>-24.538062</v>
      </c>
      <c r="S83" s="19">
        <v>0</v>
      </c>
      <c r="T83" s="19">
        <v>-24.538062</v>
      </c>
      <c r="U83" s="19">
        <v>0</v>
      </c>
      <c r="V83" s="19">
        <v>0</v>
      </c>
      <c r="W83" s="19">
        <v>0</v>
      </c>
      <c r="X83" s="19">
        <v>0</v>
      </c>
      <c r="Y83" s="19">
        <v>0</v>
      </c>
      <c r="Z83" s="4"/>
      <c r="AA83" s="4"/>
      <c r="AB83" s="4" t="e">
        <f ca="1">_xll.ciqfunctions.udf.CIQ("^SPX", "IQ_PRICEDATE", "4/22/2014")</f>
        <v>#NAME?</v>
      </c>
      <c r="AC83" s="16">
        <v>1879.5510464813999</v>
      </c>
    </row>
    <row r="84" spans="1:29" x14ac:dyDescent="0.35">
      <c r="A84" s="2" t="s">
        <v>94</v>
      </c>
      <c r="B84" s="4" t="s">
        <v>768</v>
      </c>
      <c r="C84" s="4" t="s">
        <v>530</v>
      </c>
      <c r="D84" s="4" t="s">
        <v>537</v>
      </c>
      <c r="E84" s="4" t="s">
        <v>613</v>
      </c>
      <c r="F84" s="4" t="s">
        <v>613</v>
      </c>
      <c r="G84" s="14">
        <v>58.9</v>
      </c>
      <c r="H84" s="10">
        <v>16.096806000000001</v>
      </c>
      <c r="I84" s="10">
        <v>262.17978599999998</v>
      </c>
      <c r="J84" s="10">
        <v>21.152635</v>
      </c>
      <c r="K84" s="15">
        <v>2.7164000000000001E-2</v>
      </c>
      <c r="L84" s="17">
        <v>96117.549939999997</v>
      </c>
      <c r="M84" s="4" t="s">
        <v>769</v>
      </c>
      <c r="N84" s="19">
        <v>0.22465499999999999</v>
      </c>
      <c r="O84" s="19">
        <v>3.8197000000000001</v>
      </c>
      <c r="P84" s="19">
        <v>0.61</v>
      </c>
      <c r="Q84" s="19">
        <v>3.0831</v>
      </c>
      <c r="R84" s="19">
        <v>2.65</v>
      </c>
      <c r="S84" s="19">
        <v>2.9203000000000001</v>
      </c>
      <c r="T84" s="19">
        <v>2.65</v>
      </c>
      <c r="U84" s="19">
        <v>2.0779000000000001</v>
      </c>
      <c r="V84" s="19">
        <v>1.2</v>
      </c>
      <c r="W84" s="19">
        <v>1.8321000000000001</v>
      </c>
      <c r="X84" s="19">
        <v>1.2</v>
      </c>
      <c r="Y84" s="19">
        <v>1.8321000000000001</v>
      </c>
      <c r="Z84" s="4"/>
      <c r="AA84" s="4"/>
      <c r="AB84" s="4" t="e">
        <f ca="1">_xll.ciqfunctions.udf.CIQ("^SPX", "IQ_PRICEDATE", "4/23/2014")</f>
        <v>#NAME?</v>
      </c>
      <c r="AC84" s="16">
        <v>1875.3877070323001</v>
      </c>
    </row>
    <row r="85" spans="1:29" x14ac:dyDescent="0.35">
      <c r="A85" s="2" t="s">
        <v>95</v>
      </c>
      <c r="B85" s="4" t="s">
        <v>770</v>
      </c>
      <c r="C85" s="4" t="s">
        <v>543</v>
      </c>
      <c r="D85" s="4" t="s">
        <v>565</v>
      </c>
      <c r="E85" s="4" t="s">
        <v>565</v>
      </c>
      <c r="F85" s="4" t="s">
        <v>566</v>
      </c>
      <c r="G85" s="14">
        <v>237.17</v>
      </c>
      <c r="H85" s="10">
        <v>12.161959</v>
      </c>
      <c r="I85" s="10">
        <v>8.5225469999999994</v>
      </c>
      <c r="J85" s="10" t="s">
        <v>534</v>
      </c>
      <c r="K85" s="15">
        <v>2.9513999999999999E-2</v>
      </c>
      <c r="L85" s="17">
        <v>98057.166882999998</v>
      </c>
      <c r="M85" s="4" t="s">
        <v>771</v>
      </c>
      <c r="N85" s="19">
        <v>27.828533</v>
      </c>
      <c r="O85" s="19">
        <v>21.167400000000001</v>
      </c>
      <c r="P85" s="19">
        <v>4.03</v>
      </c>
      <c r="Q85" s="19">
        <v>0</v>
      </c>
      <c r="R85" s="19">
        <v>-4.5665789999999999</v>
      </c>
      <c r="S85" s="19">
        <v>0</v>
      </c>
      <c r="T85" s="19">
        <v>-4.5665789999999999</v>
      </c>
      <c r="U85" s="19">
        <v>0</v>
      </c>
      <c r="V85" s="19">
        <v>1.1599999999999999</v>
      </c>
      <c r="W85" s="19">
        <v>0</v>
      </c>
      <c r="X85" s="19">
        <v>1.1599999999999999</v>
      </c>
      <c r="Y85" s="19">
        <v>0</v>
      </c>
      <c r="Z85" s="4"/>
      <c r="AA85" s="4"/>
      <c r="AB85" s="4" t="e">
        <f ca="1">_xll.ciqfunctions.udf.CIQ("^SPX", "IQ_PRICEDATE", "4/24/2014")</f>
        <v>#NAME?</v>
      </c>
      <c r="AC85" s="16">
        <v>1878.610508557</v>
      </c>
    </row>
    <row r="86" spans="1:29" x14ac:dyDescent="0.35">
      <c r="A86" s="2" t="s">
        <v>96</v>
      </c>
      <c r="B86" s="4" t="s">
        <v>772</v>
      </c>
      <c r="C86" s="4" t="s">
        <v>543</v>
      </c>
      <c r="D86" s="4" t="s">
        <v>544</v>
      </c>
      <c r="E86" s="4" t="s">
        <v>545</v>
      </c>
      <c r="F86" s="4" t="s">
        <v>616</v>
      </c>
      <c r="G86" s="14">
        <v>118.81</v>
      </c>
      <c r="H86" s="10">
        <v>18.167111999999999</v>
      </c>
      <c r="I86" s="10">
        <v>33.373595000000002</v>
      </c>
      <c r="J86" s="10" t="s">
        <v>534</v>
      </c>
      <c r="K86" s="15">
        <v>1.6327999999999999E-2</v>
      </c>
      <c r="L86" s="17">
        <v>13820.592259999999</v>
      </c>
      <c r="M86" s="4" t="s">
        <v>773</v>
      </c>
      <c r="N86" s="19">
        <v>3.56</v>
      </c>
      <c r="O86" s="19">
        <v>4.66167</v>
      </c>
      <c r="P86" s="19">
        <v>3.119675</v>
      </c>
      <c r="Q86" s="19">
        <v>3.7469999999999999</v>
      </c>
      <c r="R86" s="19">
        <v>2.4420839999999999</v>
      </c>
      <c r="S86" s="19">
        <v>3.2098</v>
      </c>
      <c r="T86" s="19">
        <v>2.4420839999999999</v>
      </c>
      <c r="U86" s="19">
        <v>2.8180999999999998</v>
      </c>
      <c r="V86" s="19">
        <v>2.0777489999999998</v>
      </c>
      <c r="W86" s="19">
        <v>2.5493000000000001</v>
      </c>
      <c r="X86" s="19">
        <v>2.0777489999999998</v>
      </c>
      <c r="Y86" s="19">
        <v>2.5493000000000001</v>
      </c>
      <c r="Z86" s="4"/>
      <c r="AA86" s="4"/>
      <c r="AB86" s="4" t="e">
        <f ca="1">_xll.ciqfunctions.udf.CIQ("^SPX", "IQ_PRICEDATE", "4/25/2014")</f>
        <v>#NAME?</v>
      </c>
      <c r="AC86" s="16">
        <v>1863.4006714401</v>
      </c>
    </row>
    <row r="87" spans="1:29" x14ac:dyDescent="0.35">
      <c r="A87" s="2" t="s">
        <v>97</v>
      </c>
      <c r="B87" s="4" t="s">
        <v>774</v>
      </c>
      <c r="C87" s="4" t="s">
        <v>626</v>
      </c>
      <c r="D87" s="4" t="s">
        <v>627</v>
      </c>
      <c r="E87" s="4" t="s">
        <v>775</v>
      </c>
      <c r="F87" s="4" t="s">
        <v>776</v>
      </c>
      <c r="G87" s="14">
        <v>47.9</v>
      </c>
      <c r="H87" s="10">
        <v>22.599243000000001</v>
      </c>
      <c r="I87" s="10">
        <v>31.513468</v>
      </c>
      <c r="J87" s="10" t="s">
        <v>534</v>
      </c>
      <c r="K87" s="15">
        <v>1.3193999999999999E-2</v>
      </c>
      <c r="L87" s="17">
        <v>23081.351655999999</v>
      </c>
      <c r="M87" s="4" t="s">
        <v>777</v>
      </c>
      <c r="N87" s="19">
        <v>1.5199849999999999</v>
      </c>
      <c r="O87" s="19">
        <v>1.7033</v>
      </c>
      <c r="P87" s="19">
        <v>1.5397130000000001</v>
      </c>
      <c r="Q87" s="19">
        <v>1.6486000000000001</v>
      </c>
      <c r="R87" s="19">
        <v>2.1137489999999999</v>
      </c>
      <c r="S87" s="19">
        <v>1.4413</v>
      </c>
      <c r="T87" s="19">
        <v>2.1137489999999999</v>
      </c>
      <c r="U87" s="19">
        <v>1.4343999999999999</v>
      </c>
      <c r="V87" s="19">
        <v>1.2437910000000001</v>
      </c>
      <c r="W87" s="19">
        <v>1.3714999999999999</v>
      </c>
      <c r="X87" s="19">
        <v>1.2437910000000001</v>
      </c>
      <c r="Y87" s="19">
        <v>1.3714999999999999</v>
      </c>
      <c r="Z87" s="4"/>
      <c r="AA87" s="4"/>
      <c r="AB87" s="4" t="e">
        <f ca="1">_xll.ciqfunctions.udf.CIQ("^SPX", "IQ_PRICEDATE", "4/28/2014")</f>
        <v>#NAME?</v>
      </c>
      <c r="AC87" s="16">
        <v>1869.4252355353999</v>
      </c>
    </row>
    <row r="88" spans="1:29" x14ac:dyDescent="0.35">
      <c r="A88" s="2" t="s">
        <v>98</v>
      </c>
      <c r="B88" s="4" t="s">
        <v>778</v>
      </c>
      <c r="C88" s="4" t="s">
        <v>525</v>
      </c>
      <c r="D88" s="4" t="s">
        <v>594</v>
      </c>
      <c r="E88" s="4" t="s">
        <v>779</v>
      </c>
      <c r="F88" s="4" t="s">
        <v>779</v>
      </c>
      <c r="G88" s="14">
        <v>93.68</v>
      </c>
      <c r="H88" s="10">
        <v>15.520675000000001</v>
      </c>
      <c r="I88" s="10">
        <v>23.070698</v>
      </c>
      <c r="J88" s="10">
        <v>106.42648699999999</v>
      </c>
      <c r="K88" s="15">
        <v>1.9640999999999999E-2</v>
      </c>
      <c r="L88" s="17">
        <v>12978.848666</v>
      </c>
      <c r="M88" s="4" t="s">
        <v>780</v>
      </c>
      <c r="N88" s="19">
        <v>4.060562</v>
      </c>
      <c r="O88" s="19">
        <v>4.6940999999999997</v>
      </c>
      <c r="P88" s="19">
        <v>3.57</v>
      </c>
      <c r="Q88" s="19">
        <v>3.5849000000000002</v>
      </c>
      <c r="R88" s="19">
        <v>3.59</v>
      </c>
      <c r="S88" s="19">
        <v>3.6333000000000002</v>
      </c>
      <c r="T88" s="19">
        <v>3.59</v>
      </c>
      <c r="U88" s="19">
        <v>3.6848000000000001</v>
      </c>
      <c r="V88" s="19">
        <v>3.05</v>
      </c>
      <c r="W88" s="19">
        <v>3.3041999999999998</v>
      </c>
      <c r="X88" s="19">
        <v>3.05</v>
      </c>
      <c r="Y88" s="19">
        <v>3.3041999999999998</v>
      </c>
      <c r="Z88" s="4"/>
      <c r="AA88" s="4"/>
      <c r="AB88" s="4" t="e">
        <f ca="1">_xll.ciqfunctions.udf.CIQ("^SPX", "IQ_PRICEDATE", "4/29/2014")</f>
        <v>#NAME?</v>
      </c>
      <c r="AC88" s="16">
        <v>1878.3300711029999</v>
      </c>
    </row>
    <row r="89" spans="1:29" x14ac:dyDescent="0.35">
      <c r="A89" s="2" t="s">
        <v>99</v>
      </c>
      <c r="B89" s="4" t="s">
        <v>781</v>
      </c>
      <c r="C89" s="4" t="s">
        <v>543</v>
      </c>
      <c r="D89" s="4" t="s">
        <v>544</v>
      </c>
      <c r="E89" s="4" t="s">
        <v>555</v>
      </c>
      <c r="F89" s="4" t="s">
        <v>782</v>
      </c>
      <c r="G89" s="14">
        <v>43.98</v>
      </c>
      <c r="H89" s="10">
        <v>14.339661</v>
      </c>
      <c r="I89" s="10">
        <v>39.706865999999998</v>
      </c>
      <c r="J89" s="10" t="s">
        <v>534</v>
      </c>
      <c r="K89" s="15">
        <v>2.3192000000000001E-2</v>
      </c>
      <c r="L89" s="17">
        <v>18390.935578000001</v>
      </c>
      <c r="M89" s="4" t="s">
        <v>783</v>
      </c>
      <c r="N89" s="19">
        <v>1.1076170000000001</v>
      </c>
      <c r="O89" s="19">
        <v>2.8094000000000001</v>
      </c>
      <c r="P89" s="19">
        <v>1.0120769999999999</v>
      </c>
      <c r="Q89" s="19">
        <v>2.4868999999999999</v>
      </c>
      <c r="R89" s="19">
        <v>1.878744</v>
      </c>
      <c r="S89" s="19">
        <v>2.5095999999999998</v>
      </c>
      <c r="T89" s="19">
        <v>1.878744</v>
      </c>
      <c r="U89" s="19">
        <v>2.4708999999999999</v>
      </c>
      <c r="V89" s="19">
        <v>1.7158370000000001</v>
      </c>
      <c r="W89" s="19">
        <v>2.4104000000000001</v>
      </c>
      <c r="X89" s="19">
        <v>1.7158370000000001</v>
      </c>
      <c r="Y89" s="19">
        <v>2.4104000000000001</v>
      </c>
      <c r="Z89" s="4"/>
      <c r="AA89" s="4"/>
      <c r="AB89" s="4" t="e">
        <f ca="1">_xll.ciqfunctions.udf.CIQ("^SPX", "IQ_PRICEDATE", "4/30/2014")</f>
        <v>#NAME?</v>
      </c>
      <c r="AC89" s="16">
        <v>1883.9501304206001</v>
      </c>
    </row>
    <row r="90" spans="1:29" x14ac:dyDescent="0.35">
      <c r="A90" s="2" t="s">
        <v>100</v>
      </c>
      <c r="B90" s="4" t="s">
        <v>784</v>
      </c>
      <c r="C90" s="4" t="s">
        <v>669</v>
      </c>
      <c r="D90" s="4" t="s">
        <v>669</v>
      </c>
      <c r="E90" s="4" t="s">
        <v>670</v>
      </c>
      <c r="F90" s="4" t="s">
        <v>671</v>
      </c>
      <c r="G90" s="14">
        <v>23.8</v>
      </c>
      <c r="H90" s="10">
        <v>14.452731</v>
      </c>
      <c r="I90" s="10">
        <v>82.235421000000002</v>
      </c>
      <c r="J90" s="10">
        <v>4.8742570000000001</v>
      </c>
      <c r="K90" s="15">
        <v>1.0083999999999999E-2</v>
      </c>
      <c r="L90" s="17">
        <v>10500.021739</v>
      </c>
      <c r="M90" s="4" t="s">
        <v>785</v>
      </c>
      <c r="N90" s="19">
        <v>0.28941299999999998</v>
      </c>
      <c r="O90" s="19">
        <v>1.4618</v>
      </c>
      <c r="P90" s="19">
        <v>0.21648700000000001</v>
      </c>
      <c r="Q90" s="19">
        <v>0.84609999999999996</v>
      </c>
      <c r="R90" s="19">
        <v>-0.913049</v>
      </c>
      <c r="S90" s="19">
        <v>0.32229999999999998</v>
      </c>
      <c r="T90" s="19">
        <v>-0.913049</v>
      </c>
      <c r="U90" s="19">
        <v>-0.10050000000000001</v>
      </c>
      <c r="V90" s="19">
        <v>0.25</v>
      </c>
      <c r="W90" s="19">
        <v>0.85319999999999996</v>
      </c>
      <c r="X90" s="19">
        <v>0.25</v>
      </c>
      <c r="Y90" s="19">
        <v>0.85319999999999996</v>
      </c>
      <c r="Z90" s="4"/>
      <c r="AA90" s="4"/>
      <c r="AB90" s="4" t="e">
        <f ca="1">_xll.ciqfunctions.udf.CIQ("^SPX", "IQ_PRICEDATE", "5/1/2014")</f>
        <v>#NAME?</v>
      </c>
      <c r="AC90" s="16">
        <v>1883.6834685870001</v>
      </c>
    </row>
    <row r="91" spans="1:29" x14ac:dyDescent="0.35">
      <c r="A91" s="2" t="s">
        <v>101</v>
      </c>
      <c r="B91" s="4" t="s">
        <v>786</v>
      </c>
      <c r="C91" s="4" t="s">
        <v>543</v>
      </c>
      <c r="D91" s="4" t="s">
        <v>544</v>
      </c>
      <c r="E91" s="4" t="s">
        <v>555</v>
      </c>
      <c r="F91" s="4" t="s">
        <v>556</v>
      </c>
      <c r="G91" s="14">
        <v>40.4</v>
      </c>
      <c r="H91" s="10">
        <v>24.092434999999998</v>
      </c>
      <c r="I91" s="10">
        <v>52.391258000000001</v>
      </c>
      <c r="J91" s="10">
        <v>41.808138999999997</v>
      </c>
      <c r="K91" s="15">
        <v>0</v>
      </c>
      <c r="L91" s="17">
        <v>11425.4432</v>
      </c>
      <c r="M91" s="4" t="s">
        <v>787</v>
      </c>
      <c r="N91" s="19">
        <v>0.77112099999999995</v>
      </c>
      <c r="O91" s="19">
        <v>1.7259</v>
      </c>
      <c r="P91" s="19">
        <v>0.73</v>
      </c>
      <c r="Q91" s="19">
        <v>1.4874000000000001</v>
      </c>
      <c r="R91" s="19">
        <v>0.7</v>
      </c>
      <c r="S91" s="19">
        <v>1.3187</v>
      </c>
      <c r="T91" s="19">
        <v>0.7</v>
      </c>
      <c r="U91" s="19">
        <v>1.1363000000000001</v>
      </c>
      <c r="V91" s="19">
        <v>0.43928200000000001</v>
      </c>
      <c r="W91" s="19">
        <v>1.0418000000000001</v>
      </c>
      <c r="X91" s="19">
        <v>0.43928200000000001</v>
      </c>
      <c r="Y91" s="19">
        <v>1.0418000000000001</v>
      </c>
      <c r="Z91" s="4"/>
      <c r="AA91" s="4"/>
      <c r="AB91" s="4" t="e">
        <f ca="1">_xll.ciqfunctions.udf.CIQ("^SPX", "IQ_PRICEDATE", "5/2/2014")</f>
        <v>#NAME?</v>
      </c>
      <c r="AC91" s="16">
        <v>1881.1381375353999</v>
      </c>
    </row>
    <row r="92" spans="1:29" x14ac:dyDescent="0.35">
      <c r="A92" s="2" t="s">
        <v>102</v>
      </c>
      <c r="B92" s="4" t="s">
        <v>788</v>
      </c>
      <c r="C92" s="4" t="s">
        <v>626</v>
      </c>
      <c r="D92" s="4" t="s">
        <v>627</v>
      </c>
      <c r="E92" s="4" t="s">
        <v>699</v>
      </c>
      <c r="F92" s="4" t="s">
        <v>789</v>
      </c>
      <c r="G92" s="14">
        <v>36.32</v>
      </c>
      <c r="H92" s="10">
        <v>10.58963</v>
      </c>
      <c r="I92" s="10">
        <v>42.232557999999997</v>
      </c>
      <c r="J92" s="10" t="s">
        <v>534</v>
      </c>
      <c r="K92" s="15">
        <v>3.8545999999999997E-2</v>
      </c>
      <c r="L92" s="17">
        <v>10919.830604999999</v>
      </c>
      <c r="M92" s="4" t="s">
        <v>790</v>
      </c>
      <c r="N92" s="19">
        <v>0.86</v>
      </c>
      <c r="O92" s="19">
        <v>2.4372699999999998</v>
      </c>
      <c r="P92" s="19">
        <v>2.85459</v>
      </c>
      <c r="Q92" s="19">
        <v>2.9523000000000001</v>
      </c>
      <c r="R92" s="19">
        <v>2.1284049999999999</v>
      </c>
      <c r="S92" s="19">
        <v>3.1292</v>
      </c>
      <c r="T92" s="19">
        <v>2.1284049999999999</v>
      </c>
      <c r="U92" s="19">
        <v>2.8235000000000001</v>
      </c>
      <c r="V92" s="19">
        <v>2.5402049999999998</v>
      </c>
      <c r="W92" s="19">
        <v>2.4777999999999998</v>
      </c>
      <c r="X92" s="19">
        <v>2.5402049999999998</v>
      </c>
      <c r="Y92" s="19">
        <v>2.4777999999999998</v>
      </c>
      <c r="Z92" s="4"/>
      <c r="AA92" s="4"/>
      <c r="AB92" s="4" t="e">
        <f ca="1">_xll.ciqfunctions.udf.CIQ("^SPX", "IQ_PRICEDATE", "5/5/2014")</f>
        <v>#NAME?</v>
      </c>
      <c r="AC92" s="16">
        <v>1884.6557347001001</v>
      </c>
    </row>
    <row r="93" spans="1:29" x14ac:dyDescent="0.35">
      <c r="A93" s="2" t="s">
        <v>103</v>
      </c>
      <c r="B93" s="4" t="s">
        <v>791</v>
      </c>
      <c r="C93" s="4" t="s">
        <v>573</v>
      </c>
      <c r="D93" s="4" t="s">
        <v>574</v>
      </c>
      <c r="E93" s="4" t="s">
        <v>641</v>
      </c>
      <c r="F93" s="4" t="s">
        <v>641</v>
      </c>
      <c r="G93" s="14">
        <v>91.48</v>
      </c>
      <c r="H93" s="10">
        <v>0</v>
      </c>
      <c r="I93" s="10">
        <v>13.784369999999999</v>
      </c>
      <c r="J93" s="10">
        <v>1.4454560000000001</v>
      </c>
      <c r="K93" s="15">
        <v>1.7490000000000002E-2</v>
      </c>
      <c r="L93" s="17">
        <v>43766.776400000002</v>
      </c>
      <c r="M93" s="4" t="s">
        <v>792</v>
      </c>
      <c r="N93" s="19">
        <v>6.6365020000000001</v>
      </c>
      <c r="O93" s="19">
        <v>10.9521</v>
      </c>
      <c r="P93" s="19">
        <v>3.76</v>
      </c>
      <c r="Q93" s="19">
        <v>8.5507000000000009</v>
      </c>
      <c r="R93" s="19">
        <v>6.93</v>
      </c>
      <c r="S93" s="19">
        <v>7.8623000000000003</v>
      </c>
      <c r="T93" s="19">
        <v>6.93</v>
      </c>
      <c r="U93" s="19">
        <v>7.6513999999999998</v>
      </c>
      <c r="V93" s="19">
        <v>7.58</v>
      </c>
      <c r="W93" s="19">
        <v>7.6684999999999999</v>
      </c>
      <c r="X93" s="19">
        <v>7.58</v>
      </c>
      <c r="Y93" s="19">
        <v>7.6684999999999999</v>
      </c>
      <c r="Z93" s="4"/>
      <c r="AA93" s="4"/>
      <c r="AB93" s="4" t="e">
        <f ca="1">_xll.ciqfunctions.udf.CIQ("^SPX", "IQ_PRICEDATE", "5/6/2014")</f>
        <v>#NAME?</v>
      </c>
      <c r="AC93" s="16">
        <v>1867.7191073542999</v>
      </c>
    </row>
    <row r="94" spans="1:29" x14ac:dyDescent="0.35">
      <c r="A94" s="2" t="s">
        <v>104</v>
      </c>
      <c r="B94" s="4" t="s">
        <v>793</v>
      </c>
      <c r="C94" s="4" t="s">
        <v>530</v>
      </c>
      <c r="D94" s="4" t="s">
        <v>531</v>
      </c>
      <c r="E94" s="4" t="s">
        <v>569</v>
      </c>
      <c r="F94" s="4" t="s">
        <v>655</v>
      </c>
      <c r="G94" s="14">
        <v>53.52</v>
      </c>
      <c r="H94" s="10">
        <v>7.7523270000000002</v>
      </c>
      <c r="I94" s="10">
        <v>66.074073999999996</v>
      </c>
      <c r="J94" s="10" t="s">
        <v>534</v>
      </c>
      <c r="K94" s="15">
        <v>3.5596999999999997E-2</v>
      </c>
      <c r="L94" s="17">
        <v>16048.772070000001</v>
      </c>
      <c r="M94" s="4" t="s">
        <v>794</v>
      </c>
      <c r="N94" s="19">
        <v>0.81</v>
      </c>
      <c r="O94" s="19">
        <v>5.0192600000000001</v>
      </c>
      <c r="P94" s="19">
        <v>5.735188</v>
      </c>
      <c r="Q94" s="19">
        <v>5.1148999999999996</v>
      </c>
      <c r="R94" s="19">
        <v>4.1525109999999996</v>
      </c>
      <c r="S94" s="19">
        <v>5.609</v>
      </c>
      <c r="T94" s="19">
        <v>4.1525109999999996</v>
      </c>
      <c r="U94" s="19">
        <v>5.3914999999999997</v>
      </c>
      <c r="V94" s="19">
        <v>3.239296</v>
      </c>
      <c r="W94" s="19">
        <v>4.4118000000000004</v>
      </c>
      <c r="X94" s="19">
        <v>3.239296</v>
      </c>
      <c r="Y94" s="19">
        <v>4.4118000000000004</v>
      </c>
      <c r="Z94" s="4"/>
      <c r="AA94" s="4"/>
      <c r="AB94" s="4" t="e">
        <f ca="1">_xll.ciqfunctions.udf.CIQ("^SPX", "IQ_PRICEDATE", "5/7/2014")</f>
        <v>#NAME?</v>
      </c>
      <c r="AC94" s="16">
        <v>1878.2077180358999</v>
      </c>
    </row>
    <row r="95" spans="1:29" x14ac:dyDescent="0.35">
      <c r="A95" s="2" t="s">
        <v>105</v>
      </c>
      <c r="B95" s="4" t="s">
        <v>795</v>
      </c>
      <c r="C95" s="4" t="s">
        <v>559</v>
      </c>
      <c r="D95" s="4" t="s">
        <v>560</v>
      </c>
      <c r="E95" s="4" t="s">
        <v>561</v>
      </c>
      <c r="F95" s="4" t="s">
        <v>562</v>
      </c>
      <c r="G95" s="14">
        <v>69.92</v>
      </c>
      <c r="H95" s="10">
        <v>19.832695999999999</v>
      </c>
      <c r="I95" s="10">
        <v>17.3401</v>
      </c>
      <c r="J95" s="10">
        <v>3.5197690000000001</v>
      </c>
      <c r="K95" s="15">
        <v>0</v>
      </c>
      <c r="L95" s="17">
        <v>12209.517311</v>
      </c>
      <c r="M95" s="4" t="s">
        <v>796</v>
      </c>
      <c r="N95" s="19">
        <v>4.0322719999999999</v>
      </c>
      <c r="O95" s="19">
        <v>4.8364000000000003</v>
      </c>
      <c r="P95" s="19">
        <v>3.7372429999999999</v>
      </c>
      <c r="Q95" s="19">
        <v>4.0983999999999998</v>
      </c>
      <c r="R95" s="19">
        <v>3.1556299999999999</v>
      </c>
      <c r="S95" s="19">
        <v>3.5223</v>
      </c>
      <c r="T95" s="19">
        <v>3.1556299999999999</v>
      </c>
      <c r="U95" s="19">
        <v>3.2806999999999999</v>
      </c>
      <c r="V95" s="19">
        <v>2.484111</v>
      </c>
      <c r="W95" s="19">
        <v>2.8491</v>
      </c>
      <c r="X95" s="19">
        <v>2.484111</v>
      </c>
      <c r="Y95" s="19">
        <v>2.8491</v>
      </c>
      <c r="Z95" s="4"/>
      <c r="AA95" s="4"/>
      <c r="AB95" s="4" t="e">
        <f ca="1">_xll.ciqfunctions.udf.CIQ("^SPX", "IQ_PRICEDATE", "5/8/2014")</f>
        <v>#NAME?</v>
      </c>
      <c r="AC95" s="16">
        <v>1875.6291590243</v>
      </c>
    </row>
    <row r="96" spans="1:29" x14ac:dyDescent="0.35">
      <c r="A96" s="2" t="s">
        <v>106</v>
      </c>
      <c r="B96" s="4" t="s">
        <v>797</v>
      </c>
      <c r="C96" s="4" t="s">
        <v>559</v>
      </c>
      <c r="D96" s="4" t="s">
        <v>798</v>
      </c>
      <c r="E96" s="4" t="s">
        <v>799</v>
      </c>
      <c r="F96" s="4" t="s">
        <v>800</v>
      </c>
      <c r="G96" s="14">
        <v>59</v>
      </c>
      <c r="H96" s="10">
        <v>9.2766710000000003</v>
      </c>
      <c r="I96" s="10">
        <v>13.211574000000001</v>
      </c>
      <c r="J96" s="10">
        <v>2.0123760000000002</v>
      </c>
      <c r="K96" s="15">
        <v>3.3898000000000005E-2</v>
      </c>
      <c r="L96" s="17">
        <v>41204.667092000003</v>
      </c>
      <c r="M96" s="4" t="s">
        <v>801</v>
      </c>
      <c r="N96" s="19">
        <v>4.4657809999999998</v>
      </c>
      <c r="O96" s="19">
        <v>4.5016999999999996</v>
      </c>
      <c r="P96" s="19">
        <v>3.59</v>
      </c>
      <c r="Q96" s="19">
        <v>4.2590700000000004</v>
      </c>
      <c r="R96" s="19">
        <v>3.72</v>
      </c>
      <c r="S96" s="19">
        <v>3.5720100000000001</v>
      </c>
      <c r="T96" s="19">
        <v>3.72</v>
      </c>
      <c r="U96" s="19">
        <v>3.3593199999999999</v>
      </c>
      <c r="V96" s="19">
        <v>1.56</v>
      </c>
      <c r="W96" s="19">
        <v>2.5376300000000001</v>
      </c>
      <c r="X96" s="19">
        <v>1.56</v>
      </c>
      <c r="Y96" s="19">
        <v>2.5376300000000001</v>
      </c>
      <c r="Z96" s="4"/>
      <c r="AA96" s="4"/>
      <c r="AB96" s="4" t="e">
        <f ca="1">_xll.ciqfunctions.udf.CIQ("^SPX", "IQ_PRICEDATE", "5/9/2014")</f>
        <v>#NAME?</v>
      </c>
      <c r="AC96" s="16">
        <v>1878.4756878404</v>
      </c>
    </row>
    <row r="97" spans="1:29" x14ac:dyDescent="0.35">
      <c r="A97" s="2" t="s">
        <v>107</v>
      </c>
      <c r="B97" s="4" t="s">
        <v>802</v>
      </c>
      <c r="C97" s="4" t="s">
        <v>525</v>
      </c>
      <c r="D97" s="4" t="s">
        <v>526</v>
      </c>
      <c r="E97" s="4" t="s">
        <v>803</v>
      </c>
      <c r="F97" s="4" t="s">
        <v>804</v>
      </c>
      <c r="G97" s="14">
        <v>141.34</v>
      </c>
      <c r="H97" s="10">
        <v>10.774259000000001</v>
      </c>
      <c r="I97" s="10">
        <v>27.305671</v>
      </c>
      <c r="J97" s="10">
        <v>12.744948000000001</v>
      </c>
      <c r="K97" s="15">
        <v>2.4338000000000002E-2</v>
      </c>
      <c r="L97" s="17">
        <v>84001.950339999996</v>
      </c>
      <c r="M97" s="4" t="s">
        <v>805</v>
      </c>
      <c r="N97" s="19">
        <v>5.1762139999999999</v>
      </c>
      <c r="O97" s="19">
        <v>12.0632</v>
      </c>
      <c r="P97" s="19">
        <v>1.26</v>
      </c>
      <c r="Q97" s="19">
        <v>7.7234999999999996</v>
      </c>
      <c r="R97" s="19">
        <v>-0.11466700000000001</v>
      </c>
      <c r="S97" s="19">
        <v>3.0388000000000002</v>
      </c>
      <c r="T97" s="19">
        <v>-0.11466700000000001</v>
      </c>
      <c r="U97" s="19">
        <v>3.3948</v>
      </c>
      <c r="V97" s="19">
        <v>3.9</v>
      </c>
      <c r="W97" s="19">
        <v>6.7378</v>
      </c>
      <c r="X97" s="19">
        <v>3.9</v>
      </c>
      <c r="Y97" s="19">
        <v>6.7378</v>
      </c>
      <c r="Z97" s="4"/>
      <c r="AA97" s="4"/>
      <c r="AB97" s="4" t="e">
        <f ca="1">_xll.ciqfunctions.udf.CIQ("^SPX", "IQ_PRICEDATE", "5/12/2014")</f>
        <v>#NAME?</v>
      </c>
      <c r="AC97" s="16">
        <v>1896.6543225495</v>
      </c>
    </row>
    <row r="98" spans="1:29" x14ac:dyDescent="0.35">
      <c r="A98" s="2" t="s">
        <v>108</v>
      </c>
      <c r="B98" s="4" t="s">
        <v>806</v>
      </c>
      <c r="C98" s="4" t="s">
        <v>573</v>
      </c>
      <c r="D98" s="4" t="s">
        <v>574</v>
      </c>
      <c r="E98" s="4" t="s">
        <v>575</v>
      </c>
      <c r="F98" s="4" t="s">
        <v>807</v>
      </c>
      <c r="G98" s="14">
        <v>102.64</v>
      </c>
      <c r="H98" s="10">
        <v>15.851008999999999</v>
      </c>
      <c r="I98" s="10">
        <v>22.533776</v>
      </c>
      <c r="J98" s="10" t="s">
        <v>534</v>
      </c>
      <c r="K98" s="15">
        <v>1.2081E-2</v>
      </c>
      <c r="L98" s="17">
        <v>11477.076499999999</v>
      </c>
      <c r="M98" s="4" t="s">
        <v>808</v>
      </c>
      <c r="N98" s="19">
        <v>4.5549400000000002</v>
      </c>
      <c r="O98" s="19">
        <v>4.5174000000000003</v>
      </c>
      <c r="P98" s="19">
        <v>3.69</v>
      </c>
      <c r="Q98" s="19">
        <v>3.8010000000000002</v>
      </c>
      <c r="R98" s="19">
        <v>2.27</v>
      </c>
      <c r="S98" s="19">
        <v>2.4192999999999998</v>
      </c>
      <c r="T98" s="19">
        <v>2.27</v>
      </c>
      <c r="U98" s="19">
        <v>2.5352000000000001</v>
      </c>
      <c r="V98" s="19">
        <v>2.2058399999999998</v>
      </c>
      <c r="W98" s="19">
        <v>2.5146000000000002</v>
      </c>
      <c r="X98" s="19">
        <v>2.2058399999999998</v>
      </c>
      <c r="Y98" s="19">
        <v>2.5146000000000002</v>
      </c>
      <c r="Z98" s="4"/>
      <c r="AA98" s="4"/>
      <c r="AB98" s="4" t="e">
        <f ca="1">_xll.ciqfunctions.udf.CIQ("^SPX", "IQ_PRICEDATE", "5/13/2014")</f>
        <v>#NAME?</v>
      </c>
      <c r="AC98" s="16">
        <v>1897.4458157632</v>
      </c>
    </row>
    <row r="99" spans="1:29" x14ac:dyDescent="0.35">
      <c r="A99" s="2" t="s">
        <v>109</v>
      </c>
      <c r="B99" s="4" t="s">
        <v>809</v>
      </c>
      <c r="C99" s="4" t="s">
        <v>601</v>
      </c>
      <c r="D99" s="4" t="s">
        <v>601</v>
      </c>
      <c r="E99" s="4" t="s">
        <v>810</v>
      </c>
      <c r="F99" s="4" t="s">
        <v>811</v>
      </c>
      <c r="G99" s="14">
        <v>39.659999999999997</v>
      </c>
      <c r="H99" s="10">
        <v>9.3254260000000002</v>
      </c>
      <c r="I99" s="10">
        <v>18.618659999999998</v>
      </c>
      <c r="J99" s="10" t="s">
        <v>534</v>
      </c>
      <c r="K99" s="15">
        <v>0</v>
      </c>
      <c r="L99" s="17">
        <v>13169.513559999999</v>
      </c>
      <c r="M99" s="4" t="s">
        <v>812</v>
      </c>
      <c r="N99" s="19">
        <v>2.1301209999999999</v>
      </c>
      <c r="O99" s="19">
        <v>3.2469000000000001</v>
      </c>
      <c r="P99" s="19">
        <v>2.0299999999999998</v>
      </c>
      <c r="Q99" s="19">
        <v>2.6916000000000002</v>
      </c>
      <c r="R99" s="19">
        <v>1.689999</v>
      </c>
      <c r="S99" s="19">
        <v>2.2982</v>
      </c>
      <c r="T99" s="19">
        <v>1.689999</v>
      </c>
      <c r="U99" s="19">
        <v>2.2416999999999998</v>
      </c>
      <c r="V99" s="19">
        <v>1.449999</v>
      </c>
      <c r="W99" s="19">
        <v>1.8380000000000001</v>
      </c>
      <c r="X99" s="19">
        <v>1.449999</v>
      </c>
      <c r="Y99" s="19">
        <v>1.8380000000000001</v>
      </c>
      <c r="Z99" s="4"/>
      <c r="AA99" s="4"/>
      <c r="AB99" s="4" t="e">
        <f ca="1">_xll.ciqfunctions.udf.CIQ("^SPX", "IQ_PRICEDATE", "5/14/2014")</f>
        <v>#NAME?</v>
      </c>
      <c r="AC99" s="16">
        <v>1888.5257205712001</v>
      </c>
    </row>
    <row r="100" spans="1:29" x14ac:dyDescent="0.35">
      <c r="A100" s="2" t="s">
        <v>110</v>
      </c>
      <c r="B100" s="4" t="s">
        <v>813</v>
      </c>
      <c r="C100" s="4" t="s">
        <v>549</v>
      </c>
      <c r="D100" s="4" t="s">
        <v>550</v>
      </c>
      <c r="E100" s="4" t="s">
        <v>814</v>
      </c>
      <c r="F100" s="4" t="s">
        <v>815</v>
      </c>
      <c r="G100" s="14">
        <v>55.86</v>
      </c>
      <c r="H100" s="10">
        <v>9.9723369999999996</v>
      </c>
      <c r="I100" s="10">
        <v>15.968147999999999</v>
      </c>
      <c r="J100" s="10" t="s">
        <v>534</v>
      </c>
      <c r="K100" s="15">
        <v>1.2888999999999999E-2</v>
      </c>
      <c r="L100" s="17">
        <v>21017.076614000001</v>
      </c>
      <c r="M100" s="4" t="s">
        <v>816</v>
      </c>
      <c r="N100" s="19">
        <v>3.4982139999999999</v>
      </c>
      <c r="O100" s="19">
        <v>5.7276999999999996</v>
      </c>
      <c r="P100" s="19">
        <v>3.22</v>
      </c>
      <c r="Q100" s="19">
        <v>4.7521000000000004</v>
      </c>
      <c r="R100" s="19">
        <v>3.46</v>
      </c>
      <c r="S100" s="19">
        <v>4.3316999999999997</v>
      </c>
      <c r="T100" s="19">
        <v>3.46</v>
      </c>
      <c r="U100" s="19">
        <v>3.7648000000000001</v>
      </c>
      <c r="V100" s="19">
        <v>2.0499999999999998</v>
      </c>
      <c r="W100" s="19">
        <v>3.4969999999999999</v>
      </c>
      <c r="X100" s="19">
        <v>2.0499999999999998</v>
      </c>
      <c r="Y100" s="19">
        <v>3.4969999999999999</v>
      </c>
      <c r="Z100" s="4"/>
      <c r="AA100" s="4"/>
      <c r="AB100" s="4" t="e">
        <f ca="1">_xll.ciqfunctions.udf.CIQ("^SPX", "IQ_PRICEDATE", "5/15/2014")</f>
        <v>#NAME?</v>
      </c>
      <c r="AC100" s="16">
        <v>1870.8486363597001</v>
      </c>
    </row>
    <row r="101" spans="1:29" x14ac:dyDescent="0.35">
      <c r="A101" s="2" t="s">
        <v>111</v>
      </c>
      <c r="B101" s="4" t="s">
        <v>817</v>
      </c>
      <c r="C101" s="4" t="s">
        <v>530</v>
      </c>
      <c r="D101" s="4" t="s">
        <v>537</v>
      </c>
      <c r="E101" s="4" t="s">
        <v>538</v>
      </c>
      <c r="F101" s="4" t="s">
        <v>538</v>
      </c>
      <c r="G101" s="14">
        <v>84.28</v>
      </c>
      <c r="H101" s="10">
        <v>15.243911000000001</v>
      </c>
      <c r="I101" s="10">
        <v>23.439433000000001</v>
      </c>
      <c r="J101" s="10" t="s">
        <v>534</v>
      </c>
      <c r="K101" s="15">
        <v>0</v>
      </c>
      <c r="L101" s="17">
        <v>59279.434482999997</v>
      </c>
      <c r="M101" s="4" t="s">
        <v>818</v>
      </c>
      <c r="N101" s="19">
        <v>3.59565</v>
      </c>
      <c r="O101" s="19">
        <v>9.6285000000000007</v>
      </c>
      <c r="P101" s="19">
        <v>3.64</v>
      </c>
      <c r="Q101" s="19">
        <v>8.2898999999999994</v>
      </c>
      <c r="R101" s="19">
        <v>2.4900000000000002</v>
      </c>
      <c r="S101" s="19">
        <v>6.7851999999999997</v>
      </c>
      <c r="T101" s="19">
        <v>2.4900000000000002</v>
      </c>
      <c r="U101" s="19">
        <v>5.4412000000000003</v>
      </c>
      <c r="V101" s="19">
        <v>2.39</v>
      </c>
      <c r="W101" s="19">
        <v>4.4302000000000001</v>
      </c>
      <c r="X101" s="19">
        <v>2.39</v>
      </c>
      <c r="Y101" s="19">
        <v>4.4302000000000001</v>
      </c>
      <c r="Z101" s="4"/>
      <c r="AA101" s="4"/>
      <c r="AB101" s="4" t="e">
        <f ca="1">_xll.ciqfunctions.udf.CIQ("^SPX", "IQ_PRICEDATE", "5/16/2014")</f>
        <v>#NAME?</v>
      </c>
      <c r="AC101" s="16">
        <v>1877.8552731881</v>
      </c>
    </row>
    <row r="102" spans="1:29" x14ac:dyDescent="0.35">
      <c r="A102" s="2" t="s">
        <v>112</v>
      </c>
      <c r="B102" s="4" t="s">
        <v>819</v>
      </c>
      <c r="C102" s="4" t="s">
        <v>530</v>
      </c>
      <c r="D102" s="4" t="s">
        <v>531</v>
      </c>
      <c r="E102" s="4" t="s">
        <v>569</v>
      </c>
      <c r="F102" s="4" t="s">
        <v>570</v>
      </c>
      <c r="G102" s="14">
        <v>145.36000000000001</v>
      </c>
      <c r="H102" s="10">
        <v>13.104380000000001</v>
      </c>
      <c r="I102" s="10">
        <v>24.729672000000001</v>
      </c>
      <c r="J102" s="10">
        <v>7.9284350000000003</v>
      </c>
      <c r="K102" s="15">
        <v>0</v>
      </c>
      <c r="L102" s="17">
        <v>29836.109697</v>
      </c>
      <c r="M102" s="4" t="s">
        <v>820</v>
      </c>
      <c r="N102" s="19">
        <v>5.8779589999999997</v>
      </c>
      <c r="O102" s="19">
        <v>7.8372000000000002</v>
      </c>
      <c r="P102" s="19">
        <v>4.6900000000000004</v>
      </c>
      <c r="Q102" s="19">
        <v>5.3230000000000004</v>
      </c>
      <c r="R102" s="19">
        <v>3.41</v>
      </c>
      <c r="S102" s="19">
        <v>4.6642999999999999</v>
      </c>
      <c r="T102" s="19">
        <v>3.41</v>
      </c>
      <c r="U102" s="19">
        <v>3.5289000000000001</v>
      </c>
      <c r="V102" s="19">
        <v>2.23</v>
      </c>
      <c r="W102" s="19">
        <v>2.6775000000000002</v>
      </c>
      <c r="X102" s="19">
        <v>2.23</v>
      </c>
      <c r="Y102" s="19">
        <v>2.6775000000000002</v>
      </c>
      <c r="Z102" s="4"/>
      <c r="AA102" s="4"/>
      <c r="AB102" s="4" t="e">
        <f ca="1">_xll.ciqfunctions.udf.CIQ("^SPX", "IQ_PRICEDATE", "5/19/2014")</f>
        <v>#NAME?</v>
      </c>
      <c r="AC102" s="16">
        <v>1885.0848808167</v>
      </c>
    </row>
    <row r="103" spans="1:29" x14ac:dyDescent="0.35">
      <c r="A103" s="2" t="s">
        <v>113</v>
      </c>
      <c r="B103" s="4" t="s">
        <v>821</v>
      </c>
      <c r="C103" s="4" t="s">
        <v>619</v>
      </c>
      <c r="D103" s="4" t="s">
        <v>619</v>
      </c>
      <c r="E103" s="4" t="s">
        <v>634</v>
      </c>
      <c r="F103" s="4" t="s">
        <v>634</v>
      </c>
      <c r="G103" s="14">
        <v>27.56</v>
      </c>
      <c r="H103" s="10">
        <v>8.565016</v>
      </c>
      <c r="I103" s="10">
        <v>7.6807949999999998</v>
      </c>
      <c r="J103" s="10">
        <v>3.1851780000000001</v>
      </c>
      <c r="K103" s="15">
        <v>4.0274999999999998E-2</v>
      </c>
      <c r="L103" s="17">
        <v>13812.765533</v>
      </c>
      <c r="M103" s="4" t="s">
        <v>822</v>
      </c>
      <c r="N103" s="19">
        <v>3.5881699999999999</v>
      </c>
      <c r="O103" s="19">
        <v>1.6241000000000001</v>
      </c>
      <c r="P103" s="19">
        <v>4.13</v>
      </c>
      <c r="Q103" s="19">
        <v>1.4000999999999999</v>
      </c>
      <c r="R103" s="19">
        <v>1</v>
      </c>
      <c r="S103" s="19">
        <v>1.2421</v>
      </c>
      <c r="T103" s="19">
        <v>1</v>
      </c>
      <c r="U103" s="19">
        <v>1.0885</v>
      </c>
      <c r="V103" s="19">
        <v>1.42</v>
      </c>
      <c r="W103" s="19">
        <v>1.1583000000000001</v>
      </c>
      <c r="X103" s="19">
        <v>1.42</v>
      </c>
      <c r="Y103" s="19">
        <v>1.1583000000000001</v>
      </c>
      <c r="Z103" s="4"/>
      <c r="AA103" s="4"/>
      <c r="AB103" s="4" t="e">
        <f ca="1">_xll.ciqfunctions.udf.CIQ("^SPX", "IQ_PRICEDATE", "5/20/2014")</f>
        <v>#NAME?</v>
      </c>
      <c r="AC103" s="16">
        <v>1872.834226359</v>
      </c>
    </row>
    <row r="104" spans="1:29" x14ac:dyDescent="0.35">
      <c r="A104" s="2" t="s">
        <v>114</v>
      </c>
      <c r="B104" s="4" t="s">
        <v>823</v>
      </c>
      <c r="C104" s="4" t="s">
        <v>549</v>
      </c>
      <c r="D104" s="4" t="s">
        <v>713</v>
      </c>
      <c r="E104" s="4" t="s">
        <v>714</v>
      </c>
      <c r="F104" s="4" t="s">
        <v>824</v>
      </c>
      <c r="G104" s="14">
        <v>21.15</v>
      </c>
      <c r="H104" s="10">
        <v>7.876487</v>
      </c>
      <c r="I104" s="10">
        <v>11.669796</v>
      </c>
      <c r="J104" s="10" t="s">
        <v>534</v>
      </c>
      <c r="K104" s="15">
        <v>0.102127</v>
      </c>
      <c r="L104" s="17">
        <v>22844.607350999999</v>
      </c>
      <c r="M104" s="4" t="s">
        <v>825</v>
      </c>
      <c r="N104" s="19">
        <v>1.812371</v>
      </c>
      <c r="O104" s="19">
        <v>1.1889000000000001</v>
      </c>
      <c r="P104" s="19">
        <v>2.21</v>
      </c>
      <c r="Q104" s="19">
        <v>1.4044000000000001</v>
      </c>
      <c r="R104" s="19">
        <v>1.1599999999999999</v>
      </c>
      <c r="S104" s="19">
        <v>2.2555000000000001</v>
      </c>
      <c r="T104" s="19">
        <v>1.1599999999999999</v>
      </c>
      <c r="U104" s="19">
        <v>2.4289999999999998</v>
      </c>
      <c r="V104" s="19">
        <v>1.358114</v>
      </c>
      <c r="W104" s="19">
        <v>2.5156999999999998</v>
      </c>
      <c r="X104" s="19">
        <v>1.358114</v>
      </c>
      <c r="Y104" s="19">
        <v>2.5156999999999998</v>
      </c>
      <c r="Z104" s="4"/>
      <c r="AA104" s="4"/>
      <c r="AB104" s="4" t="e">
        <f ca="1">_xll.ciqfunctions.udf.CIQ("^SPX", "IQ_PRICEDATE", "5/21/2014")</f>
        <v>#NAME?</v>
      </c>
      <c r="AC104" s="16">
        <v>1888.0302964502</v>
      </c>
    </row>
    <row r="105" spans="1:29" x14ac:dyDescent="0.35">
      <c r="A105" s="2" t="s">
        <v>115</v>
      </c>
      <c r="B105" s="4" t="s">
        <v>826</v>
      </c>
      <c r="C105" s="4" t="s">
        <v>530</v>
      </c>
      <c r="D105" s="4" t="s">
        <v>531</v>
      </c>
      <c r="E105" s="4" t="s">
        <v>827</v>
      </c>
      <c r="F105" s="4" t="s">
        <v>827</v>
      </c>
      <c r="G105" s="14">
        <v>64.23</v>
      </c>
      <c r="H105" s="10">
        <v>16.017620000000001</v>
      </c>
      <c r="I105" s="10">
        <v>25.674551000000001</v>
      </c>
      <c r="J105" s="10">
        <v>7.7621149999999997</v>
      </c>
      <c r="K105" s="15">
        <v>0</v>
      </c>
      <c r="L105" s="17">
        <v>21131.950749</v>
      </c>
      <c r="M105" s="4" t="s">
        <v>828</v>
      </c>
      <c r="N105" s="19">
        <v>2.5016989999999999</v>
      </c>
      <c r="O105" s="19">
        <v>2.6396000000000002</v>
      </c>
      <c r="P105" s="19">
        <v>2.57</v>
      </c>
      <c r="Q105" s="19">
        <v>2.5301999999999998</v>
      </c>
      <c r="R105" s="19">
        <v>1.85</v>
      </c>
      <c r="S105" s="19">
        <v>2.4882</v>
      </c>
      <c r="T105" s="19">
        <v>1.85</v>
      </c>
      <c r="U105" s="19">
        <v>2.286</v>
      </c>
      <c r="V105" s="19">
        <v>1.24926</v>
      </c>
      <c r="W105" s="19">
        <v>1.94</v>
      </c>
      <c r="X105" s="19">
        <v>1.24926</v>
      </c>
      <c r="Y105" s="19">
        <v>1.94</v>
      </c>
      <c r="Z105" s="4"/>
      <c r="AA105" s="4"/>
      <c r="AB105" s="4" t="e">
        <f ca="1">_xll.ciqfunctions.udf.CIQ("^SPX", "IQ_PRICEDATE", "5/22/2014")</f>
        <v>#NAME?</v>
      </c>
      <c r="AC105" s="16">
        <v>1892.4936293646999</v>
      </c>
    </row>
    <row r="106" spans="1:29" x14ac:dyDescent="0.35">
      <c r="A106" s="2" t="s">
        <v>116</v>
      </c>
      <c r="B106" s="4" t="s">
        <v>829</v>
      </c>
      <c r="C106" s="4" t="s">
        <v>586</v>
      </c>
      <c r="D106" s="4" t="s">
        <v>586</v>
      </c>
      <c r="E106" s="4" t="s">
        <v>587</v>
      </c>
      <c r="F106" s="4" t="s">
        <v>830</v>
      </c>
      <c r="G106" s="14">
        <v>51.5</v>
      </c>
      <c r="H106" s="10">
        <v>13.435985000000001</v>
      </c>
      <c r="I106" s="10">
        <v>20.480450999999999</v>
      </c>
      <c r="J106" s="10">
        <v>11.226429</v>
      </c>
      <c r="K106" s="15">
        <v>2.3300000000000001E-2</v>
      </c>
      <c r="L106" s="17">
        <v>12023.636145</v>
      </c>
      <c r="M106" s="4" t="s">
        <v>831</v>
      </c>
      <c r="N106" s="19">
        <v>2.5145930000000001</v>
      </c>
      <c r="O106" s="19">
        <v>2.0055000000000001</v>
      </c>
      <c r="P106" s="19">
        <v>1.53</v>
      </c>
      <c r="Q106" s="19">
        <v>0.20280000000000001</v>
      </c>
      <c r="R106" s="19">
        <v>-1.19</v>
      </c>
      <c r="S106" s="19">
        <v>0.26919999999999999</v>
      </c>
      <c r="T106" s="19">
        <v>-1.19</v>
      </c>
      <c r="U106" s="19">
        <v>4.0796000000000001</v>
      </c>
      <c r="V106" s="19">
        <v>5.42</v>
      </c>
      <c r="W106" s="19">
        <v>4.0696000000000003</v>
      </c>
      <c r="X106" s="19">
        <v>5.42</v>
      </c>
      <c r="Y106" s="19">
        <v>4.0696000000000003</v>
      </c>
      <c r="Z106" s="4"/>
      <c r="AA106" s="4"/>
      <c r="AB106" s="4" t="e">
        <f ca="1">_xll.ciqfunctions.udf.CIQ("^SPX", "IQ_PRICEDATE", "5/23/2014")</f>
        <v>#NAME?</v>
      </c>
      <c r="AC106" s="16">
        <v>1900.5332285925999</v>
      </c>
    </row>
    <row r="107" spans="1:29" x14ac:dyDescent="0.35">
      <c r="A107" s="2" t="s">
        <v>117</v>
      </c>
      <c r="B107" s="4" t="s">
        <v>832</v>
      </c>
      <c r="C107" s="4" t="s">
        <v>549</v>
      </c>
      <c r="D107" s="4" t="s">
        <v>550</v>
      </c>
      <c r="E107" s="4" t="s">
        <v>814</v>
      </c>
      <c r="F107" s="4" t="s">
        <v>833</v>
      </c>
      <c r="G107" s="14">
        <v>319.83</v>
      </c>
      <c r="H107" s="10">
        <v>9.9014389999999999</v>
      </c>
      <c r="I107" s="10">
        <v>8.7660979999999995</v>
      </c>
      <c r="J107" s="10" t="s">
        <v>534</v>
      </c>
      <c r="K107" s="15">
        <v>0</v>
      </c>
      <c r="L107" s="17">
        <v>74157.041372000007</v>
      </c>
      <c r="M107" s="4" t="s">
        <v>834</v>
      </c>
      <c r="N107" s="19">
        <v>36.484875000000002</v>
      </c>
      <c r="O107" s="19">
        <v>5.9424999999999999</v>
      </c>
      <c r="P107" s="19">
        <v>34.087850000000003</v>
      </c>
      <c r="Q107" s="19">
        <v>3.9973999999999998</v>
      </c>
      <c r="R107" s="19">
        <v>15.946066</v>
      </c>
      <c r="S107" s="19">
        <v>4.7812999999999999</v>
      </c>
      <c r="T107" s="19">
        <v>15.946066</v>
      </c>
      <c r="U107" s="19">
        <v>0</v>
      </c>
      <c r="V107" s="19">
        <v>-1.879999</v>
      </c>
      <c r="W107" s="19">
        <v>0</v>
      </c>
      <c r="X107" s="19">
        <v>-1.879999</v>
      </c>
      <c r="Y107" s="19">
        <v>0</v>
      </c>
      <c r="Z107" s="4"/>
      <c r="AA107" s="4"/>
      <c r="AB107" s="4" t="e">
        <f ca="1">_xll.ciqfunctions.udf.CIQ("^SPX", "IQ_PRICEDATE", "5/27/2014")</f>
        <v>#NAME?</v>
      </c>
      <c r="AC107" s="16">
        <v>1911.9106246526001</v>
      </c>
    </row>
    <row r="108" spans="1:29" x14ac:dyDescent="0.35">
      <c r="A108" s="2" t="s">
        <v>118</v>
      </c>
      <c r="B108" s="4" t="s">
        <v>835</v>
      </c>
      <c r="C108" s="4" t="s">
        <v>669</v>
      </c>
      <c r="D108" s="4" t="s">
        <v>669</v>
      </c>
      <c r="E108" s="4" t="s">
        <v>670</v>
      </c>
      <c r="F108" s="4" t="s">
        <v>836</v>
      </c>
      <c r="G108" s="14">
        <v>117.29</v>
      </c>
      <c r="H108" s="10">
        <v>8.180911</v>
      </c>
      <c r="I108" s="10">
        <v>18.462710000000001</v>
      </c>
      <c r="J108" s="10">
        <v>1.5218370000000001</v>
      </c>
      <c r="K108" s="15">
        <v>3.8195E-2</v>
      </c>
      <c r="L108" s="17">
        <v>224744.89335900001</v>
      </c>
      <c r="M108" s="4" t="s">
        <v>837</v>
      </c>
      <c r="N108" s="19">
        <v>6.352805</v>
      </c>
      <c r="O108" s="19">
        <v>9.1348000000000003</v>
      </c>
      <c r="P108" s="19">
        <v>4.8499999999999996</v>
      </c>
      <c r="Q108" s="19">
        <v>5.5984999999999996</v>
      </c>
      <c r="R108" s="19">
        <v>-0.27</v>
      </c>
      <c r="S108" s="19">
        <v>3.8411</v>
      </c>
      <c r="T108" s="19">
        <v>-0.27</v>
      </c>
      <c r="U108" s="19">
        <v>3.4708999999999999</v>
      </c>
      <c r="V108" s="19">
        <v>10.14</v>
      </c>
      <c r="W108" s="19">
        <v>6.7920999999999996</v>
      </c>
      <c r="X108" s="19">
        <v>10.14</v>
      </c>
      <c r="Y108" s="19">
        <v>6.7920999999999996</v>
      </c>
      <c r="Z108" s="4"/>
      <c r="AA108" s="4"/>
      <c r="AB108" s="4" t="e">
        <f ca="1">_xll.ciqfunctions.udf.CIQ("^SPX", "IQ_PRICEDATE", "5/28/2014")</f>
        <v>#NAME?</v>
      </c>
      <c r="AC108" s="16">
        <v>1909.7819247730999</v>
      </c>
    </row>
    <row r="109" spans="1:29" x14ac:dyDescent="0.35">
      <c r="A109" s="2" t="s">
        <v>119</v>
      </c>
      <c r="B109" s="4" t="s">
        <v>838</v>
      </c>
      <c r="C109" s="4" t="s">
        <v>559</v>
      </c>
      <c r="D109" s="4" t="s">
        <v>798</v>
      </c>
      <c r="E109" s="4" t="s">
        <v>799</v>
      </c>
      <c r="F109" s="4" t="s">
        <v>839</v>
      </c>
      <c r="G109" s="14">
        <v>429.85</v>
      </c>
      <c r="H109" s="10">
        <v>21.943809000000002</v>
      </c>
      <c r="I109" s="10">
        <v>71.232399999999998</v>
      </c>
      <c r="J109" s="10">
        <v>8.725835</v>
      </c>
      <c r="K109" s="15">
        <v>0</v>
      </c>
      <c r="L109" s="17">
        <v>11951.594534</v>
      </c>
      <c r="M109" s="4" t="s">
        <v>840</v>
      </c>
      <c r="N109" s="19">
        <v>6.0344730000000002</v>
      </c>
      <c r="O109" s="19">
        <v>10.248100000000001</v>
      </c>
      <c r="P109" s="19">
        <v>6.17</v>
      </c>
      <c r="Q109" s="19">
        <v>8.5454000000000008</v>
      </c>
      <c r="R109" s="19">
        <v>0.77</v>
      </c>
      <c r="S109" s="19">
        <v>7.6215000000000002</v>
      </c>
      <c r="T109" s="19">
        <v>0.77</v>
      </c>
      <c r="U109" s="19">
        <v>14.9651</v>
      </c>
      <c r="V109" s="19">
        <v>14.13</v>
      </c>
      <c r="W109" s="19">
        <v>16.701000000000001</v>
      </c>
      <c r="X109" s="19">
        <v>14.13</v>
      </c>
      <c r="Y109" s="19">
        <v>16.701000000000001</v>
      </c>
      <c r="Z109" s="4"/>
      <c r="AA109" s="4"/>
      <c r="AB109" s="4" t="e">
        <f ca="1">_xll.ciqfunctions.udf.CIQ("^SPX", "IQ_PRICEDATE", "5/29/2014")</f>
        <v>#NAME?</v>
      </c>
      <c r="AC109" s="16">
        <v>1920.0268444223</v>
      </c>
    </row>
    <row r="110" spans="1:29" x14ac:dyDescent="0.35">
      <c r="A110" s="2" t="s">
        <v>120</v>
      </c>
      <c r="B110" s="4" t="s">
        <v>841</v>
      </c>
      <c r="C110" s="4" t="s">
        <v>573</v>
      </c>
      <c r="D110" s="4" t="s">
        <v>579</v>
      </c>
      <c r="E110" s="4" t="s">
        <v>579</v>
      </c>
      <c r="F110" s="4" t="s">
        <v>842</v>
      </c>
      <c r="G110" s="14">
        <v>127.13</v>
      </c>
      <c r="H110" s="10">
        <v>15.337028</v>
      </c>
      <c r="I110" s="10">
        <v>15.554173</v>
      </c>
      <c r="J110" s="10">
        <v>2.0171510000000001</v>
      </c>
      <c r="K110" s="15">
        <v>2.2968000000000002E-2</v>
      </c>
      <c r="L110" s="17">
        <v>58616.60828</v>
      </c>
      <c r="M110" s="4" t="s">
        <v>843</v>
      </c>
      <c r="N110" s="19">
        <v>8.1733689999999992</v>
      </c>
      <c r="O110" s="19">
        <v>10.541700000000001</v>
      </c>
      <c r="P110" s="19">
        <v>8.1899990000000003</v>
      </c>
      <c r="Q110" s="19">
        <v>10.3453</v>
      </c>
      <c r="R110" s="19">
        <v>8.869999</v>
      </c>
      <c r="S110" s="19">
        <v>10.172700000000001</v>
      </c>
      <c r="T110" s="19">
        <v>8.869999</v>
      </c>
      <c r="U110" s="19">
        <v>9.4906000000000006</v>
      </c>
      <c r="V110" s="19">
        <v>8.42</v>
      </c>
      <c r="W110" s="19">
        <v>9.2250999999999994</v>
      </c>
      <c r="X110" s="19">
        <v>8.42</v>
      </c>
      <c r="Y110" s="19">
        <v>9.2250999999999994</v>
      </c>
      <c r="Z110" s="4"/>
      <c r="AA110" s="4"/>
      <c r="AB110" s="4" t="e">
        <f ca="1">_xll.ciqfunctions.udf.CIQ("^SPX", "IQ_PRICEDATE", "5/30/2014")</f>
        <v>#NAME?</v>
      </c>
      <c r="AC110" s="16">
        <v>1923.5726606584001</v>
      </c>
    </row>
    <row r="111" spans="1:29" x14ac:dyDescent="0.35">
      <c r="A111" s="2" t="s">
        <v>121</v>
      </c>
      <c r="B111" s="4" t="s">
        <v>844</v>
      </c>
      <c r="C111" s="4" t="s">
        <v>626</v>
      </c>
      <c r="D111" s="4" t="s">
        <v>845</v>
      </c>
      <c r="E111" s="4" t="s">
        <v>846</v>
      </c>
      <c r="F111" s="4" t="s">
        <v>846</v>
      </c>
      <c r="G111" s="14">
        <v>58.51</v>
      </c>
      <c r="H111" s="10">
        <v>17.282603999999999</v>
      </c>
      <c r="I111" s="10">
        <v>18.015260000000001</v>
      </c>
      <c r="J111" s="10" t="s">
        <v>534</v>
      </c>
      <c r="K111" s="15">
        <v>1.4869E-2</v>
      </c>
      <c r="L111" s="17">
        <v>14358.819563999999</v>
      </c>
      <c r="M111" s="4" t="s">
        <v>847</v>
      </c>
      <c r="N111" s="19">
        <v>3.2478020000000001</v>
      </c>
      <c r="O111" s="19">
        <v>2.3222</v>
      </c>
      <c r="P111" s="19">
        <v>2.9</v>
      </c>
      <c r="Q111" s="19">
        <v>2.0617999999999999</v>
      </c>
      <c r="R111" s="19">
        <v>1.75</v>
      </c>
      <c r="S111" s="19">
        <v>1.8452999999999999</v>
      </c>
      <c r="T111" s="19">
        <v>1.75</v>
      </c>
      <c r="U111" s="19">
        <v>1.7171000000000001</v>
      </c>
      <c r="V111" s="19">
        <v>1.51</v>
      </c>
      <c r="W111" s="19">
        <v>1.6175999999999999</v>
      </c>
      <c r="X111" s="19">
        <v>1.51</v>
      </c>
      <c r="Y111" s="19">
        <v>1.6175999999999999</v>
      </c>
      <c r="Z111" s="4"/>
      <c r="AA111" s="4"/>
      <c r="AB111" s="4" t="e">
        <f ca="1">_xll.ciqfunctions.udf.CIQ("^SPX", "IQ_PRICEDATE", "6/2/2014")</f>
        <v>#NAME?</v>
      </c>
      <c r="AC111" s="16">
        <v>1924.9653923408</v>
      </c>
    </row>
    <row r="112" spans="1:29" x14ac:dyDescent="0.35">
      <c r="A112" s="2" t="s">
        <v>122</v>
      </c>
      <c r="B112" s="4" t="s">
        <v>848</v>
      </c>
      <c r="C112" s="4" t="s">
        <v>530</v>
      </c>
      <c r="D112" s="4" t="s">
        <v>531</v>
      </c>
      <c r="E112" s="4" t="s">
        <v>569</v>
      </c>
      <c r="F112" s="4" t="s">
        <v>570</v>
      </c>
      <c r="G112" s="14">
        <v>211.2</v>
      </c>
      <c r="H112" s="10">
        <v>10.692087000000001</v>
      </c>
      <c r="I112" s="10">
        <v>20.594889999999999</v>
      </c>
      <c r="J112" s="10">
        <v>5.9753179999999997</v>
      </c>
      <c r="K112" s="15">
        <v>1.8900000000000001E-4</v>
      </c>
      <c r="L112" s="17">
        <v>51398.599085000002</v>
      </c>
      <c r="M112" s="4" t="s">
        <v>849</v>
      </c>
      <c r="N112" s="19">
        <v>10.254970999999999</v>
      </c>
      <c r="O112" s="19">
        <v>14.3537</v>
      </c>
      <c r="P112" s="19">
        <v>8.77</v>
      </c>
      <c r="Q112" s="19">
        <v>10.8766</v>
      </c>
      <c r="R112" s="19">
        <v>7.19</v>
      </c>
      <c r="S112" s="19">
        <v>9.0960999999999999</v>
      </c>
      <c r="T112" s="19">
        <v>7.19</v>
      </c>
      <c r="U112" s="19">
        <v>9.0611999999999995</v>
      </c>
      <c r="V112" s="19">
        <v>7.83</v>
      </c>
      <c r="W112" s="19">
        <v>7.9344999999999999</v>
      </c>
      <c r="X112" s="19">
        <v>7.83</v>
      </c>
      <c r="Y112" s="19">
        <v>7.9344999999999999</v>
      </c>
      <c r="Z112" s="4"/>
      <c r="AA112" s="4"/>
      <c r="AB112" s="4" t="e">
        <f ca="1">_xll.ciqfunctions.udf.CIQ("^SPX", "IQ_PRICEDATE", "6/3/2014")</f>
        <v>#NAME?</v>
      </c>
      <c r="AC112" s="16">
        <v>1924.2447476350001</v>
      </c>
    </row>
    <row r="113" spans="1:29" x14ac:dyDescent="0.35">
      <c r="A113" s="2" t="s">
        <v>123</v>
      </c>
      <c r="B113" s="4" t="s">
        <v>850</v>
      </c>
      <c r="C113" s="4" t="s">
        <v>669</v>
      </c>
      <c r="D113" s="4" t="s">
        <v>669</v>
      </c>
      <c r="E113" s="4" t="s">
        <v>670</v>
      </c>
      <c r="F113" s="4" t="s">
        <v>671</v>
      </c>
      <c r="G113" s="14">
        <v>92.25</v>
      </c>
      <c r="H113" s="10">
        <v>7.5562699999999996</v>
      </c>
      <c r="I113" s="10">
        <v>14.790518</v>
      </c>
      <c r="J113" s="10">
        <v>3.8152659999999998</v>
      </c>
      <c r="K113" s="15">
        <v>7.8040000000000002E-3</v>
      </c>
      <c r="L113" s="17">
        <v>8796.5978269999996</v>
      </c>
      <c r="M113" s="4" t="s">
        <v>851</v>
      </c>
      <c r="N113" s="19">
        <v>6.2371040000000004</v>
      </c>
      <c r="O113" s="19">
        <v>7.1073000000000004</v>
      </c>
      <c r="P113" s="19">
        <v>5.1950180000000001</v>
      </c>
      <c r="Q113" s="19">
        <v>5.6308999999999996</v>
      </c>
      <c r="R113" s="19">
        <v>-4.38</v>
      </c>
      <c r="S113" s="19">
        <v>3.3431000000000002</v>
      </c>
      <c r="T113" s="19">
        <v>-4.38</v>
      </c>
      <c r="U113" s="19">
        <v>2.5700000000000001E-2</v>
      </c>
      <c r="V113" s="19">
        <v>6.0154290000000001</v>
      </c>
      <c r="W113" s="19">
        <v>3.4388000000000001</v>
      </c>
      <c r="X113" s="19">
        <v>6.0154290000000001</v>
      </c>
      <c r="Y113" s="19">
        <v>3.4388000000000001</v>
      </c>
      <c r="Z113" s="4"/>
      <c r="AA113" s="4"/>
      <c r="AB113" s="4" t="e">
        <f ca="1">_xll.ciqfunctions.udf.CIQ("^SPX", "IQ_PRICEDATE", "6/4/2014")</f>
        <v>#NAME?</v>
      </c>
      <c r="AC113" s="16">
        <v>1927.8750457919</v>
      </c>
    </row>
    <row r="114" spans="1:29" x14ac:dyDescent="0.35">
      <c r="A114" s="2" t="s">
        <v>124</v>
      </c>
      <c r="B114" s="4" t="s">
        <v>852</v>
      </c>
      <c r="C114" s="4" t="s">
        <v>573</v>
      </c>
      <c r="D114" s="4" t="s">
        <v>579</v>
      </c>
      <c r="E114" s="4" t="s">
        <v>579</v>
      </c>
      <c r="F114" s="4" t="s">
        <v>842</v>
      </c>
      <c r="G114" s="14">
        <v>75.75</v>
      </c>
      <c r="H114" s="10">
        <v>19.431715000000001</v>
      </c>
      <c r="I114" s="10">
        <v>13.499415000000001</v>
      </c>
      <c r="J114" s="10">
        <v>1.5559559999999999</v>
      </c>
      <c r="K114" s="15">
        <v>2.7986E-2</v>
      </c>
      <c r="L114" s="17">
        <v>12320.910286</v>
      </c>
      <c r="M114" s="4" t="s">
        <v>853</v>
      </c>
      <c r="N114" s="19">
        <v>5.6113540000000004</v>
      </c>
      <c r="O114" s="19">
        <v>3.1537000000000002</v>
      </c>
      <c r="P114" s="19">
        <v>6.29</v>
      </c>
      <c r="Q114" s="19">
        <v>3.0217000000000001</v>
      </c>
      <c r="R114" s="19">
        <v>3.55</v>
      </c>
      <c r="S114" s="19">
        <v>2.8711000000000002</v>
      </c>
      <c r="T114" s="19">
        <v>3.55</v>
      </c>
      <c r="U114" s="19">
        <v>2.669</v>
      </c>
      <c r="V114" s="19">
        <v>3.18</v>
      </c>
      <c r="W114" s="19">
        <v>2.6869999999999998</v>
      </c>
      <c r="X114" s="19">
        <v>3.18</v>
      </c>
      <c r="Y114" s="19">
        <v>2.6869999999999998</v>
      </c>
      <c r="Z114" s="4"/>
      <c r="AA114" s="4"/>
      <c r="AB114" s="4" t="e">
        <f ca="1">_xll.ciqfunctions.udf.CIQ("^SPX", "IQ_PRICEDATE", "6/5/2014")</f>
        <v>#NAME?</v>
      </c>
      <c r="AC114" s="16">
        <v>1940.4579108554001</v>
      </c>
    </row>
    <row r="115" spans="1:29" x14ac:dyDescent="0.35">
      <c r="A115" s="2" t="s">
        <v>125</v>
      </c>
      <c r="B115" s="4" t="s">
        <v>854</v>
      </c>
      <c r="C115" s="4" t="s">
        <v>525</v>
      </c>
      <c r="D115" s="4" t="s">
        <v>855</v>
      </c>
      <c r="E115" s="4" t="s">
        <v>856</v>
      </c>
      <c r="F115" s="4" t="s">
        <v>857</v>
      </c>
      <c r="G115" s="14">
        <v>186.2</v>
      </c>
      <c r="H115" s="10">
        <v>17.053842</v>
      </c>
      <c r="I115" s="10">
        <v>24.941884000000002</v>
      </c>
      <c r="J115" s="10" t="s">
        <v>534</v>
      </c>
      <c r="K115" s="15">
        <v>8.6999999999999994E-3</v>
      </c>
      <c r="L115" s="17">
        <v>20239.729965999999</v>
      </c>
      <c r="M115" s="4" t="s">
        <v>858</v>
      </c>
      <c r="N115" s="19">
        <v>7.4653539999999996</v>
      </c>
      <c r="O115" s="19">
        <v>7.2948000000000004</v>
      </c>
      <c r="P115" s="19">
        <v>4.5051899999999998</v>
      </c>
      <c r="Q115" s="19">
        <v>6.0221</v>
      </c>
      <c r="R115" s="19">
        <v>4.4190209999999999</v>
      </c>
      <c r="S115" s="19">
        <v>4.6477000000000004</v>
      </c>
      <c r="T115" s="19">
        <v>4.4190209999999999</v>
      </c>
      <c r="U115" s="19">
        <v>4.1696999999999997</v>
      </c>
      <c r="V115" s="19">
        <v>3.481042</v>
      </c>
      <c r="W115" s="19">
        <v>3.4535999999999998</v>
      </c>
      <c r="X115" s="19">
        <v>3.481042</v>
      </c>
      <c r="Y115" s="19">
        <v>3.4535999999999998</v>
      </c>
      <c r="Z115" s="4"/>
      <c r="AA115" s="4"/>
      <c r="AB115" s="4" t="e">
        <f ca="1">_xll.ciqfunctions.udf.CIQ("^SPX", "IQ_PRICEDATE", "6/6/2014")</f>
        <v>#NAME?</v>
      </c>
      <c r="AC115" s="16">
        <v>1949.4407261495001</v>
      </c>
    </row>
    <row r="116" spans="1:29" x14ac:dyDescent="0.35">
      <c r="A116" s="2" t="s">
        <v>126</v>
      </c>
      <c r="B116" s="4" t="s">
        <v>859</v>
      </c>
      <c r="C116" s="4" t="s">
        <v>543</v>
      </c>
      <c r="D116" s="4" t="s">
        <v>664</v>
      </c>
      <c r="E116" s="4" t="s">
        <v>706</v>
      </c>
      <c r="F116" s="4" t="s">
        <v>706</v>
      </c>
      <c r="G116" s="14">
        <v>45.94</v>
      </c>
      <c r="H116" s="10">
        <v>12.831654</v>
      </c>
      <c r="I116" s="10" t="s">
        <v>534</v>
      </c>
      <c r="J116" s="10">
        <v>23.694078999999999</v>
      </c>
      <c r="K116" s="15">
        <v>2.8732999999999998E-2</v>
      </c>
      <c r="L116" s="17">
        <v>210007.09020800001</v>
      </c>
      <c r="M116" s="4" t="s">
        <v>860</v>
      </c>
      <c r="N116" s="19">
        <v>0.02</v>
      </c>
      <c r="O116" s="19">
        <v>2.9945499999999998</v>
      </c>
      <c r="P116" s="19">
        <v>1.920067</v>
      </c>
      <c r="Q116" s="19">
        <v>2.4861</v>
      </c>
      <c r="R116" s="19">
        <v>2.0904799999999999</v>
      </c>
      <c r="S116" s="19">
        <v>2.3752</v>
      </c>
      <c r="T116" s="19">
        <v>2.0904799999999999</v>
      </c>
      <c r="U116" s="19">
        <v>2.2746</v>
      </c>
      <c r="V116" s="19">
        <v>1.470348</v>
      </c>
      <c r="W116" s="19">
        <v>2.1516000000000002</v>
      </c>
      <c r="X116" s="19">
        <v>1.470348</v>
      </c>
      <c r="Y116" s="19">
        <v>2.1516000000000002</v>
      </c>
      <c r="Z116" s="4"/>
      <c r="AA116" s="4"/>
      <c r="AB116" s="4" t="e">
        <f ca="1">_xll.ciqfunctions.udf.CIQ("^SPX", "IQ_PRICEDATE", "6/9/2014")</f>
        <v>#NAME?</v>
      </c>
      <c r="AC116" s="16">
        <v>1951.2725755604999</v>
      </c>
    </row>
    <row r="117" spans="1:29" x14ac:dyDescent="0.35">
      <c r="A117" s="2" t="s">
        <v>127</v>
      </c>
      <c r="B117" s="4" t="s">
        <v>861</v>
      </c>
      <c r="C117" s="4" t="s">
        <v>573</v>
      </c>
      <c r="D117" s="4" t="s">
        <v>737</v>
      </c>
      <c r="E117" s="4" t="s">
        <v>737</v>
      </c>
      <c r="F117" s="4" t="s">
        <v>738</v>
      </c>
      <c r="G117" s="14">
        <v>69.84</v>
      </c>
      <c r="H117" s="10">
        <v>0</v>
      </c>
      <c r="I117" s="10" t="s">
        <v>534</v>
      </c>
      <c r="J117" s="10">
        <v>1.1281369999999999</v>
      </c>
      <c r="K117" s="15">
        <v>2.5773000000000001E-2</v>
      </c>
      <c r="L117" s="17">
        <v>170556.264</v>
      </c>
      <c r="M117" s="4" t="s">
        <v>862</v>
      </c>
      <c r="N117" s="19">
        <v>-2.4616829999999998</v>
      </c>
      <c r="O117" s="19">
        <v>7.3517999999999999</v>
      </c>
      <c r="P117" s="19">
        <v>-2.9412630000000002</v>
      </c>
      <c r="Q117" s="19">
        <v>5.7472000000000003</v>
      </c>
      <c r="R117" s="19">
        <v>4.74</v>
      </c>
      <c r="S117" s="19">
        <v>5.0576999999999996</v>
      </c>
      <c r="T117" s="19">
        <v>4.74</v>
      </c>
      <c r="U117" s="19">
        <v>5.5250000000000004</v>
      </c>
      <c r="V117" s="19">
        <v>2.2031610000000001</v>
      </c>
      <c r="W117" s="19">
        <v>5.2234999999999996</v>
      </c>
      <c r="X117" s="19">
        <v>2.2031610000000001</v>
      </c>
      <c r="Y117" s="19">
        <v>5.2234999999999996</v>
      </c>
      <c r="Z117" s="4"/>
      <c r="AA117" s="4"/>
      <c r="AB117" s="4" t="e">
        <f ca="1">_xll.ciqfunctions.udf.CIQ("^SPX", "IQ_PRICEDATE", "6/10/2014")</f>
        <v>#NAME?</v>
      </c>
      <c r="AC117" s="16">
        <v>1950.7944545133</v>
      </c>
    </row>
    <row r="118" spans="1:29" x14ac:dyDescent="0.35">
      <c r="A118" s="2" t="s">
        <v>128</v>
      </c>
      <c r="B118" s="4" t="s">
        <v>863</v>
      </c>
      <c r="C118" s="4" t="s">
        <v>573</v>
      </c>
      <c r="D118" s="4" t="s">
        <v>737</v>
      </c>
      <c r="E118" s="4" t="s">
        <v>737</v>
      </c>
      <c r="F118" s="4" t="s">
        <v>743</v>
      </c>
      <c r="G118" s="14">
        <v>35.89</v>
      </c>
      <c r="H118" s="10">
        <v>0</v>
      </c>
      <c r="I118" s="10">
        <v>9.7722610000000003</v>
      </c>
      <c r="J118" s="10">
        <v>1.3325709999999999</v>
      </c>
      <c r="K118" s="15">
        <v>3.0091E-2</v>
      </c>
      <c r="L118" s="17">
        <v>17081.717766999998</v>
      </c>
      <c r="M118" s="4" t="s">
        <v>864</v>
      </c>
      <c r="N118" s="19">
        <v>3.6726399999999999</v>
      </c>
      <c r="O118" s="19">
        <v>3.6179000000000001</v>
      </c>
      <c r="P118" s="19">
        <v>3.25</v>
      </c>
      <c r="Q118" s="19">
        <v>2.7635000000000001</v>
      </c>
      <c r="R118" s="19">
        <v>1.9699990000000001</v>
      </c>
      <c r="S118" s="19">
        <v>2.1251000000000002</v>
      </c>
      <c r="T118" s="19">
        <v>1.9699990000000001</v>
      </c>
      <c r="U118" s="19">
        <v>1.788</v>
      </c>
      <c r="V118" s="19">
        <v>1.55</v>
      </c>
      <c r="W118" s="19">
        <v>1.538</v>
      </c>
      <c r="X118" s="19">
        <v>1.55</v>
      </c>
      <c r="Y118" s="19">
        <v>1.538</v>
      </c>
      <c r="Z118" s="4"/>
      <c r="AA118" s="4"/>
      <c r="AB118" s="4" t="e">
        <f ca="1">_xll.ciqfunctions.udf.CIQ("^SPX", "IQ_PRICEDATE", "6/11/2014")</f>
        <v>#NAME?</v>
      </c>
      <c r="AC118" s="16">
        <v>1943.8902085838999</v>
      </c>
    </row>
    <row r="119" spans="1:29" x14ac:dyDescent="0.35">
      <c r="A119" s="2" t="s">
        <v>129</v>
      </c>
      <c r="B119" s="4" t="s">
        <v>865</v>
      </c>
      <c r="C119" s="4" t="s">
        <v>543</v>
      </c>
      <c r="D119" s="4" t="s">
        <v>544</v>
      </c>
      <c r="E119" s="4" t="s">
        <v>555</v>
      </c>
      <c r="F119" s="4" t="s">
        <v>556</v>
      </c>
      <c r="G119" s="14">
        <v>105.12</v>
      </c>
      <c r="H119" s="10">
        <v>16.721952000000002</v>
      </c>
      <c r="I119" s="10">
        <v>169.00267199999999</v>
      </c>
      <c r="J119" s="10" t="s">
        <v>534</v>
      </c>
      <c r="K119" s="15">
        <v>0</v>
      </c>
      <c r="L119" s="17">
        <v>14260.415843999999</v>
      </c>
      <c r="M119" s="4" t="s">
        <v>866</v>
      </c>
      <c r="N119" s="19">
        <v>0.62200200000000005</v>
      </c>
      <c r="O119" s="19">
        <v>5.6304999999999996</v>
      </c>
      <c r="P119" s="19">
        <v>0.14000000000000001</v>
      </c>
      <c r="Q119" s="19">
        <v>4.8891999999999998</v>
      </c>
      <c r="R119" s="19">
        <v>2.99</v>
      </c>
      <c r="S119" s="19">
        <v>5.2575000000000003</v>
      </c>
      <c r="T119" s="19">
        <v>2.99</v>
      </c>
      <c r="U119" s="19">
        <v>4.3033999999999999</v>
      </c>
      <c r="V119" s="19">
        <v>1.47</v>
      </c>
      <c r="W119" s="19">
        <v>3.5560999999999998</v>
      </c>
      <c r="X119" s="19">
        <v>1.47</v>
      </c>
      <c r="Y119" s="19">
        <v>3.5560999999999998</v>
      </c>
      <c r="Z119" s="4"/>
      <c r="AA119" s="4"/>
      <c r="AB119" s="4" t="e">
        <f ca="1">_xll.ciqfunctions.udf.CIQ("^SPX", "IQ_PRICEDATE", "6/12/2014")</f>
        <v>#NAME?</v>
      </c>
      <c r="AC119" s="16">
        <v>1930.1146012465999</v>
      </c>
    </row>
    <row r="120" spans="1:29" x14ac:dyDescent="0.35">
      <c r="A120" s="2" t="s">
        <v>130</v>
      </c>
      <c r="B120" s="4" t="s">
        <v>867</v>
      </c>
      <c r="C120" s="4" t="s">
        <v>573</v>
      </c>
      <c r="D120" s="4" t="s">
        <v>574</v>
      </c>
      <c r="E120" s="4" t="s">
        <v>575</v>
      </c>
      <c r="F120" s="4" t="s">
        <v>807</v>
      </c>
      <c r="G120" s="14">
        <v>181.32</v>
      </c>
      <c r="H120" s="10">
        <v>22.435179000000002</v>
      </c>
      <c r="I120" s="10">
        <v>13.99994</v>
      </c>
      <c r="J120" s="10" t="s">
        <v>534</v>
      </c>
      <c r="K120" s="15">
        <v>3.4744999999999998E-2</v>
      </c>
      <c r="L120" s="17">
        <v>61759.392326000001</v>
      </c>
      <c r="M120" s="4" t="s">
        <v>868</v>
      </c>
      <c r="N120" s="19">
        <v>12.951484000000001</v>
      </c>
      <c r="O120" s="19">
        <v>6.6123000000000003</v>
      </c>
      <c r="P120" s="19">
        <v>11.94</v>
      </c>
      <c r="Q120" s="19">
        <v>5.1109999999999998</v>
      </c>
      <c r="R120" s="19">
        <v>4.53</v>
      </c>
      <c r="S120" s="19">
        <v>4.6337000000000002</v>
      </c>
      <c r="T120" s="19">
        <v>4.53</v>
      </c>
      <c r="U120" s="19">
        <v>4.1345999999999998</v>
      </c>
      <c r="V120" s="19">
        <v>3.35</v>
      </c>
      <c r="W120" s="19">
        <v>3.7172000000000001</v>
      </c>
      <c r="X120" s="19">
        <v>3.35</v>
      </c>
      <c r="Y120" s="19">
        <v>3.7172000000000001</v>
      </c>
      <c r="Z120" s="4"/>
      <c r="AA120" s="4"/>
      <c r="AB120" s="4" t="e">
        <f ca="1">_xll.ciqfunctions.udf.CIQ("^SPX", "IQ_PRICEDATE", "6/13/2014")</f>
        <v>#NAME?</v>
      </c>
      <c r="AC120" s="16">
        <v>1936.1593523250999</v>
      </c>
    </row>
    <row r="121" spans="1:29" x14ac:dyDescent="0.35">
      <c r="A121" s="2" t="s">
        <v>131</v>
      </c>
      <c r="B121" s="4" t="s">
        <v>869</v>
      </c>
      <c r="C121" s="4" t="s">
        <v>619</v>
      </c>
      <c r="D121" s="4" t="s">
        <v>619</v>
      </c>
      <c r="E121" s="4" t="s">
        <v>634</v>
      </c>
      <c r="F121" s="4" t="s">
        <v>634</v>
      </c>
      <c r="G121" s="14">
        <v>49.87</v>
      </c>
      <c r="H121" s="10">
        <v>11.172008999999999</v>
      </c>
      <c r="I121" s="10">
        <v>25.554976</v>
      </c>
      <c r="J121" s="10">
        <v>3.0229409999999999</v>
      </c>
      <c r="K121" s="15">
        <v>2.8673999999999998E-2</v>
      </c>
      <c r="L121" s="17">
        <v>14125.433686</v>
      </c>
      <c r="M121" s="4" t="s">
        <v>870</v>
      </c>
      <c r="N121" s="19">
        <v>1.951479</v>
      </c>
      <c r="O121" s="19">
        <v>2.2949000000000002</v>
      </c>
      <c r="P121" s="19">
        <v>1.64</v>
      </c>
      <c r="Q121" s="19">
        <v>2.327</v>
      </c>
      <c r="R121" s="19">
        <v>1.98</v>
      </c>
      <c r="S121" s="19">
        <v>1.9267000000000001</v>
      </c>
      <c r="T121" s="19">
        <v>1.98</v>
      </c>
      <c r="U121" s="19">
        <v>2.0087000000000002</v>
      </c>
      <c r="V121" s="19">
        <v>1.74</v>
      </c>
      <c r="W121" s="19">
        <v>1.9068000000000001</v>
      </c>
      <c r="X121" s="19">
        <v>1.74</v>
      </c>
      <c r="Y121" s="19">
        <v>1.9068000000000001</v>
      </c>
      <c r="Z121" s="4"/>
      <c r="AA121" s="4"/>
      <c r="AB121" s="4" t="e">
        <f ca="1">_xll.ciqfunctions.udf.CIQ("^SPX", "IQ_PRICEDATE", "6/16/2014")</f>
        <v>#NAME?</v>
      </c>
      <c r="AC121" s="16">
        <v>1937.7839112977999</v>
      </c>
    </row>
    <row r="122" spans="1:29" x14ac:dyDescent="0.35">
      <c r="A122" s="2" t="s">
        <v>132</v>
      </c>
      <c r="B122" s="4" t="s">
        <v>871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14">
        <v>73.989999999999995</v>
      </c>
      <c r="H122" s="10">
        <v>12.299906</v>
      </c>
      <c r="I122" s="10">
        <v>29.942094000000001</v>
      </c>
      <c r="J122" s="10">
        <v>6.5497860000000001</v>
      </c>
      <c r="K122" s="15">
        <v>1.0811999999999999E-2</v>
      </c>
      <c r="L122" s="17">
        <v>42931.501378000001</v>
      </c>
      <c r="M122" s="4" t="s">
        <v>872</v>
      </c>
      <c r="N122" s="19">
        <v>2.4711029999999998</v>
      </c>
      <c r="O122" s="19">
        <v>4.7278000000000002</v>
      </c>
      <c r="P122" s="19">
        <v>2.5299999999999998</v>
      </c>
      <c r="Q122" s="19">
        <v>4.1723999999999997</v>
      </c>
      <c r="R122" s="19">
        <v>2.5499999999999998</v>
      </c>
      <c r="S122" s="19">
        <v>3.5716999999999999</v>
      </c>
      <c r="T122" s="19">
        <v>2.5499999999999998</v>
      </c>
      <c r="U122" s="19">
        <v>3.3288000000000002</v>
      </c>
      <c r="V122" s="19">
        <v>2.35</v>
      </c>
      <c r="W122" s="19">
        <v>2.8256000000000001</v>
      </c>
      <c r="X122" s="19">
        <v>2.35</v>
      </c>
      <c r="Y122" s="19">
        <v>2.8256000000000001</v>
      </c>
      <c r="Z122" s="4"/>
      <c r="AA122" s="4"/>
      <c r="AB122" s="4" t="e">
        <f ca="1">_xll.ciqfunctions.udf.CIQ("^SPX", "IQ_PRICEDATE", "6/17/2014")</f>
        <v>#NAME?</v>
      </c>
      <c r="AC122" s="16">
        <v>1941.9916494408999</v>
      </c>
    </row>
    <row r="123" spans="1:29" x14ac:dyDescent="0.35">
      <c r="A123" s="2" t="s">
        <v>133</v>
      </c>
      <c r="B123" s="4" t="s">
        <v>873</v>
      </c>
      <c r="C123" s="4" t="s">
        <v>626</v>
      </c>
      <c r="D123" s="4" t="s">
        <v>845</v>
      </c>
      <c r="E123" s="4" t="s">
        <v>846</v>
      </c>
      <c r="F123" s="4" t="s">
        <v>846</v>
      </c>
      <c r="G123" s="14">
        <v>63.13</v>
      </c>
      <c r="H123" s="10">
        <v>13.737043</v>
      </c>
      <c r="I123" s="10">
        <v>25.444243</v>
      </c>
      <c r="J123" s="10" t="s">
        <v>534</v>
      </c>
      <c r="K123" s="15">
        <v>2.6435E-2</v>
      </c>
      <c r="L123" s="17">
        <v>55144.794131000002</v>
      </c>
      <c r="M123" s="4" t="s">
        <v>874</v>
      </c>
      <c r="N123" s="19">
        <v>2.4976180000000001</v>
      </c>
      <c r="O123" s="19">
        <v>3.0533000000000001</v>
      </c>
      <c r="P123" s="19">
        <v>2.2799999999999998</v>
      </c>
      <c r="Q123" s="19">
        <v>3.0268999999999999</v>
      </c>
      <c r="R123" s="19">
        <v>2.72</v>
      </c>
      <c r="S123" s="19">
        <v>2.9862000000000002</v>
      </c>
      <c r="T123" s="19">
        <v>2.72</v>
      </c>
      <c r="U123" s="19">
        <v>2.8849</v>
      </c>
      <c r="V123" s="19">
        <v>2.36</v>
      </c>
      <c r="W123" s="19">
        <v>3.0089999999999999</v>
      </c>
      <c r="X123" s="19">
        <v>2.36</v>
      </c>
      <c r="Y123" s="19">
        <v>3.0089999999999999</v>
      </c>
      <c r="Z123" s="4"/>
      <c r="AA123" s="4"/>
      <c r="AB123" s="4" t="e">
        <f ca="1">_xll.ciqfunctions.udf.CIQ("^SPX", "IQ_PRICEDATE", "6/18/2014")</f>
        <v>#NAME?</v>
      </c>
      <c r="AC123" s="16">
        <v>1956.9841140414001</v>
      </c>
    </row>
    <row r="124" spans="1:29" x14ac:dyDescent="0.35">
      <c r="A124" s="2" t="s">
        <v>134</v>
      </c>
      <c r="B124" s="4" t="s">
        <v>875</v>
      </c>
      <c r="C124" s="4" t="s">
        <v>549</v>
      </c>
      <c r="D124" s="4" t="s">
        <v>550</v>
      </c>
      <c r="E124" s="4" t="s">
        <v>814</v>
      </c>
      <c r="F124" s="4" t="s">
        <v>833</v>
      </c>
      <c r="G124" s="14">
        <v>36.4</v>
      </c>
      <c r="H124" s="10">
        <v>8.0111139999999992</v>
      </c>
      <c r="I124" s="10">
        <v>7.1537319999999998</v>
      </c>
      <c r="J124" s="10" t="s">
        <v>534</v>
      </c>
      <c r="K124" s="15">
        <v>2.0878999999999998E-2</v>
      </c>
      <c r="L124" s="17">
        <v>166782.37510500001</v>
      </c>
      <c r="M124" s="4" t="s">
        <v>876</v>
      </c>
      <c r="N124" s="19">
        <v>5.0882529999999999</v>
      </c>
      <c r="O124" s="19">
        <v>2.5960000000000001</v>
      </c>
      <c r="P124" s="19">
        <v>4.75</v>
      </c>
      <c r="Q124" s="19">
        <v>2.1341999999999999</v>
      </c>
      <c r="R124" s="19">
        <v>1.78</v>
      </c>
      <c r="S124" s="19">
        <v>1.827</v>
      </c>
      <c r="T124" s="19">
        <v>1.78</v>
      </c>
      <c r="U124" s="19">
        <v>1.7591000000000001</v>
      </c>
      <c r="V124" s="19">
        <v>1.6</v>
      </c>
      <c r="W124" s="19">
        <v>1.5855999999999999</v>
      </c>
      <c r="X124" s="19">
        <v>1.6</v>
      </c>
      <c r="Y124" s="19">
        <v>1.5855999999999999</v>
      </c>
      <c r="Z124" s="4"/>
      <c r="AA124" s="4"/>
      <c r="AB124" s="4" t="e">
        <f ca="1">_xll.ciqfunctions.udf.CIQ("^SPX", "IQ_PRICEDATE", "6/19/2014")</f>
        <v>#NAME?</v>
      </c>
      <c r="AC124" s="16">
        <v>1959.4843523509001</v>
      </c>
    </row>
    <row r="125" spans="1:29" x14ac:dyDescent="0.35">
      <c r="A125" s="2" t="s">
        <v>135</v>
      </c>
      <c r="B125" s="4" t="s">
        <v>877</v>
      </c>
      <c r="C125" s="4" t="s">
        <v>573</v>
      </c>
      <c r="D125" s="4" t="s">
        <v>737</v>
      </c>
      <c r="E125" s="4" t="s">
        <v>737</v>
      </c>
      <c r="F125" s="4" t="s">
        <v>743</v>
      </c>
      <c r="G125" s="14">
        <v>85.08</v>
      </c>
      <c r="H125" s="10">
        <v>0</v>
      </c>
      <c r="I125" s="10">
        <v>14.323591</v>
      </c>
      <c r="J125" s="10">
        <v>1.975959</v>
      </c>
      <c r="K125" s="15">
        <v>2.8208E-2</v>
      </c>
      <c r="L125" s="17">
        <v>14118.22846</v>
      </c>
      <c r="M125" s="4" t="s">
        <v>878</v>
      </c>
      <c r="N125" s="19">
        <v>5.939851</v>
      </c>
      <c r="O125" s="19">
        <v>7.4924999999999997</v>
      </c>
      <c r="P125" s="19">
        <v>4.1399999999999997</v>
      </c>
      <c r="Q125" s="19">
        <v>5.2862999999999998</v>
      </c>
      <c r="R125" s="19">
        <v>2.68</v>
      </c>
      <c r="S125" s="19">
        <v>3.9453</v>
      </c>
      <c r="T125" s="19">
        <v>2.68</v>
      </c>
      <c r="U125" s="19">
        <v>2.9983</v>
      </c>
      <c r="V125" s="19">
        <v>3.16</v>
      </c>
      <c r="W125" s="19">
        <v>3.1105999999999998</v>
      </c>
      <c r="X125" s="19">
        <v>3.16</v>
      </c>
      <c r="Y125" s="19">
        <v>3.1105999999999998</v>
      </c>
      <c r="Z125" s="4"/>
      <c r="AA125" s="4"/>
      <c r="AB125" s="4" t="e">
        <f ca="1">_xll.ciqfunctions.udf.CIQ("^SPX", "IQ_PRICEDATE", "6/20/2014")</f>
        <v>#NAME?</v>
      </c>
      <c r="AC125" s="16">
        <v>1962.8734464996</v>
      </c>
    </row>
    <row r="126" spans="1:29" x14ac:dyDescent="0.35">
      <c r="A126" s="2" t="s">
        <v>136</v>
      </c>
      <c r="B126" s="4" t="s">
        <v>879</v>
      </c>
      <c r="C126" s="4" t="s">
        <v>626</v>
      </c>
      <c r="D126" s="4" t="s">
        <v>627</v>
      </c>
      <c r="E126" s="4" t="s">
        <v>699</v>
      </c>
      <c r="F126" s="4" t="s">
        <v>789</v>
      </c>
      <c r="G126" s="14">
        <v>35.299999999999997</v>
      </c>
      <c r="H126" s="10">
        <v>11.613946</v>
      </c>
      <c r="I126" s="10">
        <v>17.249796</v>
      </c>
      <c r="J126" s="10" t="s">
        <v>534</v>
      </c>
      <c r="K126" s="15">
        <v>2.4079000000000003E-2</v>
      </c>
      <c r="L126" s="17">
        <v>14408.123683</v>
      </c>
      <c r="M126" s="4" t="s">
        <v>880</v>
      </c>
      <c r="N126" s="19">
        <v>2.0464009999999999</v>
      </c>
      <c r="O126" s="19">
        <v>2.2486000000000002</v>
      </c>
      <c r="P126" s="19">
        <v>1.6588560000000001</v>
      </c>
      <c r="Q126" s="19">
        <v>1.9602999999999999</v>
      </c>
      <c r="R126" s="19">
        <v>0.34010099999999999</v>
      </c>
      <c r="S126" s="19">
        <v>1.8038000000000001</v>
      </c>
      <c r="T126" s="19">
        <v>0.34010099999999999</v>
      </c>
      <c r="U126" s="19">
        <v>2.3411</v>
      </c>
      <c r="V126" s="19">
        <v>0.29288700000000001</v>
      </c>
      <c r="W126" s="19">
        <v>2.4066000000000001</v>
      </c>
      <c r="X126" s="19">
        <v>0.29288700000000001</v>
      </c>
      <c r="Y126" s="19">
        <v>2.4066000000000001</v>
      </c>
      <c r="Z126" s="4"/>
      <c r="AA126" s="4"/>
      <c r="AB126" s="4" t="e">
        <f ca="1">_xll.ciqfunctions.udf.CIQ("^SPX", "IQ_PRICEDATE", "6/23/2014")</f>
        <v>#NAME?</v>
      </c>
      <c r="AC126" s="16">
        <v>1962.6107536819</v>
      </c>
    </row>
    <row r="127" spans="1:29" x14ac:dyDescent="0.35">
      <c r="A127" s="2" t="s">
        <v>137</v>
      </c>
      <c r="B127" s="4" t="s">
        <v>881</v>
      </c>
      <c r="C127" s="4" t="s">
        <v>669</v>
      </c>
      <c r="D127" s="4" t="s">
        <v>669</v>
      </c>
      <c r="E127" s="4" t="s">
        <v>670</v>
      </c>
      <c r="F127" s="4" t="s">
        <v>671</v>
      </c>
      <c r="G127" s="14">
        <v>150.44999999999999</v>
      </c>
      <c r="H127" s="10">
        <v>21.944783999999999</v>
      </c>
      <c r="I127" s="10">
        <v>19.981642000000001</v>
      </c>
      <c r="J127" s="10">
        <v>2.258543</v>
      </c>
      <c r="K127" s="15">
        <v>0</v>
      </c>
      <c r="L127" s="17">
        <v>29964.77866</v>
      </c>
      <c r="M127" s="4" t="s">
        <v>882</v>
      </c>
      <c r="N127" s="19">
        <v>7.5294109999999996</v>
      </c>
      <c r="O127" s="19">
        <v>5.1081000000000003</v>
      </c>
      <c r="P127" s="19">
        <v>6.41</v>
      </c>
      <c r="Q127" s="19">
        <v>2.1577999999999999</v>
      </c>
      <c r="R127" s="19">
        <v>-10.85</v>
      </c>
      <c r="S127" s="19">
        <v>-0.1091</v>
      </c>
      <c r="T127" s="19">
        <v>-10.85</v>
      </c>
      <c r="U127" s="19">
        <v>0.61660000000000004</v>
      </c>
      <c r="V127" s="19">
        <v>4.876938</v>
      </c>
      <c r="W127" s="19">
        <v>2.9695</v>
      </c>
      <c r="X127" s="19">
        <v>4.876938</v>
      </c>
      <c r="Y127" s="19">
        <v>2.9695</v>
      </c>
      <c r="Z127" s="4"/>
      <c r="AA127" s="4"/>
      <c r="AB127" s="4" t="e">
        <f ca="1">_xll.ciqfunctions.udf.CIQ("^SPX", "IQ_PRICEDATE", "6/24/2014")</f>
        <v>#NAME?</v>
      </c>
      <c r="AC127" s="16">
        <v>1949.9824017625001</v>
      </c>
    </row>
    <row r="128" spans="1:29" x14ac:dyDescent="0.35">
      <c r="A128" s="2" t="s">
        <v>138</v>
      </c>
      <c r="B128" s="4" t="s">
        <v>883</v>
      </c>
      <c r="C128" s="4" t="s">
        <v>669</v>
      </c>
      <c r="D128" s="4" t="s">
        <v>669</v>
      </c>
      <c r="E128" s="4" t="s">
        <v>670</v>
      </c>
      <c r="F128" s="4" t="s">
        <v>671</v>
      </c>
      <c r="G128" s="14">
        <v>72.48</v>
      </c>
      <c r="H128" s="10">
        <v>7.4660320000000002</v>
      </c>
      <c r="I128" s="10">
        <v>19.133102000000001</v>
      </c>
      <c r="J128" s="10">
        <v>2.7133769999999999</v>
      </c>
      <c r="K128" s="15">
        <v>1.6832E-2</v>
      </c>
      <c r="L128" s="17">
        <v>84228.667923999994</v>
      </c>
      <c r="M128" s="4" t="s">
        <v>884</v>
      </c>
      <c r="N128" s="19">
        <v>3.7881990000000001</v>
      </c>
      <c r="O128" s="19">
        <v>5.0327999999999999</v>
      </c>
      <c r="P128" s="19">
        <v>-0.70022300000000004</v>
      </c>
      <c r="Q128" s="19">
        <v>1.5112000000000001</v>
      </c>
      <c r="R128" s="19">
        <v>-2.91</v>
      </c>
      <c r="S128" s="19">
        <v>-0.65049999999999997</v>
      </c>
      <c r="T128" s="19">
        <v>-2.91</v>
      </c>
      <c r="U128" s="19">
        <v>-0.83240000000000003</v>
      </c>
      <c r="V128" s="19">
        <v>4.5999999999999996</v>
      </c>
      <c r="W128" s="19">
        <v>3.4333</v>
      </c>
      <c r="X128" s="19">
        <v>4.5999999999999996</v>
      </c>
      <c r="Y128" s="19">
        <v>3.4333</v>
      </c>
      <c r="Z128" s="4"/>
      <c r="AA128" s="4"/>
      <c r="AB128" s="4" t="e">
        <f ca="1">_xll.ciqfunctions.udf.CIQ("^SPX", "IQ_PRICEDATE", "6/25/2014")</f>
        <v>#NAME?</v>
      </c>
      <c r="AC128" s="16">
        <v>1959.5311112085001</v>
      </c>
    </row>
    <row r="129" spans="1:29" x14ac:dyDescent="0.35">
      <c r="A129" s="2" t="s">
        <v>139</v>
      </c>
      <c r="B129" s="4" t="s">
        <v>885</v>
      </c>
      <c r="C129" s="4" t="s">
        <v>619</v>
      </c>
      <c r="D129" s="4" t="s">
        <v>619</v>
      </c>
      <c r="E129" s="4" t="s">
        <v>634</v>
      </c>
      <c r="F129" s="4" t="s">
        <v>634</v>
      </c>
      <c r="G129" s="14">
        <v>76.11</v>
      </c>
      <c r="H129" s="10">
        <v>10.453811</v>
      </c>
      <c r="I129" s="10">
        <v>15.011653000000001</v>
      </c>
      <c r="J129" s="10">
        <v>1.56829</v>
      </c>
      <c r="K129" s="15">
        <v>3.7576999999999999E-2</v>
      </c>
      <c r="L129" s="17">
        <v>23678.048492999998</v>
      </c>
      <c r="M129" s="4" t="s">
        <v>886</v>
      </c>
      <c r="N129" s="19">
        <v>5.0700609999999999</v>
      </c>
      <c r="O129" s="19">
        <v>4.4249999999999998</v>
      </c>
      <c r="P129" s="19">
        <v>4.9400000000000004</v>
      </c>
      <c r="Q129" s="19">
        <v>4.2163000000000004</v>
      </c>
      <c r="R129" s="19">
        <v>4.12</v>
      </c>
      <c r="S129" s="19">
        <v>4.0926999999999998</v>
      </c>
      <c r="T129" s="19">
        <v>4.12</v>
      </c>
      <c r="U129" s="19">
        <v>4.0667</v>
      </c>
      <c r="V129" s="19">
        <v>3.71</v>
      </c>
      <c r="W129" s="19">
        <v>3.8935</v>
      </c>
      <c r="X129" s="19">
        <v>3.71</v>
      </c>
      <c r="Y129" s="19">
        <v>3.8935</v>
      </c>
      <c r="Z129" s="4"/>
      <c r="AA129" s="4"/>
      <c r="AB129" s="4" t="e">
        <f ca="1">_xll.ciqfunctions.udf.CIQ("^SPX", "IQ_PRICEDATE", "6/26/2014")</f>
        <v>#NAME?</v>
      </c>
      <c r="AC129" s="16">
        <v>1957.2197789147001</v>
      </c>
    </row>
    <row r="130" spans="1:29" x14ac:dyDescent="0.35">
      <c r="A130" s="2" t="s">
        <v>140</v>
      </c>
      <c r="B130" s="4" t="s">
        <v>887</v>
      </c>
      <c r="C130" s="4" t="s">
        <v>626</v>
      </c>
      <c r="D130" s="4" t="s">
        <v>627</v>
      </c>
      <c r="E130" s="4" t="s">
        <v>775</v>
      </c>
      <c r="F130" s="4" t="s">
        <v>776</v>
      </c>
      <c r="G130" s="14">
        <v>227.2</v>
      </c>
      <c r="H130" s="10">
        <v>11.984292</v>
      </c>
      <c r="I130" s="10">
        <v>13.603726</v>
      </c>
      <c r="J130" s="10" t="s">
        <v>534</v>
      </c>
      <c r="K130" s="15">
        <v>1.3028E-2</v>
      </c>
      <c r="L130" s="17">
        <v>43070.365850000002</v>
      </c>
      <c r="M130" s="4" t="s">
        <v>888</v>
      </c>
      <c r="N130" s="19">
        <v>16.701305999999999</v>
      </c>
      <c r="O130" s="19">
        <v>9.9064999999999994</v>
      </c>
      <c r="P130" s="19">
        <v>9.1704439999999998</v>
      </c>
      <c r="Q130" s="19">
        <v>8.7951999999999995</v>
      </c>
      <c r="R130" s="19">
        <v>6.4615049999999998</v>
      </c>
      <c r="S130" s="19">
        <v>7.1273</v>
      </c>
      <c r="T130" s="19">
        <v>6.4615049999999998</v>
      </c>
      <c r="U130" s="19">
        <v>5.4321000000000002</v>
      </c>
      <c r="V130" s="19">
        <v>3.8944220000000001</v>
      </c>
      <c r="W130" s="19">
        <v>4.5663999999999998</v>
      </c>
      <c r="X130" s="19">
        <v>3.8944220000000001</v>
      </c>
      <c r="Y130" s="19">
        <v>4.5663999999999998</v>
      </c>
      <c r="Z130" s="4"/>
      <c r="AA130" s="4"/>
      <c r="AB130" s="4" t="e">
        <f ca="1">_xll.ciqfunctions.udf.CIQ("^SPX", "IQ_PRICEDATE", "6/27/2014")</f>
        <v>#NAME?</v>
      </c>
      <c r="AC130" s="16">
        <v>1960.9605158347999</v>
      </c>
    </row>
    <row r="131" spans="1:29" x14ac:dyDescent="0.35">
      <c r="A131" s="2" t="s">
        <v>141</v>
      </c>
      <c r="B131" s="4" t="s">
        <v>889</v>
      </c>
      <c r="C131" s="4" t="s">
        <v>525</v>
      </c>
      <c r="D131" s="4" t="s">
        <v>855</v>
      </c>
      <c r="E131" s="4" t="s">
        <v>856</v>
      </c>
      <c r="F131" s="4" t="s">
        <v>857</v>
      </c>
      <c r="G131" s="14">
        <v>50.99</v>
      </c>
      <c r="H131" s="10">
        <v>16.596482999999999</v>
      </c>
      <c r="I131" s="10">
        <v>29.473987999999999</v>
      </c>
      <c r="J131" s="10">
        <v>10.243567000000001</v>
      </c>
      <c r="K131" s="15">
        <v>0</v>
      </c>
      <c r="L131" s="17">
        <v>11927.386528000001</v>
      </c>
      <c r="M131" s="4" t="s">
        <v>890</v>
      </c>
      <c r="N131" s="19">
        <v>1.73</v>
      </c>
      <c r="O131" s="19">
        <v>2.1323099999999999</v>
      </c>
      <c r="P131" s="19">
        <v>1.278816</v>
      </c>
      <c r="Q131" s="19">
        <v>1.6492</v>
      </c>
      <c r="R131" s="19">
        <v>1.6050340000000001</v>
      </c>
      <c r="S131" s="19">
        <v>1.2623</v>
      </c>
      <c r="T131" s="19">
        <v>1.6050340000000001</v>
      </c>
      <c r="U131" s="19">
        <v>0.97319999999999995</v>
      </c>
      <c r="V131" s="19">
        <v>0.71996300000000002</v>
      </c>
      <c r="W131" s="19">
        <v>0.88519999999999999</v>
      </c>
      <c r="X131" s="19">
        <v>0.71996300000000002</v>
      </c>
      <c r="Y131" s="19">
        <v>0.88519999999999999</v>
      </c>
      <c r="Z131" s="4"/>
      <c r="AA131" s="4"/>
      <c r="AB131" s="4" t="e">
        <f ca="1">_xll.ciqfunctions.udf.CIQ("^SPX", "IQ_PRICEDATE", "6/30/2014")</f>
        <v>#NAME?</v>
      </c>
      <c r="AC131" s="16">
        <v>1960.2312403638</v>
      </c>
    </row>
    <row r="132" spans="1:29" x14ac:dyDescent="0.35">
      <c r="A132" s="2" t="s">
        <v>142</v>
      </c>
      <c r="B132" s="4" t="s">
        <v>891</v>
      </c>
      <c r="C132" s="4" t="s">
        <v>543</v>
      </c>
      <c r="D132" s="4" t="s">
        <v>664</v>
      </c>
      <c r="E132" s="4" t="s">
        <v>665</v>
      </c>
      <c r="F132" s="4" t="s">
        <v>666</v>
      </c>
      <c r="G132" s="14">
        <v>32.39</v>
      </c>
      <c r="H132" s="10">
        <v>10.17916</v>
      </c>
      <c r="I132" s="10" t="s">
        <v>534</v>
      </c>
      <c r="J132" s="10">
        <v>3.1468120000000002</v>
      </c>
      <c r="K132" s="15">
        <v>2.2229000000000002E-2</v>
      </c>
      <c r="L132" s="17">
        <v>26236.386011999999</v>
      </c>
      <c r="M132" s="4" t="s">
        <v>892</v>
      </c>
      <c r="N132" s="19">
        <v>-1.189378</v>
      </c>
      <c r="O132" s="19">
        <v>1.9618</v>
      </c>
      <c r="P132" s="19">
        <v>-0.66480399999999995</v>
      </c>
      <c r="Q132" s="19">
        <v>1.7302999999999999</v>
      </c>
      <c r="R132" s="19">
        <v>3.229895</v>
      </c>
      <c r="S132" s="19">
        <v>1.6541999999999999</v>
      </c>
      <c r="T132" s="19">
        <v>3.229895</v>
      </c>
      <c r="U132" s="19">
        <v>1.3842000000000001</v>
      </c>
      <c r="V132" s="19">
        <v>1.732305</v>
      </c>
      <c r="W132" s="19">
        <v>1.5363</v>
      </c>
      <c r="X132" s="19">
        <v>1.732305</v>
      </c>
      <c r="Y132" s="19">
        <v>1.5363</v>
      </c>
      <c r="Z132" s="4"/>
      <c r="AA132" s="4"/>
      <c r="AB132" s="4" t="e">
        <f ca="1">_xll.ciqfunctions.udf.CIQ("^SPX", "IQ_PRICEDATE", "7/1/2014")</f>
        <v>#NAME?</v>
      </c>
      <c r="AC132" s="16">
        <v>1973.3185916340999</v>
      </c>
    </row>
    <row r="133" spans="1:29" x14ac:dyDescent="0.35">
      <c r="A133" s="2" t="s">
        <v>143</v>
      </c>
      <c r="B133" s="4" t="s">
        <v>893</v>
      </c>
      <c r="C133" s="4" t="s">
        <v>626</v>
      </c>
      <c r="D133" s="4" t="s">
        <v>894</v>
      </c>
      <c r="E133" s="4" t="s">
        <v>894</v>
      </c>
      <c r="F133" s="4" t="s">
        <v>895</v>
      </c>
      <c r="G133" s="14">
        <v>228.49</v>
      </c>
      <c r="H133" s="10">
        <v>17.118725999999999</v>
      </c>
      <c r="I133" s="10">
        <v>32.227080000000001</v>
      </c>
      <c r="J133" s="10">
        <v>7.8226269999999998</v>
      </c>
      <c r="K133" s="15">
        <v>9.9780000000000008E-3</v>
      </c>
      <c r="L133" s="17">
        <v>100121.80461000001</v>
      </c>
      <c r="M133" s="4" t="s">
        <v>896</v>
      </c>
      <c r="N133" s="19">
        <v>7.09</v>
      </c>
      <c r="O133" s="19">
        <v>7.73529</v>
      </c>
      <c r="P133" s="19">
        <v>6.2897129999999999</v>
      </c>
      <c r="Q133" s="19">
        <v>6.6566000000000001</v>
      </c>
      <c r="R133" s="19">
        <v>5.4802949999999999</v>
      </c>
      <c r="S133" s="19">
        <v>6.0366999999999997</v>
      </c>
      <c r="T133" s="19">
        <v>5.4802949999999999</v>
      </c>
      <c r="U133" s="19">
        <v>5.6771000000000003</v>
      </c>
      <c r="V133" s="19">
        <v>4.8100149999999999</v>
      </c>
      <c r="W133" s="19">
        <v>5.2817999999999996</v>
      </c>
      <c r="X133" s="19">
        <v>4.8100149999999999</v>
      </c>
      <c r="Y133" s="19">
        <v>5.2817999999999996</v>
      </c>
      <c r="Z133" s="4"/>
      <c r="AA133" s="4"/>
      <c r="AB133" s="4" t="e">
        <f ca="1">_xll.ciqfunctions.udf.CIQ("^SPX", "IQ_PRICEDATE", "7/2/2014")</f>
        <v>#NAME?</v>
      </c>
      <c r="AC133" s="16">
        <v>1974.6180479468001</v>
      </c>
    </row>
    <row r="134" spans="1:29" x14ac:dyDescent="0.35">
      <c r="A134" s="2" t="s">
        <v>144</v>
      </c>
      <c r="B134" s="4" t="s">
        <v>897</v>
      </c>
      <c r="C134" s="4" t="s">
        <v>626</v>
      </c>
      <c r="D134" s="4" t="s">
        <v>845</v>
      </c>
      <c r="E134" s="4" t="s">
        <v>898</v>
      </c>
      <c r="F134" s="4" t="s">
        <v>898</v>
      </c>
      <c r="G134" s="14">
        <v>11.21</v>
      </c>
      <c r="H134" s="10">
        <v>11.760125</v>
      </c>
      <c r="I134" s="10" t="s">
        <v>534</v>
      </c>
      <c r="J134" s="10" t="s">
        <v>534</v>
      </c>
      <c r="K134" s="15">
        <v>4.4603000000000004E-2</v>
      </c>
      <c r="L134" s="17">
        <v>8416.5130869999994</v>
      </c>
      <c r="M134" s="4" t="s">
        <v>899</v>
      </c>
      <c r="N134" s="19">
        <v>-0.23</v>
      </c>
      <c r="O134" s="19">
        <v>0.74741000000000002</v>
      </c>
      <c r="P134" s="19">
        <v>-0.51250200000000001</v>
      </c>
      <c r="Q134" s="19">
        <v>0.73409999999999997</v>
      </c>
      <c r="R134" s="19">
        <v>-2.5048000000000001E-2</v>
      </c>
      <c r="S134" s="19">
        <v>0.96250000000000002</v>
      </c>
      <c r="T134" s="19">
        <v>-2.5048000000000001E-2</v>
      </c>
      <c r="U134" s="19">
        <v>0.9214</v>
      </c>
      <c r="V134" s="19">
        <v>-0.386963</v>
      </c>
      <c r="W134" s="19">
        <v>0.88639999999999997</v>
      </c>
      <c r="X134" s="19">
        <v>-0.386963</v>
      </c>
      <c r="Y134" s="19">
        <v>0.88639999999999997</v>
      </c>
      <c r="Z134" s="4"/>
      <c r="AA134" s="4"/>
      <c r="AB134" s="4" t="e">
        <f ca="1">_xll.ciqfunctions.udf.CIQ("^SPX", "IQ_PRICEDATE", "7/3/2014")</f>
        <v>#NAME?</v>
      </c>
      <c r="AC134" s="16">
        <v>1985.4371180636999</v>
      </c>
    </row>
    <row r="135" spans="1:29" x14ac:dyDescent="0.35">
      <c r="A135" s="2" t="s">
        <v>145</v>
      </c>
      <c r="B135" s="4" t="s">
        <v>900</v>
      </c>
      <c r="C135" s="4" t="s">
        <v>601</v>
      </c>
      <c r="D135" s="4" t="s">
        <v>601</v>
      </c>
      <c r="E135" s="4" t="s">
        <v>602</v>
      </c>
      <c r="F135" s="4" t="s">
        <v>647</v>
      </c>
      <c r="G135" s="14">
        <v>106.79</v>
      </c>
      <c r="H135" s="10">
        <v>21.127037999999999</v>
      </c>
      <c r="I135" s="10">
        <v>99.061058000000003</v>
      </c>
      <c r="J135" s="10" t="s">
        <v>534</v>
      </c>
      <c r="K135" s="15">
        <v>3.9329000000000003E-2</v>
      </c>
      <c r="L135" s="17">
        <v>44300.758901000001</v>
      </c>
      <c r="M135" s="4" t="s">
        <v>901</v>
      </c>
      <c r="N135" s="19">
        <v>1.078022</v>
      </c>
      <c r="O135" s="19">
        <v>1.4679</v>
      </c>
      <c r="P135" s="19">
        <v>1.01</v>
      </c>
      <c r="Q135" s="19">
        <v>1.083</v>
      </c>
      <c r="R135" s="19">
        <v>0.95</v>
      </c>
      <c r="S135" s="19">
        <v>1.1644000000000001</v>
      </c>
      <c r="T135" s="19">
        <v>0.95</v>
      </c>
      <c r="U135" s="19">
        <v>1.2323999999999999</v>
      </c>
      <c r="V135" s="19">
        <v>0.88258700000000001</v>
      </c>
      <c r="W135" s="19">
        <v>1.2907</v>
      </c>
      <c r="X135" s="19">
        <v>0.88258700000000001</v>
      </c>
      <c r="Y135" s="19">
        <v>1.2907</v>
      </c>
      <c r="Z135" s="4"/>
      <c r="AA135" s="4"/>
      <c r="AB135" s="4" t="e">
        <f ca="1">_xll.ciqfunctions.udf.CIQ("^SPX", "IQ_PRICEDATE", "7/7/2014")</f>
        <v>#NAME?</v>
      </c>
      <c r="AC135" s="16">
        <v>1977.6508625317999</v>
      </c>
    </row>
    <row r="136" spans="1:29" x14ac:dyDescent="0.35">
      <c r="A136" s="2" t="s">
        <v>146</v>
      </c>
      <c r="B136" s="4" t="s">
        <v>902</v>
      </c>
      <c r="C136" s="4" t="s">
        <v>525</v>
      </c>
      <c r="D136" s="4" t="s">
        <v>594</v>
      </c>
      <c r="E136" s="4" t="s">
        <v>903</v>
      </c>
      <c r="F136" s="4" t="s">
        <v>904</v>
      </c>
      <c r="G136" s="14">
        <v>70.709999999999994</v>
      </c>
      <c r="H136" s="10">
        <v>11.6145</v>
      </c>
      <c r="I136" s="10">
        <v>9.3922609999999995</v>
      </c>
      <c r="J136" s="10">
        <v>4.3522819999999998</v>
      </c>
      <c r="K136" s="15">
        <v>1.2444999999999999E-2</v>
      </c>
      <c r="L136" s="17">
        <v>59708.963726000002</v>
      </c>
      <c r="M136" s="4" t="s">
        <v>905</v>
      </c>
      <c r="N136" s="19">
        <v>7.5285380000000002</v>
      </c>
      <c r="O136" s="19">
        <v>3.8658999999999999</v>
      </c>
      <c r="P136" s="19">
        <v>5.99</v>
      </c>
      <c r="Q136" s="19">
        <v>2.5162</v>
      </c>
      <c r="R136" s="19">
        <v>1.80887</v>
      </c>
      <c r="S136" s="19">
        <v>1.9392</v>
      </c>
      <c r="T136" s="19">
        <v>1.80887</v>
      </c>
      <c r="U136" s="19">
        <v>1.9983</v>
      </c>
      <c r="V136" s="19">
        <v>1.92</v>
      </c>
      <c r="W136" s="19">
        <v>2.1070000000000002</v>
      </c>
      <c r="X136" s="19">
        <v>1.92</v>
      </c>
      <c r="Y136" s="19">
        <v>2.1070000000000002</v>
      </c>
      <c r="Z136" s="4"/>
      <c r="AA136" s="4"/>
      <c r="AB136" s="4" t="e">
        <f ca="1">_xll.ciqfunctions.udf.CIQ("^SPX", "IQ_PRICEDATE", "7/8/2014")</f>
        <v>#NAME?</v>
      </c>
      <c r="AC136" s="16">
        <v>1963.7114770538999</v>
      </c>
    </row>
    <row r="137" spans="1:29" x14ac:dyDescent="0.35">
      <c r="A137" s="2" t="s">
        <v>147</v>
      </c>
      <c r="B137" s="4" t="s">
        <v>906</v>
      </c>
      <c r="C137" s="4" t="s">
        <v>525</v>
      </c>
      <c r="D137" s="4" t="s">
        <v>526</v>
      </c>
      <c r="E137" s="4" t="s">
        <v>803</v>
      </c>
      <c r="F137" s="4" t="s">
        <v>804</v>
      </c>
      <c r="G137" s="14">
        <v>146.19</v>
      </c>
      <c r="H137" s="10">
        <v>8.2986369999999994</v>
      </c>
      <c r="I137" s="10">
        <v>23.113306000000001</v>
      </c>
      <c r="J137" s="10">
        <v>4.5075250000000002</v>
      </c>
      <c r="K137" s="15">
        <v>3.1192000000000001E-2</v>
      </c>
      <c r="L137" s="17">
        <v>23801.193899999998</v>
      </c>
      <c r="M137" s="4" t="s">
        <v>907</v>
      </c>
      <c r="N137" s="19">
        <v>6.3249279999999999</v>
      </c>
      <c r="O137" s="19">
        <v>14.9735</v>
      </c>
      <c r="P137" s="19">
        <v>5.9699989999999996</v>
      </c>
      <c r="Q137" s="19">
        <v>11.3878</v>
      </c>
      <c r="R137" s="19">
        <v>8.23</v>
      </c>
      <c r="S137" s="19">
        <v>7.9602000000000004</v>
      </c>
      <c r="T137" s="19">
        <v>8.23</v>
      </c>
      <c r="U137" s="19">
        <v>8.3613</v>
      </c>
      <c r="V137" s="19">
        <v>9.02</v>
      </c>
      <c r="W137" s="19">
        <v>10.5555</v>
      </c>
      <c r="X137" s="19">
        <v>9.02</v>
      </c>
      <c r="Y137" s="19">
        <v>10.5555</v>
      </c>
      <c r="Z137" s="4"/>
      <c r="AA137" s="4"/>
      <c r="AB137" s="4" t="e">
        <f ca="1">_xll.ciqfunctions.udf.CIQ("^SPX", "IQ_PRICEDATE", "7/9/2014")</f>
        <v>#NAME?</v>
      </c>
      <c r="AC137" s="16">
        <v>1972.8330923594999</v>
      </c>
    </row>
    <row r="138" spans="1:29" x14ac:dyDescent="0.35">
      <c r="A138" s="2" t="s">
        <v>148</v>
      </c>
      <c r="B138" s="4" t="s">
        <v>908</v>
      </c>
      <c r="C138" s="4" t="s">
        <v>530</v>
      </c>
      <c r="D138" s="4" t="s">
        <v>531</v>
      </c>
      <c r="E138" s="4" t="s">
        <v>569</v>
      </c>
      <c r="F138" s="4" t="s">
        <v>909</v>
      </c>
      <c r="G138" s="14">
        <v>74.36</v>
      </c>
      <c r="H138" s="10">
        <v>7.6016019999999997</v>
      </c>
      <c r="I138" s="10">
        <v>25.309519000000002</v>
      </c>
      <c r="J138" s="10" t="s">
        <v>534</v>
      </c>
      <c r="K138" s="15">
        <v>2.6896E-2</v>
      </c>
      <c r="L138" s="17">
        <v>75703.223052999994</v>
      </c>
      <c r="M138" s="4" t="s">
        <v>910</v>
      </c>
      <c r="N138" s="19">
        <v>2.9380250000000001</v>
      </c>
      <c r="O138" s="19">
        <v>7.1859000000000002</v>
      </c>
      <c r="P138" s="19">
        <v>6.45</v>
      </c>
      <c r="Q138" s="19">
        <v>6.1665999999999999</v>
      </c>
      <c r="R138" s="19">
        <v>4.91</v>
      </c>
      <c r="S138" s="19">
        <v>5.7864000000000004</v>
      </c>
      <c r="T138" s="19">
        <v>4.91</v>
      </c>
      <c r="U138" s="19">
        <v>5.5949999999999998</v>
      </c>
      <c r="V138" s="19">
        <v>3.96</v>
      </c>
      <c r="W138" s="19">
        <v>4.899</v>
      </c>
      <c r="X138" s="19">
        <v>3.96</v>
      </c>
      <c r="Y138" s="19">
        <v>4.899</v>
      </c>
      <c r="Z138" s="4"/>
      <c r="AA138" s="4"/>
      <c r="AB138" s="4" t="e">
        <f ca="1">_xll.ciqfunctions.udf.CIQ("^SPX", "IQ_PRICEDATE", "7/10/2014")</f>
        <v>#NAME?</v>
      </c>
      <c r="AC138" s="16">
        <v>1964.6766176333001</v>
      </c>
    </row>
    <row r="139" spans="1:29" x14ac:dyDescent="0.35">
      <c r="A139" s="2" t="s">
        <v>149</v>
      </c>
      <c r="B139" s="4" t="s">
        <v>911</v>
      </c>
      <c r="C139" s="4" t="s">
        <v>559</v>
      </c>
      <c r="D139" s="4" t="s">
        <v>912</v>
      </c>
      <c r="E139" s="4" t="s">
        <v>913</v>
      </c>
      <c r="F139" s="4" t="s">
        <v>914</v>
      </c>
      <c r="G139" s="14">
        <v>37.78</v>
      </c>
      <c r="H139" s="10">
        <v>8.130979</v>
      </c>
      <c r="I139" s="10">
        <v>11.080049000000001</v>
      </c>
      <c r="J139" s="10">
        <v>1.677972</v>
      </c>
      <c r="K139" s="15">
        <v>1.3233999999999999E-2</v>
      </c>
      <c r="L139" s="17">
        <v>14220.299212</v>
      </c>
      <c r="M139" s="4" t="s">
        <v>915</v>
      </c>
      <c r="N139" s="19">
        <v>3.409732</v>
      </c>
      <c r="O139" s="19">
        <v>4.4203999999999999</v>
      </c>
      <c r="P139" s="19">
        <v>2.6772079999999998</v>
      </c>
      <c r="Q139" s="19">
        <v>3.2790699999999999</v>
      </c>
      <c r="R139" s="19">
        <v>2.4886949999999999</v>
      </c>
      <c r="S139" s="19">
        <v>2.67048</v>
      </c>
      <c r="T139" s="19">
        <v>2.4886949999999999</v>
      </c>
      <c r="U139" s="19">
        <v>2.3214000000000001</v>
      </c>
      <c r="V139" s="19">
        <v>1.5333889999999999</v>
      </c>
      <c r="W139" s="19">
        <v>1.84293</v>
      </c>
      <c r="X139" s="19">
        <v>1.5333889999999999</v>
      </c>
      <c r="Y139" s="19">
        <v>1.84293</v>
      </c>
      <c r="Z139" s="4"/>
      <c r="AA139" s="4"/>
      <c r="AB139" s="4" t="e">
        <f ca="1">_xll.ciqfunctions.udf.CIQ("^SPX", "IQ_PRICEDATE", "7/11/2014")</f>
        <v>#NAME?</v>
      </c>
      <c r="AC139" s="16">
        <v>1967.5691612269</v>
      </c>
    </row>
    <row r="140" spans="1:29" x14ac:dyDescent="0.35">
      <c r="A140" s="2" t="s">
        <v>150</v>
      </c>
      <c r="B140" s="4" t="s">
        <v>916</v>
      </c>
      <c r="C140" s="4" t="s">
        <v>530</v>
      </c>
      <c r="D140" s="4" t="s">
        <v>531</v>
      </c>
      <c r="E140" s="4" t="s">
        <v>532</v>
      </c>
      <c r="F140" s="4" t="s">
        <v>533</v>
      </c>
      <c r="G140" s="14">
        <v>104.96</v>
      </c>
      <c r="H140" s="10">
        <v>17.27495</v>
      </c>
      <c r="I140" s="10">
        <v>26.980429999999998</v>
      </c>
      <c r="J140" s="10" t="s">
        <v>534</v>
      </c>
      <c r="K140" s="15">
        <v>6.097E-3</v>
      </c>
      <c r="L140" s="17">
        <v>73446.268320999996</v>
      </c>
      <c r="M140" s="4" t="s">
        <v>917</v>
      </c>
      <c r="N140" s="19">
        <v>3.8902269999999999</v>
      </c>
      <c r="O140" s="19">
        <v>4.6703999999999999</v>
      </c>
      <c r="P140" s="19">
        <v>3.5007779999999999</v>
      </c>
      <c r="Q140" s="19">
        <v>4.2243000000000004</v>
      </c>
      <c r="R140" s="19">
        <v>3.0797370000000002</v>
      </c>
      <c r="S140" s="19">
        <v>3.8018999999999998</v>
      </c>
      <c r="T140" s="19">
        <v>3.0797370000000002</v>
      </c>
      <c r="U140" s="19">
        <v>4.7882999999999996</v>
      </c>
      <c r="V140" s="19">
        <v>2.2929750000000002</v>
      </c>
      <c r="W140" s="19">
        <v>4.0403000000000002</v>
      </c>
      <c r="X140" s="19">
        <v>2.2929750000000002</v>
      </c>
      <c r="Y140" s="19">
        <v>4.0403000000000002</v>
      </c>
      <c r="Z140" s="4"/>
      <c r="AA140" s="4"/>
      <c r="AB140" s="4" t="e">
        <f ca="1">_xll.ciqfunctions.udf.CIQ("^SPX", "IQ_PRICEDATE", "7/14/2014")</f>
        <v>#NAME?</v>
      </c>
      <c r="AC140" s="16">
        <v>1977.0993235454</v>
      </c>
    </row>
    <row r="141" spans="1:29" x14ac:dyDescent="0.35">
      <c r="A141" s="2" t="s">
        <v>151</v>
      </c>
      <c r="B141" s="4" t="s">
        <v>918</v>
      </c>
      <c r="C141" s="4" t="s">
        <v>559</v>
      </c>
      <c r="D141" s="4" t="s">
        <v>798</v>
      </c>
      <c r="E141" s="4" t="s">
        <v>799</v>
      </c>
      <c r="F141" s="4" t="s">
        <v>839</v>
      </c>
      <c r="G141" s="14">
        <v>109.94</v>
      </c>
      <c r="H141" s="10">
        <v>13.100484</v>
      </c>
      <c r="I141" s="10">
        <v>21.209614999999999</v>
      </c>
      <c r="J141" s="10">
        <v>96.977331000000007</v>
      </c>
      <c r="K141" s="15">
        <v>2.7286999999999999E-2</v>
      </c>
      <c r="L141" s="17">
        <v>13644.703533</v>
      </c>
      <c r="M141" s="4" t="s">
        <v>919</v>
      </c>
      <c r="N141" s="19">
        <v>5.1834980000000002</v>
      </c>
      <c r="O141" s="19">
        <v>5.6837</v>
      </c>
      <c r="P141" s="19">
        <v>3.9699439999999999</v>
      </c>
      <c r="Q141" s="19">
        <v>4.7085999999999997</v>
      </c>
      <c r="R141" s="19">
        <v>3.448197</v>
      </c>
      <c r="S141" s="19">
        <v>4.0773000000000001</v>
      </c>
      <c r="T141" s="19">
        <v>3.448197</v>
      </c>
      <c r="U141" s="19">
        <v>3.5392999999999999</v>
      </c>
      <c r="V141" s="19">
        <v>0.647281</v>
      </c>
      <c r="W141" s="19">
        <v>2.5777000000000001</v>
      </c>
      <c r="X141" s="19">
        <v>0.647281</v>
      </c>
      <c r="Y141" s="19">
        <v>2.5777000000000001</v>
      </c>
      <c r="Z141" s="4"/>
      <c r="AA141" s="4"/>
      <c r="AB141" s="4" t="e">
        <f ca="1">_xll.ciqfunctions.udf.CIQ("^SPX", "IQ_PRICEDATE", "7/15/2014")</f>
        <v>#NAME?</v>
      </c>
      <c r="AC141" s="16">
        <v>1973.2820561929</v>
      </c>
    </row>
    <row r="142" spans="1:29" x14ac:dyDescent="0.35">
      <c r="A142" s="2" t="s">
        <v>152</v>
      </c>
      <c r="B142" s="4" t="s">
        <v>920</v>
      </c>
      <c r="C142" s="4" t="s">
        <v>530</v>
      </c>
      <c r="D142" s="4" t="s">
        <v>531</v>
      </c>
      <c r="E142" s="4" t="s">
        <v>569</v>
      </c>
      <c r="F142" s="4" t="s">
        <v>909</v>
      </c>
      <c r="G142" s="14">
        <v>68.36</v>
      </c>
      <c r="H142" s="10">
        <v>9.4707399999999993</v>
      </c>
      <c r="I142" s="10">
        <v>17.875937</v>
      </c>
      <c r="J142" s="10" t="s">
        <v>534</v>
      </c>
      <c r="K142" s="15">
        <v>0</v>
      </c>
      <c r="L142" s="17">
        <v>11409.284</v>
      </c>
      <c r="M142" s="4" t="s">
        <v>921</v>
      </c>
      <c r="N142" s="19">
        <v>3.8241350000000001</v>
      </c>
      <c r="O142" s="19">
        <v>4.2111000000000001</v>
      </c>
      <c r="P142" s="19">
        <v>4.7523299999999997</v>
      </c>
      <c r="Q142" s="19">
        <v>3.5078</v>
      </c>
      <c r="R142" s="19">
        <v>5.0623680000000002</v>
      </c>
      <c r="S142" s="19">
        <v>3.6593</v>
      </c>
      <c r="T142" s="19">
        <v>5.0623680000000002</v>
      </c>
      <c r="U142" s="19">
        <v>3.9411999999999998</v>
      </c>
      <c r="V142" s="19">
        <v>3.33</v>
      </c>
      <c r="W142" s="19">
        <v>3.6556999999999999</v>
      </c>
      <c r="X142" s="19">
        <v>3.33</v>
      </c>
      <c r="Y142" s="19">
        <v>3.6556999999999999</v>
      </c>
      <c r="Z142" s="4"/>
      <c r="AA142" s="4"/>
      <c r="AB142" s="4" t="e">
        <f ca="1">_xll.ciqfunctions.udf.CIQ("^SPX", "IQ_PRICEDATE", "7/16/2014")</f>
        <v>#NAME?</v>
      </c>
      <c r="AC142" s="16">
        <v>1981.5672192156001</v>
      </c>
    </row>
    <row r="143" spans="1:29" x14ac:dyDescent="0.35">
      <c r="A143" s="2" t="s">
        <v>153</v>
      </c>
      <c r="B143" s="4" t="s">
        <v>922</v>
      </c>
      <c r="C143" s="4" t="s">
        <v>525</v>
      </c>
      <c r="D143" s="4" t="s">
        <v>526</v>
      </c>
      <c r="E143" s="4" t="s">
        <v>803</v>
      </c>
      <c r="F143" s="4" t="s">
        <v>923</v>
      </c>
      <c r="G143" s="14">
        <v>151.63999999999999</v>
      </c>
      <c r="H143" s="10">
        <v>16.285527999999999</v>
      </c>
      <c r="I143" s="10">
        <v>23.726424999999999</v>
      </c>
      <c r="J143" s="10">
        <v>8.5143249999999995</v>
      </c>
      <c r="K143" s="15">
        <v>1.8201000000000002E-2</v>
      </c>
      <c r="L143" s="17">
        <v>48778.573027999999</v>
      </c>
      <c r="M143" s="4" t="s">
        <v>924</v>
      </c>
      <c r="N143" s="19">
        <v>6.3911860000000003</v>
      </c>
      <c r="O143" s="19">
        <v>11.091900000000001</v>
      </c>
      <c r="P143" s="19">
        <v>6.68</v>
      </c>
      <c r="Q143" s="19">
        <v>8.0858899999999991</v>
      </c>
      <c r="R143" s="19">
        <v>4.8099999999999996</v>
      </c>
      <c r="S143" s="19">
        <v>4.4488899999999996</v>
      </c>
      <c r="T143" s="19">
        <v>4.8099999999999996</v>
      </c>
      <c r="U143" s="19">
        <v>4.2333299999999996</v>
      </c>
      <c r="V143" s="19">
        <v>8.6300000000000008</v>
      </c>
      <c r="W143" s="19">
        <v>5.5261899999999997</v>
      </c>
      <c r="X143" s="19">
        <v>8.6300000000000008</v>
      </c>
      <c r="Y143" s="19">
        <v>5.5261899999999997</v>
      </c>
      <c r="Z143" s="4"/>
      <c r="AA143" s="4"/>
      <c r="AB143" s="4" t="e">
        <f ca="1">_xll.ciqfunctions.udf.CIQ("^SPX", "IQ_PRICEDATE", "7/17/2014")</f>
        <v>#NAME?</v>
      </c>
      <c r="AC143" s="16">
        <v>1958.1194331985</v>
      </c>
    </row>
    <row r="144" spans="1:29" x14ac:dyDescent="0.35">
      <c r="A144" s="2" t="s">
        <v>154</v>
      </c>
      <c r="B144" s="4" t="s">
        <v>925</v>
      </c>
      <c r="C144" s="4" t="s">
        <v>525</v>
      </c>
      <c r="D144" s="4" t="s">
        <v>594</v>
      </c>
      <c r="E144" s="4" t="s">
        <v>595</v>
      </c>
      <c r="F144" s="4" t="s">
        <v>595</v>
      </c>
      <c r="G144" s="14">
        <v>54.3</v>
      </c>
      <c r="H144" s="10">
        <v>6.0119920000000002</v>
      </c>
      <c r="I144" s="10">
        <v>10.695319</v>
      </c>
      <c r="J144" s="10" t="s">
        <v>534</v>
      </c>
      <c r="K144" s="15">
        <v>2.5781999999999999E-2</v>
      </c>
      <c r="L144" s="17">
        <v>37088.012497999996</v>
      </c>
      <c r="M144" s="4" t="s">
        <v>926</v>
      </c>
      <c r="N144" s="19">
        <v>5.0769869999999999</v>
      </c>
      <c r="O144" s="19">
        <v>5.9714</v>
      </c>
      <c r="P144" s="19">
        <v>4.95</v>
      </c>
      <c r="Q144" s="19">
        <v>5.1833</v>
      </c>
      <c r="R144" s="19">
        <v>5.79</v>
      </c>
      <c r="S144" s="19">
        <v>4.9169</v>
      </c>
      <c r="T144" s="19">
        <v>5.79</v>
      </c>
      <c r="U144" s="19">
        <v>6.2106000000000003</v>
      </c>
      <c r="V144" s="19">
        <v>0.78</v>
      </c>
      <c r="W144" s="19">
        <v>4.3926999999999996</v>
      </c>
      <c r="X144" s="19">
        <v>0.78</v>
      </c>
      <c r="Y144" s="19">
        <v>4.3926999999999996</v>
      </c>
      <c r="Z144" s="4"/>
      <c r="AA144" s="4"/>
      <c r="AB144" s="4" t="e">
        <f ca="1">_xll.ciqfunctions.udf.CIQ("^SPX", "IQ_PRICEDATE", "7/18/2014")</f>
        <v>#NAME?</v>
      </c>
      <c r="AC144" s="16">
        <v>1978.2183536964001</v>
      </c>
    </row>
    <row r="145" spans="1:29" x14ac:dyDescent="0.35">
      <c r="A145" s="2" t="s">
        <v>155</v>
      </c>
      <c r="B145" s="4" t="s">
        <v>927</v>
      </c>
      <c r="C145" s="4" t="s">
        <v>530</v>
      </c>
      <c r="D145" s="4" t="s">
        <v>531</v>
      </c>
      <c r="E145" s="4" t="s">
        <v>532</v>
      </c>
      <c r="F145" s="4" t="s">
        <v>608</v>
      </c>
      <c r="G145" s="14">
        <v>37.07</v>
      </c>
      <c r="H145" s="10">
        <v>11.934528999999999</v>
      </c>
      <c r="I145" s="10" t="s">
        <v>534</v>
      </c>
      <c r="J145" s="10" t="s">
        <v>534</v>
      </c>
      <c r="K145" s="15">
        <v>9.4409999999999997E-3</v>
      </c>
      <c r="L145" s="17">
        <v>8242.3244790000008</v>
      </c>
      <c r="M145" s="4" t="s">
        <v>928</v>
      </c>
      <c r="N145" s="19">
        <v>-7.0338539999999998</v>
      </c>
      <c r="O145" s="19">
        <v>2.1023999999999998</v>
      </c>
      <c r="P145" s="19">
        <v>-6.76</v>
      </c>
      <c r="Q145" s="19">
        <v>2.8889999999999998</v>
      </c>
      <c r="R145" s="19">
        <v>1.94</v>
      </c>
      <c r="S145" s="19">
        <v>2.9278</v>
      </c>
      <c r="T145" s="19">
        <v>1.94</v>
      </c>
      <c r="U145" s="19">
        <v>2.7517999999999998</v>
      </c>
      <c r="V145" s="19">
        <v>2.2400000000000002</v>
      </c>
      <c r="W145" s="19">
        <v>2.6354000000000002</v>
      </c>
      <c r="X145" s="19">
        <v>2.2400000000000002</v>
      </c>
      <c r="Y145" s="19">
        <v>2.6354000000000002</v>
      </c>
      <c r="Z145" s="4"/>
      <c r="AA145" s="4"/>
      <c r="AB145" s="4" t="e">
        <f ca="1">_xll.ciqfunctions.udf.CIQ("^SPX", "IQ_PRICEDATE", "7/21/2014")</f>
        <v>#NAME?</v>
      </c>
      <c r="AC145" s="16">
        <v>1973.6278558585</v>
      </c>
    </row>
    <row r="146" spans="1:29" x14ac:dyDescent="0.35">
      <c r="A146" s="2" t="s">
        <v>156</v>
      </c>
      <c r="B146" s="4" t="s">
        <v>929</v>
      </c>
      <c r="C146" s="4" t="s">
        <v>669</v>
      </c>
      <c r="D146" s="4" t="s">
        <v>669</v>
      </c>
      <c r="E146" s="4" t="s">
        <v>670</v>
      </c>
      <c r="F146" s="4" t="s">
        <v>671</v>
      </c>
      <c r="G146" s="14">
        <v>36</v>
      </c>
      <c r="H146" s="10">
        <v>9.4382180000000009</v>
      </c>
      <c r="I146" s="10" t="s">
        <v>534</v>
      </c>
      <c r="J146" s="10">
        <v>2.5821830000000001</v>
      </c>
      <c r="K146" s="15">
        <v>8.8880000000000001E-3</v>
      </c>
      <c r="L146" s="17">
        <v>18316.8</v>
      </c>
      <c r="M146" s="4" t="s">
        <v>930</v>
      </c>
      <c r="N146" s="19">
        <v>-0.78151999999999999</v>
      </c>
      <c r="O146" s="19">
        <v>2.3226</v>
      </c>
      <c r="P146" s="19">
        <v>1.7</v>
      </c>
      <c r="Q146" s="19">
        <v>2.3673999999999999</v>
      </c>
      <c r="R146" s="19">
        <v>-2.09</v>
      </c>
      <c r="S146" s="19">
        <v>1.2303999999999999</v>
      </c>
      <c r="T146" s="19">
        <v>-2.09</v>
      </c>
      <c r="U146" s="19">
        <v>0.6623</v>
      </c>
      <c r="V146" s="19">
        <v>3.91</v>
      </c>
      <c r="W146" s="19">
        <v>4.4607999999999999</v>
      </c>
      <c r="X146" s="19">
        <v>3.91</v>
      </c>
      <c r="Y146" s="19">
        <v>4.4607999999999999</v>
      </c>
      <c r="Z146" s="4"/>
      <c r="AA146" s="4"/>
      <c r="AB146" s="4" t="e">
        <f ca="1">_xll.ciqfunctions.udf.CIQ("^SPX", "IQ_PRICEDATE", "7/22/2014")</f>
        <v>#NAME?</v>
      </c>
      <c r="AC146" s="16">
        <v>1983.5281525706</v>
      </c>
    </row>
    <row r="147" spans="1:29" x14ac:dyDescent="0.35">
      <c r="A147" s="2" t="s">
        <v>157</v>
      </c>
      <c r="B147" s="4" t="s">
        <v>931</v>
      </c>
      <c r="C147" s="4" t="s">
        <v>601</v>
      </c>
      <c r="D147" s="4" t="s">
        <v>601</v>
      </c>
      <c r="E147" s="4" t="s">
        <v>602</v>
      </c>
      <c r="F147" s="4" t="s">
        <v>647</v>
      </c>
      <c r="G147" s="14">
        <v>110.93</v>
      </c>
      <c r="H147" s="10">
        <v>21.229939000000002</v>
      </c>
      <c r="I147" s="10">
        <v>109.680627</v>
      </c>
      <c r="J147" s="10">
        <v>7.973274</v>
      </c>
      <c r="K147" s="15">
        <v>3.6419E-2</v>
      </c>
      <c r="L147" s="17">
        <v>22868.219499999999</v>
      </c>
      <c r="M147" s="4" t="s">
        <v>932</v>
      </c>
      <c r="N147" s="19">
        <v>1.0113909999999999</v>
      </c>
      <c r="O147" s="19">
        <v>1.3041</v>
      </c>
      <c r="P147" s="19">
        <v>0.98999899999999996</v>
      </c>
      <c r="Q147" s="19">
        <v>1.6814</v>
      </c>
      <c r="R147" s="19">
        <v>2.2000000000000002</v>
      </c>
      <c r="S147" s="19">
        <v>1.4057999999999999</v>
      </c>
      <c r="T147" s="19">
        <v>2.2000000000000002</v>
      </c>
      <c r="U147" s="19">
        <v>1.1819999999999999</v>
      </c>
      <c r="V147" s="19">
        <v>0.99</v>
      </c>
      <c r="W147" s="19">
        <v>1.0226</v>
      </c>
      <c r="X147" s="19">
        <v>0.99</v>
      </c>
      <c r="Y147" s="19">
        <v>1.0226</v>
      </c>
      <c r="Z147" s="4"/>
      <c r="AA147" s="4"/>
      <c r="AB147" s="4" t="e">
        <f ca="1">_xll.ciqfunctions.udf.CIQ("^SPX", "IQ_PRICEDATE", "7/23/2014")</f>
        <v>#NAME?</v>
      </c>
      <c r="AC147" s="16">
        <v>1987.0051750061</v>
      </c>
    </row>
    <row r="148" spans="1:29" x14ac:dyDescent="0.35">
      <c r="A148" s="2" t="s">
        <v>158</v>
      </c>
      <c r="B148" s="4" t="s">
        <v>933</v>
      </c>
      <c r="C148" s="4" t="s">
        <v>573</v>
      </c>
      <c r="D148" s="4" t="s">
        <v>574</v>
      </c>
      <c r="E148" s="4" t="s">
        <v>641</v>
      </c>
      <c r="F148" s="4" t="s">
        <v>641</v>
      </c>
      <c r="G148" s="14">
        <v>75.89</v>
      </c>
      <c r="H148" s="10">
        <v>0</v>
      </c>
      <c r="I148" s="10">
        <v>12.084429</v>
      </c>
      <c r="J148" s="10">
        <v>2.6338300000000001</v>
      </c>
      <c r="K148" s="15">
        <v>2.1082999999999998E-2</v>
      </c>
      <c r="L148" s="17">
        <v>26004.33611</v>
      </c>
      <c r="M148" s="4" t="s">
        <v>934</v>
      </c>
      <c r="N148" s="19">
        <v>6.2799820000000004</v>
      </c>
      <c r="O148" s="19">
        <v>8.2516999999999996</v>
      </c>
      <c r="P148" s="19">
        <v>5.42</v>
      </c>
      <c r="Q148" s="19">
        <v>6.4844999999999997</v>
      </c>
      <c r="R148" s="19">
        <v>5.77</v>
      </c>
      <c r="S148" s="19">
        <v>6.0126999999999997</v>
      </c>
      <c r="T148" s="19">
        <v>5.77</v>
      </c>
      <c r="U148" s="19">
        <v>5.5625</v>
      </c>
      <c r="V148" s="19">
        <v>4.9000000000000004</v>
      </c>
      <c r="W148" s="19">
        <v>5.3948</v>
      </c>
      <c r="X148" s="19">
        <v>4.9000000000000004</v>
      </c>
      <c r="Y148" s="19">
        <v>5.3948</v>
      </c>
      <c r="Z148" s="4"/>
      <c r="AA148" s="4"/>
      <c r="AB148" s="4" t="e">
        <f ca="1">_xll.ciqfunctions.udf.CIQ("^SPX", "IQ_PRICEDATE", "7/24/2014")</f>
        <v>#NAME?</v>
      </c>
      <c r="AC148" s="16">
        <v>1987.980474964</v>
      </c>
    </row>
    <row r="149" spans="1:29" x14ac:dyDescent="0.35">
      <c r="A149" s="2" t="s">
        <v>159</v>
      </c>
      <c r="B149" s="4" t="s">
        <v>935</v>
      </c>
      <c r="C149" s="4" t="s">
        <v>549</v>
      </c>
      <c r="D149" s="4" t="s">
        <v>550</v>
      </c>
      <c r="E149" s="4" t="s">
        <v>814</v>
      </c>
      <c r="F149" s="4" t="s">
        <v>815</v>
      </c>
      <c r="G149" s="14">
        <v>33.049999999999997</v>
      </c>
      <c r="H149" s="10">
        <v>15.319791</v>
      </c>
      <c r="I149" s="10" t="s">
        <v>534</v>
      </c>
      <c r="J149" s="10" t="s">
        <v>534</v>
      </c>
      <c r="K149" s="15">
        <v>0</v>
      </c>
      <c r="L149" s="17">
        <v>22389.863355000001</v>
      </c>
      <c r="M149" s="4" t="s">
        <v>936</v>
      </c>
      <c r="N149" s="19">
        <v>-1.2573890000000001</v>
      </c>
      <c r="O149" s="19">
        <v>3.1124000000000001</v>
      </c>
      <c r="P149" s="19">
        <v>-0.59177599999999997</v>
      </c>
      <c r="Q149" s="19">
        <v>2.2099000000000002</v>
      </c>
      <c r="R149" s="19">
        <v>1.601494</v>
      </c>
      <c r="S149" s="19">
        <v>2.2747000000000002</v>
      </c>
      <c r="T149" s="19">
        <v>1.601494</v>
      </c>
      <c r="U149" s="19">
        <v>2.0402999999999998</v>
      </c>
      <c r="V149" s="19">
        <v>1.472186</v>
      </c>
      <c r="W149" s="19">
        <v>1.9071</v>
      </c>
      <c r="X149" s="19">
        <v>1.472186</v>
      </c>
      <c r="Y149" s="19">
        <v>1.9071</v>
      </c>
      <c r="Z149" s="4"/>
      <c r="AA149" s="4"/>
      <c r="AB149" s="4" t="e">
        <f ca="1">_xll.ciqfunctions.udf.CIQ("^SPX", "IQ_PRICEDATE", "7/25/2014")</f>
        <v>#NAME?</v>
      </c>
      <c r="AC149" s="16">
        <v>1978.3388878225001</v>
      </c>
    </row>
    <row r="150" spans="1:29" x14ac:dyDescent="0.35">
      <c r="A150" s="2" t="s">
        <v>160</v>
      </c>
      <c r="B150" s="4" t="s">
        <v>935</v>
      </c>
      <c r="C150" s="4" t="s">
        <v>549</v>
      </c>
      <c r="D150" s="4" t="s">
        <v>550</v>
      </c>
      <c r="E150" s="4" t="s">
        <v>814</v>
      </c>
      <c r="F150" s="4" t="s">
        <v>815</v>
      </c>
      <c r="G150" s="14">
        <v>30.1</v>
      </c>
      <c r="H150" s="10">
        <v>15.319791</v>
      </c>
      <c r="I150" s="10">
        <v>0</v>
      </c>
      <c r="J150" s="10">
        <v>0</v>
      </c>
      <c r="K150" s="15">
        <v>0</v>
      </c>
      <c r="L150" s="17">
        <v>22389.863355000001</v>
      </c>
      <c r="M150" s="4" t="s">
        <v>936</v>
      </c>
      <c r="N150" s="19">
        <v>-1.2573890000000001</v>
      </c>
      <c r="O150" s="19">
        <v>3.1095999999999999</v>
      </c>
      <c r="P150" s="19">
        <v>-0.59177599999999997</v>
      </c>
      <c r="Q150" s="19">
        <v>2.2099000000000002</v>
      </c>
      <c r="R150" s="19">
        <v>1.601494</v>
      </c>
      <c r="S150" s="19">
        <v>2.2747000000000002</v>
      </c>
      <c r="T150" s="19">
        <v>1.601494</v>
      </c>
      <c r="U150" s="19">
        <v>2.0402999999999998</v>
      </c>
      <c r="V150" s="19">
        <v>1.472186</v>
      </c>
      <c r="W150" s="19">
        <v>1.905</v>
      </c>
      <c r="X150" s="19">
        <v>1.472186</v>
      </c>
      <c r="Y150" s="19">
        <v>1.905</v>
      </c>
      <c r="Z150" s="4"/>
      <c r="AA150" s="4"/>
      <c r="AB150" s="4" t="e">
        <f ca="1">_xll.ciqfunctions.udf.CIQ("^SPX", "IQ_PRICEDATE", "7/28/2014")</f>
        <v>#NAME?</v>
      </c>
      <c r="AC150" s="16">
        <v>1978.9113478934</v>
      </c>
    </row>
    <row r="151" spans="1:29" x14ac:dyDescent="0.35">
      <c r="A151" s="2" t="s">
        <v>161</v>
      </c>
      <c r="B151" s="4" t="s">
        <v>937</v>
      </c>
      <c r="C151" s="4" t="s">
        <v>549</v>
      </c>
      <c r="D151" s="4" t="s">
        <v>550</v>
      </c>
      <c r="E151" s="4" t="s">
        <v>814</v>
      </c>
      <c r="F151" s="4" t="s">
        <v>833</v>
      </c>
      <c r="G151" s="14">
        <v>34.44</v>
      </c>
      <c r="H151" s="10">
        <v>11.009216</v>
      </c>
      <c r="I151" s="10">
        <v>7.2768759999999997</v>
      </c>
      <c r="J151" s="10" t="s">
        <v>534</v>
      </c>
      <c r="K151" s="15">
        <v>0</v>
      </c>
      <c r="L151" s="17">
        <v>16101.261406</v>
      </c>
      <c r="M151" s="4" t="s">
        <v>938</v>
      </c>
      <c r="N151" s="19">
        <v>4.7328000000000001</v>
      </c>
      <c r="O151" s="19">
        <v>2.6312000000000002</v>
      </c>
      <c r="P151" s="19">
        <v>4.0733509999999997</v>
      </c>
      <c r="Q151" s="19">
        <v>2.1316999999999999</v>
      </c>
      <c r="R151" s="19">
        <v>3.150709</v>
      </c>
      <c r="S151" s="19">
        <v>2.7755000000000001</v>
      </c>
      <c r="T151" s="19">
        <v>3.150709</v>
      </c>
      <c r="U151" s="19">
        <v>1.4694</v>
      </c>
      <c r="V151" s="19">
        <v>2.04</v>
      </c>
      <c r="W151" s="19">
        <v>1.7709999999999999</v>
      </c>
      <c r="X151" s="19">
        <v>2.04</v>
      </c>
      <c r="Y151" s="19">
        <v>1.7709999999999999</v>
      </c>
      <c r="Z151" s="4"/>
      <c r="AA151" s="4"/>
      <c r="AB151" s="4" t="e">
        <f ca="1">_xll.ciqfunctions.udf.CIQ("^SPX", "IQ_PRICEDATE", "7/29/2014")</f>
        <v>#NAME?</v>
      </c>
      <c r="AC151" s="16">
        <v>1969.9523243767001</v>
      </c>
    </row>
    <row r="152" spans="1:29" x14ac:dyDescent="0.35">
      <c r="A152" s="2" t="s">
        <v>162</v>
      </c>
      <c r="B152" s="4" t="s">
        <v>939</v>
      </c>
      <c r="C152" s="4" t="s">
        <v>559</v>
      </c>
      <c r="D152" s="4" t="s">
        <v>560</v>
      </c>
      <c r="E152" s="4" t="s">
        <v>940</v>
      </c>
      <c r="F152" s="4" t="s">
        <v>941</v>
      </c>
      <c r="G152" s="14">
        <v>109.77</v>
      </c>
      <c r="H152" s="10">
        <v>12.601635</v>
      </c>
      <c r="I152" s="10">
        <v>17.066841</v>
      </c>
      <c r="J152" s="10">
        <v>34.698382000000002</v>
      </c>
      <c r="K152" s="15">
        <v>1.0567E-2</v>
      </c>
      <c r="L152" s="17">
        <v>29147.711198000001</v>
      </c>
      <c r="M152" s="4" t="s">
        <v>942</v>
      </c>
      <c r="N152" s="19">
        <v>6.4317700000000002</v>
      </c>
      <c r="O152" s="19">
        <v>6.4134000000000002</v>
      </c>
      <c r="P152" s="19">
        <v>4.5134610000000004</v>
      </c>
      <c r="Q152" s="19">
        <v>4.8853999999999997</v>
      </c>
      <c r="R152" s="19">
        <v>4.2629200000000003</v>
      </c>
      <c r="S152" s="19">
        <v>4.6322000000000001</v>
      </c>
      <c r="T152" s="19">
        <v>4.2629200000000003</v>
      </c>
      <c r="U152" s="19">
        <v>4.327</v>
      </c>
      <c r="V152" s="19">
        <v>3.3419159999999999</v>
      </c>
      <c r="W152" s="19">
        <v>3.8633999999999999</v>
      </c>
      <c r="X152" s="19">
        <v>3.3419159999999999</v>
      </c>
      <c r="Y152" s="19">
        <v>3.8633999999999999</v>
      </c>
      <c r="Z152" s="4"/>
      <c r="AA152" s="4"/>
      <c r="AB152" s="4" t="e">
        <f ca="1">_xll.ciqfunctions.udf.CIQ("^SPX", "IQ_PRICEDATE", "7/30/2014")</f>
        <v>#NAME?</v>
      </c>
      <c r="AC152" s="16">
        <v>1970.0681100864999</v>
      </c>
    </row>
    <row r="153" spans="1:29" x14ac:dyDescent="0.35">
      <c r="A153" s="2" t="s">
        <v>163</v>
      </c>
      <c r="B153" s="4" t="s">
        <v>943</v>
      </c>
      <c r="C153" s="4" t="s">
        <v>559</v>
      </c>
      <c r="D153" s="4" t="s">
        <v>560</v>
      </c>
      <c r="E153" s="4" t="s">
        <v>940</v>
      </c>
      <c r="F153" s="4" t="s">
        <v>941</v>
      </c>
      <c r="G153" s="14">
        <v>85.3</v>
      </c>
      <c r="H153" s="10">
        <v>9.3989650000000005</v>
      </c>
      <c r="I153" s="10">
        <v>11.86074</v>
      </c>
      <c r="J153" s="10" t="s">
        <v>534</v>
      </c>
      <c r="K153" s="15">
        <v>0</v>
      </c>
      <c r="L153" s="17">
        <v>20291.883676000001</v>
      </c>
      <c r="M153" s="4" t="s">
        <v>944</v>
      </c>
      <c r="N153" s="19">
        <v>7.1917939999999998</v>
      </c>
      <c r="O153" s="19">
        <v>5.7887000000000004</v>
      </c>
      <c r="P153" s="19">
        <v>4.1888069999999997</v>
      </c>
      <c r="Q153" s="19">
        <v>5.2915999999999999</v>
      </c>
      <c r="R153" s="19">
        <v>3.4005070000000002</v>
      </c>
      <c r="S153" s="19">
        <v>4.2846000000000002</v>
      </c>
      <c r="T153" s="19">
        <v>3.4005070000000002</v>
      </c>
      <c r="U153" s="19">
        <v>3.4607000000000001</v>
      </c>
      <c r="V153" s="19">
        <v>2.9125510000000001</v>
      </c>
      <c r="W153" s="19">
        <v>3.3856999999999999</v>
      </c>
      <c r="X153" s="19">
        <v>2.9125510000000001</v>
      </c>
      <c r="Y153" s="19">
        <v>3.3856999999999999</v>
      </c>
      <c r="Z153" s="4"/>
      <c r="AA153" s="4"/>
      <c r="AB153" s="4" t="e">
        <f ca="1">_xll.ciqfunctions.udf.CIQ("^SPX", "IQ_PRICEDATE", "7/31/2014")</f>
        <v>#NAME?</v>
      </c>
      <c r="AC153" s="16">
        <v>1930.6738707454999</v>
      </c>
    </row>
    <row r="154" spans="1:29" x14ac:dyDescent="0.35">
      <c r="A154" s="2" t="s">
        <v>164</v>
      </c>
      <c r="B154" s="4" t="s">
        <v>945</v>
      </c>
      <c r="C154" s="4" t="s">
        <v>619</v>
      </c>
      <c r="D154" s="4" t="s">
        <v>619</v>
      </c>
      <c r="E154" s="4" t="s">
        <v>634</v>
      </c>
      <c r="F154" s="4" t="s">
        <v>634</v>
      </c>
      <c r="G154" s="14">
        <v>72.3</v>
      </c>
      <c r="H154" s="10">
        <v>13.939857999999999</v>
      </c>
      <c r="I154" s="10">
        <v>16.009725</v>
      </c>
      <c r="J154" s="10">
        <v>4.0555960000000004</v>
      </c>
      <c r="K154" s="15">
        <v>4.6196000000000001E-2</v>
      </c>
      <c r="L154" s="17">
        <v>47267.258012999999</v>
      </c>
      <c r="M154" s="4" t="s">
        <v>946</v>
      </c>
      <c r="N154" s="19">
        <v>4.5160049999999998</v>
      </c>
      <c r="O154" s="19">
        <v>4.0656999999999996</v>
      </c>
      <c r="P154" s="19">
        <v>4.715408</v>
      </c>
      <c r="Q154" s="19">
        <v>4.0162000000000004</v>
      </c>
      <c r="R154" s="19">
        <v>3.44</v>
      </c>
      <c r="S154" s="19">
        <v>3.8892000000000002</v>
      </c>
      <c r="T154" s="19">
        <v>3.44</v>
      </c>
      <c r="U154" s="19">
        <v>3.76</v>
      </c>
      <c r="V154" s="19">
        <v>2.2400000000000002</v>
      </c>
      <c r="W154" s="19">
        <v>3.6734</v>
      </c>
      <c r="X154" s="19">
        <v>2.2400000000000002</v>
      </c>
      <c r="Y154" s="19">
        <v>3.6734</v>
      </c>
      <c r="Z154" s="4"/>
      <c r="AA154" s="4"/>
      <c r="AB154" s="4" t="e">
        <f ca="1">_xll.ciqfunctions.udf.CIQ("^SPX", "IQ_PRICEDATE", "8/1/2014")</f>
        <v>#NAME?</v>
      </c>
      <c r="AC154" s="16">
        <v>1925.1518001969</v>
      </c>
    </row>
    <row r="155" spans="1:29" x14ac:dyDescent="0.35">
      <c r="A155" s="2" t="s">
        <v>165</v>
      </c>
      <c r="B155" s="4" t="s">
        <v>947</v>
      </c>
      <c r="C155" s="4" t="s">
        <v>525</v>
      </c>
      <c r="D155" s="4" t="s">
        <v>526</v>
      </c>
      <c r="E155" s="4" t="s">
        <v>803</v>
      </c>
      <c r="F155" s="4" t="s">
        <v>948</v>
      </c>
      <c r="G155" s="14">
        <v>82.23</v>
      </c>
      <c r="H155" s="10">
        <v>10.735773999999999</v>
      </c>
      <c r="I155" s="10">
        <v>16.318162999999998</v>
      </c>
      <c r="J155" s="10" t="s">
        <v>534</v>
      </c>
      <c r="K155" s="15">
        <v>2.3349000000000002E-2</v>
      </c>
      <c r="L155" s="17">
        <v>12145.668755000001</v>
      </c>
      <c r="M155" s="4" t="s">
        <v>949</v>
      </c>
      <c r="N155" s="19">
        <v>5.0391700000000004</v>
      </c>
      <c r="O155" s="19">
        <v>5.2138999999999998</v>
      </c>
      <c r="P155" s="19">
        <v>5.15</v>
      </c>
      <c r="Q155" s="19">
        <v>4.3601000000000001</v>
      </c>
      <c r="R155" s="19">
        <v>3.25</v>
      </c>
      <c r="S155" s="19">
        <v>3.4489000000000001</v>
      </c>
      <c r="T155" s="19">
        <v>3.25</v>
      </c>
      <c r="U155" s="19">
        <v>3.7324999999999999</v>
      </c>
      <c r="V155" s="19">
        <v>4.6100000000000003</v>
      </c>
      <c r="W155" s="19">
        <v>4.9080000000000004</v>
      </c>
      <c r="X155" s="19">
        <v>4.6100000000000003</v>
      </c>
      <c r="Y155" s="19">
        <v>4.9080000000000004</v>
      </c>
      <c r="Z155" s="4"/>
      <c r="AA155" s="4"/>
      <c r="AB155" s="4" t="e">
        <f ca="1">_xll.ciqfunctions.udf.CIQ("^SPX", "IQ_PRICEDATE", "8/4/2014")</f>
        <v>#NAME?</v>
      </c>
      <c r="AC155" s="16">
        <v>1938.9861642804001</v>
      </c>
    </row>
    <row r="156" spans="1:29" x14ac:dyDescent="0.35">
      <c r="A156" s="2" t="s">
        <v>166</v>
      </c>
      <c r="B156" s="4" t="s">
        <v>950</v>
      </c>
      <c r="C156" s="4" t="s">
        <v>586</v>
      </c>
      <c r="D156" s="4" t="s">
        <v>586</v>
      </c>
      <c r="E156" s="4" t="s">
        <v>587</v>
      </c>
      <c r="F156" s="4" t="s">
        <v>951</v>
      </c>
      <c r="G156" s="14">
        <v>59.57</v>
      </c>
      <c r="H156" s="10">
        <v>9.7027640000000002</v>
      </c>
      <c r="I156" s="10">
        <v>58.49877</v>
      </c>
      <c r="J156" s="10">
        <v>20.342451000000001</v>
      </c>
      <c r="K156" s="15">
        <v>2.5516E-2</v>
      </c>
      <c r="L156" s="17">
        <v>137450.44044400001</v>
      </c>
      <c r="M156" s="4" t="s">
        <v>952</v>
      </c>
      <c r="N156" s="19">
        <v>1.0183120000000001</v>
      </c>
      <c r="O156" s="19">
        <v>4.4066999999999998</v>
      </c>
      <c r="P156" s="19">
        <v>0.95</v>
      </c>
      <c r="Q156" s="19">
        <v>3.8010999999999999</v>
      </c>
      <c r="R156" s="19">
        <v>3.52</v>
      </c>
      <c r="S156" s="19">
        <v>0</v>
      </c>
      <c r="T156" s="19">
        <v>3.52</v>
      </c>
      <c r="U156" s="19">
        <v>0</v>
      </c>
      <c r="V156" s="19">
        <v>2.87</v>
      </c>
      <c r="W156" s="19">
        <v>0</v>
      </c>
      <c r="X156" s="19">
        <v>2.87</v>
      </c>
      <c r="Y156" s="19">
        <v>0</v>
      </c>
      <c r="Z156" s="4"/>
      <c r="AA156" s="4"/>
      <c r="AB156" s="4" t="e">
        <f ca="1">_xll.ciqfunctions.udf.CIQ("^SPX", "IQ_PRICEDATE", "8/5/2014")</f>
        <v>#NAME?</v>
      </c>
      <c r="AC156" s="16">
        <v>1920.2111643633</v>
      </c>
    </row>
    <row r="157" spans="1:29" x14ac:dyDescent="0.35">
      <c r="A157" s="2" t="s">
        <v>167</v>
      </c>
      <c r="B157" s="4" t="s">
        <v>953</v>
      </c>
      <c r="C157" s="4" t="s">
        <v>619</v>
      </c>
      <c r="D157" s="4" t="s">
        <v>619</v>
      </c>
      <c r="E157" s="4" t="s">
        <v>634</v>
      </c>
      <c r="F157" s="4" t="s">
        <v>634</v>
      </c>
      <c r="G157" s="14">
        <v>111.29</v>
      </c>
      <c r="H157" s="10">
        <v>12.954603000000001</v>
      </c>
      <c r="I157" s="10">
        <v>17.387701</v>
      </c>
      <c r="J157" s="10">
        <v>3.024289</v>
      </c>
      <c r="K157" s="15">
        <v>3.1718000000000003E-2</v>
      </c>
      <c r="L157" s="17">
        <v>20229.46976</v>
      </c>
      <c r="M157" s="4" t="s">
        <v>954</v>
      </c>
      <c r="N157" s="19">
        <v>6.4005010000000002</v>
      </c>
      <c r="O157" s="19">
        <v>5.9055999999999997</v>
      </c>
      <c r="P157" s="19">
        <v>6.32</v>
      </c>
      <c r="Q157" s="19">
        <v>5.4972000000000003</v>
      </c>
      <c r="R157" s="19">
        <v>4.83</v>
      </c>
      <c r="S157" s="19">
        <v>5.1742999999999997</v>
      </c>
      <c r="T157" s="19">
        <v>4.83</v>
      </c>
      <c r="U157" s="19">
        <v>5.2446000000000002</v>
      </c>
      <c r="V157" s="19">
        <v>5.0999999999999996</v>
      </c>
      <c r="W157" s="19">
        <v>4.8289999999999997</v>
      </c>
      <c r="X157" s="19">
        <v>5.0999999999999996</v>
      </c>
      <c r="Y157" s="19">
        <v>4.8289999999999997</v>
      </c>
      <c r="Z157" s="4"/>
      <c r="AA157" s="4"/>
      <c r="AB157" s="4" t="e">
        <f ca="1">_xll.ciqfunctions.udf.CIQ("^SPX", "IQ_PRICEDATE", "8/6/2014")</f>
        <v>#NAME?</v>
      </c>
      <c r="AC157" s="16">
        <v>1920.2360031712999</v>
      </c>
    </row>
    <row r="158" spans="1:29" x14ac:dyDescent="0.35">
      <c r="A158" s="2" t="s">
        <v>168</v>
      </c>
      <c r="B158" s="4" t="s">
        <v>955</v>
      </c>
      <c r="C158" s="4" t="s">
        <v>619</v>
      </c>
      <c r="D158" s="4" t="s">
        <v>619</v>
      </c>
      <c r="E158" s="4" t="s">
        <v>620</v>
      </c>
      <c r="F158" s="4" t="s">
        <v>620</v>
      </c>
      <c r="G158" s="14">
        <v>80.77</v>
      </c>
      <c r="H158" s="10">
        <v>10.986605000000001</v>
      </c>
      <c r="I158" s="10">
        <v>20.366824000000001</v>
      </c>
      <c r="J158" s="10">
        <v>2.4883489999999999</v>
      </c>
      <c r="K158" s="15">
        <v>4.5932000000000001E-2</v>
      </c>
      <c r="L158" s="17">
        <v>57536.891057000001</v>
      </c>
      <c r="M158" s="4" t="s">
        <v>956</v>
      </c>
      <c r="N158" s="19">
        <v>3.9657629999999999</v>
      </c>
      <c r="O158" s="19">
        <v>4.8086000000000002</v>
      </c>
      <c r="P158" s="19">
        <v>4.37</v>
      </c>
      <c r="Q158" s="19">
        <v>4.6947999999999999</v>
      </c>
      <c r="R158" s="19">
        <v>3.71</v>
      </c>
      <c r="S158" s="19">
        <v>4.6501000000000001</v>
      </c>
      <c r="T158" s="19">
        <v>3.71</v>
      </c>
      <c r="U158" s="19">
        <v>4.5971000000000002</v>
      </c>
      <c r="V158" s="19">
        <v>3.577086</v>
      </c>
      <c r="W158" s="19">
        <v>4.6863999999999999</v>
      </c>
      <c r="X158" s="19">
        <v>3.577086</v>
      </c>
      <c r="Y158" s="19">
        <v>4.6863999999999999</v>
      </c>
      <c r="Z158" s="4"/>
      <c r="AA158" s="4"/>
      <c r="AB158" s="4" t="e">
        <f ca="1">_xll.ciqfunctions.udf.CIQ("^SPX", "IQ_PRICEDATE", "8/7/2014")</f>
        <v>#NAME?</v>
      </c>
      <c r="AC158" s="16">
        <v>1909.5707789905</v>
      </c>
    </row>
    <row r="159" spans="1:29" x14ac:dyDescent="0.35">
      <c r="A159" s="2" t="s">
        <v>169</v>
      </c>
      <c r="B159" s="4" t="s">
        <v>957</v>
      </c>
      <c r="C159" s="4" t="s">
        <v>601</v>
      </c>
      <c r="D159" s="4" t="s">
        <v>601</v>
      </c>
      <c r="E159" s="4" t="s">
        <v>602</v>
      </c>
      <c r="F159" s="4" t="s">
        <v>958</v>
      </c>
      <c r="G159" s="14">
        <v>27.43</v>
      </c>
      <c r="H159" s="10">
        <v>27.522023999999998</v>
      </c>
      <c r="I159" s="10">
        <v>27.700271000000001</v>
      </c>
      <c r="J159" s="10">
        <v>2.1021519999999998</v>
      </c>
      <c r="K159" s="15">
        <v>2.9165E-2</v>
      </c>
      <c r="L159" s="17">
        <v>9799.9187330000004</v>
      </c>
      <c r="M159" s="4" t="s">
        <v>959</v>
      </c>
      <c r="N159" s="19">
        <v>0.99024299999999998</v>
      </c>
      <c r="O159" s="19">
        <v>0.43330000000000002</v>
      </c>
      <c r="P159" s="19">
        <v>0.74966100000000002</v>
      </c>
      <c r="Q159" s="19">
        <v>0.39989999999999998</v>
      </c>
      <c r="R159" s="19">
        <v>0.83560599999999996</v>
      </c>
      <c r="S159" s="19">
        <v>0.30209999999999998</v>
      </c>
      <c r="T159" s="19">
        <v>0.83560599999999996</v>
      </c>
      <c r="U159" s="19">
        <v>0.19550000000000001</v>
      </c>
      <c r="V159" s="19">
        <v>0.51057600000000003</v>
      </c>
      <c r="W159" s="19">
        <v>5.9799999999999999E-2</v>
      </c>
      <c r="X159" s="19">
        <v>0.51057600000000003</v>
      </c>
      <c r="Y159" s="19">
        <v>5.9799999999999999E-2</v>
      </c>
      <c r="Z159" s="4"/>
      <c r="AA159" s="4"/>
      <c r="AB159" s="4" t="e">
        <f ca="1">_xll.ciqfunctions.udf.CIQ("^SPX", "IQ_PRICEDATE", "8/8/2014")</f>
        <v>#NAME?</v>
      </c>
      <c r="AC159" s="16">
        <v>1931.5931512780001</v>
      </c>
    </row>
    <row r="160" spans="1:29" x14ac:dyDescent="0.35">
      <c r="A160" s="2" t="s">
        <v>170</v>
      </c>
      <c r="B160" s="4" t="s">
        <v>960</v>
      </c>
      <c r="C160" s="4" t="s">
        <v>543</v>
      </c>
      <c r="D160" s="4" t="s">
        <v>544</v>
      </c>
      <c r="E160" s="4" t="s">
        <v>545</v>
      </c>
      <c r="F160" s="4" t="s">
        <v>546</v>
      </c>
      <c r="G160" s="14">
        <v>89.47</v>
      </c>
      <c r="H160" s="10">
        <v>5.5289520000000003</v>
      </c>
      <c r="I160" s="10">
        <v>13.785764</v>
      </c>
      <c r="J160" s="10" t="s">
        <v>534</v>
      </c>
      <c r="K160" s="15">
        <v>8.4939999999999998E-3</v>
      </c>
      <c r="L160" s="17">
        <v>25155.450513</v>
      </c>
      <c r="M160" s="4" t="s">
        <v>961</v>
      </c>
      <c r="N160" s="19">
        <v>6.4900279999999997</v>
      </c>
      <c r="O160" s="19">
        <v>8.3515999999999995</v>
      </c>
      <c r="P160" s="19">
        <v>3.9199169999999999</v>
      </c>
      <c r="Q160" s="19">
        <v>8.0617000000000001</v>
      </c>
      <c r="R160" s="19">
        <v>-0.59858800000000001</v>
      </c>
      <c r="S160" s="19">
        <v>0</v>
      </c>
      <c r="T160" s="19">
        <v>-0.59858800000000001</v>
      </c>
      <c r="U160" s="19">
        <v>0</v>
      </c>
      <c r="V160" s="19">
        <v>4.3897409999999999</v>
      </c>
      <c r="W160" s="19">
        <v>0</v>
      </c>
      <c r="X160" s="19">
        <v>4.3897409999999999</v>
      </c>
      <c r="Y160" s="19">
        <v>0</v>
      </c>
      <c r="Z160" s="4"/>
      <c r="AA160" s="4"/>
      <c r="AB160" s="4" t="e">
        <f ca="1">_xll.ciqfunctions.udf.CIQ("^SPX", "IQ_PRICEDATE", "8/11/2014")</f>
        <v>#NAME?</v>
      </c>
      <c r="AC160" s="16">
        <v>1936.9155999371001</v>
      </c>
    </row>
    <row r="161" spans="1:29" x14ac:dyDescent="0.35">
      <c r="A161" s="2" t="s">
        <v>171</v>
      </c>
      <c r="B161" s="4" t="s">
        <v>962</v>
      </c>
      <c r="C161" s="4" t="s">
        <v>573</v>
      </c>
      <c r="D161" s="4" t="s">
        <v>574</v>
      </c>
      <c r="E161" s="4" t="s">
        <v>575</v>
      </c>
      <c r="F161" s="4" t="s">
        <v>963</v>
      </c>
      <c r="G161" s="14">
        <v>50.57</v>
      </c>
      <c r="H161" s="10">
        <v>0</v>
      </c>
      <c r="I161" s="10">
        <v>18.130347</v>
      </c>
      <c r="J161" s="10">
        <v>4.0110700000000001</v>
      </c>
      <c r="K161" s="15">
        <v>0</v>
      </c>
      <c r="L161" s="17">
        <v>13128.831690000001</v>
      </c>
      <c r="M161" s="4" t="s">
        <v>964</v>
      </c>
      <c r="N161" s="19">
        <v>2.7892459999999999</v>
      </c>
      <c r="O161" s="19">
        <v>3.7160000000000002</v>
      </c>
      <c r="P161" s="19">
        <v>2.15</v>
      </c>
      <c r="Q161" s="19">
        <v>2.4701</v>
      </c>
      <c r="R161" s="19">
        <v>1.98</v>
      </c>
      <c r="S161" s="19">
        <v>1.7403</v>
      </c>
      <c r="T161" s="19">
        <v>1.98</v>
      </c>
      <c r="U161" s="19">
        <v>1.4527000000000001</v>
      </c>
      <c r="V161" s="19">
        <v>1</v>
      </c>
      <c r="W161" s="19">
        <v>1.0808</v>
      </c>
      <c r="X161" s="19">
        <v>1</v>
      </c>
      <c r="Y161" s="19">
        <v>1.0808</v>
      </c>
      <c r="Z161" s="4"/>
      <c r="AA161" s="4"/>
      <c r="AB161" s="4" t="e">
        <f ca="1">_xll.ciqfunctions.udf.CIQ("^SPX", "IQ_PRICEDATE", "8/12/2014")</f>
        <v>#NAME?</v>
      </c>
      <c r="AC161" s="16">
        <v>1933.7466377295</v>
      </c>
    </row>
    <row r="162" spans="1:29" x14ac:dyDescent="0.35">
      <c r="A162" s="2" t="s">
        <v>172</v>
      </c>
      <c r="B162" s="4" t="s">
        <v>965</v>
      </c>
      <c r="C162" s="4" t="s">
        <v>586</v>
      </c>
      <c r="D162" s="4" t="s">
        <v>586</v>
      </c>
      <c r="E162" s="4" t="s">
        <v>587</v>
      </c>
      <c r="F162" s="4" t="s">
        <v>951</v>
      </c>
      <c r="G162" s="14">
        <v>83.33</v>
      </c>
      <c r="H162" s="10">
        <v>7.8055570000000003</v>
      </c>
      <c r="I162" s="10">
        <v>8.3477999999999994</v>
      </c>
      <c r="J162" s="10" t="s">
        <v>534</v>
      </c>
      <c r="K162" s="15">
        <v>2.6880999999999999E-2</v>
      </c>
      <c r="L162" s="17">
        <v>11772.866233000001</v>
      </c>
      <c r="M162" s="4" t="s">
        <v>966</v>
      </c>
      <c r="N162" s="19">
        <v>9.9822699999999998</v>
      </c>
      <c r="O162" s="19">
        <v>8.8890999999999991</v>
      </c>
      <c r="P162" s="19">
        <v>9.4700000000000006</v>
      </c>
      <c r="Q162" s="19">
        <v>7.6932999999999998</v>
      </c>
      <c r="R162" s="19">
        <v>5.75</v>
      </c>
      <c r="S162" s="19">
        <v>7.2042999999999999</v>
      </c>
      <c r="T162" s="19">
        <v>5.75</v>
      </c>
      <c r="U162" s="19">
        <v>7.4515000000000002</v>
      </c>
      <c r="V162" s="19">
        <v>4.95</v>
      </c>
      <c r="W162" s="19">
        <v>7.5366</v>
      </c>
      <c r="X162" s="19">
        <v>4.95</v>
      </c>
      <c r="Y162" s="19">
        <v>7.5366</v>
      </c>
      <c r="Z162" s="4"/>
      <c r="AA162" s="4"/>
      <c r="AB162" s="4" t="e">
        <f ca="1">_xll.ciqfunctions.udf.CIQ("^SPX", "IQ_PRICEDATE", "8/13/2014")</f>
        <v>#NAME?</v>
      </c>
      <c r="AC162" s="16">
        <v>1946.7220009985001</v>
      </c>
    </row>
    <row r="163" spans="1:29" x14ac:dyDescent="0.35">
      <c r="A163" s="2" t="s">
        <v>173</v>
      </c>
      <c r="B163" s="4" t="s">
        <v>967</v>
      </c>
      <c r="C163" s="4" t="s">
        <v>525</v>
      </c>
      <c r="D163" s="4" t="s">
        <v>526</v>
      </c>
      <c r="E163" s="4" t="s">
        <v>658</v>
      </c>
      <c r="F163" s="4" t="s">
        <v>659</v>
      </c>
      <c r="G163" s="14">
        <v>79.81</v>
      </c>
      <c r="H163" s="10">
        <v>11.446998000000001</v>
      </c>
      <c r="I163" s="10">
        <v>11.246233</v>
      </c>
      <c r="J163" s="10" t="s">
        <v>534</v>
      </c>
      <c r="K163" s="15">
        <v>3.3077999999999996E-2</v>
      </c>
      <c r="L163" s="17">
        <v>34581.673000000003</v>
      </c>
      <c r="M163" s="4" t="s">
        <v>968</v>
      </c>
      <c r="N163" s="19">
        <v>7.0965980000000002</v>
      </c>
      <c r="O163" s="19">
        <v>5.6635999999999997</v>
      </c>
      <c r="P163" s="19">
        <v>6.68</v>
      </c>
      <c r="Q163" s="19">
        <v>4.9957000000000003</v>
      </c>
      <c r="R163" s="19">
        <v>4.2</v>
      </c>
      <c r="S163" s="19">
        <v>4.2914000000000003</v>
      </c>
      <c r="T163" s="19">
        <v>4.2</v>
      </c>
      <c r="U163" s="19">
        <v>4.2538</v>
      </c>
      <c r="V163" s="19">
        <v>3.76</v>
      </c>
      <c r="W163" s="19">
        <v>4.9215</v>
      </c>
      <c r="X163" s="19">
        <v>3.76</v>
      </c>
      <c r="Y163" s="19">
        <v>4.9215</v>
      </c>
      <c r="Z163" s="4"/>
      <c r="AA163" s="4"/>
      <c r="AB163" s="4" t="e">
        <f ca="1">_xll.ciqfunctions.udf.CIQ("^SPX", "IQ_PRICEDATE", "8/14/2014")</f>
        <v>#NAME?</v>
      </c>
      <c r="AC163" s="16">
        <v>1955.1824066605</v>
      </c>
    </row>
    <row r="164" spans="1:29" x14ac:dyDescent="0.35">
      <c r="A164" s="2" t="s">
        <v>174</v>
      </c>
      <c r="B164" s="4" t="s">
        <v>969</v>
      </c>
      <c r="C164" s="4" t="s">
        <v>559</v>
      </c>
      <c r="D164" s="4" t="s">
        <v>560</v>
      </c>
      <c r="E164" s="4" t="s">
        <v>631</v>
      </c>
      <c r="F164" s="4" t="s">
        <v>631</v>
      </c>
      <c r="G164" s="14">
        <v>32.020000000000003</v>
      </c>
      <c r="H164" s="10">
        <v>12.302358</v>
      </c>
      <c r="I164" s="10" t="s">
        <v>534</v>
      </c>
      <c r="J164" s="10">
        <v>17.361722</v>
      </c>
      <c r="K164" s="15">
        <v>0</v>
      </c>
      <c r="L164" s="17">
        <v>31685.378543999999</v>
      </c>
      <c r="M164" s="4" t="s">
        <v>970</v>
      </c>
      <c r="N164" s="19">
        <v>-1.0063439999999999</v>
      </c>
      <c r="O164" s="19">
        <v>2.4251</v>
      </c>
      <c r="P164" s="19">
        <v>-0.95112699999999994</v>
      </c>
      <c r="Q164" s="19">
        <v>2.1625000000000001</v>
      </c>
      <c r="R164" s="19">
        <v>6.37</v>
      </c>
      <c r="S164" s="19">
        <v>2.0257999999999998</v>
      </c>
      <c r="T164" s="19">
        <v>6.37</v>
      </c>
      <c r="U164" s="19">
        <v>1.9221999999999999</v>
      </c>
      <c r="V164" s="19">
        <v>-0.69144600000000001</v>
      </c>
      <c r="W164" s="19">
        <v>3.1837</v>
      </c>
      <c r="X164" s="19">
        <v>-0.69144600000000001</v>
      </c>
      <c r="Y164" s="19">
        <v>3.1837</v>
      </c>
      <c r="Z164" s="4"/>
      <c r="AA164" s="4"/>
      <c r="AB164" s="4" t="e">
        <f ca="1">_xll.ciqfunctions.udf.CIQ("^SPX", "IQ_PRICEDATE", "8/15/2014")</f>
        <v>#NAME?</v>
      </c>
      <c r="AC164" s="16">
        <v>1955.0626293536</v>
      </c>
    </row>
    <row r="165" spans="1:29" x14ac:dyDescent="0.35">
      <c r="A165" s="2" t="s">
        <v>175</v>
      </c>
      <c r="B165" s="4" t="s">
        <v>971</v>
      </c>
      <c r="C165" s="4" t="s">
        <v>586</v>
      </c>
      <c r="D165" s="4" t="s">
        <v>586</v>
      </c>
      <c r="E165" s="4" t="s">
        <v>587</v>
      </c>
      <c r="F165" s="4" t="s">
        <v>598</v>
      </c>
      <c r="G165" s="14">
        <v>148.52000000000001</v>
      </c>
      <c r="H165" s="10">
        <v>16.581890000000001</v>
      </c>
      <c r="I165" s="10">
        <v>27.950265999999999</v>
      </c>
      <c r="J165" s="10" t="s">
        <v>534</v>
      </c>
      <c r="K165" s="15">
        <v>1.1042000000000001E-2</v>
      </c>
      <c r="L165" s="17">
        <v>42907.971879999997</v>
      </c>
      <c r="M165" s="4" t="s">
        <v>972</v>
      </c>
      <c r="N165" s="19">
        <v>5.3137239999999997</v>
      </c>
      <c r="O165" s="19">
        <v>5.7054</v>
      </c>
      <c r="P165" s="19">
        <v>5.13</v>
      </c>
      <c r="Q165" s="19">
        <v>5.1037999999999997</v>
      </c>
      <c r="R165" s="19">
        <v>4.1399999999999997</v>
      </c>
      <c r="S165" s="19">
        <v>4.7667999999999999</v>
      </c>
      <c r="T165" s="19">
        <v>4.1399999999999997</v>
      </c>
      <c r="U165" s="19">
        <v>4.7922000000000002</v>
      </c>
      <c r="V165" s="19">
        <v>3.93</v>
      </c>
      <c r="W165" s="19">
        <v>4.6219000000000001</v>
      </c>
      <c r="X165" s="19">
        <v>3.93</v>
      </c>
      <c r="Y165" s="19">
        <v>4.6219000000000001</v>
      </c>
      <c r="Z165" s="4"/>
      <c r="AA165" s="4"/>
      <c r="AB165" s="4" t="e">
        <f ca="1">_xll.ciqfunctions.udf.CIQ("^SPX", "IQ_PRICEDATE", "8/18/2014")</f>
        <v>#NAME?</v>
      </c>
      <c r="AC165" s="16">
        <v>1971.7400377105</v>
      </c>
    </row>
    <row r="166" spans="1:29" x14ac:dyDescent="0.35">
      <c r="A166" s="2" t="s">
        <v>176</v>
      </c>
      <c r="B166" s="4" t="s">
        <v>973</v>
      </c>
      <c r="C166" s="4" t="s">
        <v>619</v>
      </c>
      <c r="D166" s="4" t="s">
        <v>619</v>
      </c>
      <c r="E166" s="4" t="s">
        <v>620</v>
      </c>
      <c r="F166" s="4" t="s">
        <v>620</v>
      </c>
      <c r="G166" s="14">
        <v>69.58</v>
      </c>
      <c r="H166" s="10">
        <v>9.8519109999999994</v>
      </c>
      <c r="I166" s="10">
        <v>54.643993000000002</v>
      </c>
      <c r="J166" s="10">
        <v>1.924606</v>
      </c>
      <c r="K166" s="15">
        <v>3.4780000000000005E-2</v>
      </c>
      <c r="L166" s="17">
        <v>22669.943713000001</v>
      </c>
      <c r="M166" s="4" t="s">
        <v>974</v>
      </c>
      <c r="N166" s="19">
        <v>1.273333</v>
      </c>
      <c r="O166" s="19">
        <v>4.3735999999999997</v>
      </c>
      <c r="P166" s="19">
        <v>1.72</v>
      </c>
      <c r="Q166" s="19">
        <v>4.4199000000000002</v>
      </c>
      <c r="R166" s="19">
        <v>3.9393929999999999</v>
      </c>
      <c r="S166" s="19">
        <v>4.1204000000000001</v>
      </c>
      <c r="T166" s="19">
        <v>3.9393929999999999</v>
      </c>
      <c r="U166" s="19">
        <v>3.6566000000000001</v>
      </c>
      <c r="V166" s="19">
        <v>4.3373860000000004</v>
      </c>
      <c r="W166" s="19">
        <v>3.7683</v>
      </c>
      <c r="X166" s="19">
        <v>4.3373860000000004</v>
      </c>
      <c r="Y166" s="19">
        <v>3.7683</v>
      </c>
      <c r="Z166" s="4"/>
      <c r="AA166" s="4"/>
      <c r="AB166" s="4" t="e">
        <f ca="1">_xll.ciqfunctions.udf.CIQ("^SPX", "IQ_PRICEDATE", "8/19/2014")</f>
        <v>#NAME?</v>
      </c>
      <c r="AC166" s="16">
        <v>1981.6009829652</v>
      </c>
    </row>
    <row r="167" spans="1:29" x14ac:dyDescent="0.35">
      <c r="A167" s="2" t="s">
        <v>177</v>
      </c>
      <c r="B167" s="4" t="s">
        <v>975</v>
      </c>
      <c r="C167" s="4" t="s">
        <v>530</v>
      </c>
      <c r="D167" s="4" t="s">
        <v>531</v>
      </c>
      <c r="E167" s="4" t="s">
        <v>532</v>
      </c>
      <c r="F167" s="4" t="s">
        <v>533</v>
      </c>
      <c r="G167" s="14">
        <v>148.63</v>
      </c>
      <c r="H167" s="10">
        <v>28.791409999999999</v>
      </c>
      <c r="I167" s="10">
        <v>48.815831000000003</v>
      </c>
      <c r="J167" s="10">
        <v>19.684348</v>
      </c>
      <c r="K167" s="15">
        <v>0</v>
      </c>
      <c r="L167" s="17">
        <v>31121.037909999999</v>
      </c>
      <c r="M167" s="4" t="s">
        <v>976</v>
      </c>
      <c r="N167" s="19">
        <v>3.0447090000000001</v>
      </c>
      <c r="O167" s="19">
        <v>4.8441000000000001</v>
      </c>
      <c r="P167" s="19">
        <v>2.7</v>
      </c>
      <c r="Q167" s="19">
        <v>4.0354000000000001</v>
      </c>
      <c r="R167" s="19">
        <v>2.61</v>
      </c>
      <c r="S167" s="19">
        <v>3.2158000000000002</v>
      </c>
      <c r="T167" s="19">
        <v>2.61</v>
      </c>
      <c r="U167" s="19">
        <v>2.3344</v>
      </c>
      <c r="V167" s="19">
        <v>3.74</v>
      </c>
      <c r="W167" s="19">
        <v>1.9337</v>
      </c>
      <c r="X167" s="19">
        <v>3.74</v>
      </c>
      <c r="Y167" s="19">
        <v>1.9337</v>
      </c>
      <c r="Z167" s="4"/>
      <c r="AA167" s="4"/>
      <c r="AB167" s="4" t="e">
        <f ca="1">_xll.ciqfunctions.udf.CIQ("^SPX", "IQ_PRICEDATE", "8/20/2014")</f>
        <v>#NAME?</v>
      </c>
      <c r="AC167" s="16">
        <v>1986.5059612120999</v>
      </c>
    </row>
    <row r="168" spans="1:29" x14ac:dyDescent="0.35">
      <c r="A168" s="2" t="s">
        <v>178</v>
      </c>
      <c r="B168" s="4" t="s">
        <v>977</v>
      </c>
      <c r="C168" s="4" t="s">
        <v>549</v>
      </c>
      <c r="D168" s="4" t="s">
        <v>550</v>
      </c>
      <c r="E168" s="4" t="s">
        <v>551</v>
      </c>
      <c r="F168" s="4" t="s">
        <v>552</v>
      </c>
      <c r="G168" s="14">
        <v>108.79</v>
      </c>
      <c r="H168" s="10">
        <v>25.780193000000001</v>
      </c>
      <c r="I168" s="10">
        <v>48.946077000000002</v>
      </c>
      <c r="J168" s="10">
        <v>10.156397</v>
      </c>
      <c r="K168" s="15">
        <v>0</v>
      </c>
      <c r="L168" s="17">
        <v>33161.178505000003</v>
      </c>
      <c r="M168" s="4" t="s">
        <v>978</v>
      </c>
      <c r="N168" s="19">
        <v>2.2226499999999998</v>
      </c>
      <c r="O168" s="19">
        <v>4.9043000000000001</v>
      </c>
      <c r="P168" s="19">
        <v>3.2063999999999999</v>
      </c>
      <c r="Q168" s="19">
        <v>4.4755000000000003</v>
      </c>
      <c r="R168" s="19">
        <v>4.1187959999999997</v>
      </c>
      <c r="S168" s="19">
        <v>4.0602999999999998</v>
      </c>
      <c r="T168" s="19">
        <v>4.1187959999999997</v>
      </c>
      <c r="U168" s="19">
        <v>3.3176999999999999</v>
      </c>
      <c r="V168" s="19">
        <v>2.5926659999999999</v>
      </c>
      <c r="W168" s="19">
        <v>2.0335999999999999</v>
      </c>
      <c r="X168" s="19">
        <v>2.5926659999999999</v>
      </c>
      <c r="Y168" s="19">
        <v>2.0335999999999999</v>
      </c>
      <c r="Z168" s="4"/>
      <c r="AA168" s="4"/>
      <c r="AB168" s="4" t="e">
        <f ca="1">_xll.ciqfunctions.udf.CIQ("^SPX", "IQ_PRICEDATE", "8/21/2014")</f>
        <v>#NAME?</v>
      </c>
      <c r="AC168" s="16">
        <v>1992.3660382058999</v>
      </c>
    </row>
    <row r="169" spans="1:29" x14ac:dyDescent="0.35">
      <c r="A169" s="2" t="s">
        <v>179</v>
      </c>
      <c r="B169" s="4" t="s">
        <v>979</v>
      </c>
      <c r="C169" s="4" t="s">
        <v>530</v>
      </c>
      <c r="D169" s="4" t="s">
        <v>537</v>
      </c>
      <c r="E169" s="4" t="s">
        <v>613</v>
      </c>
      <c r="F169" s="4" t="s">
        <v>613</v>
      </c>
      <c r="G169" s="14">
        <v>113.59</v>
      </c>
      <c r="H169" s="10">
        <v>16.094757999999999</v>
      </c>
      <c r="I169" s="10" t="s">
        <v>534</v>
      </c>
      <c r="J169" s="10">
        <v>33.918964000000003</v>
      </c>
      <c r="K169" s="15">
        <v>1.9807999999999999E-2</v>
      </c>
      <c r="L169" s="17">
        <v>113306.331693</v>
      </c>
      <c r="M169" s="4" t="s">
        <v>980</v>
      </c>
      <c r="N169" s="19">
        <v>-0.137736</v>
      </c>
      <c r="O169" s="19">
        <v>5.5380000000000003</v>
      </c>
      <c r="P169" s="19">
        <v>-0.19400700000000001</v>
      </c>
      <c r="Q169" s="19">
        <v>4.5490000000000004</v>
      </c>
      <c r="R169" s="19">
        <v>2.58</v>
      </c>
      <c r="S169" s="19">
        <v>3.9485999999999999</v>
      </c>
      <c r="T169" s="19">
        <v>2.58</v>
      </c>
      <c r="U169" s="19">
        <v>3.448</v>
      </c>
      <c r="V169" s="19">
        <v>2.23</v>
      </c>
      <c r="W169" s="19">
        <v>3.0585</v>
      </c>
      <c r="X169" s="19">
        <v>2.23</v>
      </c>
      <c r="Y169" s="19">
        <v>3.0585</v>
      </c>
      <c r="Z169" s="4"/>
      <c r="AA169" s="4"/>
      <c r="AB169" s="4" t="e">
        <f ca="1">_xll.ciqfunctions.udf.CIQ("^SPX", "IQ_PRICEDATE", "8/22/2014")</f>
        <v>#NAME?</v>
      </c>
      <c r="AC169" s="16">
        <v>1988.4024349268</v>
      </c>
    </row>
    <row r="170" spans="1:29" x14ac:dyDescent="0.35">
      <c r="A170" s="2" t="s">
        <v>180</v>
      </c>
      <c r="B170" s="4" t="s">
        <v>981</v>
      </c>
      <c r="C170" s="4" t="s">
        <v>525</v>
      </c>
      <c r="D170" s="4" t="s">
        <v>526</v>
      </c>
      <c r="E170" s="4" t="s">
        <v>658</v>
      </c>
      <c r="F170" s="4" t="s">
        <v>659</v>
      </c>
      <c r="G170" s="14">
        <v>74</v>
      </c>
      <c r="H170" s="10">
        <v>13.781332000000001</v>
      </c>
      <c r="I170" s="10">
        <v>22.696148999999998</v>
      </c>
      <c r="J170" s="10">
        <v>91.002887999999999</v>
      </c>
      <c r="K170" s="15">
        <v>2.6216E-2</v>
      </c>
      <c r="L170" s="17">
        <v>46506.450773999997</v>
      </c>
      <c r="M170" s="4" t="s">
        <v>982</v>
      </c>
      <c r="N170" s="19">
        <v>3.2604649999999999</v>
      </c>
      <c r="O170" s="19">
        <v>3.5472999999999999</v>
      </c>
      <c r="P170" s="19">
        <v>2.5902910000000001</v>
      </c>
      <c r="Q170" s="19">
        <v>2.95017</v>
      </c>
      <c r="R170" s="19">
        <v>2.5518689999999999</v>
      </c>
      <c r="S170" s="19">
        <v>2.40157</v>
      </c>
      <c r="T170" s="19">
        <v>2.5518689999999999</v>
      </c>
      <c r="U170" s="19">
        <v>3.0723799999999999</v>
      </c>
      <c r="V170" s="19">
        <v>3.131192</v>
      </c>
      <c r="W170" s="19">
        <v>3.9719000000000002</v>
      </c>
      <c r="X170" s="19">
        <v>3.131192</v>
      </c>
      <c r="Y170" s="19">
        <v>3.9719000000000002</v>
      </c>
      <c r="Z170" s="4"/>
      <c r="AA170" s="4"/>
      <c r="AB170" s="4" t="e">
        <f ca="1">_xll.ciqfunctions.udf.CIQ("^SPX", "IQ_PRICEDATE", "8/25/2014")</f>
        <v>#NAME?</v>
      </c>
      <c r="AC170" s="16">
        <v>1997.9218098548999</v>
      </c>
    </row>
    <row r="171" spans="1:29" x14ac:dyDescent="0.35">
      <c r="A171" s="2" t="s">
        <v>181</v>
      </c>
      <c r="B171" s="4" t="s">
        <v>983</v>
      </c>
      <c r="C171" s="4" t="s">
        <v>619</v>
      </c>
      <c r="D171" s="4" t="s">
        <v>619</v>
      </c>
      <c r="E171" s="4" t="s">
        <v>620</v>
      </c>
      <c r="F171" s="4" t="s">
        <v>620</v>
      </c>
      <c r="G171" s="14">
        <v>82.63</v>
      </c>
      <c r="H171" s="10">
        <v>9.4988519999999994</v>
      </c>
      <c r="I171" s="10">
        <v>50.475062999999999</v>
      </c>
      <c r="J171" s="10">
        <v>1.954523</v>
      </c>
      <c r="K171" s="15">
        <v>4.3083000000000003E-2</v>
      </c>
      <c r="L171" s="17">
        <v>14944.051294000001</v>
      </c>
      <c r="M171" s="4" t="s">
        <v>984</v>
      </c>
      <c r="N171" s="19">
        <v>1.637046</v>
      </c>
      <c r="O171" s="19">
        <v>6.2205000000000004</v>
      </c>
      <c r="P171" s="19">
        <v>2.2799990000000001</v>
      </c>
      <c r="Q171" s="19">
        <v>5.3472</v>
      </c>
      <c r="R171" s="19">
        <v>-3.2625190000000002</v>
      </c>
      <c r="S171" s="19">
        <v>4.5500999999999996</v>
      </c>
      <c r="T171" s="19">
        <v>-3.2625190000000002</v>
      </c>
      <c r="U171" s="19">
        <v>5.7759</v>
      </c>
      <c r="V171" s="19">
        <v>5.22</v>
      </c>
      <c r="W171" s="19">
        <v>5.6532999999999998</v>
      </c>
      <c r="X171" s="19">
        <v>5.22</v>
      </c>
      <c r="Y171" s="19">
        <v>5.6532999999999998</v>
      </c>
      <c r="Z171" s="4"/>
      <c r="AA171" s="4"/>
      <c r="AB171" s="4" t="e">
        <f ca="1">_xll.ciqfunctions.udf.CIQ("^SPX", "IQ_PRICEDATE", "8/26/2014")</f>
        <v>#NAME?</v>
      </c>
      <c r="AC171" s="16">
        <v>2000.0200490082</v>
      </c>
    </row>
    <row r="172" spans="1:29" x14ac:dyDescent="0.35">
      <c r="A172" s="2" t="s">
        <v>182</v>
      </c>
      <c r="B172" s="4" t="s">
        <v>985</v>
      </c>
      <c r="C172" s="4" t="s">
        <v>669</v>
      </c>
      <c r="D172" s="4" t="s">
        <v>669</v>
      </c>
      <c r="E172" s="4" t="s">
        <v>670</v>
      </c>
      <c r="F172" s="4" t="s">
        <v>671</v>
      </c>
      <c r="G172" s="14">
        <v>120.14</v>
      </c>
      <c r="H172" s="10">
        <v>11.950936</v>
      </c>
      <c r="I172" s="10">
        <v>18.020153000000001</v>
      </c>
      <c r="J172" s="10">
        <v>3.987047</v>
      </c>
      <c r="K172" s="15">
        <v>7.3240000000000006E-3</v>
      </c>
      <c r="L172" s="17">
        <v>69585.182190000007</v>
      </c>
      <c r="M172" s="4" t="s">
        <v>986</v>
      </c>
      <c r="N172" s="19">
        <v>6.6669799999999997</v>
      </c>
      <c r="O172" s="19">
        <v>6.6513</v>
      </c>
      <c r="P172" s="19">
        <v>4.46</v>
      </c>
      <c r="Q172" s="19">
        <v>1.89</v>
      </c>
      <c r="R172" s="19">
        <v>-1.981781</v>
      </c>
      <c r="S172" s="19">
        <v>7.17E-2</v>
      </c>
      <c r="T172" s="19">
        <v>-1.981781</v>
      </c>
      <c r="U172" s="19">
        <v>-0.29499999999999998</v>
      </c>
      <c r="V172" s="19">
        <v>5.32</v>
      </c>
      <c r="W172" s="19">
        <v>3.0949</v>
      </c>
      <c r="X172" s="19">
        <v>5.32</v>
      </c>
      <c r="Y172" s="19">
        <v>3.0949</v>
      </c>
      <c r="Z172" s="4"/>
      <c r="AA172" s="4"/>
      <c r="AB172" s="4" t="e">
        <f ca="1">_xll.ciqfunctions.udf.CIQ("^SPX", "IQ_PRICEDATE", "8/27/2014")</f>
        <v>#NAME?</v>
      </c>
      <c r="AC172" s="16">
        <v>2000.1177053447</v>
      </c>
    </row>
    <row r="173" spans="1:29" x14ac:dyDescent="0.35">
      <c r="A173" s="2" t="s">
        <v>183</v>
      </c>
      <c r="B173" s="4" t="s">
        <v>987</v>
      </c>
      <c r="C173" s="4" t="s">
        <v>669</v>
      </c>
      <c r="D173" s="4" t="s">
        <v>669</v>
      </c>
      <c r="E173" s="4" t="s">
        <v>670</v>
      </c>
      <c r="F173" s="4" t="s">
        <v>671</v>
      </c>
      <c r="G173" s="14">
        <v>47.36</v>
      </c>
      <c r="H173" s="10">
        <v>8.3941149999999993</v>
      </c>
      <c r="I173" s="10" t="s">
        <v>534</v>
      </c>
      <c r="J173" s="10">
        <v>1.393189</v>
      </c>
      <c r="K173" s="15">
        <v>2.5330000000000001E-3</v>
      </c>
      <c r="L173" s="17">
        <v>12518.71616</v>
      </c>
      <c r="M173" s="4" t="s">
        <v>988</v>
      </c>
      <c r="N173" s="19">
        <v>-1.1355040000000001</v>
      </c>
      <c r="O173" s="19">
        <v>2.0722</v>
      </c>
      <c r="P173" s="19">
        <v>8.0399999999999991</v>
      </c>
      <c r="Q173" s="19">
        <v>1.4916</v>
      </c>
      <c r="R173" s="19">
        <v>-2.7128299999999999</v>
      </c>
      <c r="S173" s="19">
        <v>0.21540000000000001</v>
      </c>
      <c r="T173" s="19">
        <v>-2.7128299999999999</v>
      </c>
      <c r="U173" s="19">
        <v>-0.4002</v>
      </c>
      <c r="V173" s="19">
        <v>2.5299999999999998</v>
      </c>
      <c r="W173" s="19">
        <v>2.6046</v>
      </c>
      <c r="X173" s="19">
        <v>2.5299999999999998</v>
      </c>
      <c r="Y173" s="19">
        <v>2.6046</v>
      </c>
      <c r="Z173" s="4"/>
      <c r="AA173" s="4"/>
      <c r="AB173" s="4" t="e">
        <f ca="1">_xll.ciqfunctions.udf.CIQ("^SPX", "IQ_PRICEDATE", "8/28/2014")</f>
        <v>#NAME?</v>
      </c>
      <c r="AC173" s="16">
        <v>1996.740450988</v>
      </c>
    </row>
    <row r="174" spans="1:29" x14ac:dyDescent="0.35">
      <c r="A174" s="2" t="s">
        <v>184</v>
      </c>
      <c r="B174" s="4" t="s">
        <v>989</v>
      </c>
      <c r="C174" s="4" t="s">
        <v>525</v>
      </c>
      <c r="D174" s="4" t="s">
        <v>855</v>
      </c>
      <c r="E174" s="4" t="s">
        <v>990</v>
      </c>
      <c r="F174" s="4" t="s">
        <v>991</v>
      </c>
      <c r="G174" s="14">
        <v>124.27</v>
      </c>
      <c r="H174" s="10">
        <v>17.628937000000001</v>
      </c>
      <c r="I174" s="10">
        <v>29.884326999999999</v>
      </c>
      <c r="J174" s="10" t="s">
        <v>534</v>
      </c>
      <c r="K174" s="15">
        <v>1.2553000000000002E-2</v>
      </c>
      <c r="L174" s="17">
        <v>14963.620117</v>
      </c>
      <c r="M174" s="4" t="s">
        <v>992</v>
      </c>
      <c r="N174" s="19">
        <v>4.1583670000000001</v>
      </c>
      <c r="O174" s="19">
        <v>5.9768999999999997</v>
      </c>
      <c r="P174" s="19">
        <v>4.83</v>
      </c>
      <c r="Q174" s="19">
        <v>5.7621000000000002</v>
      </c>
      <c r="R174" s="19">
        <v>4.04</v>
      </c>
      <c r="S174" s="19">
        <v>5.8643999999999998</v>
      </c>
      <c r="T174" s="19">
        <v>4.04</v>
      </c>
      <c r="U174" s="19">
        <v>4.8018999999999998</v>
      </c>
      <c r="V174" s="19">
        <v>2.97</v>
      </c>
      <c r="W174" s="19">
        <v>4.1630000000000003</v>
      </c>
      <c r="X174" s="19">
        <v>2.97</v>
      </c>
      <c r="Y174" s="19">
        <v>4.1630000000000003</v>
      </c>
      <c r="Z174" s="4"/>
      <c r="AA174" s="4"/>
      <c r="AB174" s="4" t="e">
        <f ca="1">_xll.ciqfunctions.udf.CIQ("^SPX", "IQ_PRICEDATE", "8/29/2014")</f>
        <v>#NAME?</v>
      </c>
      <c r="AC174" s="16">
        <v>2003.3676954513001</v>
      </c>
    </row>
    <row r="175" spans="1:29" x14ac:dyDescent="0.35">
      <c r="A175" s="2" t="s">
        <v>185</v>
      </c>
      <c r="B175" s="4" t="s">
        <v>993</v>
      </c>
      <c r="C175" s="4" t="s">
        <v>601</v>
      </c>
      <c r="D175" s="4" t="s">
        <v>601</v>
      </c>
      <c r="E175" s="4" t="s">
        <v>602</v>
      </c>
      <c r="F175" s="4" t="s">
        <v>647</v>
      </c>
      <c r="G175" s="14">
        <v>410.44</v>
      </c>
      <c r="H175" s="10">
        <v>20.167192</v>
      </c>
      <c r="I175" s="10">
        <v>118.416842</v>
      </c>
      <c r="J175" s="10" t="s">
        <v>534</v>
      </c>
      <c r="K175" s="15">
        <v>2.222E-2</v>
      </c>
      <c r="L175" s="17">
        <v>32633.279116999998</v>
      </c>
      <c r="M175" s="4" t="s">
        <v>994</v>
      </c>
      <c r="N175" s="19">
        <v>3.4660609999999998</v>
      </c>
      <c r="O175" s="19">
        <v>5.2591000000000001</v>
      </c>
      <c r="P175" s="19">
        <v>3</v>
      </c>
      <c r="Q175" s="19">
        <v>5.9145000000000003</v>
      </c>
      <c r="R175" s="19">
        <v>1.62</v>
      </c>
      <c r="S175" s="19">
        <v>4.3853999999999997</v>
      </c>
      <c r="T175" s="19">
        <v>1.62</v>
      </c>
      <c r="U175" s="19">
        <v>5.8022</v>
      </c>
      <c r="V175" s="19">
        <v>-4.9570650000000001</v>
      </c>
      <c r="W175" s="19">
        <v>5.0716999999999999</v>
      </c>
      <c r="X175" s="19">
        <v>-4.9570650000000001</v>
      </c>
      <c r="Y175" s="19">
        <v>5.0716999999999999</v>
      </c>
      <c r="Z175" s="4"/>
      <c r="AA175" s="4"/>
      <c r="AB175" s="4" t="e">
        <f ca="1">_xll.ciqfunctions.udf.CIQ("^SPX", "IQ_PRICEDATE", "9/2/2014")</f>
        <v>#NAME?</v>
      </c>
      <c r="AC175" s="16">
        <v>2002.2844031136001</v>
      </c>
    </row>
    <row r="176" spans="1:29" x14ac:dyDescent="0.35">
      <c r="A176" s="2" t="s">
        <v>186</v>
      </c>
      <c r="B176" s="4" t="s">
        <v>995</v>
      </c>
      <c r="C176" s="4" t="s">
        <v>601</v>
      </c>
      <c r="D176" s="4" t="s">
        <v>601</v>
      </c>
      <c r="E176" s="4" t="s">
        <v>602</v>
      </c>
      <c r="F176" s="4" t="s">
        <v>685</v>
      </c>
      <c r="G176" s="14">
        <v>64.069999999999993</v>
      </c>
      <c r="H176" s="10">
        <v>20.299168999999999</v>
      </c>
      <c r="I176" s="10">
        <v>40.351301999999997</v>
      </c>
      <c r="J176" s="10">
        <v>2.3589289999999998</v>
      </c>
      <c r="K176" s="15">
        <v>3.3713E-2</v>
      </c>
      <c r="L176" s="17">
        <v>23595.826138</v>
      </c>
      <c r="M176" s="4" t="s">
        <v>996</v>
      </c>
      <c r="N176" s="19">
        <v>1.5878049999999999</v>
      </c>
      <c r="O176" s="19">
        <v>1.5105999999999999</v>
      </c>
      <c r="P176" s="19">
        <v>1.6279140000000001</v>
      </c>
      <c r="Q176" s="19">
        <v>1.3</v>
      </c>
      <c r="R176" s="19">
        <v>11.675807000000001</v>
      </c>
      <c r="S176" s="19">
        <v>1.2935000000000001</v>
      </c>
      <c r="T176" s="19">
        <v>11.675807000000001</v>
      </c>
      <c r="U176" s="19">
        <v>1.4645999999999999</v>
      </c>
      <c r="V176" s="19">
        <v>1.721873</v>
      </c>
      <c r="W176" s="19">
        <v>1.1733</v>
      </c>
      <c r="X176" s="19">
        <v>1.721873</v>
      </c>
      <c r="Y176" s="19">
        <v>1.1733</v>
      </c>
      <c r="Z176" s="4"/>
      <c r="AA176" s="4"/>
      <c r="AB176" s="4" t="e">
        <f ca="1">_xll.ciqfunctions.udf.CIQ("^SPX", "IQ_PRICEDATE", "9/3/2014")</f>
        <v>#NAME?</v>
      </c>
      <c r="AC176" s="16">
        <v>2000.7236315149</v>
      </c>
    </row>
    <row r="177" spans="1:29" x14ac:dyDescent="0.35">
      <c r="A177" s="2" t="s">
        <v>187</v>
      </c>
      <c r="B177" s="4" t="s">
        <v>997</v>
      </c>
      <c r="C177" s="4" t="s">
        <v>601</v>
      </c>
      <c r="D177" s="4" t="s">
        <v>601</v>
      </c>
      <c r="E177" s="4" t="s">
        <v>602</v>
      </c>
      <c r="F177" s="4" t="s">
        <v>685</v>
      </c>
      <c r="G177" s="14">
        <v>242.8</v>
      </c>
      <c r="H177" s="10">
        <v>22.115749000000001</v>
      </c>
      <c r="I177" s="10">
        <v>42.851011</v>
      </c>
      <c r="J177" s="10">
        <v>2.5238239999999998</v>
      </c>
      <c r="K177" s="15">
        <v>3.0641999999999999E-2</v>
      </c>
      <c r="L177" s="17">
        <v>16036.964523000001</v>
      </c>
      <c r="M177" s="4" t="s">
        <v>998</v>
      </c>
      <c r="N177" s="19">
        <v>5.6661440000000001</v>
      </c>
      <c r="O177" s="19">
        <v>5.0091000000000001</v>
      </c>
      <c r="P177" s="19">
        <v>6.5699990000000001</v>
      </c>
      <c r="Q177" s="19">
        <v>4.6839000000000004</v>
      </c>
      <c r="R177" s="19">
        <v>6.2699990000000003</v>
      </c>
      <c r="S177" s="19">
        <v>4.2704000000000004</v>
      </c>
      <c r="T177" s="19">
        <v>6.2699990000000003</v>
      </c>
      <c r="U177" s="19">
        <v>2.9306999999999999</v>
      </c>
      <c r="V177" s="19">
        <v>2.06</v>
      </c>
      <c r="W177" s="19">
        <v>2.1476000000000002</v>
      </c>
      <c r="X177" s="19">
        <v>2.06</v>
      </c>
      <c r="Y177" s="19">
        <v>2.1476000000000002</v>
      </c>
      <c r="Z177" s="4"/>
      <c r="AA177" s="4"/>
      <c r="AB177" s="4" t="e">
        <f ca="1">_xll.ciqfunctions.udf.CIQ("^SPX", "IQ_PRICEDATE", "9/4/2014")</f>
        <v>#NAME?</v>
      </c>
      <c r="AC177" s="16">
        <v>1997.6509320497</v>
      </c>
    </row>
    <row r="178" spans="1:29" x14ac:dyDescent="0.35">
      <c r="A178" s="2" t="s">
        <v>188</v>
      </c>
      <c r="B178" s="4" t="s">
        <v>999</v>
      </c>
      <c r="C178" s="4" t="s">
        <v>573</v>
      </c>
      <c r="D178" s="4" t="s">
        <v>579</v>
      </c>
      <c r="E178" s="4" t="s">
        <v>579</v>
      </c>
      <c r="F178" s="4" t="s">
        <v>1000</v>
      </c>
      <c r="G178" s="14">
        <v>216.01</v>
      </c>
      <c r="H178" s="10">
        <v>0</v>
      </c>
      <c r="I178" s="10">
        <v>42.051177000000003</v>
      </c>
      <c r="J178" s="10">
        <v>1.0709660000000001</v>
      </c>
      <c r="K178" s="15">
        <v>2.4072E-2</v>
      </c>
      <c r="L178" s="17">
        <v>8825.1840260000008</v>
      </c>
      <c r="M178" s="4" t="s">
        <v>1001</v>
      </c>
      <c r="N178" s="19">
        <v>5.1368359999999997</v>
      </c>
      <c r="O178" s="19">
        <v>23.686399999999999</v>
      </c>
      <c r="P178" s="19">
        <v>11.36</v>
      </c>
      <c r="Q178" s="19">
        <v>19.404699999999998</v>
      </c>
      <c r="R178" s="19">
        <v>23.68</v>
      </c>
      <c r="S178" s="19">
        <v>16.449300000000001</v>
      </c>
      <c r="T178" s="19">
        <v>23.68</v>
      </c>
      <c r="U178" s="19">
        <v>18.015499999999999</v>
      </c>
      <c r="V178" s="19">
        <v>25.91</v>
      </c>
      <c r="W178" s="19">
        <v>17.809699999999999</v>
      </c>
      <c r="X178" s="19">
        <v>25.91</v>
      </c>
      <c r="Y178" s="19">
        <v>17.809699999999999</v>
      </c>
      <c r="Z178" s="4"/>
      <c r="AA178" s="4"/>
      <c r="AB178" s="4" t="e">
        <f ca="1">_xll.ciqfunctions.udf.CIQ("^SPX", "IQ_PRICEDATE", "9/5/2014")</f>
        <v>#NAME?</v>
      </c>
      <c r="AC178" s="16">
        <v>2007.7119082391</v>
      </c>
    </row>
    <row r="179" spans="1:29" x14ac:dyDescent="0.35">
      <c r="A179" s="2" t="s">
        <v>189</v>
      </c>
      <c r="B179" s="4" t="s">
        <v>1002</v>
      </c>
      <c r="C179" s="4" t="s">
        <v>619</v>
      </c>
      <c r="D179" s="4" t="s">
        <v>619</v>
      </c>
      <c r="E179" s="4" t="s">
        <v>620</v>
      </c>
      <c r="F179" s="4" t="s">
        <v>620</v>
      </c>
      <c r="G179" s="14">
        <v>56.01</v>
      </c>
      <c r="H179" s="10">
        <v>20.242328000000001</v>
      </c>
      <c r="I179" s="10">
        <v>24.079768000000001</v>
      </c>
      <c r="J179" s="10">
        <v>1.76854</v>
      </c>
      <c r="K179" s="15">
        <v>2.8565999999999998E-2</v>
      </c>
      <c r="L179" s="17">
        <v>15217.236422</v>
      </c>
      <c r="M179" s="4" t="s">
        <v>1003</v>
      </c>
      <c r="N179" s="19">
        <v>2.3260190000000001</v>
      </c>
      <c r="O179" s="19">
        <v>2.7218</v>
      </c>
      <c r="P179" s="19">
        <v>2.2696000000000001</v>
      </c>
      <c r="Q179" s="19">
        <v>0</v>
      </c>
      <c r="R179" s="19">
        <v>2.4300000000000002</v>
      </c>
      <c r="S179" s="19">
        <v>0</v>
      </c>
      <c r="T179" s="19">
        <v>2.4300000000000002</v>
      </c>
      <c r="U179" s="19">
        <v>0</v>
      </c>
      <c r="V179" s="19">
        <v>2.35</v>
      </c>
      <c r="W179" s="19">
        <v>0</v>
      </c>
      <c r="X179" s="19">
        <v>2.35</v>
      </c>
      <c r="Y179" s="19">
        <v>0</v>
      </c>
      <c r="Z179" s="4"/>
      <c r="AA179" s="4"/>
      <c r="AB179" s="4" t="e">
        <f ca="1">_xll.ciqfunctions.udf.CIQ("^SPX", "IQ_PRICEDATE", "9/8/2014")</f>
        <v>#NAME?</v>
      </c>
      <c r="AC179" s="16">
        <v>2001.5407326029001</v>
      </c>
    </row>
    <row r="180" spans="1:29" x14ac:dyDescent="0.35">
      <c r="A180" s="2" t="s">
        <v>190</v>
      </c>
      <c r="B180" s="4" t="s">
        <v>1004</v>
      </c>
      <c r="C180" s="4" t="s">
        <v>619</v>
      </c>
      <c r="D180" s="4" t="s">
        <v>619</v>
      </c>
      <c r="E180" s="4" t="s">
        <v>620</v>
      </c>
      <c r="F180" s="4" t="s">
        <v>620</v>
      </c>
      <c r="G180" s="14">
        <v>62.49</v>
      </c>
      <c r="H180" s="10">
        <v>12.843249999999999</v>
      </c>
      <c r="I180" s="10">
        <v>19.650980000000001</v>
      </c>
      <c r="J180" s="10">
        <v>2.8925380000000001</v>
      </c>
      <c r="K180" s="15">
        <v>3.2325E-2</v>
      </c>
      <c r="L180" s="17">
        <v>19802.194142</v>
      </c>
      <c r="M180" s="4" t="s">
        <v>1005</v>
      </c>
      <c r="N180" s="19">
        <v>3.1799940000000002</v>
      </c>
      <c r="O180" s="19">
        <v>3.3603000000000001</v>
      </c>
      <c r="P180" s="19">
        <v>3.11</v>
      </c>
      <c r="Q180" s="19">
        <v>3.3008000000000002</v>
      </c>
      <c r="R180" s="19">
        <v>2.9599989999999998</v>
      </c>
      <c r="S180" s="19">
        <v>3.1556000000000002</v>
      </c>
      <c r="T180" s="19">
        <v>2.9599989999999998</v>
      </c>
      <c r="U180" s="19">
        <v>2.9214000000000002</v>
      </c>
      <c r="V180" s="19">
        <v>2.5799989999999999</v>
      </c>
      <c r="W180" s="19">
        <v>2.8431000000000002</v>
      </c>
      <c r="X180" s="19">
        <v>2.5799989999999999</v>
      </c>
      <c r="Y180" s="19">
        <v>2.8431000000000002</v>
      </c>
      <c r="Z180" s="4"/>
      <c r="AA180" s="4"/>
      <c r="AB180" s="4" t="e">
        <f ca="1">_xll.ciqfunctions.udf.CIQ("^SPX", "IQ_PRICEDATE", "9/9/2014")</f>
        <v>#NAME?</v>
      </c>
      <c r="AC180" s="16">
        <v>1988.4448927521</v>
      </c>
    </row>
    <row r="181" spans="1:29" x14ac:dyDescent="0.35">
      <c r="A181" s="2" t="s">
        <v>191</v>
      </c>
      <c r="B181" s="4" t="s">
        <v>1006</v>
      </c>
      <c r="C181" s="4" t="s">
        <v>619</v>
      </c>
      <c r="D181" s="4" t="s">
        <v>619</v>
      </c>
      <c r="E181" s="4" t="s">
        <v>620</v>
      </c>
      <c r="F181" s="4" t="s">
        <v>620</v>
      </c>
      <c r="G181" s="14">
        <v>42.99</v>
      </c>
      <c r="H181" s="10">
        <v>7.7756040000000004</v>
      </c>
      <c r="I181" s="10">
        <v>10.939911</v>
      </c>
      <c r="J181" s="10">
        <v>1.741938</v>
      </c>
      <c r="K181" s="15">
        <v>3.2099999999999997E-2</v>
      </c>
      <c r="L181" s="17">
        <v>41524.329076000002</v>
      </c>
      <c r="M181" s="4" t="s">
        <v>1007</v>
      </c>
      <c r="N181" s="19">
        <v>3.9296479999999998</v>
      </c>
      <c r="O181" s="19">
        <v>3.0278</v>
      </c>
      <c r="P181" s="19">
        <v>3.97</v>
      </c>
      <c r="Q181" s="19">
        <v>2.9451000000000001</v>
      </c>
      <c r="R181" s="19">
        <v>1.22</v>
      </c>
      <c r="S181" s="19">
        <v>2.5779000000000001</v>
      </c>
      <c r="T181" s="19">
        <v>1.22</v>
      </c>
      <c r="U181" s="19">
        <v>2.3527</v>
      </c>
      <c r="V181" s="19">
        <v>1.88</v>
      </c>
      <c r="W181" s="19">
        <v>2.4390000000000001</v>
      </c>
      <c r="X181" s="19">
        <v>1.88</v>
      </c>
      <c r="Y181" s="19">
        <v>2.4390000000000001</v>
      </c>
      <c r="Z181" s="4"/>
      <c r="AA181" s="4"/>
      <c r="AB181" s="4" t="e">
        <f ca="1">_xll.ciqfunctions.udf.CIQ("^SPX", "IQ_PRICEDATE", "9/10/2014")</f>
        <v>#NAME?</v>
      </c>
      <c r="AC181" s="16">
        <v>1995.6923062226001</v>
      </c>
    </row>
    <row r="182" spans="1:29" x14ac:dyDescent="0.35">
      <c r="A182" s="2" t="s">
        <v>192</v>
      </c>
      <c r="B182" s="4" t="s">
        <v>1008</v>
      </c>
      <c r="C182" s="4" t="s">
        <v>559</v>
      </c>
      <c r="D182" s="4" t="s">
        <v>560</v>
      </c>
      <c r="E182" s="4" t="s">
        <v>631</v>
      </c>
      <c r="F182" s="4" t="s">
        <v>631</v>
      </c>
      <c r="G182" s="14">
        <v>120.55</v>
      </c>
      <c r="H182" s="10">
        <v>16.656531999999999</v>
      </c>
      <c r="I182" s="10">
        <v>69.460890000000006</v>
      </c>
      <c r="J182" s="10" t="s">
        <v>534</v>
      </c>
      <c r="K182" s="15">
        <v>1.0618000000000001E-2</v>
      </c>
      <c r="L182" s="17">
        <v>18016.330587</v>
      </c>
      <c r="M182" s="4" t="s">
        <v>1009</v>
      </c>
      <c r="N182" s="19">
        <v>1.735509</v>
      </c>
      <c r="O182" s="19">
        <v>5.5917000000000003</v>
      </c>
      <c r="P182" s="19">
        <v>2.42</v>
      </c>
      <c r="Q182" s="19">
        <v>5.1760999999999999</v>
      </c>
      <c r="R182" s="19">
        <v>1.82</v>
      </c>
      <c r="S182" s="19">
        <v>6.0576999999999996</v>
      </c>
      <c r="T182" s="19">
        <v>1.82</v>
      </c>
      <c r="U182" s="19">
        <v>5.4242999999999997</v>
      </c>
      <c r="V182" s="19">
        <v>2.99</v>
      </c>
      <c r="W182" s="19">
        <v>4.4554</v>
      </c>
      <c r="X182" s="19">
        <v>2.99</v>
      </c>
      <c r="Y182" s="19">
        <v>4.4554</v>
      </c>
      <c r="Z182" s="4"/>
      <c r="AA182" s="4"/>
      <c r="AB182" s="4" t="e">
        <f ca="1">_xll.ciqfunctions.udf.CIQ("^SPX", "IQ_PRICEDATE", "9/11/2014")</f>
        <v>#NAME?</v>
      </c>
      <c r="AC182" s="16">
        <v>1997.4459678967</v>
      </c>
    </row>
    <row r="183" spans="1:29" x14ac:dyDescent="0.35">
      <c r="A183" s="2" t="s">
        <v>193</v>
      </c>
      <c r="B183" s="4" t="s">
        <v>1010</v>
      </c>
      <c r="C183" s="4" t="s">
        <v>525</v>
      </c>
      <c r="D183" s="4" t="s">
        <v>594</v>
      </c>
      <c r="E183" s="4" t="s">
        <v>779</v>
      </c>
      <c r="F183" s="4" t="s">
        <v>779</v>
      </c>
      <c r="G183" s="14">
        <v>68.8</v>
      </c>
      <c r="H183" s="10">
        <v>13.531746</v>
      </c>
      <c r="I183" s="10">
        <v>22.041786999999999</v>
      </c>
      <c r="J183" s="10">
        <v>6.3460190000000001</v>
      </c>
      <c r="K183" s="15">
        <v>1.3081000000000001E-2</v>
      </c>
      <c r="L183" s="17">
        <v>11994.282469</v>
      </c>
      <c r="M183" s="4" t="s">
        <v>1011</v>
      </c>
      <c r="N183" s="19">
        <v>3.1213440000000001</v>
      </c>
      <c r="O183" s="19">
        <v>3.1850999999999998</v>
      </c>
      <c r="P183" s="19">
        <v>2.69</v>
      </c>
      <c r="Q183" s="19">
        <v>2.5196000000000001</v>
      </c>
      <c r="R183" s="19">
        <v>2.36</v>
      </c>
      <c r="S183" s="19">
        <v>2.4504999999999999</v>
      </c>
      <c r="T183" s="19">
        <v>2.36</v>
      </c>
      <c r="U183" s="19">
        <v>2.4470000000000001</v>
      </c>
      <c r="V183" s="19">
        <v>1.92</v>
      </c>
      <c r="W183" s="19">
        <v>2.0312999999999999</v>
      </c>
      <c r="X183" s="19">
        <v>1.92</v>
      </c>
      <c r="Y183" s="19">
        <v>2.0312999999999999</v>
      </c>
      <c r="Z183" s="4"/>
      <c r="AA183" s="4"/>
      <c r="AB183" s="4" t="e">
        <f ca="1">_xll.ciqfunctions.udf.CIQ("^SPX", "IQ_PRICEDATE", "9/12/2014")</f>
        <v>#NAME?</v>
      </c>
      <c r="AC183" s="16">
        <v>1985.5362909214</v>
      </c>
    </row>
    <row r="184" spans="1:29" x14ac:dyDescent="0.35">
      <c r="A184" s="2" t="s">
        <v>194</v>
      </c>
      <c r="B184" s="4" t="s">
        <v>1012</v>
      </c>
      <c r="C184" s="4" t="s">
        <v>530</v>
      </c>
      <c r="D184" s="4" t="s">
        <v>531</v>
      </c>
      <c r="E184" s="4" t="s">
        <v>569</v>
      </c>
      <c r="F184" s="4" t="s">
        <v>909</v>
      </c>
      <c r="G184" s="14">
        <v>95.77</v>
      </c>
      <c r="H184" s="10">
        <v>9.1142730000000007</v>
      </c>
      <c r="I184" s="10">
        <v>11.664173</v>
      </c>
      <c r="J184" s="10" t="s">
        <v>534</v>
      </c>
      <c r="K184" s="15">
        <v>0</v>
      </c>
      <c r="L184" s="17">
        <v>53834.2958</v>
      </c>
      <c r="M184" s="4" t="s">
        <v>1013</v>
      </c>
      <c r="N184" s="19">
        <v>8.2106119999999994</v>
      </c>
      <c r="O184" s="19">
        <v>9.2988</v>
      </c>
      <c r="P184" s="19">
        <v>7.74</v>
      </c>
      <c r="Q184" s="19">
        <v>7.5823</v>
      </c>
      <c r="R184" s="19">
        <v>5.39</v>
      </c>
      <c r="S184" s="19">
        <v>6.8129</v>
      </c>
      <c r="T184" s="19">
        <v>5.39</v>
      </c>
      <c r="U184" s="19">
        <v>5.9778000000000002</v>
      </c>
      <c r="V184" s="19">
        <v>2.64</v>
      </c>
      <c r="W184" s="19">
        <v>5.3201999999999998</v>
      </c>
      <c r="X184" s="19">
        <v>2.64</v>
      </c>
      <c r="Y184" s="19">
        <v>5.3201999999999998</v>
      </c>
      <c r="Z184" s="4"/>
      <c r="AA184" s="4"/>
      <c r="AB184" s="4" t="e">
        <f ca="1">_xll.ciqfunctions.udf.CIQ("^SPX", "IQ_PRICEDATE", "9/15/2014")</f>
        <v>#NAME?</v>
      </c>
      <c r="AC184" s="16">
        <v>1984.1323104619</v>
      </c>
    </row>
    <row r="185" spans="1:29" x14ac:dyDescent="0.35">
      <c r="A185" s="2" t="s">
        <v>195</v>
      </c>
      <c r="B185" s="4" t="s">
        <v>1014</v>
      </c>
      <c r="C185" s="4" t="s">
        <v>601</v>
      </c>
      <c r="D185" s="4" t="s">
        <v>601</v>
      </c>
      <c r="E185" s="4" t="s">
        <v>602</v>
      </c>
      <c r="F185" s="4" t="s">
        <v>647</v>
      </c>
      <c r="G185" s="14">
        <v>86.06</v>
      </c>
      <c r="H185" s="10">
        <v>20.517057999999999</v>
      </c>
      <c r="I185" s="10">
        <v>22.209793999999999</v>
      </c>
      <c r="J185" s="10">
        <v>4.6355079999999997</v>
      </c>
      <c r="K185" s="15">
        <v>3.9972000000000001E-2</v>
      </c>
      <c r="L185" s="17">
        <v>10886.770726000001</v>
      </c>
      <c r="M185" s="4" t="s">
        <v>1015</v>
      </c>
      <c r="N185" s="19">
        <v>3.8748670000000001</v>
      </c>
      <c r="O185" s="19">
        <v>2.9083000000000001</v>
      </c>
      <c r="P185" s="19">
        <v>3.7643330000000002</v>
      </c>
      <c r="Q185" s="19">
        <v>2.8325999999999998</v>
      </c>
      <c r="R185" s="19">
        <v>2.9069669999999999</v>
      </c>
      <c r="S185" s="19">
        <v>2.3908999999999998</v>
      </c>
      <c r="T185" s="19">
        <v>2.9069669999999999</v>
      </c>
      <c r="U185" s="19">
        <v>1.633</v>
      </c>
      <c r="V185" s="19">
        <v>1.5304770000000001</v>
      </c>
      <c r="W185" s="19">
        <v>1.9904999999999999</v>
      </c>
      <c r="X185" s="19">
        <v>1.5304770000000001</v>
      </c>
      <c r="Y185" s="19">
        <v>1.9904999999999999</v>
      </c>
      <c r="Z185" s="4"/>
      <c r="AA185" s="4"/>
      <c r="AB185" s="4" t="e">
        <f ca="1">_xll.ciqfunctions.udf.CIQ("^SPX", "IQ_PRICEDATE", "9/16/2014")</f>
        <v>#NAME?</v>
      </c>
      <c r="AC185" s="16">
        <v>1998.9814103547001</v>
      </c>
    </row>
    <row r="186" spans="1:29" x14ac:dyDescent="0.35">
      <c r="A186" s="2" t="s">
        <v>196</v>
      </c>
      <c r="B186" s="4" t="s">
        <v>1016</v>
      </c>
      <c r="C186" s="4" t="s">
        <v>669</v>
      </c>
      <c r="D186" s="4" t="s">
        <v>669</v>
      </c>
      <c r="E186" s="4" t="s">
        <v>670</v>
      </c>
      <c r="F186" s="4" t="s">
        <v>836</v>
      </c>
      <c r="G186" s="14">
        <v>81.5</v>
      </c>
      <c r="H186" s="10">
        <v>9.1280590000000004</v>
      </c>
      <c r="I186" s="10">
        <v>16.610835000000002</v>
      </c>
      <c r="J186" s="10">
        <v>1.8430280000000001</v>
      </c>
      <c r="K186" s="15">
        <v>4.0244999999999996E-2</v>
      </c>
      <c r="L186" s="17">
        <v>345055.54336200003</v>
      </c>
      <c r="M186" s="4" t="s">
        <v>1017</v>
      </c>
      <c r="N186" s="19">
        <v>4.9064360000000002</v>
      </c>
      <c r="O186" s="19">
        <v>5.3441999999999998</v>
      </c>
      <c r="P186" s="19">
        <v>4.63</v>
      </c>
      <c r="Q186" s="19">
        <v>4.1340000000000003</v>
      </c>
      <c r="R186" s="19">
        <v>1.8769450000000001</v>
      </c>
      <c r="S186" s="19">
        <v>4.0216000000000003</v>
      </c>
      <c r="T186" s="19">
        <v>1.8769450000000001</v>
      </c>
      <c r="U186" s="19">
        <v>3.4946000000000002</v>
      </c>
      <c r="V186" s="19">
        <v>7.5945809999999998</v>
      </c>
      <c r="W186" s="19">
        <v>5.2165999999999997</v>
      </c>
      <c r="X186" s="19">
        <v>7.5945809999999998</v>
      </c>
      <c r="Y186" s="19">
        <v>5.2165999999999997</v>
      </c>
      <c r="Z186" s="4"/>
      <c r="AA186" s="4"/>
      <c r="AB186" s="4" t="e">
        <f ca="1">_xll.ciqfunctions.udf.CIQ("^SPX", "IQ_PRICEDATE", "9/17/2014")</f>
        <v>#NAME?</v>
      </c>
      <c r="AC186" s="16">
        <v>2001.5651818327999</v>
      </c>
    </row>
    <row r="187" spans="1:29" x14ac:dyDescent="0.35">
      <c r="A187" s="2" t="s">
        <v>197</v>
      </c>
      <c r="B187" s="4" t="s">
        <v>1018</v>
      </c>
      <c r="C187" s="4" t="s">
        <v>543</v>
      </c>
      <c r="D187" s="4" t="s">
        <v>664</v>
      </c>
      <c r="E187" s="4" t="s">
        <v>706</v>
      </c>
      <c r="F187" s="4" t="s">
        <v>706</v>
      </c>
      <c r="G187" s="14">
        <v>170.54</v>
      </c>
      <c r="H187" s="10">
        <v>14.283758000000001</v>
      </c>
      <c r="I187" s="10">
        <v>23.367546000000001</v>
      </c>
      <c r="J187" s="10">
        <v>14.608107</v>
      </c>
      <c r="K187" s="15">
        <v>0</v>
      </c>
      <c r="L187" s="17">
        <v>10371.956803999999</v>
      </c>
      <c r="M187" s="4" t="s">
        <v>1019</v>
      </c>
      <c r="N187" s="19">
        <v>7.2981559999999996</v>
      </c>
      <c r="O187" s="19">
        <v>10.2645</v>
      </c>
      <c r="P187" s="19">
        <v>6.4796259999999997</v>
      </c>
      <c r="Q187" s="19">
        <v>8.6733399999999996</v>
      </c>
      <c r="R187" s="19">
        <v>5.5410490000000001</v>
      </c>
      <c r="S187" s="19">
        <v>8.2807499999999994</v>
      </c>
      <c r="T187" s="19">
        <v>5.5410490000000001</v>
      </c>
      <c r="U187" s="19">
        <v>7.0302199999999999</v>
      </c>
      <c r="V187" s="19">
        <v>4.4324199999999996</v>
      </c>
      <c r="W187" s="19">
        <v>6.3712600000000004</v>
      </c>
      <c r="X187" s="19">
        <v>4.4324199999999996</v>
      </c>
      <c r="Y187" s="19">
        <v>6.3712600000000004</v>
      </c>
      <c r="Z187" s="4"/>
      <c r="AA187" s="4"/>
      <c r="AB187" s="4" t="e">
        <f ca="1">_xll.ciqfunctions.udf.CIQ("^SPX", "IQ_PRICEDATE", "9/18/2014")</f>
        <v>#NAME?</v>
      </c>
      <c r="AC187" s="16">
        <v>2011.3638145702</v>
      </c>
    </row>
    <row r="188" spans="1:29" x14ac:dyDescent="0.35">
      <c r="A188" s="2" t="s">
        <v>198</v>
      </c>
      <c r="B188" s="4" t="s">
        <v>1020</v>
      </c>
      <c r="C188" s="4" t="s">
        <v>549</v>
      </c>
      <c r="D188" s="4" t="s">
        <v>550</v>
      </c>
      <c r="E188" s="4" t="s">
        <v>623</v>
      </c>
      <c r="F188" s="4" t="s">
        <v>623</v>
      </c>
      <c r="G188" s="14">
        <v>159.41999999999999</v>
      </c>
      <c r="H188" s="10">
        <v>15.261631</v>
      </c>
      <c r="I188" s="10">
        <v>24.667964000000001</v>
      </c>
      <c r="J188" s="10">
        <v>7.7399519999999997</v>
      </c>
      <c r="K188" s="15">
        <v>0</v>
      </c>
      <c r="L188" s="17">
        <v>460280.39941499999</v>
      </c>
      <c r="M188" s="4" t="s">
        <v>1021</v>
      </c>
      <c r="N188" s="19">
        <v>6.4626330000000003</v>
      </c>
      <c r="O188" s="19">
        <v>7.3093000000000004</v>
      </c>
      <c r="P188" s="19">
        <v>5.3903920000000003</v>
      </c>
      <c r="Q188" s="19">
        <v>6.3734999999999999</v>
      </c>
      <c r="R188" s="19">
        <v>3.492991</v>
      </c>
      <c r="S188" s="19">
        <v>4.9748999999999999</v>
      </c>
      <c r="T188" s="19">
        <v>3.492991</v>
      </c>
      <c r="U188" s="19">
        <v>2.6558999999999999</v>
      </c>
      <c r="V188" s="19">
        <v>1.1036029999999999</v>
      </c>
      <c r="W188" s="19">
        <v>1.8602000000000001</v>
      </c>
      <c r="X188" s="19">
        <v>1.1036029999999999</v>
      </c>
      <c r="Y188" s="19">
        <v>1.8602000000000001</v>
      </c>
      <c r="Z188" s="4"/>
      <c r="AA188" s="4"/>
      <c r="AB188" s="4" t="e">
        <f ca="1">_xll.ciqfunctions.udf.CIQ("^SPX", "IQ_PRICEDATE", "9/19/2014")</f>
        <v>#NAME?</v>
      </c>
      <c r="AC188" s="16">
        <v>2010.3967236043</v>
      </c>
    </row>
    <row r="189" spans="1:29" x14ac:dyDescent="0.35">
      <c r="A189" s="2" t="s">
        <v>199</v>
      </c>
      <c r="B189" s="4" t="s">
        <v>1022</v>
      </c>
      <c r="C189" s="4" t="s">
        <v>525</v>
      </c>
      <c r="D189" s="4" t="s">
        <v>526</v>
      </c>
      <c r="E189" s="4" t="s">
        <v>1023</v>
      </c>
      <c r="F189" s="4" t="s">
        <v>1023</v>
      </c>
      <c r="G189" s="14">
        <v>52.65</v>
      </c>
      <c r="H189" s="10">
        <v>13.934405999999999</v>
      </c>
      <c r="I189" s="10">
        <v>20.566711000000002</v>
      </c>
      <c r="J189" s="10">
        <v>6.5268309999999996</v>
      </c>
      <c r="K189" s="15">
        <v>3.0388999999999999E-2</v>
      </c>
      <c r="L189" s="17">
        <v>15113.530938</v>
      </c>
      <c r="M189" s="4" t="s">
        <v>1024</v>
      </c>
      <c r="N189" s="19">
        <v>2.5599620000000001</v>
      </c>
      <c r="O189" s="19">
        <v>2.7456999999999998</v>
      </c>
      <c r="P189" s="19">
        <v>2.0076329999999998</v>
      </c>
      <c r="Q189" s="19">
        <v>2.0848</v>
      </c>
      <c r="R189" s="19">
        <v>1.7286250000000001</v>
      </c>
      <c r="S189" s="19">
        <v>1.7639</v>
      </c>
      <c r="T189" s="19">
        <v>1.7286250000000001</v>
      </c>
      <c r="U189" s="19">
        <v>1.8460000000000001</v>
      </c>
      <c r="V189" s="19">
        <v>1.659999</v>
      </c>
      <c r="W189" s="19">
        <v>1.8540000000000001</v>
      </c>
      <c r="X189" s="19">
        <v>1.659999</v>
      </c>
      <c r="Y189" s="19">
        <v>1.8540000000000001</v>
      </c>
      <c r="Z189" s="4"/>
      <c r="AA189" s="4"/>
      <c r="AB189" s="4" t="e">
        <f ca="1">_xll.ciqfunctions.udf.CIQ("^SPX", "IQ_PRICEDATE", "9/22/2014")</f>
        <v>#NAME?</v>
      </c>
      <c r="AC189" s="16">
        <v>1994.2887580788999</v>
      </c>
    </row>
    <row r="190" spans="1:29" x14ac:dyDescent="0.35">
      <c r="A190" s="2" t="s">
        <v>200</v>
      </c>
      <c r="B190" s="4" t="s">
        <v>1025</v>
      </c>
      <c r="C190" s="4" t="s">
        <v>601</v>
      </c>
      <c r="D190" s="4" t="s">
        <v>601</v>
      </c>
      <c r="E190" s="4" t="s">
        <v>602</v>
      </c>
      <c r="F190" s="4" t="s">
        <v>1026</v>
      </c>
      <c r="G190" s="14">
        <v>122</v>
      </c>
      <c r="H190" s="10">
        <v>22.317208000000001</v>
      </c>
      <c r="I190" s="10">
        <v>32.213168000000003</v>
      </c>
      <c r="J190" s="10">
        <v>4.2561939999999998</v>
      </c>
      <c r="K190" s="15">
        <v>3.2786000000000003E-2</v>
      </c>
      <c r="L190" s="17">
        <v>8965.9389659999997</v>
      </c>
      <c r="M190" s="4" t="s">
        <v>1027</v>
      </c>
      <c r="N190" s="19">
        <v>3.7872710000000001</v>
      </c>
      <c r="O190" s="19">
        <v>3.3325</v>
      </c>
      <c r="P190" s="19">
        <v>3.97</v>
      </c>
      <c r="Q190" s="19">
        <v>3.1652999999999998</v>
      </c>
      <c r="R190" s="19">
        <v>3.5</v>
      </c>
      <c r="S190" s="19">
        <v>3.2105000000000001</v>
      </c>
      <c r="T190" s="19">
        <v>3.5</v>
      </c>
      <c r="U190" s="19">
        <v>3.1619999999999999</v>
      </c>
      <c r="V190" s="19">
        <v>2.41</v>
      </c>
      <c r="W190" s="19">
        <v>3.1360000000000001</v>
      </c>
      <c r="X190" s="19">
        <v>2.41</v>
      </c>
      <c r="Y190" s="19">
        <v>3.1360000000000001</v>
      </c>
      <c r="Z190" s="4"/>
      <c r="AA190" s="4"/>
      <c r="AB190" s="4" t="e">
        <f ca="1">_xll.ciqfunctions.udf.CIQ("^SPX", "IQ_PRICEDATE", "9/23/2014")</f>
        <v>#NAME?</v>
      </c>
      <c r="AC190" s="16">
        <v>1982.7654266515999</v>
      </c>
    </row>
    <row r="191" spans="1:29" x14ac:dyDescent="0.35">
      <c r="A191" s="2" t="s">
        <v>201</v>
      </c>
      <c r="B191" s="4" t="s">
        <v>1028</v>
      </c>
      <c r="C191" s="4" t="s">
        <v>525</v>
      </c>
      <c r="D191" s="4" t="s">
        <v>594</v>
      </c>
      <c r="E191" s="4" t="s">
        <v>779</v>
      </c>
      <c r="F191" s="4" t="s">
        <v>779</v>
      </c>
      <c r="G191" s="14">
        <v>223.46</v>
      </c>
      <c r="H191" s="10">
        <v>8.630198</v>
      </c>
      <c r="I191" s="10">
        <v>12.614414999999999</v>
      </c>
      <c r="J191" s="10">
        <v>4.7858619999999998</v>
      </c>
      <c r="K191" s="15">
        <v>1.1635E-2</v>
      </c>
      <c r="L191" s="17">
        <v>58885.253405000003</v>
      </c>
      <c r="M191" s="4" t="s">
        <v>1029</v>
      </c>
      <c r="N191" s="19">
        <v>17.714653999999999</v>
      </c>
      <c r="O191" s="19">
        <v>18.309899999999999</v>
      </c>
      <c r="P191" s="19">
        <v>10.857047</v>
      </c>
      <c r="Q191" s="19">
        <v>14.5974</v>
      </c>
      <c r="R191" s="19">
        <v>6.8045949999999999</v>
      </c>
      <c r="S191" s="19">
        <v>12.7448</v>
      </c>
      <c r="T191" s="19">
        <v>6.8045949999999999</v>
      </c>
      <c r="U191" s="19">
        <v>11.2727</v>
      </c>
      <c r="V191" s="19">
        <v>8.9849230000000002</v>
      </c>
      <c r="W191" s="19">
        <v>10.058999999999999</v>
      </c>
      <c r="X191" s="19">
        <v>8.9849230000000002</v>
      </c>
      <c r="Y191" s="19">
        <v>10.058999999999999</v>
      </c>
      <c r="Z191" s="4"/>
      <c r="AA191" s="4"/>
      <c r="AB191" s="4" t="e">
        <f ca="1">_xll.ciqfunctions.udf.CIQ("^SPX", "IQ_PRICEDATE", "9/24/2014")</f>
        <v>#NAME?</v>
      </c>
      <c r="AC191" s="16">
        <v>1998.3021538749999</v>
      </c>
    </row>
    <row r="192" spans="1:29" x14ac:dyDescent="0.35">
      <c r="A192" s="2" t="s">
        <v>202</v>
      </c>
      <c r="B192" s="4" t="s">
        <v>1030</v>
      </c>
      <c r="C192" s="4" t="s">
        <v>543</v>
      </c>
      <c r="D192" s="4" t="s">
        <v>544</v>
      </c>
      <c r="E192" s="4" t="s">
        <v>545</v>
      </c>
      <c r="F192" s="4" t="s">
        <v>616</v>
      </c>
      <c r="G192" s="14">
        <v>104.87</v>
      </c>
      <c r="H192" s="10">
        <v>16.803070999999999</v>
      </c>
      <c r="I192" s="10">
        <v>24.400873000000001</v>
      </c>
      <c r="J192" s="10" t="s">
        <v>534</v>
      </c>
      <c r="K192" s="15">
        <v>1.2204999999999999E-2</v>
      </c>
      <c r="L192" s="17">
        <v>34483.424081999998</v>
      </c>
      <c r="M192" s="4" t="s">
        <v>1031</v>
      </c>
      <c r="N192" s="19">
        <v>4.2977970000000001</v>
      </c>
      <c r="O192" s="19">
        <v>5.5087999999999999</v>
      </c>
      <c r="P192" s="19">
        <v>3.93</v>
      </c>
      <c r="Q192" s="19">
        <v>4.7202999999999999</v>
      </c>
      <c r="R192" s="19">
        <v>1.72</v>
      </c>
      <c r="S192" s="19">
        <v>4.1878000000000002</v>
      </c>
      <c r="T192" s="19">
        <v>1.72</v>
      </c>
      <c r="U192" s="19">
        <v>3.6000999999999999</v>
      </c>
      <c r="V192" s="19">
        <v>2.39</v>
      </c>
      <c r="W192" s="19">
        <v>3.3702999999999999</v>
      </c>
      <c r="X192" s="19">
        <v>2.39</v>
      </c>
      <c r="Y192" s="19">
        <v>3.3702999999999999</v>
      </c>
      <c r="Z192" s="4"/>
      <c r="AA192" s="4"/>
      <c r="AB192" s="4" t="e">
        <f ca="1">_xll.ciqfunctions.udf.CIQ("^SPX", "IQ_PRICEDATE", "9/25/2014")</f>
        <v>#NAME?</v>
      </c>
      <c r="AC192" s="16">
        <v>1965.9897033397999</v>
      </c>
    </row>
    <row r="193" spans="1:29" x14ac:dyDescent="0.35">
      <c r="A193" s="2" t="s">
        <v>203</v>
      </c>
      <c r="B193" s="4" t="s">
        <v>1032</v>
      </c>
      <c r="C193" s="4" t="s">
        <v>573</v>
      </c>
      <c r="D193" s="4" t="s">
        <v>737</v>
      </c>
      <c r="E193" s="4" t="s">
        <v>737</v>
      </c>
      <c r="F193" s="4" t="s">
        <v>743</v>
      </c>
      <c r="G193" s="14">
        <v>27.03</v>
      </c>
      <c r="H193" s="10">
        <v>0</v>
      </c>
      <c r="I193" s="10">
        <v>7.1141519999999998</v>
      </c>
      <c r="J193" s="10">
        <v>1.4772110000000001</v>
      </c>
      <c r="K193" s="15">
        <v>2.6637000000000001E-2</v>
      </c>
      <c r="L193" s="17">
        <v>18011.1702</v>
      </c>
      <c r="M193" s="4" t="s">
        <v>1033</v>
      </c>
      <c r="N193" s="19">
        <v>3.7994690000000002</v>
      </c>
      <c r="O193" s="19">
        <v>2.5295999999999998</v>
      </c>
      <c r="P193" s="19">
        <v>2.8311380000000002</v>
      </c>
      <c r="Q193" s="19">
        <v>1.9758</v>
      </c>
      <c r="R193" s="19">
        <v>1.929999</v>
      </c>
      <c r="S193" s="19">
        <v>1.7267999999999999</v>
      </c>
      <c r="T193" s="19">
        <v>1.929999</v>
      </c>
      <c r="U193" s="19">
        <v>1.6577999999999999</v>
      </c>
      <c r="V193" s="19">
        <v>1.66</v>
      </c>
      <c r="W193" s="19">
        <v>1.7027000000000001</v>
      </c>
      <c r="X193" s="19">
        <v>1.66</v>
      </c>
      <c r="Y193" s="19">
        <v>1.7027000000000001</v>
      </c>
      <c r="Z193" s="4"/>
      <c r="AA193" s="4"/>
      <c r="AB193" s="4" t="e">
        <f ca="1">_xll.ciqfunctions.udf.CIQ("^SPX", "IQ_PRICEDATE", "9/26/2014")</f>
        <v>#NAME?</v>
      </c>
      <c r="AC193" s="16">
        <v>1982.8459381288999</v>
      </c>
    </row>
    <row r="194" spans="1:29" x14ac:dyDescent="0.35">
      <c r="A194" s="2" t="s">
        <v>204</v>
      </c>
      <c r="B194" s="4" t="s">
        <v>1034</v>
      </c>
      <c r="C194" s="4" t="s">
        <v>619</v>
      </c>
      <c r="D194" s="4" t="s">
        <v>619</v>
      </c>
      <c r="E194" s="4" t="s">
        <v>620</v>
      </c>
      <c r="F194" s="4" t="s">
        <v>620</v>
      </c>
      <c r="G194" s="14">
        <v>37.92</v>
      </c>
      <c r="H194" s="10">
        <v>8.8599890000000006</v>
      </c>
      <c r="I194" s="10" t="s">
        <v>534</v>
      </c>
      <c r="J194" s="10">
        <v>9.4358120000000003</v>
      </c>
      <c r="K194" s="15">
        <v>3.7974000000000001E-2</v>
      </c>
      <c r="L194" s="17">
        <v>18429.935242</v>
      </c>
      <c r="M194" s="4" t="s">
        <v>1035</v>
      </c>
      <c r="N194" s="19">
        <v>-4.4685459999999999</v>
      </c>
      <c r="O194" s="19">
        <v>2.4723999999999999</v>
      </c>
      <c r="P194" s="19">
        <v>-3.8828819999999999</v>
      </c>
      <c r="Q194" s="19">
        <v>2.6896</v>
      </c>
      <c r="R194" s="19">
        <v>-14.5</v>
      </c>
      <c r="S194" s="19">
        <v>2.5583</v>
      </c>
      <c r="T194" s="19">
        <v>-14.5</v>
      </c>
      <c r="U194" s="19">
        <v>2.9411</v>
      </c>
      <c r="V194" s="19">
        <v>0.50714199999999998</v>
      </c>
      <c r="W194" s="19">
        <v>2.8877000000000002</v>
      </c>
      <c r="X194" s="19">
        <v>0.50714199999999998</v>
      </c>
      <c r="Y194" s="19">
        <v>2.8877000000000002</v>
      </c>
      <c r="Z194" s="4"/>
      <c r="AA194" s="4"/>
      <c r="AB194" s="4" t="e">
        <f ca="1">_xll.ciqfunctions.udf.CIQ("^SPX", "IQ_PRICEDATE", "9/29/2014")</f>
        <v>#NAME?</v>
      </c>
      <c r="AC194" s="16">
        <v>1977.8010672518999</v>
      </c>
    </row>
    <row r="195" spans="1:29" x14ac:dyDescent="0.35">
      <c r="A195" s="2" t="s">
        <v>205</v>
      </c>
      <c r="B195" s="4" t="s">
        <v>1036</v>
      </c>
      <c r="C195" s="4" t="s">
        <v>543</v>
      </c>
      <c r="D195" s="4" t="s">
        <v>544</v>
      </c>
      <c r="E195" s="4" t="s">
        <v>545</v>
      </c>
      <c r="F195" s="4" t="s">
        <v>616</v>
      </c>
      <c r="G195" s="14">
        <v>79.06</v>
      </c>
      <c r="H195" s="10">
        <v>19.587291</v>
      </c>
      <c r="I195" s="10">
        <v>23.296752000000001</v>
      </c>
      <c r="J195" s="10" t="s">
        <v>534</v>
      </c>
      <c r="K195" s="15">
        <v>0</v>
      </c>
      <c r="L195" s="17">
        <v>32013.536051999999</v>
      </c>
      <c r="M195" s="4" t="s">
        <v>1037</v>
      </c>
      <c r="N195" s="19">
        <v>3.3936060000000001</v>
      </c>
      <c r="O195" s="19">
        <v>3.3001999999999998</v>
      </c>
      <c r="P195" s="19">
        <v>2.855</v>
      </c>
      <c r="Q195" s="19">
        <v>2.7753000000000001</v>
      </c>
      <c r="R195" s="19">
        <v>2.0750000000000002</v>
      </c>
      <c r="S195" s="19">
        <v>2.4135</v>
      </c>
      <c r="T195" s="19">
        <v>2.0750000000000002</v>
      </c>
      <c r="U195" s="19">
        <v>2.0950000000000002</v>
      </c>
      <c r="V195" s="19">
        <v>1.4950000000000001</v>
      </c>
      <c r="W195" s="19">
        <v>1.8223</v>
      </c>
      <c r="X195" s="19">
        <v>1.4950000000000001</v>
      </c>
      <c r="Y195" s="19">
        <v>1.8223</v>
      </c>
      <c r="Z195" s="4"/>
      <c r="AA195" s="4"/>
      <c r="AB195" s="4" t="e">
        <f ca="1">_xll.ciqfunctions.udf.CIQ("^SPX", "IQ_PRICEDATE", "9/30/2014")</f>
        <v>#NAME?</v>
      </c>
      <c r="AC195" s="16">
        <v>1972.28514505</v>
      </c>
    </row>
    <row r="196" spans="1:29" x14ac:dyDescent="0.35">
      <c r="A196" s="2" t="s">
        <v>206</v>
      </c>
      <c r="B196" s="4" t="s">
        <v>1038</v>
      </c>
      <c r="C196" s="4" t="s">
        <v>543</v>
      </c>
      <c r="D196" s="4" t="s">
        <v>544</v>
      </c>
      <c r="E196" s="4" t="s">
        <v>545</v>
      </c>
      <c r="F196" s="4" t="s">
        <v>616</v>
      </c>
      <c r="G196" s="14">
        <v>212.89</v>
      </c>
      <c r="H196" s="10">
        <v>18.159928000000001</v>
      </c>
      <c r="I196" s="10">
        <v>23.627600000000001</v>
      </c>
      <c r="J196" s="10" t="s">
        <v>534</v>
      </c>
      <c r="K196" s="15">
        <v>0</v>
      </c>
      <c r="L196" s="17">
        <v>18817.037345000001</v>
      </c>
      <c r="M196" s="4" t="s">
        <v>1039</v>
      </c>
      <c r="N196" s="19">
        <v>9.0102250000000002</v>
      </c>
      <c r="O196" s="19">
        <v>11.138</v>
      </c>
      <c r="P196" s="19">
        <v>7.91</v>
      </c>
      <c r="Q196" s="19">
        <v>9.4730000000000008</v>
      </c>
      <c r="R196" s="19">
        <v>4.75</v>
      </c>
      <c r="S196" s="19">
        <v>7.8821000000000003</v>
      </c>
      <c r="T196" s="19">
        <v>4.75</v>
      </c>
      <c r="U196" s="19">
        <v>6.8907999999999996</v>
      </c>
      <c r="V196" s="19">
        <v>4.24</v>
      </c>
      <c r="W196" s="19">
        <v>6.0678999999999998</v>
      </c>
      <c r="X196" s="19">
        <v>4.24</v>
      </c>
      <c r="Y196" s="19">
        <v>6.0678999999999998</v>
      </c>
      <c r="Z196" s="4"/>
      <c r="AA196" s="4"/>
      <c r="AB196" s="4" t="e">
        <f ca="1">_xll.ciqfunctions.udf.CIQ("^SPX", "IQ_PRICEDATE", "10/1/2014")</f>
        <v>#NAME?</v>
      </c>
      <c r="AC196" s="16">
        <v>1946.1608292694</v>
      </c>
    </row>
    <row r="197" spans="1:29" x14ac:dyDescent="0.35">
      <c r="A197" s="2" t="s">
        <v>207</v>
      </c>
      <c r="B197" s="4" t="s">
        <v>1040</v>
      </c>
      <c r="C197" s="4" t="s">
        <v>543</v>
      </c>
      <c r="D197" s="4" t="s">
        <v>664</v>
      </c>
      <c r="E197" s="4" t="s">
        <v>665</v>
      </c>
      <c r="F197" s="4" t="s">
        <v>1041</v>
      </c>
      <c r="G197" s="14">
        <v>57.38</v>
      </c>
      <c r="H197" s="10">
        <v>19.104572000000001</v>
      </c>
      <c r="I197" s="10">
        <v>64.862982000000002</v>
      </c>
      <c r="J197" s="10">
        <v>10.855072</v>
      </c>
      <c r="K197" s="15">
        <v>1.1153E-2</v>
      </c>
      <c r="L197" s="17">
        <v>7919.563099</v>
      </c>
      <c r="M197" s="4" t="s">
        <v>1042</v>
      </c>
      <c r="N197" s="19">
        <v>0.88463400000000003</v>
      </c>
      <c r="O197" s="19">
        <v>2.3037999999999998</v>
      </c>
      <c r="P197" s="19">
        <v>0.77</v>
      </c>
      <c r="Q197" s="19">
        <v>2.0055999999999998</v>
      </c>
      <c r="R197" s="19">
        <v>1.2</v>
      </c>
      <c r="S197" s="19">
        <v>1.7371000000000001</v>
      </c>
      <c r="T197" s="19">
        <v>1.2</v>
      </c>
      <c r="U197" s="19">
        <v>1.6857</v>
      </c>
      <c r="V197" s="19">
        <v>1.39</v>
      </c>
      <c r="W197" s="19">
        <v>1.619</v>
      </c>
      <c r="X197" s="19">
        <v>1.39</v>
      </c>
      <c r="Y197" s="19">
        <v>1.619</v>
      </c>
      <c r="Z197" s="4"/>
      <c r="AA197" s="4"/>
      <c r="AB197" s="4" t="e">
        <f ca="1">_xll.ciqfunctions.udf.CIQ("^SPX", "IQ_PRICEDATE", "10/2/2014")</f>
        <v>#NAME?</v>
      </c>
      <c r="AC197" s="16">
        <v>1946.1668289931999</v>
      </c>
    </row>
    <row r="198" spans="1:29" x14ac:dyDescent="0.35">
      <c r="A198" s="2" t="s">
        <v>208</v>
      </c>
      <c r="B198" s="4" t="s">
        <v>1043</v>
      </c>
      <c r="C198" s="4" t="s">
        <v>525</v>
      </c>
      <c r="D198" s="4" t="s">
        <v>526</v>
      </c>
      <c r="E198" s="4" t="s">
        <v>803</v>
      </c>
      <c r="F198" s="4" t="s">
        <v>948</v>
      </c>
      <c r="G198" s="14">
        <v>51.52</v>
      </c>
      <c r="H198" s="10">
        <v>18.082388000000002</v>
      </c>
      <c r="I198" s="10" t="s">
        <v>534</v>
      </c>
      <c r="J198" s="10">
        <v>31.352444999999999</v>
      </c>
      <c r="K198" s="15">
        <v>1.4751E-2</v>
      </c>
      <c r="L198" s="17">
        <v>6741.525952</v>
      </c>
      <c r="M198" s="4" t="s">
        <v>1044</v>
      </c>
      <c r="N198" s="19">
        <v>-0.22873299999999999</v>
      </c>
      <c r="O198" s="19">
        <v>1.9103000000000001</v>
      </c>
      <c r="P198" s="19">
        <v>0.02</v>
      </c>
      <c r="Q198" s="19">
        <v>1.7213000000000001</v>
      </c>
      <c r="R198" s="19">
        <v>1.01</v>
      </c>
      <c r="S198" s="19">
        <v>2.1114000000000002</v>
      </c>
      <c r="T198" s="19">
        <v>1.01</v>
      </c>
      <c r="U198" s="19">
        <v>3.0177</v>
      </c>
      <c r="V198" s="19">
        <v>3.72</v>
      </c>
      <c r="W198" s="19">
        <v>3.9249999999999998</v>
      </c>
      <c r="X198" s="19">
        <v>3.72</v>
      </c>
      <c r="Y198" s="19">
        <v>3.9249999999999998</v>
      </c>
      <c r="Z198" s="4"/>
      <c r="AA198" s="4"/>
      <c r="AB198" s="4" t="e">
        <f ca="1">_xll.ciqfunctions.udf.CIQ("^SPX", "IQ_PRICEDATE", "10/3/2014")</f>
        <v>#NAME?</v>
      </c>
      <c r="AC198" s="16">
        <v>1967.9020787575</v>
      </c>
    </row>
    <row r="199" spans="1:29" x14ac:dyDescent="0.35">
      <c r="A199" s="2" t="s">
        <v>209</v>
      </c>
      <c r="B199" s="4" t="s">
        <v>1045</v>
      </c>
      <c r="C199" s="4" t="s">
        <v>525</v>
      </c>
      <c r="D199" s="4" t="s">
        <v>526</v>
      </c>
      <c r="E199" s="4" t="s">
        <v>1046</v>
      </c>
      <c r="F199" s="4" t="s">
        <v>1046</v>
      </c>
      <c r="G199" s="14">
        <v>46.74</v>
      </c>
      <c r="H199" s="10">
        <v>8.4956359999999993</v>
      </c>
      <c r="I199" s="10">
        <v>26.122253000000001</v>
      </c>
      <c r="J199" s="10">
        <v>2.6463519999999998</v>
      </c>
      <c r="K199" s="15">
        <v>1.7971000000000001E-2</v>
      </c>
      <c r="L199" s="17">
        <v>6572.5307050000001</v>
      </c>
      <c r="M199" s="4" t="s">
        <v>1047</v>
      </c>
      <c r="N199" s="19">
        <v>1.7892790000000001</v>
      </c>
      <c r="O199" s="19">
        <v>2.7768000000000002</v>
      </c>
      <c r="P199" s="19">
        <v>1.36</v>
      </c>
      <c r="Q199" s="19">
        <v>2.4192</v>
      </c>
      <c r="R199" s="19">
        <v>2</v>
      </c>
      <c r="S199" s="19">
        <v>3.0295999999999998</v>
      </c>
      <c r="T199" s="19">
        <v>2</v>
      </c>
      <c r="U199" s="19">
        <v>3.7012999999999998</v>
      </c>
      <c r="V199" s="19">
        <v>4.4800000000000004</v>
      </c>
      <c r="W199" s="19">
        <v>4.5789999999999997</v>
      </c>
      <c r="X199" s="19">
        <v>4.4800000000000004</v>
      </c>
      <c r="Y199" s="19">
        <v>4.5789999999999997</v>
      </c>
      <c r="Z199" s="4"/>
      <c r="AA199" s="4"/>
      <c r="AB199" s="4" t="e">
        <f ca="1">_xll.ciqfunctions.udf.CIQ("^SPX", "IQ_PRICEDATE", "10/6/2014")</f>
        <v>#NAME?</v>
      </c>
      <c r="AC199" s="16">
        <v>1964.8246437980999</v>
      </c>
    </row>
    <row r="200" spans="1:29" x14ac:dyDescent="0.35">
      <c r="A200" s="2" t="s">
        <v>210</v>
      </c>
      <c r="B200" s="4" t="s">
        <v>1048</v>
      </c>
      <c r="C200" s="4" t="s">
        <v>586</v>
      </c>
      <c r="D200" s="4" t="s">
        <v>586</v>
      </c>
      <c r="E200" s="4" t="s">
        <v>587</v>
      </c>
      <c r="F200" s="4" t="s">
        <v>830</v>
      </c>
      <c r="G200" s="14">
        <v>83.62</v>
      </c>
      <c r="H200" s="10">
        <v>12.268874</v>
      </c>
      <c r="I200" s="10">
        <v>51.965871999999997</v>
      </c>
      <c r="J200" s="10" t="s">
        <v>534</v>
      </c>
      <c r="K200" s="15">
        <v>7.8919999999999997E-3</v>
      </c>
      <c r="L200" s="17">
        <v>11257.731333</v>
      </c>
      <c r="M200" s="4" t="s">
        <v>1049</v>
      </c>
      <c r="N200" s="19">
        <v>1.6091329999999999</v>
      </c>
      <c r="O200" s="19">
        <v>6.4019000000000004</v>
      </c>
      <c r="P200" s="19">
        <v>-0.64</v>
      </c>
      <c r="Q200" s="19">
        <v>4.6971999999999996</v>
      </c>
      <c r="R200" s="19">
        <v>0.95376799999999995</v>
      </c>
      <c r="S200" s="19">
        <v>3.2039</v>
      </c>
      <c r="T200" s="19">
        <v>0.95376799999999995</v>
      </c>
      <c r="U200" s="19">
        <v>2.8307000000000002</v>
      </c>
      <c r="V200" s="19">
        <v>2.1820179999999998</v>
      </c>
      <c r="W200" s="19">
        <v>4.1289999999999996</v>
      </c>
      <c r="X200" s="19">
        <v>2.1820179999999998</v>
      </c>
      <c r="Y200" s="19">
        <v>4.1289999999999996</v>
      </c>
      <c r="Z200" s="4"/>
      <c r="AA200" s="4"/>
      <c r="AB200" s="4" t="e">
        <f ca="1">_xll.ciqfunctions.udf.CIQ("^SPX", "IQ_PRICEDATE", "10/7/2014")</f>
        <v>#NAME?</v>
      </c>
      <c r="AC200" s="16">
        <v>1935.0991107952</v>
      </c>
    </row>
    <row r="201" spans="1:29" x14ac:dyDescent="0.35">
      <c r="A201" s="2" t="s">
        <v>211</v>
      </c>
      <c r="B201" s="4" t="s">
        <v>1050</v>
      </c>
      <c r="C201" s="4" t="s">
        <v>559</v>
      </c>
      <c r="D201" s="4" t="s">
        <v>560</v>
      </c>
      <c r="E201" s="4" t="s">
        <v>561</v>
      </c>
      <c r="F201" s="4" t="s">
        <v>1051</v>
      </c>
      <c r="G201" s="14">
        <v>48.984999999999999</v>
      </c>
      <c r="H201" s="10">
        <v>5.2743140000000004</v>
      </c>
      <c r="I201" s="10">
        <v>19.444202000000001</v>
      </c>
      <c r="J201" s="10">
        <v>2.4875470000000002</v>
      </c>
      <c r="K201" s="15">
        <v>2.7974000000000002E-2</v>
      </c>
      <c r="L201" s="17">
        <v>5667.8208640000003</v>
      </c>
      <c r="M201" s="4" t="s">
        <v>1052</v>
      </c>
      <c r="N201" s="19">
        <v>2.5370029999999999</v>
      </c>
      <c r="O201" s="19">
        <v>4.6399999999999997</v>
      </c>
      <c r="P201" s="19">
        <v>3.9729559999999999</v>
      </c>
      <c r="Q201" s="19">
        <v>4.0750999999999999</v>
      </c>
      <c r="R201" s="19">
        <v>4.6323230000000004</v>
      </c>
      <c r="S201" s="19">
        <v>5.0991999999999997</v>
      </c>
      <c r="T201" s="19">
        <v>4.6323230000000004</v>
      </c>
      <c r="U201" s="19">
        <v>4.6013000000000002</v>
      </c>
      <c r="V201" s="19">
        <v>3.3614890000000002</v>
      </c>
      <c r="W201" s="19">
        <v>3.8348</v>
      </c>
      <c r="X201" s="19">
        <v>3.3614890000000002</v>
      </c>
      <c r="Y201" s="19">
        <v>3.8348</v>
      </c>
      <c r="Z201" s="4"/>
      <c r="AA201" s="4"/>
      <c r="AB201" s="4" t="e">
        <f ca="1">_xll.ciqfunctions.udf.CIQ("^SPX", "IQ_PRICEDATE", "10/8/2014")</f>
        <v>#NAME?</v>
      </c>
      <c r="AC201" s="16">
        <v>1968.8892822498999</v>
      </c>
    </row>
    <row r="202" spans="1:29" x14ac:dyDescent="0.35">
      <c r="A202" s="2" t="s">
        <v>212</v>
      </c>
      <c r="B202" s="4" t="s">
        <v>1053</v>
      </c>
      <c r="C202" s="4" t="s">
        <v>559</v>
      </c>
      <c r="D202" s="4" t="s">
        <v>694</v>
      </c>
      <c r="E202" s="4" t="s">
        <v>1054</v>
      </c>
      <c r="F202" s="4" t="s">
        <v>1055</v>
      </c>
      <c r="G202" s="14">
        <v>8.76</v>
      </c>
      <c r="H202" s="10">
        <v>11.090411</v>
      </c>
      <c r="I202" s="10">
        <v>5.1834309999999997</v>
      </c>
      <c r="J202" s="10">
        <v>0.95812299999999995</v>
      </c>
      <c r="K202" s="15">
        <v>6.8492999999999998E-2</v>
      </c>
      <c r="L202" s="17">
        <v>34914.964473</v>
      </c>
      <c r="M202" s="4" t="s">
        <v>1056</v>
      </c>
      <c r="N202" s="19">
        <v>1.69</v>
      </c>
      <c r="O202" s="19">
        <v>1.3078000000000001</v>
      </c>
      <c r="P202" s="19">
        <v>1.9</v>
      </c>
      <c r="Q202" s="19">
        <v>1.6795</v>
      </c>
      <c r="R202" s="19">
        <v>1.1499999999999999</v>
      </c>
      <c r="S202" s="19">
        <v>1.6519999999999999</v>
      </c>
      <c r="T202" s="19">
        <v>1.1499999999999999</v>
      </c>
      <c r="U202" s="19">
        <v>1.9735</v>
      </c>
      <c r="V202" s="19">
        <v>0.31</v>
      </c>
      <c r="W202" s="19">
        <v>1.5533999999999999</v>
      </c>
      <c r="X202" s="19">
        <v>0.31</v>
      </c>
      <c r="Y202" s="19">
        <v>1.5533999999999999</v>
      </c>
      <c r="Z202" s="4"/>
      <c r="AA202" s="4"/>
      <c r="AB202" s="4" t="e">
        <f ca="1">_xll.ciqfunctions.udf.CIQ("^SPX", "IQ_PRICEDATE", "10/9/2014")</f>
        <v>#NAME?</v>
      </c>
      <c r="AC202" s="16">
        <v>1928.2076767870001</v>
      </c>
    </row>
    <row r="203" spans="1:29" x14ac:dyDescent="0.35">
      <c r="A203" s="2" t="s">
        <v>213</v>
      </c>
      <c r="B203" s="4" t="s">
        <v>1057</v>
      </c>
      <c r="C203" s="4" t="s">
        <v>543</v>
      </c>
      <c r="D203" s="4" t="s">
        <v>544</v>
      </c>
      <c r="E203" s="4" t="s">
        <v>555</v>
      </c>
      <c r="F203" s="4" t="s">
        <v>782</v>
      </c>
      <c r="G203" s="14">
        <v>81.66</v>
      </c>
      <c r="H203" s="10">
        <v>57.406658999999998</v>
      </c>
      <c r="I203" s="10">
        <v>159.52053900000001</v>
      </c>
      <c r="J203" s="10">
        <v>18.809512999999999</v>
      </c>
      <c r="K203" s="15">
        <v>0</v>
      </c>
      <c r="L203" s="17">
        <v>13811.72399</v>
      </c>
      <c r="M203" s="4" t="s">
        <v>1058</v>
      </c>
      <c r="N203" s="19">
        <v>0.51190899999999995</v>
      </c>
      <c r="O203" s="19">
        <v>1.7788999999999999</v>
      </c>
      <c r="P203" s="19">
        <v>0.18</v>
      </c>
      <c r="Q203" s="19">
        <v>1.1189</v>
      </c>
      <c r="R203" s="19">
        <v>0.18</v>
      </c>
      <c r="S203" s="19">
        <v>0.74650000000000005</v>
      </c>
      <c r="T203" s="19">
        <v>0.18</v>
      </c>
      <c r="U203" s="19">
        <v>0.63109999999999999</v>
      </c>
      <c r="V203" s="19">
        <v>0.15</v>
      </c>
      <c r="W203" s="19">
        <v>0.54530000000000001</v>
      </c>
      <c r="X203" s="19">
        <v>0.15</v>
      </c>
      <c r="Y203" s="19">
        <v>0.54530000000000001</v>
      </c>
      <c r="Z203" s="4"/>
      <c r="AA203" s="4"/>
      <c r="AB203" s="4" t="e">
        <f ca="1">_xll.ciqfunctions.udf.CIQ("^SPX", "IQ_PRICEDATE", "10/10/2014")</f>
        <v>#NAME?</v>
      </c>
      <c r="AC203" s="16">
        <v>1906.1296827210001</v>
      </c>
    </row>
    <row r="204" spans="1:29" x14ac:dyDescent="0.35">
      <c r="A204" s="2" t="s">
        <v>214</v>
      </c>
      <c r="B204" s="4" t="s">
        <v>1059</v>
      </c>
      <c r="C204" s="4" t="s">
        <v>525</v>
      </c>
      <c r="D204" s="4" t="s">
        <v>526</v>
      </c>
      <c r="E204" s="4" t="s">
        <v>803</v>
      </c>
      <c r="F204" s="4" t="s">
        <v>948</v>
      </c>
      <c r="G204" s="14">
        <v>80.22</v>
      </c>
      <c r="H204" s="10">
        <v>16.869975</v>
      </c>
      <c r="I204" s="10">
        <v>24.466991</v>
      </c>
      <c r="J204" s="10" t="s">
        <v>534</v>
      </c>
      <c r="K204" s="15">
        <v>3.4899999999999996E-3</v>
      </c>
      <c r="L204" s="17">
        <v>26768.379402999999</v>
      </c>
      <c r="M204" s="4" t="s">
        <v>1060</v>
      </c>
      <c r="N204" s="19">
        <v>3.2787030000000001</v>
      </c>
      <c r="O204" s="19">
        <v>3.5583</v>
      </c>
      <c r="P204" s="19">
        <v>2.96</v>
      </c>
      <c r="Q204" s="19">
        <v>3.1240000000000001</v>
      </c>
      <c r="R204" s="19">
        <v>2.5099999999999998</v>
      </c>
      <c r="S204" s="19">
        <v>2.6353</v>
      </c>
      <c r="T204" s="19">
        <v>2.5099999999999998</v>
      </c>
      <c r="U204" s="19">
        <v>0</v>
      </c>
      <c r="V204" s="19">
        <v>2.5590959999999998</v>
      </c>
      <c r="W204" s="19">
        <v>0</v>
      </c>
      <c r="X204" s="19">
        <v>2.5590959999999998</v>
      </c>
      <c r="Y204" s="19">
        <v>0</v>
      </c>
      <c r="Z204" s="4"/>
      <c r="AA204" s="4"/>
      <c r="AB204" s="4" t="e">
        <f ca="1">_xll.ciqfunctions.udf.CIQ("^SPX", "IQ_PRICEDATE", "10/13/2014")</f>
        <v>#NAME?</v>
      </c>
      <c r="AC204" s="16">
        <v>1874.7355245566</v>
      </c>
    </row>
    <row r="205" spans="1:29" x14ac:dyDescent="0.35">
      <c r="A205" s="2" t="s">
        <v>215</v>
      </c>
      <c r="B205" s="4" t="s">
        <v>1061</v>
      </c>
      <c r="C205" s="4" t="s">
        <v>525</v>
      </c>
      <c r="D205" s="4" t="s">
        <v>526</v>
      </c>
      <c r="E205" s="4" t="s">
        <v>527</v>
      </c>
      <c r="F205" s="4" t="s">
        <v>527</v>
      </c>
      <c r="G205" s="14">
        <v>48.06</v>
      </c>
      <c r="H205" s="10">
        <v>10.173107</v>
      </c>
      <c r="I205" s="10">
        <v>15.826988999999999</v>
      </c>
      <c r="J205" s="10" t="s">
        <v>534</v>
      </c>
      <c r="K205" s="15">
        <v>1.6645E-2</v>
      </c>
      <c r="L205" s="17">
        <v>6844.689292</v>
      </c>
      <c r="M205" s="4" t="s">
        <v>1062</v>
      </c>
      <c r="N205" s="19">
        <v>3.0365850000000001</v>
      </c>
      <c r="O205" s="19">
        <v>3.9361999999999999</v>
      </c>
      <c r="P205" s="19">
        <v>3.05</v>
      </c>
      <c r="Q205" s="19">
        <v>3.3161999999999998</v>
      </c>
      <c r="R205" s="19">
        <v>2.61</v>
      </c>
      <c r="S205" s="19">
        <v>2.9676999999999998</v>
      </c>
      <c r="T205" s="19">
        <v>2.61</v>
      </c>
      <c r="U205" s="19">
        <v>2.4134000000000002</v>
      </c>
      <c r="V205" s="19">
        <v>1.64</v>
      </c>
      <c r="W205" s="19">
        <v>2.2147999999999999</v>
      </c>
      <c r="X205" s="19">
        <v>1.64</v>
      </c>
      <c r="Y205" s="19">
        <v>2.2147999999999999</v>
      </c>
      <c r="Z205" s="4"/>
      <c r="AA205" s="4"/>
      <c r="AB205" s="4" t="e">
        <f ca="1">_xll.ciqfunctions.udf.CIQ("^SPX", "IQ_PRICEDATE", "10/14/2014")</f>
        <v>#NAME?</v>
      </c>
      <c r="AC205" s="16">
        <v>1877.6980893514001</v>
      </c>
    </row>
    <row r="206" spans="1:29" x14ac:dyDescent="0.35">
      <c r="A206" s="2" t="s">
        <v>216</v>
      </c>
      <c r="B206" s="4" t="s">
        <v>1063</v>
      </c>
      <c r="C206" s="4" t="s">
        <v>573</v>
      </c>
      <c r="D206" s="4" t="s">
        <v>574</v>
      </c>
      <c r="E206" s="4" t="s">
        <v>575</v>
      </c>
      <c r="F206" s="4" t="s">
        <v>576</v>
      </c>
      <c r="G206" s="14">
        <v>29.89</v>
      </c>
      <c r="H206" s="10">
        <v>3.8271169999999999</v>
      </c>
      <c r="I206" s="10">
        <v>24.524041</v>
      </c>
      <c r="J206" s="10">
        <v>2.1056889999999999</v>
      </c>
      <c r="K206" s="15">
        <v>3.0779000000000001E-2</v>
      </c>
      <c r="L206" s="17">
        <v>15753.771182</v>
      </c>
      <c r="M206" s="4" t="s">
        <v>1064</v>
      </c>
      <c r="N206" s="19">
        <v>1.218804</v>
      </c>
      <c r="O206" s="19">
        <v>2.9811000000000001</v>
      </c>
      <c r="P206" s="19">
        <v>1.1938040000000001</v>
      </c>
      <c r="Q206" s="19">
        <v>2.9167000000000001</v>
      </c>
      <c r="R206" s="19">
        <v>2.9667780000000001</v>
      </c>
      <c r="S206" s="19">
        <v>2.68207</v>
      </c>
      <c r="T206" s="19">
        <v>2.9667780000000001</v>
      </c>
      <c r="U206" s="19">
        <v>3.0409700000000002</v>
      </c>
      <c r="V206" s="19">
        <v>3.7400679999999999</v>
      </c>
      <c r="W206" s="19">
        <v>3.8366699999999998</v>
      </c>
      <c r="X206" s="19">
        <v>3.7400679999999999</v>
      </c>
      <c r="Y206" s="19">
        <v>3.8366699999999998</v>
      </c>
      <c r="Z206" s="4"/>
      <c r="AA206" s="4"/>
      <c r="AB206" s="4" t="e">
        <f ca="1">_xll.ciqfunctions.udf.CIQ("^SPX", "IQ_PRICEDATE", "10/15/2014")</f>
        <v>#NAME?</v>
      </c>
      <c r="AC206" s="16">
        <v>1862.4911375250001</v>
      </c>
    </row>
    <row r="207" spans="1:29" x14ac:dyDescent="0.35">
      <c r="A207" s="2" t="s">
        <v>217</v>
      </c>
      <c r="B207" s="4" t="s">
        <v>1065</v>
      </c>
      <c r="C207" s="4" t="s">
        <v>586</v>
      </c>
      <c r="D207" s="4" t="s">
        <v>586</v>
      </c>
      <c r="E207" s="4" t="s">
        <v>1066</v>
      </c>
      <c r="F207" s="4" t="s">
        <v>1067</v>
      </c>
      <c r="G207" s="14">
        <v>12.4</v>
      </c>
      <c r="H207" s="10">
        <v>3.7355580000000002</v>
      </c>
      <c r="I207" s="10">
        <v>6.2633219999999996</v>
      </c>
      <c r="J207" s="10">
        <v>1.8965160000000001</v>
      </c>
      <c r="K207" s="15">
        <v>1.6129000000000001E-2</v>
      </c>
      <c r="L207" s="17">
        <v>17967.634905999999</v>
      </c>
      <c r="M207" s="4" t="s">
        <v>1068</v>
      </c>
      <c r="N207" s="19">
        <v>1.9797800000000001</v>
      </c>
      <c r="O207" s="19">
        <v>1.0989</v>
      </c>
      <c r="P207" s="19">
        <v>1.21</v>
      </c>
      <c r="Q207" s="19">
        <v>1.7296</v>
      </c>
      <c r="R207" s="19">
        <v>-2.96</v>
      </c>
      <c r="S207" s="19">
        <v>1.327</v>
      </c>
      <c r="T207" s="19">
        <v>-2.96</v>
      </c>
      <c r="U207" s="19">
        <v>0.66510000000000002</v>
      </c>
      <c r="V207" s="19">
        <v>-1.37</v>
      </c>
      <c r="W207" s="19">
        <v>1.8766</v>
      </c>
      <c r="X207" s="19">
        <v>-1.37</v>
      </c>
      <c r="Y207" s="19">
        <v>1.8766</v>
      </c>
      <c r="Z207" s="4"/>
      <c r="AA207" s="4"/>
      <c r="AB207" s="4" t="e">
        <f ca="1">_xll.ciqfunctions.udf.CIQ("^SPX", "IQ_PRICEDATE", "10/16/2014")</f>
        <v>#NAME?</v>
      </c>
      <c r="AC207" s="16">
        <v>1862.7640764024</v>
      </c>
    </row>
    <row r="208" spans="1:29" x14ac:dyDescent="0.35">
      <c r="A208" s="2" t="s">
        <v>218</v>
      </c>
      <c r="B208" s="4" t="s">
        <v>1069</v>
      </c>
      <c r="C208" s="4" t="s">
        <v>559</v>
      </c>
      <c r="D208" s="4" t="s">
        <v>912</v>
      </c>
      <c r="E208" s="4" t="s">
        <v>913</v>
      </c>
      <c r="F208" s="4" t="s">
        <v>1070</v>
      </c>
      <c r="G208" s="14">
        <v>63.05</v>
      </c>
      <c r="H208" s="10">
        <v>13.58897</v>
      </c>
      <c r="I208" s="10">
        <v>19.886509</v>
      </c>
      <c r="J208" s="10">
        <v>3.553941</v>
      </c>
      <c r="K208" s="15">
        <v>3.3624000000000001E-2</v>
      </c>
      <c r="L208" s="17">
        <v>11903.65085</v>
      </c>
      <c r="M208" s="4" t="s">
        <v>1071</v>
      </c>
      <c r="N208" s="19">
        <v>3.1704910000000002</v>
      </c>
      <c r="O208" s="19">
        <v>3.3020999999999998</v>
      </c>
      <c r="P208" s="19">
        <v>3.68</v>
      </c>
      <c r="Q208" s="19">
        <v>2.9405999999999999</v>
      </c>
      <c r="R208" s="19">
        <v>2.7</v>
      </c>
      <c r="S208" s="19">
        <v>2.5659999999999998</v>
      </c>
      <c r="T208" s="19">
        <v>2.7</v>
      </c>
      <c r="U208" s="19">
        <v>2.1513</v>
      </c>
      <c r="V208" s="19">
        <v>1.88</v>
      </c>
      <c r="W208" s="19">
        <v>3.1324999999999998</v>
      </c>
      <c r="X208" s="19">
        <v>1.88</v>
      </c>
      <c r="Y208" s="19">
        <v>3.1324999999999998</v>
      </c>
      <c r="Z208" s="4"/>
      <c r="AA208" s="4"/>
      <c r="AB208" s="4" t="e">
        <f ca="1">_xll.ciqfunctions.udf.CIQ("^SPX", "IQ_PRICEDATE", "10/17/2014")</f>
        <v>#NAME?</v>
      </c>
      <c r="AC208" s="16">
        <v>1886.7640399166</v>
      </c>
    </row>
    <row r="209" spans="1:29" x14ac:dyDescent="0.35">
      <c r="A209" s="2" t="s">
        <v>219</v>
      </c>
      <c r="B209" s="4" t="s">
        <v>1072</v>
      </c>
      <c r="C209" s="4" t="s">
        <v>543</v>
      </c>
      <c r="D209" s="4" t="s">
        <v>544</v>
      </c>
      <c r="E209" s="4" t="s">
        <v>545</v>
      </c>
      <c r="F209" s="4" t="s">
        <v>546</v>
      </c>
      <c r="G209" s="14">
        <v>149.31</v>
      </c>
      <c r="H209" s="10">
        <v>31.25545</v>
      </c>
      <c r="I209" s="10">
        <v>160.722589</v>
      </c>
      <c r="J209" s="10" t="s">
        <v>534</v>
      </c>
      <c r="K209" s="15">
        <v>0</v>
      </c>
      <c r="L209" s="17">
        <v>13560.043195</v>
      </c>
      <c r="M209" s="4" t="s">
        <v>1073</v>
      </c>
      <c r="N209" s="19">
        <v>0.92899200000000004</v>
      </c>
      <c r="O209" s="19">
        <v>3.9851000000000001</v>
      </c>
      <c r="P209" s="19">
        <v>3.7065000000000001E-2</v>
      </c>
      <c r="Q209" s="19">
        <v>3.8176000000000001</v>
      </c>
      <c r="R209" s="19">
        <v>2.31</v>
      </c>
      <c r="S209" s="19">
        <v>3.0979000000000001</v>
      </c>
      <c r="T209" s="19">
        <v>2.31</v>
      </c>
      <c r="U209" s="19">
        <v>2.6688000000000001</v>
      </c>
      <c r="V209" s="19">
        <v>2.0299999999999998</v>
      </c>
      <c r="W209" s="19">
        <v>2.6522000000000001</v>
      </c>
      <c r="X209" s="19">
        <v>2.0299999999999998</v>
      </c>
      <c r="Y209" s="19">
        <v>2.6522000000000001</v>
      </c>
      <c r="Z209" s="4"/>
      <c r="AA209" s="4"/>
      <c r="AB209" s="4" t="e">
        <f ca="1">_xll.ciqfunctions.udf.CIQ("^SPX", "IQ_PRICEDATE", "10/20/2014")</f>
        <v>#NAME?</v>
      </c>
      <c r="AC209" s="16">
        <v>1904.0114248211</v>
      </c>
    </row>
    <row r="210" spans="1:29" x14ac:dyDescent="0.35">
      <c r="A210" s="2" t="s">
        <v>220</v>
      </c>
      <c r="B210" s="4" t="s">
        <v>1074</v>
      </c>
      <c r="C210" s="4" t="s">
        <v>525</v>
      </c>
      <c r="D210" s="4" t="s">
        <v>526</v>
      </c>
      <c r="E210" s="4" t="s">
        <v>703</v>
      </c>
      <c r="F210" s="4" t="s">
        <v>703</v>
      </c>
      <c r="G210" s="14">
        <v>193.84</v>
      </c>
      <c r="H210" s="10">
        <v>14.835851999999999</v>
      </c>
      <c r="I210" s="10">
        <v>19.608174000000002</v>
      </c>
      <c r="J210" s="10" t="s">
        <v>534</v>
      </c>
      <c r="K210" s="15">
        <v>1.9191E-2</v>
      </c>
      <c r="L210" s="17">
        <v>57431.192778999997</v>
      </c>
      <c r="M210" s="4" t="s">
        <v>1075</v>
      </c>
      <c r="N210" s="19">
        <v>9.8856730000000006</v>
      </c>
      <c r="O210" s="19">
        <v>11.714399999999999</v>
      </c>
      <c r="P210" s="19">
        <v>9.56</v>
      </c>
      <c r="Q210" s="19">
        <v>10.0091</v>
      </c>
      <c r="R210" s="19">
        <v>8.64</v>
      </c>
      <c r="S210" s="19">
        <v>9.9268000000000001</v>
      </c>
      <c r="T210" s="19">
        <v>8.64</v>
      </c>
      <c r="U210" s="19">
        <v>9.2800999999999991</v>
      </c>
      <c r="V210" s="19">
        <v>7.83</v>
      </c>
      <c r="W210" s="19">
        <v>8.1577999999999999</v>
      </c>
      <c r="X210" s="19">
        <v>7.83</v>
      </c>
      <c r="Y210" s="19">
        <v>8.1577999999999999</v>
      </c>
      <c r="Z210" s="4"/>
      <c r="AA210" s="4"/>
      <c r="AB210" s="4" t="e">
        <f ca="1">_xll.ciqfunctions.udf.CIQ("^SPX", "IQ_PRICEDATE", "10/21/2014")</f>
        <v>#NAME?</v>
      </c>
      <c r="AC210" s="16">
        <v>1941.2824878514</v>
      </c>
    </row>
    <row r="211" spans="1:29" x14ac:dyDescent="0.35">
      <c r="A211" s="2" t="s">
        <v>221</v>
      </c>
      <c r="B211" s="4" t="s">
        <v>1076</v>
      </c>
      <c r="C211" s="4" t="s">
        <v>525</v>
      </c>
      <c r="D211" s="4" t="s">
        <v>526</v>
      </c>
      <c r="E211" s="4" t="s">
        <v>1077</v>
      </c>
      <c r="F211" s="4" t="s">
        <v>1077</v>
      </c>
      <c r="G211" s="14">
        <v>12.19</v>
      </c>
      <c r="H211" s="10">
        <v>40.009340999999999</v>
      </c>
      <c r="I211" s="10" t="s">
        <v>534</v>
      </c>
      <c r="J211" s="10" t="s">
        <v>534</v>
      </c>
      <c r="K211" s="15">
        <v>3.9376000000000001E-2</v>
      </c>
      <c r="L211" s="17">
        <v>105944.27739</v>
      </c>
      <c r="M211" s="4" t="s">
        <v>1078</v>
      </c>
      <c r="N211" s="19">
        <v>-0.68674400000000002</v>
      </c>
      <c r="O211" s="19">
        <v>0.95369999999999999</v>
      </c>
      <c r="P211" s="19">
        <v>-0.68270500000000001</v>
      </c>
      <c r="Q211" s="19">
        <v>1.0002</v>
      </c>
      <c r="R211" s="19">
        <v>0.99780899999999995</v>
      </c>
      <c r="S211" s="19">
        <v>1.5349999999999999</v>
      </c>
      <c r="T211" s="19">
        <v>0.99780899999999995</v>
      </c>
      <c r="U211" s="19">
        <v>1.4945999999999999</v>
      </c>
      <c r="V211" s="19">
        <v>0.93993800000000005</v>
      </c>
      <c r="W211" s="19">
        <v>1.7267999999999999</v>
      </c>
      <c r="X211" s="19">
        <v>0.93993800000000005</v>
      </c>
      <c r="Y211" s="19">
        <v>1.7267999999999999</v>
      </c>
      <c r="Z211" s="4"/>
      <c r="AA211" s="4"/>
      <c r="AB211" s="4" t="e">
        <f ca="1">_xll.ciqfunctions.udf.CIQ("^SPX", "IQ_PRICEDATE", "10/22/2014")</f>
        <v>#NAME?</v>
      </c>
      <c r="AC211" s="16">
        <v>1927.1103570503999</v>
      </c>
    </row>
    <row r="212" spans="1:29" x14ac:dyDescent="0.35">
      <c r="A212" s="2" t="s">
        <v>222</v>
      </c>
      <c r="B212" s="4" t="s">
        <v>1079</v>
      </c>
      <c r="C212" s="4" t="s">
        <v>626</v>
      </c>
      <c r="D212" s="4" t="s">
        <v>627</v>
      </c>
      <c r="E212" s="4" t="s">
        <v>699</v>
      </c>
      <c r="F212" s="4" t="s">
        <v>789</v>
      </c>
      <c r="G212" s="14">
        <v>44.06</v>
      </c>
      <c r="H212" s="10">
        <v>12.273471000000001</v>
      </c>
      <c r="I212" s="10">
        <v>12.262845</v>
      </c>
      <c r="J212" s="10" t="s">
        <v>534</v>
      </c>
      <c r="K212" s="15">
        <v>4.4484000000000003E-2</v>
      </c>
      <c r="L212" s="17">
        <v>26269.890803999999</v>
      </c>
      <c r="M212" s="4" t="s">
        <v>1080</v>
      </c>
      <c r="N212" s="19">
        <v>3.5929669999999998</v>
      </c>
      <c r="O212" s="19">
        <v>3.1387</v>
      </c>
      <c r="P212" s="19">
        <v>2.7266919999999999</v>
      </c>
      <c r="Q212" s="19">
        <v>3.2000999999999999</v>
      </c>
      <c r="R212" s="19">
        <v>2.6779410000000001</v>
      </c>
      <c r="S212" s="19">
        <v>3.2629999999999999</v>
      </c>
      <c r="T212" s="19">
        <v>2.6779410000000001</v>
      </c>
      <c r="U212" s="19">
        <v>2.9365000000000001</v>
      </c>
      <c r="V212" s="19">
        <v>2.3980549999999998</v>
      </c>
      <c r="W212" s="19">
        <v>3.0118999999999998</v>
      </c>
      <c r="X212" s="19">
        <v>2.3980549999999998</v>
      </c>
      <c r="Y212" s="19">
        <v>3.0118999999999998</v>
      </c>
      <c r="Z212" s="4"/>
      <c r="AA212" s="4"/>
      <c r="AB212" s="4" t="e">
        <f ca="1">_xll.ciqfunctions.udf.CIQ("^SPX", "IQ_PRICEDATE", "10/23/2014")</f>
        <v>#NAME?</v>
      </c>
      <c r="AC212" s="16">
        <v>1950.8220801912</v>
      </c>
    </row>
    <row r="213" spans="1:29" x14ac:dyDescent="0.35">
      <c r="A213" s="2" t="s">
        <v>223</v>
      </c>
      <c r="B213" s="4" t="s">
        <v>1081</v>
      </c>
      <c r="C213" s="4" t="s">
        <v>559</v>
      </c>
      <c r="D213" s="4" t="s">
        <v>694</v>
      </c>
      <c r="E213" s="4" t="s">
        <v>1054</v>
      </c>
      <c r="F213" s="4" t="s">
        <v>1055</v>
      </c>
      <c r="G213" s="14">
        <v>31.93</v>
      </c>
      <c r="H213" s="10">
        <v>5.803058</v>
      </c>
      <c r="I213" s="10" t="s">
        <v>534</v>
      </c>
      <c r="J213" s="10">
        <v>1.4675149999999999</v>
      </c>
      <c r="K213" s="15">
        <v>4.7604E-2</v>
      </c>
      <c r="L213" s="17">
        <v>45049.663930000002</v>
      </c>
      <c r="M213" s="4" t="s">
        <v>1082</v>
      </c>
      <c r="N213" s="19">
        <v>-0.92009099999999999</v>
      </c>
      <c r="O213" s="19">
        <v>5.6577999999999999</v>
      </c>
      <c r="P213" s="19">
        <v>0.22</v>
      </c>
      <c r="Q213" s="19">
        <v>5.9486999999999997</v>
      </c>
      <c r="R213" s="19">
        <v>6</v>
      </c>
      <c r="S213" s="19">
        <v>5.6923000000000004</v>
      </c>
      <c r="T213" s="19">
        <v>6</v>
      </c>
      <c r="U213" s="19">
        <v>5.3997000000000002</v>
      </c>
      <c r="V213" s="19">
        <v>1.6514519999999999</v>
      </c>
      <c r="W213" s="19">
        <v>4.0961999999999996</v>
      </c>
      <c r="X213" s="19">
        <v>1.6514519999999999</v>
      </c>
      <c r="Y213" s="19">
        <v>4.0961999999999996</v>
      </c>
      <c r="Z213" s="4"/>
      <c r="AA213" s="4"/>
      <c r="AB213" s="4" t="e">
        <f ca="1">_xll.ciqfunctions.udf.CIQ("^SPX", "IQ_PRICEDATE", "10/24/2014")</f>
        <v>#NAME?</v>
      </c>
      <c r="AC213" s="16">
        <v>1964.5802966315</v>
      </c>
    </row>
    <row r="214" spans="1:29" x14ac:dyDescent="0.35">
      <c r="A214" s="2" t="s">
        <v>224</v>
      </c>
      <c r="B214" s="4" t="s">
        <v>1083</v>
      </c>
      <c r="C214" s="4" t="s">
        <v>559</v>
      </c>
      <c r="D214" s="4" t="s">
        <v>560</v>
      </c>
      <c r="E214" s="4" t="s">
        <v>1084</v>
      </c>
      <c r="F214" s="4" t="s">
        <v>1084</v>
      </c>
      <c r="G214" s="14">
        <v>95.14</v>
      </c>
      <c r="H214" s="10">
        <v>12.949332</v>
      </c>
      <c r="I214" s="10">
        <v>20.871238999999999</v>
      </c>
      <c r="J214" s="10" t="s">
        <v>534</v>
      </c>
      <c r="K214" s="15">
        <v>3.0270999999999999E-2</v>
      </c>
      <c r="L214" s="17">
        <v>13962.054921999999</v>
      </c>
      <c r="M214" s="4" t="s">
        <v>1085</v>
      </c>
      <c r="N214" s="19">
        <v>4.5584259999999999</v>
      </c>
      <c r="O214" s="19">
        <v>5.7378999999999998</v>
      </c>
      <c r="P214" s="19">
        <v>4.18</v>
      </c>
      <c r="Q214" s="19">
        <v>5.1786000000000003</v>
      </c>
      <c r="R214" s="19">
        <v>4.59</v>
      </c>
      <c r="S214" s="19">
        <v>4.7808999999999999</v>
      </c>
      <c r="T214" s="19">
        <v>4.59</v>
      </c>
      <c r="U214" s="19">
        <v>4.7839</v>
      </c>
      <c r="V214" s="19">
        <v>4.6100000000000003</v>
      </c>
      <c r="W214" s="19">
        <v>4.9005999999999998</v>
      </c>
      <c r="X214" s="19">
        <v>4.6100000000000003</v>
      </c>
      <c r="Y214" s="19">
        <v>4.9005999999999998</v>
      </c>
      <c r="Z214" s="4"/>
      <c r="AA214" s="4"/>
      <c r="AB214" s="4" t="e">
        <f ca="1">_xll.ciqfunctions.udf.CIQ("^SPX", "IQ_PRICEDATE", "10/27/2014")</f>
        <v>#NAME?</v>
      </c>
      <c r="AC214" s="16">
        <v>1961.6305392728</v>
      </c>
    </row>
    <row r="215" spans="1:29" x14ac:dyDescent="0.35">
      <c r="A215" s="2" t="s">
        <v>225</v>
      </c>
      <c r="B215" s="4" t="s">
        <v>1086</v>
      </c>
      <c r="C215" s="4" t="s">
        <v>530</v>
      </c>
      <c r="D215" s="4" t="s">
        <v>537</v>
      </c>
      <c r="E215" s="4" t="s">
        <v>538</v>
      </c>
      <c r="F215" s="4" t="s">
        <v>538</v>
      </c>
      <c r="G215" s="14">
        <v>75.62</v>
      </c>
      <c r="H215" s="10">
        <v>8.1812310000000004</v>
      </c>
      <c r="I215" s="10">
        <v>45.186599000000001</v>
      </c>
      <c r="J215" s="10">
        <v>93.159284</v>
      </c>
      <c r="K215" s="15">
        <v>3.015E-2</v>
      </c>
      <c r="L215" s="17">
        <v>98029.275643000001</v>
      </c>
      <c r="M215" s="4" t="s">
        <v>1087</v>
      </c>
      <c r="N215" s="19">
        <v>1.673505</v>
      </c>
      <c r="O215" s="19">
        <v>6.55</v>
      </c>
      <c r="P215" s="19">
        <v>3.51</v>
      </c>
      <c r="Q215" s="19">
        <v>6.9237000000000002</v>
      </c>
      <c r="R215" s="19">
        <v>9.94</v>
      </c>
      <c r="S215" s="19">
        <v>10.435600000000001</v>
      </c>
      <c r="T215" s="19">
        <v>9.94</v>
      </c>
      <c r="U215" s="19">
        <v>11.6534</v>
      </c>
      <c r="V215" s="19">
        <v>7.35</v>
      </c>
      <c r="W215" s="19">
        <v>9.9133999999999993</v>
      </c>
      <c r="X215" s="19">
        <v>7.35</v>
      </c>
      <c r="Y215" s="19">
        <v>9.9133999999999993</v>
      </c>
      <c r="Z215" s="4"/>
      <c r="AA215" s="4"/>
      <c r="AB215" s="4" t="e">
        <f ca="1">_xll.ciqfunctions.udf.CIQ("^SPX", "IQ_PRICEDATE", "10/28/2014")</f>
        <v>#NAME?</v>
      </c>
      <c r="AC215" s="16">
        <v>1985.0456261344</v>
      </c>
    </row>
    <row r="216" spans="1:29" x14ac:dyDescent="0.35">
      <c r="A216" s="2" t="s">
        <v>226</v>
      </c>
      <c r="B216" s="4" t="s">
        <v>1088</v>
      </c>
      <c r="C216" s="4" t="s">
        <v>543</v>
      </c>
      <c r="D216" s="4" t="s">
        <v>544</v>
      </c>
      <c r="E216" s="4" t="s">
        <v>545</v>
      </c>
      <c r="F216" s="4" t="s">
        <v>616</v>
      </c>
      <c r="G216" s="14">
        <v>119.89</v>
      </c>
      <c r="H216" s="10">
        <v>18.757956</v>
      </c>
      <c r="I216" s="10">
        <v>34.423037000000001</v>
      </c>
      <c r="J216" s="10" t="s">
        <v>534</v>
      </c>
      <c r="K216" s="15">
        <v>3.3300000000000002E-4</v>
      </c>
      <c r="L216" s="17">
        <v>18964.856838</v>
      </c>
      <c r="M216" s="4" t="s">
        <v>1089</v>
      </c>
      <c r="N216" s="19">
        <v>3.4828420000000002</v>
      </c>
      <c r="O216" s="19">
        <v>5.5202</v>
      </c>
      <c r="P216" s="19">
        <v>3.01</v>
      </c>
      <c r="Q216" s="19">
        <v>4.5354999999999999</v>
      </c>
      <c r="R216" s="19">
        <v>1.388571</v>
      </c>
      <c r="S216" s="19">
        <v>0</v>
      </c>
      <c r="T216" s="19">
        <v>1.388571</v>
      </c>
      <c r="U216" s="19">
        <v>3.1545999999999998</v>
      </c>
      <c r="V216" s="19">
        <v>1.8333660000000001</v>
      </c>
      <c r="W216" s="19">
        <v>2.4312999999999998</v>
      </c>
      <c r="X216" s="19">
        <v>1.8333660000000001</v>
      </c>
      <c r="Y216" s="19">
        <v>2.4312999999999998</v>
      </c>
      <c r="Z216" s="4"/>
      <c r="AA216" s="4"/>
      <c r="AB216" s="4" t="e">
        <f ca="1">_xll.ciqfunctions.udf.CIQ("^SPX", "IQ_PRICEDATE", "10/29/2014")</f>
        <v>#NAME?</v>
      </c>
      <c r="AC216" s="16">
        <v>1982.3030206704</v>
      </c>
    </row>
    <row r="217" spans="1:29" x14ac:dyDescent="0.35">
      <c r="A217" s="2" t="s">
        <v>227</v>
      </c>
      <c r="B217" s="4" t="s">
        <v>1090</v>
      </c>
      <c r="C217" s="4" t="s">
        <v>559</v>
      </c>
      <c r="D217" s="4" t="s">
        <v>798</v>
      </c>
      <c r="E217" s="4" t="s">
        <v>1091</v>
      </c>
      <c r="F217" s="4" t="s">
        <v>1092</v>
      </c>
      <c r="G217" s="14">
        <v>26.52</v>
      </c>
      <c r="H217" s="10">
        <v>6.3305619999999996</v>
      </c>
      <c r="I217" s="10">
        <v>9.1991370000000003</v>
      </c>
      <c r="J217" s="10" t="s">
        <v>534</v>
      </c>
      <c r="K217" s="15">
        <v>3.7707000000000004E-2</v>
      </c>
      <c r="L217" s="17">
        <v>5450.4121459999997</v>
      </c>
      <c r="M217" s="4" t="s">
        <v>1093</v>
      </c>
      <c r="N217" s="19">
        <v>2.882879</v>
      </c>
      <c r="O217" s="19">
        <v>1.8934</v>
      </c>
      <c r="P217" s="19">
        <v>1.939716</v>
      </c>
      <c r="Q217" s="19">
        <v>1.9441999999999999</v>
      </c>
      <c r="R217" s="19">
        <v>1.5980000000000001</v>
      </c>
      <c r="S217" s="19">
        <v>1.5812999999999999</v>
      </c>
      <c r="T217" s="19">
        <v>1.5980000000000001</v>
      </c>
      <c r="U217" s="19">
        <v>1.9351</v>
      </c>
      <c r="V217" s="19">
        <v>1.7818830000000001</v>
      </c>
      <c r="W217" s="19">
        <v>1.841</v>
      </c>
      <c r="X217" s="19">
        <v>1.7818830000000001</v>
      </c>
      <c r="Y217" s="19">
        <v>1.841</v>
      </c>
      <c r="Z217" s="4"/>
      <c r="AA217" s="4"/>
      <c r="AB217" s="4" t="e">
        <f ca="1">_xll.ciqfunctions.udf.CIQ("^SPX", "IQ_PRICEDATE", "10/30/2014")</f>
        <v>#NAME?</v>
      </c>
      <c r="AC217" s="16">
        <v>1994.6546509021</v>
      </c>
    </row>
    <row r="218" spans="1:29" x14ac:dyDescent="0.35">
      <c r="A218" s="2" t="s">
        <v>228</v>
      </c>
      <c r="B218" s="4" t="s">
        <v>1094</v>
      </c>
      <c r="C218" s="4" t="s">
        <v>669</v>
      </c>
      <c r="D218" s="4" t="s">
        <v>669</v>
      </c>
      <c r="E218" s="4" t="s">
        <v>730</v>
      </c>
      <c r="F218" s="4" t="s">
        <v>731</v>
      </c>
      <c r="G218" s="14">
        <v>39.56</v>
      </c>
      <c r="H218" s="10">
        <v>9.8760949999999994</v>
      </c>
      <c r="I218" s="10" t="s">
        <v>534</v>
      </c>
      <c r="J218" s="10">
        <v>5.7965059999999999</v>
      </c>
      <c r="K218" s="15">
        <v>1.8200000000000001E-2</v>
      </c>
      <c r="L218" s="17">
        <v>34808.670371</v>
      </c>
      <c r="M218" s="4" t="s">
        <v>1095</v>
      </c>
      <c r="N218" s="19">
        <v>0.13029099999999999</v>
      </c>
      <c r="O218" s="19">
        <v>2.0017</v>
      </c>
      <c r="P218" s="19">
        <v>-0.51034400000000002</v>
      </c>
      <c r="Q218" s="19">
        <v>1.9798</v>
      </c>
      <c r="R218" s="19">
        <v>-6.6910559999999997</v>
      </c>
      <c r="S218" s="19">
        <v>0.62350000000000005</v>
      </c>
      <c r="T218" s="19">
        <v>-6.6910559999999997</v>
      </c>
      <c r="U218" s="19">
        <v>0.95789999999999997</v>
      </c>
      <c r="V218" s="19">
        <v>4.03</v>
      </c>
      <c r="W218" s="19">
        <v>3.7292000000000001</v>
      </c>
      <c r="X218" s="19">
        <v>4.03</v>
      </c>
      <c r="Y218" s="19">
        <v>3.7292000000000001</v>
      </c>
      <c r="Z218" s="4"/>
      <c r="AA218" s="4"/>
      <c r="AB218" s="4" t="e">
        <f ca="1">_xll.ciqfunctions.udf.CIQ("^SPX", "IQ_PRICEDATE", "10/31/2014")</f>
        <v>#NAME?</v>
      </c>
      <c r="AC218" s="16">
        <v>2018.0545032964001</v>
      </c>
    </row>
    <row r="219" spans="1:29" x14ac:dyDescent="0.35">
      <c r="A219" s="2" t="s">
        <v>229</v>
      </c>
      <c r="B219" s="4" t="s">
        <v>1096</v>
      </c>
      <c r="C219" s="4" t="s">
        <v>559</v>
      </c>
      <c r="D219" s="4" t="s">
        <v>912</v>
      </c>
      <c r="E219" s="4" t="s">
        <v>1097</v>
      </c>
      <c r="F219" s="4" t="s">
        <v>1098</v>
      </c>
      <c r="G219" s="14">
        <v>16.88</v>
      </c>
      <c r="H219" s="10">
        <v>9.803369</v>
      </c>
      <c r="I219" s="10">
        <v>158.92742799999999</v>
      </c>
      <c r="J219" s="10" t="s">
        <v>534</v>
      </c>
      <c r="K219" s="15">
        <v>3.5545E-2</v>
      </c>
      <c r="L219" s="17">
        <v>6085.3629030000002</v>
      </c>
      <c r="M219" s="4" t="s">
        <v>1099</v>
      </c>
      <c r="N219" s="19">
        <v>0.106212</v>
      </c>
      <c r="O219" s="19">
        <v>1.7996000000000001</v>
      </c>
      <c r="P219" s="19">
        <v>0.17</v>
      </c>
      <c r="Q219" s="19">
        <v>2.0118</v>
      </c>
      <c r="R219" s="19">
        <v>1.4</v>
      </c>
      <c r="S219" s="19">
        <v>2.0983999999999998</v>
      </c>
      <c r="T219" s="19">
        <v>1.4</v>
      </c>
      <c r="U219" s="19">
        <v>1.8455999999999999</v>
      </c>
      <c r="V219" s="19">
        <v>0.85015499999999999</v>
      </c>
      <c r="W219" s="19">
        <v>1.5659000000000001</v>
      </c>
      <c r="X219" s="19">
        <v>0.85015499999999999</v>
      </c>
      <c r="Y219" s="19">
        <v>1.5659000000000001</v>
      </c>
      <c r="Z219" s="4"/>
      <c r="AA219" s="4"/>
      <c r="AB219" s="4" t="e">
        <f ca="1">_xll.ciqfunctions.udf.CIQ("^SPX", "IQ_PRICEDATE", "11/3/2014")</f>
        <v>#NAME?</v>
      </c>
      <c r="AC219" s="16">
        <v>2017.8115211314</v>
      </c>
    </row>
    <row r="220" spans="1:29" x14ac:dyDescent="0.35">
      <c r="A220" s="2" t="s">
        <v>230</v>
      </c>
      <c r="B220" s="4" t="s">
        <v>1100</v>
      </c>
      <c r="C220" s="4" t="s">
        <v>559</v>
      </c>
      <c r="D220" s="4" t="s">
        <v>694</v>
      </c>
      <c r="E220" s="4" t="s">
        <v>1054</v>
      </c>
      <c r="F220" s="4" t="s">
        <v>1101</v>
      </c>
      <c r="G220" s="14">
        <v>41.67</v>
      </c>
      <c r="H220" s="10">
        <v>12.691546000000001</v>
      </c>
      <c r="I220" s="10">
        <v>14.260604000000001</v>
      </c>
      <c r="J220" s="10">
        <v>3.2960660000000002</v>
      </c>
      <c r="K220" s="15">
        <v>3.5517E-2</v>
      </c>
      <c r="L220" s="17">
        <v>6873.4248299999999</v>
      </c>
      <c r="M220" s="4" t="s">
        <v>1102</v>
      </c>
      <c r="N220" s="19">
        <v>2.9220359999999999</v>
      </c>
      <c r="O220" s="19">
        <v>3.7042999999999999</v>
      </c>
      <c r="P220" s="19">
        <v>3.02</v>
      </c>
      <c r="Q220" s="19">
        <v>3.7370999999999999</v>
      </c>
      <c r="R220" s="19">
        <v>3.83</v>
      </c>
      <c r="S220" s="19">
        <v>4.1135000000000002</v>
      </c>
      <c r="T220" s="19">
        <v>3.83</v>
      </c>
      <c r="U220" s="19">
        <v>3.9474999999999998</v>
      </c>
      <c r="V220" s="19">
        <v>3.88</v>
      </c>
      <c r="W220" s="19">
        <v>4.2760999999999996</v>
      </c>
      <c r="X220" s="19">
        <v>3.88</v>
      </c>
      <c r="Y220" s="19">
        <v>4.2760999999999996</v>
      </c>
      <c r="Z220" s="4"/>
      <c r="AA220" s="4"/>
      <c r="AB220" s="4" t="e">
        <f ca="1">_xll.ciqfunctions.udf.CIQ("^SPX", "IQ_PRICEDATE", "11/4/2014")</f>
        <v>#NAME?</v>
      </c>
      <c r="AC220" s="16">
        <v>2012.0952743803</v>
      </c>
    </row>
    <row r="221" spans="1:29" x14ac:dyDescent="0.35">
      <c r="A221" s="2" t="s">
        <v>231</v>
      </c>
      <c r="B221" s="4" t="s">
        <v>1103</v>
      </c>
      <c r="C221" s="4" t="s">
        <v>525</v>
      </c>
      <c r="D221" s="4" t="s">
        <v>526</v>
      </c>
      <c r="E221" s="4" t="s">
        <v>703</v>
      </c>
      <c r="F221" s="4" t="s">
        <v>703</v>
      </c>
      <c r="G221" s="14">
        <v>171.57</v>
      </c>
      <c r="H221" s="10">
        <v>16.211596</v>
      </c>
      <c r="I221" s="10">
        <v>26.978943000000001</v>
      </c>
      <c r="J221" s="10" t="s">
        <v>534</v>
      </c>
      <c r="K221" s="15">
        <v>1.5969999999999998E-2</v>
      </c>
      <c r="L221" s="17">
        <v>20183.143081999999</v>
      </c>
      <c r="M221" s="4" t="s">
        <v>1104</v>
      </c>
      <c r="N221" s="19">
        <v>6.3594039999999996</v>
      </c>
      <c r="O221" s="19">
        <v>8.1302000000000003</v>
      </c>
      <c r="P221" s="19">
        <v>5.183764</v>
      </c>
      <c r="Q221" s="19">
        <v>6.2394999999999996</v>
      </c>
      <c r="R221" s="19">
        <v>4.8403340000000004</v>
      </c>
      <c r="S221" s="19">
        <v>5.8921000000000001</v>
      </c>
      <c r="T221" s="19">
        <v>4.8403340000000004</v>
      </c>
      <c r="U221" s="19">
        <v>5.8395999999999999</v>
      </c>
      <c r="V221" s="19">
        <v>5.0009810000000003</v>
      </c>
      <c r="W221" s="19">
        <v>4.8646000000000003</v>
      </c>
      <c r="X221" s="19">
        <v>5.0009810000000003</v>
      </c>
      <c r="Y221" s="19">
        <v>4.8646000000000003</v>
      </c>
      <c r="Z221" s="4"/>
      <c r="AA221" s="4"/>
      <c r="AB221" s="4" t="e">
        <f ca="1">_xll.ciqfunctions.udf.CIQ("^SPX", "IQ_PRICEDATE", "11/5/2014")</f>
        <v>#NAME?</v>
      </c>
      <c r="AC221" s="16">
        <v>2023.57465265</v>
      </c>
    </row>
    <row r="222" spans="1:29" x14ac:dyDescent="0.35">
      <c r="A222" s="2" t="s">
        <v>232</v>
      </c>
      <c r="B222" s="4" t="s">
        <v>1105</v>
      </c>
      <c r="C222" s="4" t="s">
        <v>559</v>
      </c>
      <c r="D222" s="4" t="s">
        <v>912</v>
      </c>
      <c r="E222" s="4" t="s">
        <v>1106</v>
      </c>
      <c r="F222" s="4" t="s">
        <v>1106</v>
      </c>
      <c r="G222" s="14">
        <v>100.89</v>
      </c>
      <c r="H222" s="10">
        <v>15.814116</v>
      </c>
      <c r="I222" s="10">
        <v>61.311999999999998</v>
      </c>
      <c r="J222" s="10">
        <v>28.345485</v>
      </c>
      <c r="K222" s="15">
        <v>2.4976999999999999E-2</v>
      </c>
      <c r="L222" s="17">
        <v>12806.873087</v>
      </c>
      <c r="M222" s="4" t="s">
        <v>1107</v>
      </c>
      <c r="N222" s="19">
        <v>1.645518</v>
      </c>
      <c r="O222" s="19">
        <v>4.8720999999999997</v>
      </c>
      <c r="P222" s="19">
        <v>3.12</v>
      </c>
      <c r="Q222" s="19">
        <v>5.2020999999999997</v>
      </c>
      <c r="R222" s="19">
        <v>4.34</v>
      </c>
      <c r="S222" s="19">
        <v>4.2457000000000003</v>
      </c>
      <c r="T222" s="19">
        <v>4.34</v>
      </c>
      <c r="U222" s="19">
        <v>3.6880999999999999</v>
      </c>
      <c r="V222" s="19">
        <v>3.2</v>
      </c>
      <c r="W222" s="19">
        <v>3.3580999999999999</v>
      </c>
      <c r="X222" s="19">
        <v>3.2</v>
      </c>
      <c r="Y222" s="19">
        <v>3.3580999999999999</v>
      </c>
      <c r="Z222" s="4"/>
      <c r="AA222" s="4"/>
      <c r="AB222" s="4" t="e">
        <f ca="1">_xll.ciqfunctions.udf.CIQ("^SPX", "IQ_PRICEDATE", "11/6/2014")</f>
        <v>#NAME?</v>
      </c>
      <c r="AC222" s="16">
        <v>2031.2121546376</v>
      </c>
    </row>
    <row r="223" spans="1:29" x14ac:dyDescent="0.35">
      <c r="A223" s="2" t="s">
        <v>233</v>
      </c>
      <c r="B223" s="4" t="s">
        <v>1108</v>
      </c>
      <c r="C223" s="4" t="s">
        <v>530</v>
      </c>
      <c r="D223" s="4" t="s">
        <v>531</v>
      </c>
      <c r="E223" s="4" t="s">
        <v>569</v>
      </c>
      <c r="F223" s="4" t="s">
        <v>1109</v>
      </c>
      <c r="G223" s="14">
        <v>136.47</v>
      </c>
      <c r="H223" s="10">
        <v>9.5941390000000002</v>
      </c>
      <c r="I223" s="10">
        <v>17.240845</v>
      </c>
      <c r="J223" s="10" t="s">
        <v>534</v>
      </c>
      <c r="K223" s="15">
        <v>1.0258E-2</v>
      </c>
      <c r="L223" s="17">
        <v>47224.897620000003</v>
      </c>
      <c r="M223" s="4" t="s">
        <v>1110</v>
      </c>
      <c r="N223" s="19">
        <v>7.9155049999999996</v>
      </c>
      <c r="O223" s="19">
        <v>9.5292999999999992</v>
      </c>
      <c r="P223" s="19">
        <v>5.95</v>
      </c>
      <c r="Q223" s="19">
        <v>7.1266999999999996</v>
      </c>
      <c r="R223" s="19">
        <v>7.3</v>
      </c>
      <c r="S223" s="19">
        <v>6.8952</v>
      </c>
      <c r="T223" s="19">
        <v>7.3</v>
      </c>
      <c r="U223" s="19">
        <v>5.5753000000000004</v>
      </c>
      <c r="V223" s="19">
        <v>4.16</v>
      </c>
      <c r="W223" s="19">
        <v>4.8982999999999999</v>
      </c>
      <c r="X223" s="19">
        <v>4.16</v>
      </c>
      <c r="Y223" s="19">
        <v>4.8982999999999999</v>
      </c>
      <c r="Z223" s="4"/>
      <c r="AA223" s="4"/>
      <c r="AB223" s="4" t="e">
        <f ca="1">_xll.ciqfunctions.udf.CIQ("^SPX", "IQ_PRICEDATE", "11/7/2014")</f>
        <v>#NAME?</v>
      </c>
      <c r="AC223" s="16">
        <v>2031.9215168768999</v>
      </c>
    </row>
    <row r="224" spans="1:29" x14ac:dyDescent="0.35">
      <c r="A224" s="2" t="s">
        <v>234</v>
      </c>
      <c r="B224" s="4" t="s">
        <v>1111</v>
      </c>
      <c r="C224" s="4" t="s">
        <v>601</v>
      </c>
      <c r="D224" s="4" t="s">
        <v>601</v>
      </c>
      <c r="E224" s="4" t="s">
        <v>602</v>
      </c>
      <c r="F224" s="4" t="s">
        <v>1112</v>
      </c>
      <c r="G224" s="14">
        <v>25.78</v>
      </c>
      <c r="H224" s="10">
        <v>20.386706</v>
      </c>
      <c r="I224" s="10">
        <v>199.348906</v>
      </c>
      <c r="J224" s="10">
        <v>2.497652</v>
      </c>
      <c r="K224" s="15">
        <v>5.7408000000000001E-2</v>
      </c>
      <c r="L224" s="17">
        <v>12112.283629</v>
      </c>
      <c r="M224" s="4" t="s">
        <v>1113</v>
      </c>
      <c r="N224" s="19">
        <v>0.12932099999999999</v>
      </c>
      <c r="O224" s="19">
        <v>0.65949999999999998</v>
      </c>
      <c r="P224" s="19">
        <v>0.88</v>
      </c>
      <c r="Q224" s="19">
        <v>0.82440000000000002</v>
      </c>
      <c r="R224" s="19">
        <v>0.77</v>
      </c>
      <c r="S224" s="19">
        <v>0.84499999999999997</v>
      </c>
      <c r="T224" s="19">
        <v>0.77</v>
      </c>
      <c r="U224" s="19">
        <v>1.9067000000000001</v>
      </c>
      <c r="V224" s="19">
        <v>0.55520499999999995</v>
      </c>
      <c r="W224" s="19">
        <v>1.9539</v>
      </c>
      <c r="X224" s="19">
        <v>0.55520499999999995</v>
      </c>
      <c r="Y224" s="19">
        <v>1.9539</v>
      </c>
      <c r="Z224" s="4"/>
      <c r="AA224" s="4"/>
      <c r="AB224" s="4" t="e">
        <f ca="1">_xll.ciqfunctions.udf.CIQ("^SPX", "IQ_PRICEDATE", "11/10/2014")</f>
        <v>#NAME?</v>
      </c>
      <c r="AC224" s="16">
        <v>2038.2626780918999</v>
      </c>
    </row>
    <row r="225" spans="1:29" x14ac:dyDescent="0.35">
      <c r="A225" s="2" t="s">
        <v>235</v>
      </c>
      <c r="B225" s="4" t="s">
        <v>1114</v>
      </c>
      <c r="C225" s="4" t="s">
        <v>669</v>
      </c>
      <c r="D225" s="4" t="s">
        <v>669</v>
      </c>
      <c r="E225" s="4" t="s">
        <v>730</v>
      </c>
      <c r="F225" s="4" t="s">
        <v>1115</v>
      </c>
      <c r="G225" s="14">
        <v>68.05</v>
      </c>
      <c r="H225" s="10">
        <v>13.788542</v>
      </c>
      <c r="I225" s="10">
        <v>16.015302999999999</v>
      </c>
      <c r="J225" s="10">
        <v>1.725125</v>
      </c>
      <c r="K225" s="15">
        <v>4.1734E-2</v>
      </c>
      <c r="L225" s="17">
        <v>7413.6224599999996</v>
      </c>
      <c r="M225" s="4" t="s">
        <v>1116</v>
      </c>
      <c r="N225" s="19">
        <v>4.2490610000000002</v>
      </c>
      <c r="O225" s="19">
        <v>1.1255999999999999</v>
      </c>
      <c r="P225" s="19">
        <v>3.7040329999999999</v>
      </c>
      <c r="Q225" s="19">
        <v>-0.39090000000000003</v>
      </c>
      <c r="R225" s="19">
        <v>-0.98046599999999995</v>
      </c>
      <c r="S225" s="19">
        <v>-1.2138</v>
      </c>
      <c r="T225" s="19">
        <v>-0.98046599999999995</v>
      </c>
      <c r="U225" s="19">
        <v>-0.36384</v>
      </c>
      <c r="V225" s="19">
        <v>6.7287039999999996</v>
      </c>
      <c r="W225" s="19">
        <v>5.7775999999999996</v>
      </c>
      <c r="X225" s="19">
        <v>6.7287039999999996</v>
      </c>
      <c r="Y225" s="19">
        <v>5.7775999999999996</v>
      </c>
      <c r="Z225" s="4"/>
      <c r="AA225" s="4"/>
      <c r="AB225" s="4" t="e">
        <f ca="1">_xll.ciqfunctions.udf.CIQ("^SPX", "IQ_PRICEDATE", "11/11/2014")</f>
        <v>#NAME?</v>
      </c>
      <c r="AC225" s="16">
        <v>2039.6834548377999</v>
      </c>
    </row>
    <row r="226" spans="1:29" x14ac:dyDescent="0.35">
      <c r="A226" s="2" t="s">
        <v>236</v>
      </c>
      <c r="B226" s="4" t="s">
        <v>1117</v>
      </c>
      <c r="C226" s="4" t="s">
        <v>530</v>
      </c>
      <c r="D226" s="4" t="s">
        <v>531</v>
      </c>
      <c r="E226" s="4" t="s">
        <v>569</v>
      </c>
      <c r="F226" s="4" t="s">
        <v>655</v>
      </c>
      <c r="G226" s="14">
        <v>86.47</v>
      </c>
      <c r="H226" s="10">
        <v>13.928452999999999</v>
      </c>
      <c r="I226" s="10">
        <v>32.701329000000001</v>
      </c>
      <c r="J226" s="10">
        <v>296.09566000000001</v>
      </c>
      <c r="K226" s="15">
        <v>0</v>
      </c>
      <c r="L226" s="17">
        <v>13239.548897000001</v>
      </c>
      <c r="M226" s="4" t="s">
        <v>1118</v>
      </c>
      <c r="N226" s="19">
        <v>2.6442350000000001</v>
      </c>
      <c r="O226" s="19">
        <v>4.2365000000000004</v>
      </c>
      <c r="P226" s="19">
        <v>2.57</v>
      </c>
      <c r="Q226" s="19">
        <v>3.8041</v>
      </c>
      <c r="R226" s="19">
        <v>3.1</v>
      </c>
      <c r="S226" s="19">
        <v>3.5424000000000002</v>
      </c>
      <c r="T226" s="19">
        <v>3.1</v>
      </c>
      <c r="U226" s="19">
        <v>3.2080000000000002</v>
      </c>
      <c r="V226" s="19">
        <v>2.72</v>
      </c>
      <c r="W226" s="19">
        <v>2.9073000000000002</v>
      </c>
      <c r="X226" s="19">
        <v>2.72</v>
      </c>
      <c r="Y226" s="19">
        <v>2.9073000000000002</v>
      </c>
      <c r="Z226" s="4"/>
      <c r="AA226" s="4"/>
      <c r="AB226" s="4" t="e">
        <f ca="1">_xll.ciqfunctions.udf.CIQ("^SPX", "IQ_PRICEDATE", "11/12/2014")</f>
        <v>#NAME?</v>
      </c>
      <c r="AC226" s="16">
        <v>2038.252228283</v>
      </c>
    </row>
    <row r="227" spans="1:29" x14ac:dyDescent="0.35">
      <c r="A227" s="2" t="s">
        <v>237</v>
      </c>
      <c r="B227" s="4" t="s">
        <v>1119</v>
      </c>
      <c r="C227" s="4" t="s">
        <v>669</v>
      </c>
      <c r="D227" s="4" t="s">
        <v>669</v>
      </c>
      <c r="E227" s="4" t="s">
        <v>670</v>
      </c>
      <c r="F227" s="4" t="s">
        <v>671</v>
      </c>
      <c r="G227" s="14">
        <v>64.78</v>
      </c>
      <c r="H227" s="10">
        <v>11.022081</v>
      </c>
      <c r="I227" s="10" t="s">
        <v>534</v>
      </c>
      <c r="J227" s="10">
        <v>2.005207</v>
      </c>
      <c r="K227" s="15">
        <v>1.5436E-2</v>
      </c>
      <c r="L227" s="17">
        <v>19413.710773999999</v>
      </c>
      <c r="M227" s="4" t="s">
        <v>1120</v>
      </c>
      <c r="N227" s="19">
        <v>-11.608229</v>
      </c>
      <c r="O227" s="19">
        <v>0.9839</v>
      </c>
      <c r="P227" s="19">
        <v>-13.12</v>
      </c>
      <c r="Q227" s="19">
        <v>-3.3988999999999998</v>
      </c>
      <c r="R227" s="19">
        <v>-19.920000000000002</v>
      </c>
      <c r="S227" s="19">
        <v>-3.6402000000000001</v>
      </c>
      <c r="T227" s="19">
        <v>-19.920000000000002</v>
      </c>
      <c r="U227" s="19">
        <v>-4.3436000000000003</v>
      </c>
      <c r="V227" s="19">
        <v>5.313555</v>
      </c>
      <c r="W227" s="19">
        <v>1.3163</v>
      </c>
      <c r="X227" s="19">
        <v>5.313555</v>
      </c>
      <c r="Y227" s="19">
        <v>1.3163</v>
      </c>
      <c r="Z227" s="4"/>
      <c r="AA227" s="4"/>
      <c r="AB227" s="4" t="e">
        <f ca="1">_xll.ciqfunctions.udf.CIQ("^SPX", "IQ_PRICEDATE", "11/13/2014")</f>
        <v>#NAME?</v>
      </c>
      <c r="AC227" s="16">
        <v>2039.3258251799</v>
      </c>
    </row>
    <row r="228" spans="1:29" x14ac:dyDescent="0.35">
      <c r="A228" s="2" t="s">
        <v>238</v>
      </c>
      <c r="B228" s="4" t="s">
        <v>1121</v>
      </c>
      <c r="C228" s="4" t="s">
        <v>543</v>
      </c>
      <c r="D228" s="4" t="s">
        <v>664</v>
      </c>
      <c r="E228" s="4" t="s">
        <v>688</v>
      </c>
      <c r="F228" s="4" t="s">
        <v>688</v>
      </c>
      <c r="G228" s="14">
        <v>15.52</v>
      </c>
      <c r="H228" s="10">
        <v>9.8948680000000007</v>
      </c>
      <c r="I228" s="10">
        <v>7.8298690000000004</v>
      </c>
      <c r="J228" s="10">
        <v>4.6559999999999997</v>
      </c>
      <c r="K228" s="15">
        <v>2.8993999999999999E-2</v>
      </c>
      <c r="L228" s="17">
        <v>22839.981351999999</v>
      </c>
      <c r="M228" s="4" t="s">
        <v>1122</v>
      </c>
      <c r="N228" s="19">
        <v>1.9821530000000001</v>
      </c>
      <c r="O228" s="19">
        <v>1.5551999999999999</v>
      </c>
      <c r="P228" s="19">
        <v>0.26</v>
      </c>
      <c r="Q228" s="19">
        <v>1.1793499999999999</v>
      </c>
      <c r="R228" s="19">
        <v>1.86</v>
      </c>
      <c r="S228" s="19">
        <v>1.96451</v>
      </c>
      <c r="T228" s="19">
        <v>1.86</v>
      </c>
      <c r="U228" s="19">
        <v>1.87812</v>
      </c>
      <c r="V228" s="19">
        <v>0.9</v>
      </c>
      <c r="W228" s="19">
        <v>0</v>
      </c>
      <c r="X228" s="19">
        <v>0.9</v>
      </c>
      <c r="Y228" s="19">
        <v>0</v>
      </c>
      <c r="Z228" s="4"/>
      <c r="AA228" s="4"/>
      <c r="AB228" s="4" t="e">
        <f ca="1">_xll.ciqfunctions.udf.CIQ("^SPX", "IQ_PRICEDATE", "11/14/2014")</f>
        <v>#NAME?</v>
      </c>
      <c r="AC228" s="16">
        <v>2039.8168721008999</v>
      </c>
    </row>
    <row r="229" spans="1:29" x14ac:dyDescent="0.35">
      <c r="A229" s="2" t="s">
        <v>239</v>
      </c>
      <c r="B229" s="4" t="s">
        <v>1123</v>
      </c>
      <c r="C229" s="4" t="s">
        <v>559</v>
      </c>
      <c r="D229" s="4" t="s">
        <v>798</v>
      </c>
      <c r="E229" s="4" t="s">
        <v>799</v>
      </c>
      <c r="F229" s="4" t="s">
        <v>800</v>
      </c>
      <c r="G229" s="14">
        <v>74.52</v>
      </c>
      <c r="H229" s="10">
        <v>16.663544000000002</v>
      </c>
      <c r="I229" s="10">
        <v>16.461948</v>
      </c>
      <c r="J229" s="10" t="s">
        <v>534</v>
      </c>
      <c r="K229" s="15">
        <v>8.0510000000000009E-3</v>
      </c>
      <c r="L229" s="17">
        <v>22220.82847</v>
      </c>
      <c r="M229" s="4" t="s">
        <v>1124</v>
      </c>
      <c r="N229" s="19">
        <v>4.5268030000000001</v>
      </c>
      <c r="O229" s="19">
        <v>2.9209999999999998</v>
      </c>
      <c r="P229" s="19">
        <v>3.85</v>
      </c>
      <c r="Q229" s="19">
        <v>2.2208000000000001</v>
      </c>
      <c r="R229" s="19">
        <v>-7.2947999999999999E-2</v>
      </c>
      <c r="S229" s="19">
        <v>2.6854</v>
      </c>
      <c r="T229" s="19">
        <v>-7.2947999999999999E-2</v>
      </c>
      <c r="U229" s="19">
        <v>2.8351000000000002</v>
      </c>
      <c r="V229" s="19">
        <v>0.51829199999999997</v>
      </c>
      <c r="W229" s="19">
        <v>2.4211999999999998</v>
      </c>
      <c r="X229" s="19">
        <v>0.51829199999999997</v>
      </c>
      <c r="Y229" s="19">
        <v>2.4211999999999998</v>
      </c>
      <c r="Z229" s="4"/>
      <c r="AA229" s="4"/>
      <c r="AB229" s="4" t="e">
        <f ca="1">_xll.ciqfunctions.udf.CIQ("^SPX", "IQ_PRICEDATE", "11/17/2014")</f>
        <v>#NAME?</v>
      </c>
      <c r="AC229" s="16">
        <v>2041.3181411687001</v>
      </c>
    </row>
    <row r="230" spans="1:29" x14ac:dyDescent="0.35">
      <c r="A230" s="2" t="s">
        <v>240</v>
      </c>
      <c r="B230" s="4" t="s">
        <v>1125</v>
      </c>
      <c r="C230" s="4" t="s">
        <v>669</v>
      </c>
      <c r="D230" s="4" t="s">
        <v>669</v>
      </c>
      <c r="E230" s="4" t="s">
        <v>670</v>
      </c>
      <c r="F230" s="4" t="s">
        <v>1126</v>
      </c>
      <c r="G230" s="14">
        <v>66.78</v>
      </c>
      <c r="H230" s="10">
        <v>6.460629</v>
      </c>
      <c r="I230" s="10">
        <v>8.4823199999999996</v>
      </c>
      <c r="J230" s="10">
        <v>3.6724160000000001</v>
      </c>
      <c r="K230" s="15">
        <v>1.9765999999999999E-2</v>
      </c>
      <c r="L230" s="17">
        <v>11665.805412</v>
      </c>
      <c r="M230" s="4" t="s">
        <v>1127</v>
      </c>
      <c r="N230" s="19">
        <v>7.872846</v>
      </c>
      <c r="O230" s="19">
        <v>6.6196000000000002</v>
      </c>
      <c r="P230" s="19">
        <v>4.5199999999999996</v>
      </c>
      <c r="Q230" s="19">
        <v>3.1905000000000001</v>
      </c>
      <c r="R230" s="19">
        <v>-1.484693</v>
      </c>
      <c r="S230" s="19">
        <v>1.8978999999999999</v>
      </c>
      <c r="T230" s="19">
        <v>-1.484693</v>
      </c>
      <c r="U230" s="19">
        <v>4.3582999999999998</v>
      </c>
      <c r="V230" s="19">
        <v>1.42</v>
      </c>
      <c r="W230" s="19">
        <v>2.9977</v>
      </c>
      <c r="X230" s="19">
        <v>1.42</v>
      </c>
      <c r="Y230" s="19">
        <v>2.9977</v>
      </c>
      <c r="Z230" s="4"/>
      <c r="AA230" s="4"/>
      <c r="AB230" s="4" t="e">
        <f ca="1">_xll.ciqfunctions.udf.CIQ("^SPX", "IQ_PRICEDATE", "11/18/2014")</f>
        <v>#NAME?</v>
      </c>
      <c r="AC230" s="16">
        <v>2051.7957989265001</v>
      </c>
    </row>
    <row r="231" spans="1:29" x14ac:dyDescent="0.35">
      <c r="A231" s="2" t="s">
        <v>241</v>
      </c>
      <c r="B231" s="4" t="s">
        <v>1128</v>
      </c>
      <c r="C231" s="4" t="s">
        <v>530</v>
      </c>
      <c r="D231" s="4" t="s">
        <v>531</v>
      </c>
      <c r="E231" s="4" t="s">
        <v>532</v>
      </c>
      <c r="F231" s="4" t="s">
        <v>533</v>
      </c>
      <c r="G231" s="14">
        <v>41.59</v>
      </c>
      <c r="H231" s="10">
        <v>13.499745000000001</v>
      </c>
      <c r="I231" s="10" t="s">
        <v>534</v>
      </c>
      <c r="J231" s="10" t="s">
        <v>534</v>
      </c>
      <c r="K231" s="15">
        <v>0</v>
      </c>
      <c r="L231" s="17">
        <v>11317.585921</v>
      </c>
      <c r="M231" s="4" t="s">
        <v>1129</v>
      </c>
      <c r="N231" s="19">
        <v>-0.29137600000000002</v>
      </c>
      <c r="O231" s="19">
        <v>2.37</v>
      </c>
      <c r="P231" s="19">
        <v>3.7781910000000001</v>
      </c>
      <c r="Q231" s="19">
        <v>2.1189800000000001</v>
      </c>
      <c r="R231" s="19">
        <v>1.17</v>
      </c>
      <c r="S231" s="19">
        <v>2.0952799999999998</v>
      </c>
      <c r="T231" s="19">
        <v>1.17</v>
      </c>
      <c r="U231" s="19">
        <v>1.82551</v>
      </c>
      <c r="V231" s="19">
        <v>0.17963499999999999</v>
      </c>
      <c r="W231" s="19">
        <v>1.5294700000000001</v>
      </c>
      <c r="X231" s="19">
        <v>0.17963499999999999</v>
      </c>
      <c r="Y231" s="19">
        <v>1.5294700000000001</v>
      </c>
      <c r="Z231" s="4"/>
      <c r="AA231" s="4"/>
      <c r="AB231" s="4" t="e">
        <f ca="1">_xll.ciqfunctions.udf.CIQ("^SPX", "IQ_PRICEDATE", "11/19/2014")</f>
        <v>#NAME?</v>
      </c>
      <c r="AC231" s="16">
        <v>2048.7209640499</v>
      </c>
    </row>
    <row r="232" spans="1:29" x14ac:dyDescent="0.35">
      <c r="A232" s="2" t="s">
        <v>242</v>
      </c>
      <c r="B232" s="4" t="s">
        <v>1130</v>
      </c>
      <c r="C232" s="4" t="s">
        <v>525</v>
      </c>
      <c r="D232" s="4" t="s">
        <v>526</v>
      </c>
      <c r="E232" s="4" t="s">
        <v>1077</v>
      </c>
      <c r="F232" s="4" t="s">
        <v>1077</v>
      </c>
      <c r="G232" s="14">
        <v>158.05000000000001</v>
      </c>
      <c r="H232" s="10">
        <v>14.336119999999999</v>
      </c>
      <c r="I232" s="10">
        <v>73.565415999999999</v>
      </c>
      <c r="J232" s="10" t="s">
        <v>534</v>
      </c>
      <c r="K232" s="15">
        <v>2.0752000000000003E-2</v>
      </c>
      <c r="L232" s="17">
        <v>117369.593792</v>
      </c>
      <c r="M232" s="4" t="s">
        <v>1131</v>
      </c>
      <c r="N232" s="19">
        <v>2.148428</v>
      </c>
      <c r="O232" s="19">
        <v>8.3530999999999995</v>
      </c>
      <c r="P232" s="19">
        <v>2.14</v>
      </c>
      <c r="Q232" s="19">
        <v>7.5151000000000003</v>
      </c>
      <c r="R232" s="19">
        <v>6.2</v>
      </c>
      <c r="S232" s="19">
        <v>6.8556999999999997</v>
      </c>
      <c r="T232" s="19">
        <v>6.2</v>
      </c>
      <c r="U232" s="19">
        <v>6.4187000000000003</v>
      </c>
      <c r="V232" s="19">
        <v>5.33</v>
      </c>
      <c r="W232" s="19">
        <v>5.9169999999999998</v>
      </c>
      <c r="X232" s="19">
        <v>5.33</v>
      </c>
      <c r="Y232" s="19">
        <v>5.9169999999999998</v>
      </c>
      <c r="Z232" s="4"/>
      <c r="AA232" s="4"/>
      <c r="AB232" s="4" t="e">
        <f ca="1">_xll.ciqfunctions.udf.CIQ("^SPX", "IQ_PRICEDATE", "11/20/2014")</f>
        <v>#NAME?</v>
      </c>
      <c r="AC232" s="16">
        <v>2052.7522479220002</v>
      </c>
    </row>
    <row r="233" spans="1:29" x14ac:dyDescent="0.35">
      <c r="A233" s="2" t="s">
        <v>243</v>
      </c>
      <c r="B233" s="4" t="s">
        <v>1132</v>
      </c>
      <c r="C233" s="4" t="s">
        <v>626</v>
      </c>
      <c r="D233" s="4" t="s">
        <v>627</v>
      </c>
      <c r="E233" s="4" t="s">
        <v>699</v>
      </c>
      <c r="F233" s="4" t="s">
        <v>789</v>
      </c>
      <c r="G233" s="14">
        <v>40.9</v>
      </c>
      <c r="H233" s="10">
        <v>16.366792</v>
      </c>
      <c r="I233" s="10">
        <v>22.971475000000002</v>
      </c>
      <c r="J233" s="10">
        <v>15.295895</v>
      </c>
      <c r="K233" s="15">
        <v>1.8337000000000003E-2</v>
      </c>
      <c r="L233" s="17">
        <v>21804.522273999999</v>
      </c>
      <c r="M233" s="4" t="s">
        <v>1133</v>
      </c>
      <c r="N233" s="19">
        <v>1.7804690000000001</v>
      </c>
      <c r="O233" s="19">
        <v>1.7768999999999999</v>
      </c>
      <c r="P233" s="19">
        <v>1.57</v>
      </c>
      <c r="Q233" s="19">
        <v>1.67</v>
      </c>
      <c r="R233" s="19">
        <v>1.64</v>
      </c>
      <c r="S233" s="19">
        <v>1.7055100000000001</v>
      </c>
      <c r="T233" s="19">
        <v>1.64</v>
      </c>
      <c r="U233" s="19">
        <v>1.45903</v>
      </c>
      <c r="V233" s="19">
        <v>1.1200000000000001</v>
      </c>
      <c r="W233" s="19">
        <v>1.27227</v>
      </c>
      <c r="X233" s="19">
        <v>1.1200000000000001</v>
      </c>
      <c r="Y233" s="19">
        <v>1.27227</v>
      </c>
      <c r="Z233" s="4"/>
      <c r="AA233" s="4"/>
      <c r="AB233" s="4" t="e">
        <f ca="1">_xll.ciqfunctions.udf.CIQ("^SPX", "IQ_PRICEDATE", "11/21/2014")</f>
        <v>#NAME?</v>
      </c>
      <c r="AC233" s="16">
        <v>2063.5024452877001</v>
      </c>
    </row>
    <row r="234" spans="1:29" x14ac:dyDescent="0.35">
      <c r="A234" s="2" t="s">
        <v>244</v>
      </c>
      <c r="B234" s="4" t="s">
        <v>1134</v>
      </c>
      <c r="C234" s="4" t="s">
        <v>601</v>
      </c>
      <c r="D234" s="4" t="s">
        <v>601</v>
      </c>
      <c r="E234" s="4" t="s">
        <v>602</v>
      </c>
      <c r="F234" s="4" t="s">
        <v>1135</v>
      </c>
      <c r="G234" s="14">
        <v>19.329999999999998</v>
      </c>
      <c r="H234" s="10">
        <v>12.242989</v>
      </c>
      <c r="I234" s="10">
        <v>21.959845000000001</v>
      </c>
      <c r="J234" s="10">
        <v>2.003409</v>
      </c>
      <c r="K234" s="15">
        <v>4.3973000000000005E-2</v>
      </c>
      <c r="L234" s="17">
        <v>14336.624992999999</v>
      </c>
      <c r="M234" s="4" t="s">
        <v>1136</v>
      </c>
      <c r="N234" s="19">
        <v>0.880243</v>
      </c>
      <c r="O234" s="19">
        <v>0.76629999999999998</v>
      </c>
      <c r="P234" s="19">
        <v>0.76</v>
      </c>
      <c r="Q234" s="19">
        <v>0.66769999999999996</v>
      </c>
      <c r="R234" s="19">
        <v>1.02</v>
      </c>
      <c r="S234" s="19">
        <v>0.64</v>
      </c>
      <c r="T234" s="19">
        <v>1.02</v>
      </c>
      <c r="U234" s="19">
        <v>0.73870000000000002</v>
      </c>
      <c r="V234" s="19">
        <v>0.96466700000000005</v>
      </c>
      <c r="W234" s="19">
        <v>0.75</v>
      </c>
      <c r="X234" s="19">
        <v>0.96466700000000005</v>
      </c>
      <c r="Y234" s="19">
        <v>0.75</v>
      </c>
      <c r="Z234" s="4"/>
      <c r="AA234" s="4"/>
      <c r="AB234" s="4" t="e">
        <f ca="1">_xll.ciqfunctions.udf.CIQ("^SPX", "IQ_PRICEDATE", "11/24/2014")</f>
        <v>#NAME?</v>
      </c>
      <c r="AC234" s="16">
        <v>2069.4102024734998</v>
      </c>
    </row>
    <row r="235" spans="1:29" x14ac:dyDescent="0.35">
      <c r="A235" s="2" t="s">
        <v>245</v>
      </c>
      <c r="B235" s="4" t="s">
        <v>1137</v>
      </c>
      <c r="C235" s="4" t="s">
        <v>543</v>
      </c>
      <c r="D235" s="4" t="s">
        <v>664</v>
      </c>
      <c r="E235" s="4" t="s">
        <v>688</v>
      </c>
      <c r="F235" s="4" t="s">
        <v>688</v>
      </c>
      <c r="G235" s="14">
        <v>23.87</v>
      </c>
      <c r="H235" s="10">
        <v>7.9920049999999998</v>
      </c>
      <c r="I235" s="10">
        <v>8.7068290000000008</v>
      </c>
      <c r="J235" s="10" t="s">
        <v>534</v>
      </c>
      <c r="K235" s="15">
        <v>2.6844999999999997E-2</v>
      </c>
      <c r="L235" s="17">
        <v>37772.091086</v>
      </c>
      <c r="M235" s="4" t="s">
        <v>1138</v>
      </c>
      <c r="N235" s="19">
        <v>2.7415259999999999</v>
      </c>
      <c r="O235" s="19">
        <v>2.1341999999999999</v>
      </c>
      <c r="P235" s="19">
        <v>1.48</v>
      </c>
      <c r="Q235" s="19">
        <v>1.8087599999999999</v>
      </c>
      <c r="R235" s="19">
        <v>1.53</v>
      </c>
      <c r="S235" s="19">
        <v>1.58786</v>
      </c>
      <c r="T235" s="19">
        <v>1.53</v>
      </c>
      <c r="U235" s="19">
        <v>1.6143700000000001</v>
      </c>
      <c r="V235" s="19">
        <v>1.53</v>
      </c>
      <c r="W235" s="19">
        <v>3.9609700000000001</v>
      </c>
      <c r="X235" s="19">
        <v>1.53</v>
      </c>
      <c r="Y235" s="19">
        <v>3.9609700000000001</v>
      </c>
      <c r="Z235" s="4"/>
      <c r="AA235" s="4"/>
      <c r="AB235" s="4" t="e">
        <f ca="1">_xll.ciqfunctions.udf.CIQ("^SPX", "IQ_PRICEDATE", "11/25/2014")</f>
        <v>#NAME?</v>
      </c>
      <c r="AC235" s="16">
        <v>2067.0345340898002</v>
      </c>
    </row>
    <row r="236" spans="1:29" x14ac:dyDescent="0.35">
      <c r="A236" s="2" t="s">
        <v>246</v>
      </c>
      <c r="B236" s="4" t="s">
        <v>1139</v>
      </c>
      <c r="C236" s="4" t="s">
        <v>530</v>
      </c>
      <c r="D236" s="4" t="s">
        <v>531</v>
      </c>
      <c r="E236" s="4" t="s">
        <v>569</v>
      </c>
      <c r="F236" s="4" t="s">
        <v>570</v>
      </c>
      <c r="G236" s="14">
        <v>328.08</v>
      </c>
      <c r="H236" s="10">
        <v>12.340733</v>
      </c>
      <c r="I236" s="10">
        <v>33.914434</v>
      </c>
      <c r="J236" s="10">
        <v>7.4929399999999999</v>
      </c>
      <c r="K236" s="15">
        <v>6.0960000000000007E-3</v>
      </c>
      <c r="L236" s="17">
        <v>45197.418569000001</v>
      </c>
      <c r="M236" s="4" t="s">
        <v>1140</v>
      </c>
      <c r="N236" s="19">
        <v>9.6737570000000002</v>
      </c>
      <c r="O236" s="19">
        <v>15.735300000000001</v>
      </c>
      <c r="P236" s="19">
        <v>16.809999999999999</v>
      </c>
      <c r="Q236" s="19">
        <v>11.841200000000001</v>
      </c>
      <c r="R236" s="19">
        <v>4.07</v>
      </c>
      <c r="S236" s="19">
        <v>10.41</v>
      </c>
      <c r="T236" s="19">
        <v>4.07</v>
      </c>
      <c r="U236" s="19">
        <v>8.5888000000000009</v>
      </c>
      <c r="V236" s="19">
        <v>7.36</v>
      </c>
      <c r="W236" s="19">
        <v>8.5393000000000008</v>
      </c>
      <c r="X236" s="19">
        <v>7.36</v>
      </c>
      <c r="Y236" s="19">
        <v>8.5393000000000008</v>
      </c>
      <c r="Z236" s="4"/>
      <c r="AA236" s="4"/>
      <c r="AB236" s="4" t="e">
        <f ca="1">_xll.ciqfunctions.udf.CIQ("^SPX", "IQ_PRICEDATE", "11/26/2014")</f>
        <v>#NAME?</v>
      </c>
      <c r="AC236" s="16">
        <v>2072.8294926639001</v>
      </c>
    </row>
    <row r="237" spans="1:29" x14ac:dyDescent="0.35">
      <c r="A237" s="2" t="s">
        <v>247</v>
      </c>
      <c r="B237" s="4" t="s">
        <v>1141</v>
      </c>
      <c r="C237" s="4" t="s">
        <v>573</v>
      </c>
      <c r="D237" s="4" t="s">
        <v>737</v>
      </c>
      <c r="E237" s="4" t="s">
        <v>737</v>
      </c>
      <c r="F237" s="4" t="s">
        <v>743</v>
      </c>
      <c r="G237" s="14">
        <v>14.39</v>
      </c>
      <c r="H237" s="10">
        <v>0</v>
      </c>
      <c r="I237" s="10">
        <v>12.197695</v>
      </c>
      <c r="J237" s="10">
        <v>1.996961</v>
      </c>
      <c r="K237" s="15">
        <v>3.8915000000000005E-2</v>
      </c>
      <c r="L237" s="17">
        <v>15889.820817</v>
      </c>
      <c r="M237" s="4" t="s">
        <v>1142</v>
      </c>
      <c r="N237" s="19">
        <v>1.1797310000000001</v>
      </c>
      <c r="O237" s="19">
        <v>1.3174999999999999</v>
      </c>
      <c r="P237" s="19">
        <v>1.0042359999999999</v>
      </c>
      <c r="Q237" s="19">
        <v>1.0569999999999999</v>
      </c>
      <c r="R237" s="19">
        <v>0.7</v>
      </c>
      <c r="S237" s="19">
        <v>0.93700000000000006</v>
      </c>
      <c r="T237" s="19">
        <v>0.7</v>
      </c>
      <c r="U237" s="19">
        <v>0.87780000000000002</v>
      </c>
      <c r="V237" s="19">
        <v>0.72</v>
      </c>
      <c r="W237" s="19">
        <v>0.78029999999999999</v>
      </c>
      <c r="X237" s="19">
        <v>0.72</v>
      </c>
      <c r="Y237" s="19">
        <v>0.78029999999999999</v>
      </c>
      <c r="Z237" s="4"/>
      <c r="AA237" s="4"/>
      <c r="AB237" s="4" t="e">
        <f ca="1">_xll.ciqfunctions.udf.CIQ("^SPX", "IQ_PRICEDATE", "11/28/2014")</f>
        <v>#NAME?</v>
      </c>
      <c r="AC237" s="16">
        <v>2067.5620445270001</v>
      </c>
    </row>
    <row r="238" spans="1:29" x14ac:dyDescent="0.35">
      <c r="A238" s="2" t="s">
        <v>248</v>
      </c>
      <c r="B238" s="4" t="s">
        <v>1143</v>
      </c>
      <c r="C238" s="4" t="s">
        <v>525</v>
      </c>
      <c r="D238" s="4" t="s">
        <v>526</v>
      </c>
      <c r="E238" s="4" t="s">
        <v>703</v>
      </c>
      <c r="F238" s="4" t="s">
        <v>703</v>
      </c>
      <c r="G238" s="14">
        <v>233.12</v>
      </c>
      <c r="H238" s="10">
        <v>9.6159199999999991</v>
      </c>
      <c r="I238" s="10">
        <v>17.266672</v>
      </c>
      <c r="J238" s="10" t="s">
        <v>534</v>
      </c>
      <c r="K238" s="15">
        <v>1.2354E-2</v>
      </c>
      <c r="L238" s="17">
        <v>10098.381212</v>
      </c>
      <c r="M238" s="4" t="s">
        <v>1144</v>
      </c>
      <c r="N238" s="19">
        <v>13.501154</v>
      </c>
      <c r="O238" s="19">
        <v>16.617599999999999</v>
      </c>
      <c r="P238" s="19">
        <v>10.46</v>
      </c>
      <c r="Q238" s="19">
        <v>12.1607</v>
      </c>
      <c r="R238" s="19">
        <v>12.14</v>
      </c>
      <c r="S238" s="19">
        <v>10.048999999999999</v>
      </c>
      <c r="T238" s="19">
        <v>12.14</v>
      </c>
      <c r="U238" s="19">
        <v>9.1852999999999998</v>
      </c>
      <c r="V238" s="19">
        <v>6.86</v>
      </c>
      <c r="W238" s="19">
        <v>8.0312999999999999</v>
      </c>
      <c r="X238" s="19">
        <v>6.86</v>
      </c>
      <c r="Y238" s="19">
        <v>8.0312999999999999</v>
      </c>
      <c r="Z238" s="4"/>
      <c r="AA238" s="4"/>
      <c r="AB238" s="4" t="e">
        <f ca="1">_xll.ciqfunctions.udf.CIQ("^SPX", "IQ_PRICEDATE", "12/1/2014")</f>
        <v>#NAME?</v>
      </c>
      <c r="AC238" s="16">
        <v>2053.4400601961001</v>
      </c>
    </row>
    <row r="239" spans="1:29" x14ac:dyDescent="0.35">
      <c r="A239" s="2" t="s">
        <v>249</v>
      </c>
      <c r="B239" s="4" t="s">
        <v>1145</v>
      </c>
      <c r="C239" s="4" t="s">
        <v>530</v>
      </c>
      <c r="D239" s="4" t="s">
        <v>531</v>
      </c>
      <c r="E239" s="4" t="s">
        <v>532</v>
      </c>
      <c r="F239" s="4" t="s">
        <v>533</v>
      </c>
      <c r="G239" s="14">
        <v>228.49</v>
      </c>
      <c r="H239" s="10">
        <v>38.185912999999999</v>
      </c>
      <c r="I239" s="10">
        <v>66.313771000000003</v>
      </c>
      <c r="J239" s="10" t="s">
        <v>534</v>
      </c>
      <c r="K239" s="15">
        <v>0</v>
      </c>
      <c r="L239" s="17">
        <v>19785.169364000001</v>
      </c>
      <c r="M239" s="4" t="s">
        <v>1146</v>
      </c>
      <c r="N239" s="19">
        <v>3.445589</v>
      </c>
      <c r="O239" s="19">
        <v>4.4249999999999998</v>
      </c>
      <c r="P239" s="19">
        <v>2.94</v>
      </c>
      <c r="Q239" s="19">
        <v>3.4529000000000001</v>
      </c>
      <c r="R239" s="19">
        <v>2.44</v>
      </c>
      <c r="S239" s="19">
        <v>2.7244999999999999</v>
      </c>
      <c r="T239" s="19">
        <v>2.44</v>
      </c>
      <c r="U239" s="19">
        <v>2.1274999999999999</v>
      </c>
      <c r="V239" s="19">
        <v>1.79</v>
      </c>
      <c r="W239" s="19">
        <v>2.0825</v>
      </c>
      <c r="X239" s="19">
        <v>1.79</v>
      </c>
      <c r="Y239" s="19">
        <v>2.0825</v>
      </c>
      <c r="Z239" s="4"/>
      <c r="AA239" s="4"/>
      <c r="AB239" s="4" t="e">
        <f ca="1">_xll.ciqfunctions.udf.CIQ("^SPX", "IQ_PRICEDATE", "12/2/2014")</f>
        <v>#NAME?</v>
      </c>
      <c r="AC239" s="16">
        <v>2066.5486235941999</v>
      </c>
    </row>
    <row r="240" spans="1:29" x14ac:dyDescent="0.35">
      <c r="A240" s="2" t="s">
        <v>250</v>
      </c>
      <c r="B240" s="4" t="s">
        <v>1147</v>
      </c>
      <c r="C240" s="4" t="s">
        <v>525</v>
      </c>
      <c r="D240" s="4" t="s">
        <v>855</v>
      </c>
      <c r="E240" s="4" t="s">
        <v>990</v>
      </c>
      <c r="F240" s="4" t="s">
        <v>991</v>
      </c>
      <c r="G240" s="14">
        <v>52.57</v>
      </c>
      <c r="H240" s="10">
        <v>20.822817000000001</v>
      </c>
      <c r="I240" s="10">
        <v>38.133440999999998</v>
      </c>
      <c r="J240" s="10" t="s">
        <v>534</v>
      </c>
      <c r="K240" s="15">
        <v>0</v>
      </c>
      <c r="L240" s="17">
        <v>20721.266089000001</v>
      </c>
      <c r="M240" s="4" t="s">
        <v>1148</v>
      </c>
      <c r="N240" s="19">
        <v>1.3785799999999999</v>
      </c>
      <c r="O240" s="19">
        <v>2.4763999999999999</v>
      </c>
      <c r="P240" s="19">
        <v>1</v>
      </c>
      <c r="Q240" s="19">
        <v>2.1244999999999998</v>
      </c>
      <c r="R240" s="19">
        <v>0.45</v>
      </c>
      <c r="S240" s="19">
        <v>1.9504999999999999</v>
      </c>
      <c r="T240" s="19">
        <v>0.45</v>
      </c>
      <c r="U240" s="19">
        <v>0</v>
      </c>
      <c r="V240" s="19">
        <v>0.72</v>
      </c>
      <c r="W240" s="19">
        <v>0</v>
      </c>
      <c r="X240" s="19">
        <v>0.72</v>
      </c>
      <c r="Y240" s="19">
        <v>0</v>
      </c>
      <c r="Z240" s="4"/>
      <c r="AA240" s="4"/>
      <c r="AB240" s="4" t="e">
        <f ca="1">_xll.ciqfunctions.udf.CIQ("^SPX", "IQ_PRICEDATE", "12/3/2014")</f>
        <v>#NAME?</v>
      </c>
      <c r="AC240" s="16">
        <v>2074.3346391546002</v>
      </c>
    </row>
    <row r="241" spans="1:29" x14ac:dyDescent="0.35">
      <c r="A241" s="2" t="s">
        <v>251</v>
      </c>
      <c r="B241" s="4" t="s">
        <v>1149</v>
      </c>
      <c r="C241" s="4" t="s">
        <v>525</v>
      </c>
      <c r="D241" s="4" t="s">
        <v>526</v>
      </c>
      <c r="E241" s="4" t="s">
        <v>803</v>
      </c>
      <c r="F241" s="4" t="s">
        <v>948</v>
      </c>
      <c r="G241" s="14">
        <v>132.01</v>
      </c>
      <c r="H241" s="10">
        <v>12.407420999999999</v>
      </c>
      <c r="I241" s="10">
        <v>24.096838000000002</v>
      </c>
      <c r="J241" s="10" t="s">
        <v>534</v>
      </c>
      <c r="K241" s="15">
        <v>3.0299999999999997E-2</v>
      </c>
      <c r="L241" s="17">
        <v>44269.946494000003</v>
      </c>
      <c r="M241" s="4" t="s">
        <v>1150</v>
      </c>
      <c r="N241" s="19">
        <v>5.4783119999999998</v>
      </c>
      <c r="O241" s="19">
        <v>7.8270999999999997</v>
      </c>
      <c r="P241" s="19">
        <v>4.8600000000000003</v>
      </c>
      <c r="Q241" s="19">
        <v>7.0208000000000004</v>
      </c>
      <c r="R241" s="19">
        <v>5.7</v>
      </c>
      <c r="S241" s="19">
        <v>6.0159000000000002</v>
      </c>
      <c r="T241" s="19">
        <v>5.7</v>
      </c>
      <c r="U241" s="19">
        <v>5.3254000000000001</v>
      </c>
      <c r="V241" s="19">
        <v>4.67</v>
      </c>
      <c r="W241" s="19">
        <v>5.1177999999999999</v>
      </c>
      <c r="X241" s="19">
        <v>4.67</v>
      </c>
      <c r="Y241" s="19">
        <v>5.1177999999999999</v>
      </c>
      <c r="Z241" s="4"/>
      <c r="AA241" s="4"/>
      <c r="AB241" s="4" t="e">
        <f ca="1">_xll.ciqfunctions.udf.CIQ("^SPX", "IQ_PRICEDATE", "12/4/2014")</f>
        <v>#NAME?</v>
      </c>
      <c r="AC241" s="16">
        <v>2071.9155710278001</v>
      </c>
    </row>
    <row r="242" spans="1:29" x14ac:dyDescent="0.35">
      <c r="A242" s="2" t="s">
        <v>252</v>
      </c>
      <c r="B242" s="4" t="s">
        <v>1151</v>
      </c>
      <c r="C242" s="4" t="s">
        <v>530</v>
      </c>
      <c r="D242" s="4" t="s">
        <v>537</v>
      </c>
      <c r="E242" s="4" t="s">
        <v>583</v>
      </c>
      <c r="F242" s="4" t="s">
        <v>583</v>
      </c>
      <c r="G242" s="14">
        <v>328.96</v>
      </c>
      <c r="H242" s="10">
        <v>46.618369999999999</v>
      </c>
      <c r="I242" s="10">
        <v>74.801428000000001</v>
      </c>
      <c r="J242" s="10">
        <v>21.772679</v>
      </c>
      <c r="K242" s="15">
        <v>0</v>
      </c>
      <c r="L242" s="17">
        <v>48357.120000000003</v>
      </c>
      <c r="M242" s="4" t="s">
        <v>1152</v>
      </c>
      <c r="N242" s="19">
        <v>4.3977769999999996</v>
      </c>
      <c r="O242" s="19">
        <v>5.5975000000000001</v>
      </c>
      <c r="P242" s="19">
        <v>4.92</v>
      </c>
      <c r="Q242" s="19">
        <v>4.4610000000000003</v>
      </c>
      <c r="R242" s="19">
        <v>2.9797060000000002</v>
      </c>
      <c r="S242" s="19">
        <v>3.5125000000000002</v>
      </c>
      <c r="T242" s="19">
        <v>2.9797060000000002</v>
      </c>
      <c r="U242" s="19">
        <v>3.5518000000000001</v>
      </c>
      <c r="V242" s="19">
        <v>2.37</v>
      </c>
      <c r="W242" s="19">
        <v>3.0598000000000001</v>
      </c>
      <c r="X242" s="19">
        <v>2.37</v>
      </c>
      <c r="Y242" s="19">
        <v>3.0598000000000001</v>
      </c>
      <c r="Z242" s="4"/>
      <c r="AA242" s="4"/>
      <c r="AB242" s="4" t="e">
        <f ca="1">_xll.ciqfunctions.udf.CIQ("^SPX", "IQ_PRICEDATE", "12/5/2014")</f>
        <v>#NAME?</v>
      </c>
      <c r="AC242" s="16">
        <v>2075.3681926275999</v>
      </c>
    </row>
    <row r="243" spans="1:29" x14ac:dyDescent="0.35">
      <c r="A243" s="2" t="s">
        <v>253</v>
      </c>
      <c r="B243" s="4" t="s">
        <v>1153</v>
      </c>
      <c r="C243" s="4" t="s">
        <v>530</v>
      </c>
      <c r="D243" s="4" t="s">
        <v>537</v>
      </c>
      <c r="E243" s="4" t="s">
        <v>538</v>
      </c>
      <c r="F243" s="4" t="s">
        <v>538</v>
      </c>
      <c r="G243" s="14">
        <v>65.040000000000006</v>
      </c>
      <c r="H243" s="10" t="s">
        <v>534</v>
      </c>
      <c r="I243" s="10" t="s">
        <v>534</v>
      </c>
      <c r="J243" s="10">
        <v>10.224328</v>
      </c>
      <c r="K243" s="15">
        <v>0</v>
      </c>
      <c r="L243" s="17">
        <v>13826.037283</v>
      </c>
      <c r="M243" s="4" t="s">
        <v>1154</v>
      </c>
      <c r="N243" s="19">
        <v>-0.48619499999999999</v>
      </c>
      <c r="O243" s="19">
        <v>1.7767999999999999</v>
      </c>
      <c r="P243" s="19">
        <v>-1.5306569999999999</v>
      </c>
      <c r="Q243" s="19">
        <v>0.2218</v>
      </c>
      <c r="R243" s="19">
        <v>0.54</v>
      </c>
      <c r="S243" s="19">
        <v>1.2790999999999999</v>
      </c>
      <c r="T243" s="19">
        <v>0.54</v>
      </c>
      <c r="U243" s="19">
        <v>0.2427</v>
      </c>
      <c r="V243" s="19">
        <v>-0.28999999999999998</v>
      </c>
      <c r="W243" s="19">
        <v>-0.30499999999999999</v>
      </c>
      <c r="X243" s="19">
        <v>-0.28999999999999998</v>
      </c>
      <c r="Y243" s="19">
        <v>-0.30499999999999999</v>
      </c>
      <c r="Z243" s="4"/>
      <c r="AA243" s="4"/>
      <c r="AB243" s="4" t="e">
        <f ca="1">_xll.ciqfunctions.udf.CIQ("^SPX", "IQ_PRICEDATE", "12/8/2014")</f>
        <v>#NAME?</v>
      </c>
      <c r="AC243" s="16">
        <v>2060.3101311963001</v>
      </c>
    </row>
    <row r="244" spans="1:29" x14ac:dyDescent="0.35">
      <c r="A244" s="2" t="s">
        <v>254</v>
      </c>
      <c r="B244" s="4" t="s">
        <v>1155</v>
      </c>
      <c r="C244" s="4" t="s">
        <v>525</v>
      </c>
      <c r="D244" s="4" t="s">
        <v>526</v>
      </c>
      <c r="E244" s="4" t="s">
        <v>803</v>
      </c>
      <c r="F244" s="4" t="s">
        <v>948</v>
      </c>
      <c r="G244" s="14">
        <v>97.52</v>
      </c>
      <c r="H244" s="10">
        <v>12.479763999999999</v>
      </c>
      <c r="I244" s="10">
        <v>17.215479999999999</v>
      </c>
      <c r="J244" s="10" t="s">
        <v>534</v>
      </c>
      <c r="K244" s="15">
        <v>2.1739000000000001E-2</v>
      </c>
      <c r="L244" s="17">
        <v>23922.588876000002</v>
      </c>
      <c r="M244" s="4" t="s">
        <v>1156</v>
      </c>
      <c r="N244" s="19">
        <v>5.664669</v>
      </c>
      <c r="O244" s="19">
        <v>5.9066999999999998</v>
      </c>
      <c r="P244" s="19">
        <v>5.14</v>
      </c>
      <c r="Q244" s="19">
        <v>4.9977999999999998</v>
      </c>
      <c r="R244" s="19">
        <v>5.52</v>
      </c>
      <c r="S244" s="19">
        <v>4.3587999999999996</v>
      </c>
      <c r="T244" s="19">
        <v>5.52</v>
      </c>
      <c r="U244" s="19">
        <v>3.9148000000000001</v>
      </c>
      <c r="V244" s="19">
        <v>3.27</v>
      </c>
      <c r="W244" s="19">
        <v>3.6715</v>
      </c>
      <c r="X244" s="19">
        <v>3.27</v>
      </c>
      <c r="Y244" s="19">
        <v>3.6715</v>
      </c>
      <c r="Z244" s="4"/>
      <c r="AA244" s="4"/>
      <c r="AB244" s="4" t="e">
        <f ca="1">_xll.ciqfunctions.udf.CIQ("^SPX", "IQ_PRICEDATE", "12/9/2014")</f>
        <v>#NAME?</v>
      </c>
      <c r="AC244" s="16">
        <v>2059.8161266401999</v>
      </c>
    </row>
    <row r="245" spans="1:29" x14ac:dyDescent="0.35">
      <c r="A245" s="2" t="s">
        <v>255</v>
      </c>
      <c r="B245" s="4" t="s">
        <v>1157</v>
      </c>
      <c r="C245" s="4" t="s">
        <v>543</v>
      </c>
      <c r="D245" s="4" t="s">
        <v>565</v>
      </c>
      <c r="E245" s="4" t="s">
        <v>565</v>
      </c>
      <c r="F245" s="4" t="s">
        <v>566</v>
      </c>
      <c r="G245" s="14">
        <v>45.89</v>
      </c>
      <c r="H245" s="10">
        <v>7.8529540000000004</v>
      </c>
      <c r="I245" s="10">
        <v>16.549143999999998</v>
      </c>
      <c r="J245" s="10">
        <v>6.2979580000000004</v>
      </c>
      <c r="K245" s="15">
        <v>2.6148999999999999E-2</v>
      </c>
      <c r="L245" s="17">
        <v>211598.79</v>
      </c>
      <c r="M245" s="4" t="s">
        <v>1158</v>
      </c>
      <c r="N245" s="19">
        <v>2.7729529999999998</v>
      </c>
      <c r="O245" s="19">
        <v>4.1656000000000004</v>
      </c>
      <c r="P245" s="19">
        <v>1.99</v>
      </c>
      <c r="Q245" s="19">
        <v>3.2406999999999999</v>
      </c>
      <c r="R245" s="19">
        <v>2.12</v>
      </c>
      <c r="S245" s="19">
        <v>2.7601</v>
      </c>
      <c r="T245" s="19">
        <v>2.12</v>
      </c>
      <c r="U245" s="19">
        <v>2.3210999999999999</v>
      </c>
      <c r="V245" s="19">
        <v>2.31</v>
      </c>
      <c r="W245" s="19">
        <v>2.3691</v>
      </c>
      <c r="X245" s="19">
        <v>2.31</v>
      </c>
      <c r="Y245" s="19">
        <v>2.3691</v>
      </c>
      <c r="Z245" s="4"/>
      <c r="AA245" s="4"/>
      <c r="AB245" s="4" t="e">
        <f ca="1">_xll.ciqfunctions.udf.CIQ("^SPX", "IQ_PRICEDATE", "12/10/2014")</f>
        <v>#NAME?</v>
      </c>
      <c r="AC245" s="16">
        <v>2026.1434555635999</v>
      </c>
    </row>
    <row r="246" spans="1:29" x14ac:dyDescent="0.35">
      <c r="A246" s="2" t="s">
        <v>256</v>
      </c>
      <c r="B246" s="4" t="s">
        <v>1159</v>
      </c>
      <c r="C246" s="4" t="s">
        <v>573</v>
      </c>
      <c r="D246" s="4" t="s">
        <v>574</v>
      </c>
      <c r="E246" s="4" t="s">
        <v>575</v>
      </c>
      <c r="F246" s="4" t="s">
        <v>807</v>
      </c>
      <c r="G246" s="14">
        <v>73.569999999999993</v>
      </c>
      <c r="H246" s="10">
        <v>16.175283</v>
      </c>
      <c r="I246" s="10">
        <v>17.216322999999999</v>
      </c>
      <c r="J246" s="10" t="s">
        <v>534</v>
      </c>
      <c r="K246" s="15">
        <v>1.3047999999999999E-2</v>
      </c>
      <c r="L246" s="17">
        <v>42187.726394999998</v>
      </c>
      <c r="M246" s="4" t="s">
        <v>1160</v>
      </c>
      <c r="N246" s="19">
        <v>4.2732700000000001</v>
      </c>
      <c r="O246" s="19">
        <v>3.5750999999999999</v>
      </c>
      <c r="P246" s="19">
        <v>4.2300000000000004</v>
      </c>
      <c r="Q246" s="19">
        <v>3.2305000000000001</v>
      </c>
      <c r="R246" s="19">
        <v>2.37</v>
      </c>
      <c r="S246" s="19">
        <v>2.9710999999999999</v>
      </c>
      <c r="T246" s="19">
        <v>2.37</v>
      </c>
      <c r="U246" s="19">
        <v>2.6977000000000002</v>
      </c>
      <c r="V246" s="19">
        <v>1.69</v>
      </c>
      <c r="W246" s="19">
        <v>2.2726000000000002</v>
      </c>
      <c r="X246" s="19">
        <v>1.69</v>
      </c>
      <c r="Y246" s="19">
        <v>2.2726000000000002</v>
      </c>
      <c r="Z246" s="4"/>
      <c r="AA246" s="4"/>
      <c r="AB246" s="4" t="e">
        <f ca="1">_xll.ciqfunctions.udf.CIQ("^SPX", "IQ_PRICEDATE", "12/11/2014")</f>
        <v>#NAME?</v>
      </c>
      <c r="AC246" s="16">
        <v>2035.3266285533</v>
      </c>
    </row>
    <row r="247" spans="1:29" x14ac:dyDescent="0.35">
      <c r="A247" s="2" t="s">
        <v>257</v>
      </c>
      <c r="B247" s="4" t="s">
        <v>1161</v>
      </c>
      <c r="C247" s="4" t="s">
        <v>543</v>
      </c>
      <c r="D247" s="4" t="s">
        <v>544</v>
      </c>
      <c r="E247" s="4" t="s">
        <v>545</v>
      </c>
      <c r="F247" s="4" t="s">
        <v>546</v>
      </c>
      <c r="G247" s="14">
        <v>134.05000000000001</v>
      </c>
      <c r="H247" s="10">
        <v>9.2836680000000005</v>
      </c>
      <c r="I247" s="10">
        <v>21.612307999999999</v>
      </c>
      <c r="J247" s="10" t="s">
        <v>534</v>
      </c>
      <c r="K247" s="15">
        <v>4.6848000000000001E-2</v>
      </c>
      <c r="L247" s="17">
        <v>122356.57573500001</v>
      </c>
      <c r="M247" s="4" t="s">
        <v>1162</v>
      </c>
      <c r="N247" s="19">
        <v>6.2024840000000001</v>
      </c>
      <c r="O247" s="19">
        <v>13.776300000000001</v>
      </c>
      <c r="P247" s="19">
        <v>6.1404820000000004</v>
      </c>
      <c r="Q247" s="19">
        <v>14.017099999999999</v>
      </c>
      <c r="R247" s="19">
        <v>12.39</v>
      </c>
      <c r="S247" s="19">
        <v>14.0162</v>
      </c>
      <c r="T247" s="19">
        <v>12.39</v>
      </c>
      <c r="U247" s="19">
        <v>14.968299999999999</v>
      </c>
      <c r="V247" s="19">
        <v>15.593061000000001</v>
      </c>
      <c r="W247" s="19">
        <v>16.736899999999999</v>
      </c>
      <c r="X247" s="19">
        <v>15.593061000000001</v>
      </c>
      <c r="Y247" s="19">
        <v>16.736899999999999</v>
      </c>
      <c r="Z247" s="4"/>
      <c r="AA247" s="4"/>
      <c r="AB247" s="4" t="e">
        <f ca="1">_xll.ciqfunctions.udf.CIQ("^SPX", "IQ_PRICEDATE", "12/12/2014")</f>
        <v>#NAME?</v>
      </c>
      <c r="AC247" s="16">
        <v>2002.3342396802</v>
      </c>
    </row>
    <row r="248" spans="1:29" x14ac:dyDescent="0.35">
      <c r="A248" s="2" t="s">
        <v>258</v>
      </c>
      <c r="B248" s="4" t="s">
        <v>1163</v>
      </c>
      <c r="C248" s="4" t="s">
        <v>586</v>
      </c>
      <c r="D248" s="4" t="s">
        <v>586</v>
      </c>
      <c r="E248" s="4" t="s">
        <v>587</v>
      </c>
      <c r="F248" s="4" t="s">
        <v>598</v>
      </c>
      <c r="G248" s="14">
        <v>138.22999999999999</v>
      </c>
      <c r="H248" s="10">
        <v>20.308163</v>
      </c>
      <c r="I248" s="10">
        <v>36.862974000000001</v>
      </c>
      <c r="J248" s="10">
        <v>52.070168000000002</v>
      </c>
      <c r="K248" s="15">
        <v>2.1124E-2</v>
      </c>
      <c r="L248" s="17">
        <v>14742.229499999999</v>
      </c>
      <c r="M248" s="4" t="s">
        <v>1164</v>
      </c>
      <c r="N248" s="19">
        <v>3.7498330000000002</v>
      </c>
      <c r="O248" s="19">
        <v>6.1638000000000002</v>
      </c>
      <c r="P248" s="19">
        <v>3.72</v>
      </c>
      <c r="Q248" s="19">
        <v>6.1523000000000003</v>
      </c>
      <c r="R248" s="19">
        <v>5.05</v>
      </c>
      <c r="S248" s="19">
        <v>5.76</v>
      </c>
      <c r="T248" s="19">
        <v>5.05</v>
      </c>
      <c r="U248" s="19">
        <v>5.4825999999999997</v>
      </c>
      <c r="V248" s="19">
        <v>5.0599999999999996</v>
      </c>
      <c r="W248" s="19">
        <v>5.3129999999999997</v>
      </c>
      <c r="X248" s="19">
        <v>5.0599999999999996</v>
      </c>
      <c r="Y248" s="19">
        <v>5.3129999999999997</v>
      </c>
      <c r="Z248" s="4"/>
      <c r="AA248" s="4"/>
      <c r="AB248" s="4" t="e">
        <f ca="1">_xll.ciqfunctions.udf.CIQ("^SPX", "IQ_PRICEDATE", "12/15/2014")</f>
        <v>#NAME?</v>
      </c>
      <c r="AC248" s="16">
        <v>1989.6307630511999</v>
      </c>
    </row>
    <row r="249" spans="1:29" x14ac:dyDescent="0.35">
      <c r="A249" s="2" t="s">
        <v>259</v>
      </c>
      <c r="B249" s="4" t="s">
        <v>1165</v>
      </c>
      <c r="C249" s="4" t="s">
        <v>586</v>
      </c>
      <c r="D249" s="4" t="s">
        <v>586</v>
      </c>
      <c r="E249" s="4" t="s">
        <v>726</v>
      </c>
      <c r="F249" s="4" t="s">
        <v>727</v>
      </c>
      <c r="G249" s="14">
        <v>43.2</v>
      </c>
      <c r="H249" s="10">
        <v>7.1976259999999996</v>
      </c>
      <c r="I249" s="10">
        <v>6.9000849999999998</v>
      </c>
      <c r="J249" s="10">
        <v>5.0965030000000002</v>
      </c>
      <c r="K249" s="15">
        <v>4.6295999999999997E-2</v>
      </c>
      <c r="L249" s="17">
        <v>17663.532407999999</v>
      </c>
      <c r="M249" s="4" t="s">
        <v>1166</v>
      </c>
      <c r="N249" s="19">
        <v>6.2607920000000004</v>
      </c>
      <c r="O249" s="19">
        <v>5.5339</v>
      </c>
      <c r="P249" s="19">
        <v>5.05</v>
      </c>
      <c r="Q249" s="19">
        <v>4.3665000000000003</v>
      </c>
      <c r="R249" s="19">
        <v>1.93</v>
      </c>
      <c r="S249" s="19">
        <v>3.7856999999999998</v>
      </c>
      <c r="T249" s="19">
        <v>1.93</v>
      </c>
      <c r="U249" s="19">
        <v>3.8092000000000001</v>
      </c>
      <c r="V249" s="19">
        <v>1.31</v>
      </c>
      <c r="W249" s="19">
        <v>3.6678000000000002</v>
      </c>
      <c r="X249" s="19">
        <v>1.31</v>
      </c>
      <c r="Y249" s="19">
        <v>3.6678000000000002</v>
      </c>
      <c r="Z249" s="4"/>
      <c r="AA249" s="4"/>
      <c r="AB249" s="4" t="e">
        <f ca="1">_xll.ciqfunctions.udf.CIQ("^SPX", "IQ_PRICEDATE", "12/16/2014")</f>
        <v>#NAME?</v>
      </c>
      <c r="AC249" s="16">
        <v>1972.7364597573001</v>
      </c>
    </row>
    <row r="250" spans="1:29" x14ac:dyDescent="0.35">
      <c r="A250" s="2" t="s">
        <v>260</v>
      </c>
      <c r="B250" s="4" t="s">
        <v>1167</v>
      </c>
      <c r="C250" s="4" t="s">
        <v>543</v>
      </c>
      <c r="D250" s="4" t="s">
        <v>544</v>
      </c>
      <c r="E250" s="4" t="s">
        <v>555</v>
      </c>
      <c r="F250" s="4" t="s">
        <v>556</v>
      </c>
      <c r="G250" s="14">
        <v>218.83</v>
      </c>
      <c r="H250" s="10">
        <v>31.888824</v>
      </c>
      <c r="I250" s="10">
        <v>47.161636999999999</v>
      </c>
      <c r="J250" s="10">
        <v>82.980863999999997</v>
      </c>
      <c r="K250" s="15">
        <v>8.5909999999999997E-3</v>
      </c>
      <c r="L250" s="17">
        <v>56605.110605000002</v>
      </c>
      <c r="M250" s="4" t="s">
        <v>1168</v>
      </c>
      <c r="N250" s="19">
        <v>4.6399999999999997</v>
      </c>
      <c r="O250" s="19">
        <v>6.4806299999999997</v>
      </c>
      <c r="P250" s="19">
        <v>3.7771970000000001</v>
      </c>
      <c r="Q250" s="19">
        <v>4.9840999999999998</v>
      </c>
      <c r="R250" s="19">
        <v>3.076711</v>
      </c>
      <c r="S250" s="19">
        <v>4.4196</v>
      </c>
      <c r="T250" s="19">
        <v>3.076711</v>
      </c>
      <c r="U250" s="19">
        <v>3.5710999999999999</v>
      </c>
      <c r="V250" s="19">
        <v>2.8676759999999999</v>
      </c>
      <c r="W250" s="19">
        <v>2.5811999999999999</v>
      </c>
      <c r="X250" s="19">
        <v>2.8676759999999999</v>
      </c>
      <c r="Y250" s="19">
        <v>2.5811999999999999</v>
      </c>
      <c r="Z250" s="4"/>
      <c r="AA250" s="4"/>
      <c r="AB250" s="4" t="e">
        <f ca="1">_xll.ciqfunctions.udf.CIQ("^SPX", "IQ_PRICEDATE", "12/17/2014")</f>
        <v>#NAME?</v>
      </c>
      <c r="AC250" s="16">
        <v>2012.8859796547999</v>
      </c>
    </row>
    <row r="251" spans="1:29" x14ac:dyDescent="0.35">
      <c r="A251" s="2" t="s">
        <v>261</v>
      </c>
      <c r="B251" s="4" t="s">
        <v>1169</v>
      </c>
      <c r="C251" s="4" t="s">
        <v>530</v>
      </c>
      <c r="D251" s="4" t="s">
        <v>531</v>
      </c>
      <c r="E251" s="4" t="s">
        <v>532</v>
      </c>
      <c r="F251" s="4" t="s">
        <v>533</v>
      </c>
      <c r="G251" s="14">
        <v>542.91</v>
      </c>
      <c r="H251" s="10">
        <v>44.728051000000001</v>
      </c>
      <c r="I251" s="10">
        <v>80.058972999999995</v>
      </c>
      <c r="J251" s="10">
        <v>11.144607000000001</v>
      </c>
      <c r="K251" s="15">
        <v>0</v>
      </c>
      <c r="L251" s="17">
        <v>61754.706258999999</v>
      </c>
      <c r="M251" s="4" t="s">
        <v>1170</v>
      </c>
      <c r="N251" s="19">
        <v>6.7813759999999998</v>
      </c>
      <c r="O251" s="19">
        <v>11.362399999999999</v>
      </c>
      <c r="P251" s="19">
        <v>5.67</v>
      </c>
      <c r="Q251" s="19">
        <v>8.8413000000000004</v>
      </c>
      <c r="R251" s="19">
        <v>6.24</v>
      </c>
      <c r="S251" s="19">
        <v>7.8052000000000001</v>
      </c>
      <c r="T251" s="19">
        <v>6.24</v>
      </c>
      <c r="U251" s="19">
        <v>6.3647</v>
      </c>
      <c r="V251" s="19">
        <v>3.7033</v>
      </c>
      <c r="W251" s="19">
        <v>5.6635999999999997</v>
      </c>
      <c r="X251" s="19">
        <v>3.7033</v>
      </c>
      <c r="Y251" s="19">
        <v>5.6635999999999997</v>
      </c>
      <c r="Z251" s="4"/>
      <c r="AA251" s="4"/>
      <c r="AB251" s="4" t="e">
        <f ca="1">_xll.ciqfunctions.udf.CIQ("^SPX", "IQ_PRICEDATE", "12/18/2014")</f>
        <v>#NAME?</v>
      </c>
      <c r="AC251" s="16">
        <v>2061.2301186246</v>
      </c>
    </row>
    <row r="252" spans="1:29" x14ac:dyDescent="0.35">
      <c r="A252" s="2" t="s">
        <v>262</v>
      </c>
      <c r="B252" s="4" t="s">
        <v>1171</v>
      </c>
      <c r="C252" s="4" t="s">
        <v>573</v>
      </c>
      <c r="D252" s="4" t="s">
        <v>574</v>
      </c>
      <c r="E252" s="4" t="s">
        <v>575</v>
      </c>
      <c r="F252" s="4" t="s">
        <v>576</v>
      </c>
      <c r="G252" s="14">
        <v>20.94</v>
      </c>
      <c r="H252" s="10">
        <v>9.7137360000000008</v>
      </c>
      <c r="I252" s="10">
        <v>7.3317629999999996</v>
      </c>
      <c r="J252" s="10" t="s">
        <v>534</v>
      </c>
      <c r="K252" s="15">
        <v>5.7305999999999996E-2</v>
      </c>
      <c r="L252" s="17">
        <v>8603.1766779999998</v>
      </c>
      <c r="M252" s="4" t="s">
        <v>1172</v>
      </c>
      <c r="N252" s="19">
        <v>2.8560660000000002</v>
      </c>
      <c r="O252" s="19">
        <v>2.6720000000000002</v>
      </c>
      <c r="P252" s="19">
        <v>2.75</v>
      </c>
      <c r="Q252" s="19">
        <v>2.8094000000000001</v>
      </c>
      <c r="R252" s="19">
        <v>2.0598019999999999</v>
      </c>
      <c r="S252" s="19">
        <v>2.5004</v>
      </c>
      <c r="T252" s="19">
        <v>2.0598019999999999</v>
      </c>
      <c r="U252" s="19">
        <v>2.5954999999999999</v>
      </c>
      <c r="V252" s="19">
        <v>2.2794599999999998</v>
      </c>
      <c r="W252" s="19">
        <v>2.6703999999999999</v>
      </c>
      <c r="X252" s="19">
        <v>2.2794599999999998</v>
      </c>
      <c r="Y252" s="19">
        <v>2.6703999999999999</v>
      </c>
      <c r="Z252" s="4"/>
      <c r="AA252" s="4"/>
      <c r="AB252" s="4" t="e">
        <f ca="1">_xll.ciqfunctions.udf.CIQ("^SPX", "IQ_PRICEDATE", "12/19/2014")</f>
        <v>#NAME?</v>
      </c>
      <c r="AC252" s="16">
        <v>2070.6469553891998</v>
      </c>
    </row>
    <row r="253" spans="1:29" x14ac:dyDescent="0.35">
      <c r="A253" s="2" t="s">
        <v>263</v>
      </c>
      <c r="B253" s="4" t="s">
        <v>1173</v>
      </c>
      <c r="C253" s="4" t="s">
        <v>543</v>
      </c>
      <c r="D253" s="4" t="s">
        <v>664</v>
      </c>
      <c r="E253" s="4" t="s">
        <v>665</v>
      </c>
      <c r="F253" s="4" t="s">
        <v>1174</v>
      </c>
      <c r="G253" s="14">
        <v>139.94</v>
      </c>
      <c r="H253" s="10">
        <v>9.4032289999999996</v>
      </c>
      <c r="I253" s="10">
        <v>19.402211000000001</v>
      </c>
      <c r="J253" s="10">
        <v>3.6402589999999999</v>
      </c>
      <c r="K253" s="15">
        <v>0</v>
      </c>
      <c r="L253" s="17">
        <v>7523.2652209999997</v>
      </c>
      <c r="M253" s="4" t="s">
        <v>1175</v>
      </c>
      <c r="N253" s="19">
        <v>7.21258</v>
      </c>
      <c r="O253" s="19">
        <v>7.3319999999999999</v>
      </c>
      <c r="P253" s="19">
        <v>6.36</v>
      </c>
      <c r="Q253" s="19">
        <v>7.5782999999999996</v>
      </c>
      <c r="R253" s="19">
        <v>4.8499999999999996</v>
      </c>
      <c r="S253" s="19">
        <v>5.2008000000000001</v>
      </c>
      <c r="T253" s="19">
        <v>4.8499999999999996</v>
      </c>
      <c r="U253" s="19">
        <v>4.9156000000000004</v>
      </c>
      <c r="V253" s="19">
        <v>3.79</v>
      </c>
      <c r="W253" s="19">
        <v>4.0875000000000004</v>
      </c>
      <c r="X253" s="19">
        <v>3.79</v>
      </c>
      <c r="Y253" s="19">
        <v>4.0875000000000004</v>
      </c>
      <c r="Z253" s="4"/>
      <c r="AA253" s="4"/>
      <c r="AB253" s="4" t="e">
        <f ca="1">_xll.ciqfunctions.udf.CIQ("^SPX", "IQ_PRICEDATE", "12/22/2014")</f>
        <v>#NAME?</v>
      </c>
      <c r="AC253" s="16">
        <v>2078.5361717518999</v>
      </c>
    </row>
    <row r="254" spans="1:29" x14ac:dyDescent="0.35">
      <c r="A254" s="2" t="s">
        <v>264</v>
      </c>
      <c r="B254" s="4" t="s">
        <v>1176</v>
      </c>
      <c r="C254" s="4" t="s">
        <v>530</v>
      </c>
      <c r="D254" s="4" t="s">
        <v>537</v>
      </c>
      <c r="E254" s="4" t="s">
        <v>583</v>
      </c>
      <c r="F254" s="4" t="s">
        <v>583</v>
      </c>
      <c r="G254" s="14">
        <v>129.38</v>
      </c>
      <c r="H254" s="10">
        <v>20.103487999999999</v>
      </c>
      <c r="I254" s="10">
        <v>21.650442999999999</v>
      </c>
      <c r="J254" s="10" t="s">
        <v>534</v>
      </c>
      <c r="K254" s="15">
        <v>0</v>
      </c>
      <c r="L254" s="17">
        <v>26210.692475</v>
      </c>
      <c r="M254" s="4" t="s">
        <v>1177</v>
      </c>
      <c r="N254" s="19">
        <v>5.9758589999999998</v>
      </c>
      <c r="O254" s="19">
        <v>5.8357000000000001</v>
      </c>
      <c r="P254" s="19">
        <v>5.88</v>
      </c>
      <c r="Q254" s="19">
        <v>5.1369999999999996</v>
      </c>
      <c r="R254" s="19">
        <v>0.76</v>
      </c>
      <c r="S254" s="19">
        <v>4.3288000000000002</v>
      </c>
      <c r="T254" s="19">
        <v>0.76</v>
      </c>
      <c r="U254" s="19">
        <v>3.5811000000000002</v>
      </c>
      <c r="V254" s="19">
        <v>2.72</v>
      </c>
      <c r="W254" s="19">
        <v>2.8815</v>
      </c>
      <c r="X254" s="19">
        <v>2.72</v>
      </c>
      <c r="Y254" s="19">
        <v>2.8815</v>
      </c>
      <c r="Z254" s="4"/>
      <c r="AA254" s="4"/>
      <c r="AB254" s="4" t="e">
        <f ca="1">_xll.ciqfunctions.udf.CIQ("^SPX", "IQ_PRICEDATE", "12/23/2014")</f>
        <v>#NAME?</v>
      </c>
      <c r="AC254" s="16">
        <v>2082.1676604115</v>
      </c>
    </row>
    <row r="255" spans="1:29" x14ac:dyDescent="0.35">
      <c r="A255" s="2" t="s">
        <v>265</v>
      </c>
      <c r="B255" s="4" t="s">
        <v>1178</v>
      </c>
      <c r="C255" s="4" t="s">
        <v>601</v>
      </c>
      <c r="D255" s="4" t="s">
        <v>601</v>
      </c>
      <c r="E255" s="4" t="s">
        <v>602</v>
      </c>
      <c r="F255" s="4" t="s">
        <v>647</v>
      </c>
      <c r="G255" s="14">
        <v>31.74</v>
      </c>
      <c r="H255" s="10">
        <v>12.41197</v>
      </c>
      <c r="I255" s="10">
        <v>46.523148999999997</v>
      </c>
      <c r="J255" s="10" t="s">
        <v>534</v>
      </c>
      <c r="K255" s="15">
        <v>7.4039000000000008E-2</v>
      </c>
      <c r="L255" s="17">
        <v>9082.2671520000004</v>
      </c>
      <c r="M255" s="4" t="s">
        <v>1179</v>
      </c>
      <c r="N255" s="19">
        <v>0.68224099999999999</v>
      </c>
      <c r="O255" s="19">
        <v>1.1133999999999999</v>
      </c>
      <c r="P255" s="19">
        <v>0.71</v>
      </c>
      <c r="Q255" s="19">
        <v>1.2918000000000001</v>
      </c>
      <c r="R255" s="19">
        <v>0.409999</v>
      </c>
      <c r="S255" s="19">
        <v>1.1473</v>
      </c>
      <c r="T255" s="19">
        <v>0.409999</v>
      </c>
      <c r="U255" s="19">
        <v>1.3130999999999999</v>
      </c>
      <c r="V255" s="19">
        <v>1.661062</v>
      </c>
      <c r="W255" s="19">
        <v>1.2966</v>
      </c>
      <c r="X255" s="19">
        <v>1.661062</v>
      </c>
      <c r="Y255" s="19">
        <v>1.2966</v>
      </c>
      <c r="Z255" s="4"/>
      <c r="AA255" s="4"/>
      <c r="AB255" s="4" t="e">
        <f ca="1">_xll.ciqfunctions.udf.CIQ("^SPX", "IQ_PRICEDATE", "12/24/2014")</f>
        <v>#NAME?</v>
      </c>
      <c r="AC255" s="16">
        <v>2081.8815308929002</v>
      </c>
    </row>
    <row r="256" spans="1:29" x14ac:dyDescent="0.35">
      <c r="A256" s="2" t="s">
        <v>266</v>
      </c>
      <c r="B256" s="4" t="s">
        <v>1180</v>
      </c>
      <c r="C256" s="4" t="s">
        <v>525</v>
      </c>
      <c r="D256" s="4" t="s">
        <v>594</v>
      </c>
      <c r="E256" s="4" t="s">
        <v>903</v>
      </c>
      <c r="F256" s="4" t="s">
        <v>1181</v>
      </c>
      <c r="G256" s="14">
        <v>112.2</v>
      </c>
      <c r="H256" s="10">
        <v>11.778181</v>
      </c>
      <c r="I256" s="10">
        <v>15.781701999999999</v>
      </c>
      <c r="J256" s="10">
        <v>5.8875690000000001</v>
      </c>
      <c r="K256" s="15">
        <v>8.5560000000000011E-3</v>
      </c>
      <c r="L256" s="17">
        <v>12268.400165999999</v>
      </c>
      <c r="M256" s="4" t="s">
        <v>1182</v>
      </c>
      <c r="N256" s="19">
        <v>7.1094989999999996</v>
      </c>
      <c r="O256" s="19">
        <v>6.1639999999999997</v>
      </c>
      <c r="P256" s="19">
        <v>6.18</v>
      </c>
      <c r="Q256" s="19">
        <v>4.1931000000000003</v>
      </c>
      <c r="R256" s="19">
        <v>3.81</v>
      </c>
      <c r="S256" s="19">
        <v>4.0339999999999998</v>
      </c>
      <c r="T256" s="19">
        <v>3.81</v>
      </c>
      <c r="U256" s="19">
        <v>3.9384000000000001</v>
      </c>
      <c r="V256" s="19">
        <v>3.16</v>
      </c>
      <c r="W256" s="19">
        <v>3.4761000000000002</v>
      </c>
      <c r="X256" s="19">
        <v>3.16</v>
      </c>
      <c r="Y256" s="19">
        <v>3.4761000000000002</v>
      </c>
      <c r="Z256" s="4"/>
      <c r="AA256" s="4"/>
      <c r="AB256" s="4" t="e">
        <f ca="1">_xll.ciqfunctions.udf.CIQ("^SPX", "IQ_PRICEDATE", "12/26/2014")</f>
        <v>#NAME?</v>
      </c>
      <c r="AC256" s="16">
        <v>2088.7660628378999</v>
      </c>
    </row>
    <row r="257" spans="1:29" x14ac:dyDescent="0.35">
      <c r="A257" s="2" t="s">
        <v>267</v>
      </c>
      <c r="B257" s="4" t="s">
        <v>1183</v>
      </c>
      <c r="C257" s="4" t="s">
        <v>525</v>
      </c>
      <c r="D257" s="4" t="s">
        <v>526</v>
      </c>
      <c r="E257" s="4" t="s">
        <v>1046</v>
      </c>
      <c r="F257" s="4" t="s">
        <v>1046</v>
      </c>
      <c r="G257" s="14">
        <v>73.849999999999994</v>
      </c>
      <c r="H257" s="10">
        <v>12.781662000000001</v>
      </c>
      <c r="I257" s="10">
        <v>33.384928000000002</v>
      </c>
      <c r="J257" s="10" t="s">
        <v>534</v>
      </c>
      <c r="K257" s="15">
        <v>8.1239999999999993E-3</v>
      </c>
      <c r="L257" s="17">
        <v>10479.617711000001</v>
      </c>
      <c r="M257" s="4" t="s">
        <v>1184</v>
      </c>
      <c r="N257" s="19">
        <v>2.2120760000000002</v>
      </c>
      <c r="O257" s="19">
        <v>5.1555</v>
      </c>
      <c r="P257" s="19">
        <v>1.9205760000000001</v>
      </c>
      <c r="Q257" s="19">
        <v>3.4943499999999998</v>
      </c>
      <c r="R257" s="19">
        <v>1.850436</v>
      </c>
      <c r="S257" s="19">
        <v>3.1346599999999998</v>
      </c>
      <c r="T257" s="19">
        <v>1.850436</v>
      </c>
      <c r="U257" s="19">
        <v>3.0944799999999999</v>
      </c>
      <c r="V257" s="19">
        <v>2.537652</v>
      </c>
      <c r="W257" s="19">
        <v>3.5872199999999999</v>
      </c>
      <c r="X257" s="19">
        <v>2.537652</v>
      </c>
      <c r="Y257" s="19">
        <v>3.5872199999999999</v>
      </c>
      <c r="Z257" s="4"/>
      <c r="AA257" s="4"/>
      <c r="AB257" s="4" t="e">
        <f ca="1">_xll.ciqfunctions.udf.CIQ("^SPX", "IQ_PRICEDATE", "12/29/2014")</f>
        <v>#NAME?</v>
      </c>
      <c r="AC257" s="16">
        <v>2090.5738632215998</v>
      </c>
    </row>
    <row r="258" spans="1:29" x14ac:dyDescent="0.35">
      <c r="A258" s="2" t="s">
        <v>268</v>
      </c>
      <c r="B258" s="4" t="s">
        <v>1185</v>
      </c>
      <c r="C258" s="4" t="s">
        <v>573</v>
      </c>
      <c r="D258" s="4" t="s">
        <v>574</v>
      </c>
      <c r="E258" s="4" t="s">
        <v>748</v>
      </c>
      <c r="F258" s="4" t="s">
        <v>749</v>
      </c>
      <c r="G258" s="14">
        <v>21.7</v>
      </c>
      <c r="H258" s="10">
        <v>10.817069999999999</v>
      </c>
      <c r="I258" s="10" t="s">
        <v>534</v>
      </c>
      <c r="J258" s="10">
        <v>0.83744099999999999</v>
      </c>
      <c r="K258" s="15">
        <v>2.3040999999999999E-2</v>
      </c>
      <c r="L258" s="17">
        <v>7233.3064400000003</v>
      </c>
      <c r="M258" s="4" t="s">
        <v>1186</v>
      </c>
      <c r="N258" s="19">
        <v>-8.6269999999999993E-3</v>
      </c>
      <c r="O258" s="19">
        <v>1.87</v>
      </c>
      <c r="P258" s="19">
        <v>0.44976100000000002</v>
      </c>
      <c r="Q258" s="19">
        <v>1.65</v>
      </c>
      <c r="R258" s="19">
        <v>0.33738600000000002</v>
      </c>
      <c r="S258" s="19">
        <v>1.085</v>
      </c>
      <c r="T258" s="19">
        <v>0.33738600000000002</v>
      </c>
      <c r="U258" s="19">
        <v>0.78</v>
      </c>
      <c r="V258" s="19">
        <v>0.57973699999999995</v>
      </c>
      <c r="W258" s="19">
        <v>-0.6</v>
      </c>
      <c r="X258" s="19">
        <v>0.57973699999999995</v>
      </c>
      <c r="Y258" s="19">
        <v>-0.6</v>
      </c>
      <c r="Z258" s="4"/>
      <c r="AA258" s="4"/>
      <c r="AB258" s="4" t="e">
        <f ca="1">_xll.ciqfunctions.udf.CIQ("^SPX", "IQ_PRICEDATE", "12/30/2014")</f>
        <v>#NAME?</v>
      </c>
      <c r="AC258" s="16">
        <v>2080.3458639493001</v>
      </c>
    </row>
    <row r="259" spans="1:29" x14ac:dyDescent="0.35">
      <c r="A259" s="2" t="s">
        <v>269</v>
      </c>
      <c r="B259" s="4" t="s">
        <v>1187</v>
      </c>
      <c r="C259" s="4" t="s">
        <v>530</v>
      </c>
      <c r="D259" s="4" t="s">
        <v>537</v>
      </c>
      <c r="E259" s="4" t="s">
        <v>613</v>
      </c>
      <c r="F259" s="4" t="s">
        <v>613</v>
      </c>
      <c r="G259" s="14">
        <v>139.46</v>
      </c>
      <c r="H259" s="10">
        <v>13.82794</v>
      </c>
      <c r="I259" s="10">
        <v>245.060483</v>
      </c>
      <c r="J259" s="10" t="s">
        <v>534</v>
      </c>
      <c r="K259" s="15">
        <v>2.5813000000000003E-2</v>
      </c>
      <c r="L259" s="17">
        <v>374137.16026700003</v>
      </c>
      <c r="M259" s="4" t="s">
        <v>1188</v>
      </c>
      <c r="N259" s="19">
        <v>0.56908400000000003</v>
      </c>
      <c r="O259" s="19">
        <v>8.3667999999999996</v>
      </c>
      <c r="P259" s="19">
        <v>0.47389999999999999</v>
      </c>
      <c r="Q259" s="19">
        <v>7.7030000000000003</v>
      </c>
      <c r="R259" s="19">
        <v>5.6973520000000004</v>
      </c>
      <c r="S259" s="19">
        <v>6.9474999999999998</v>
      </c>
      <c r="T259" s="19">
        <v>5.6973520000000004</v>
      </c>
      <c r="U259" s="19">
        <v>6.2648000000000001</v>
      </c>
      <c r="V259" s="19">
        <v>5.7006180000000004</v>
      </c>
      <c r="W259" s="19">
        <v>5.9557000000000002</v>
      </c>
      <c r="X259" s="19">
        <v>5.7006180000000004</v>
      </c>
      <c r="Y259" s="19">
        <v>5.9557000000000002</v>
      </c>
      <c r="Z259" s="4"/>
      <c r="AA259" s="4"/>
      <c r="AB259" s="4" t="e">
        <f ca="1">_xll.ciqfunctions.udf.CIQ("^SPX", "IQ_PRICEDATE", "12/31/2014")</f>
        <v>#NAME?</v>
      </c>
      <c r="AC259" s="16">
        <v>2058.9023788569002</v>
      </c>
    </row>
    <row r="260" spans="1:29" x14ac:dyDescent="0.35">
      <c r="A260" s="2" t="s">
        <v>270</v>
      </c>
      <c r="B260" s="4" t="s">
        <v>1189</v>
      </c>
      <c r="C260" s="4" t="s">
        <v>525</v>
      </c>
      <c r="D260" s="4" t="s">
        <v>526</v>
      </c>
      <c r="E260" s="4" t="s">
        <v>527</v>
      </c>
      <c r="F260" s="4" t="s">
        <v>527</v>
      </c>
      <c r="G260" s="14">
        <v>33.86</v>
      </c>
      <c r="H260" s="10">
        <v>8.6155080000000002</v>
      </c>
      <c r="I260" s="10">
        <v>13.953128</v>
      </c>
      <c r="J260" s="10" t="s">
        <v>534</v>
      </c>
      <c r="K260" s="15">
        <v>3.0714000000000002E-2</v>
      </c>
      <c r="L260" s="17">
        <v>31317.865049</v>
      </c>
      <c r="M260" s="4" t="s">
        <v>1190</v>
      </c>
      <c r="N260" s="19">
        <v>2.4266960000000002</v>
      </c>
      <c r="O260" s="19">
        <v>2.9670000000000001</v>
      </c>
      <c r="P260" s="19">
        <v>1.6118680000000001</v>
      </c>
      <c r="Q260" s="19">
        <v>2.8096299999999998</v>
      </c>
      <c r="R260" s="19">
        <v>1.111035</v>
      </c>
      <c r="S260" s="19">
        <v>2.6903999999999999</v>
      </c>
      <c r="T260" s="19">
        <v>1.111035</v>
      </c>
      <c r="U260" s="19">
        <v>3.9556200000000001</v>
      </c>
      <c r="V260" s="19">
        <v>2.1573060000000002</v>
      </c>
      <c r="W260" s="19">
        <v>3.7068099999999999</v>
      </c>
      <c r="X260" s="19">
        <v>2.1573060000000002</v>
      </c>
      <c r="Y260" s="19">
        <v>3.7068099999999999</v>
      </c>
      <c r="Z260" s="4"/>
      <c r="AA260" s="4"/>
      <c r="AB260" s="4" t="e">
        <f ca="1">_xll.ciqfunctions.udf.CIQ("^SPX", "IQ_PRICEDATE", "1/2/2015")</f>
        <v>#NAME?</v>
      </c>
      <c r="AC260" s="16">
        <v>2058.2047787243</v>
      </c>
    </row>
    <row r="261" spans="1:29" x14ac:dyDescent="0.35">
      <c r="A261" s="2" t="s">
        <v>271</v>
      </c>
      <c r="B261" s="4" t="s">
        <v>1191</v>
      </c>
      <c r="C261" s="4" t="s">
        <v>573</v>
      </c>
      <c r="D261" s="4" t="s">
        <v>737</v>
      </c>
      <c r="E261" s="4" t="s">
        <v>737</v>
      </c>
      <c r="F261" s="4" t="s">
        <v>738</v>
      </c>
      <c r="G261" s="14">
        <v>109.83</v>
      </c>
      <c r="H261" s="10">
        <v>0</v>
      </c>
      <c r="I261" s="10">
        <v>13.631594</v>
      </c>
      <c r="J261" s="10">
        <v>2.0270100000000002</v>
      </c>
      <c r="K261" s="15">
        <v>2.9135000000000001E-2</v>
      </c>
      <c r="L261" s="17">
        <v>369073.95704399998</v>
      </c>
      <c r="M261" s="4" t="s">
        <v>1192</v>
      </c>
      <c r="N261" s="19">
        <v>8.0570179999999993</v>
      </c>
      <c r="O261" s="19">
        <v>9.8957999999999995</v>
      </c>
      <c r="P261" s="19">
        <v>6.31</v>
      </c>
      <c r="Q261" s="19">
        <v>7.5556999999999999</v>
      </c>
      <c r="R261" s="19">
        <v>6.19</v>
      </c>
      <c r="S261" s="19">
        <v>6.2808000000000002</v>
      </c>
      <c r="T261" s="19">
        <v>6.19</v>
      </c>
      <c r="U261" s="19">
        <v>5.9207000000000001</v>
      </c>
      <c r="V261" s="19">
        <v>5.29</v>
      </c>
      <c r="W261" s="19">
        <v>5.8353999999999999</v>
      </c>
      <c r="X261" s="19">
        <v>5.29</v>
      </c>
      <c r="Y261" s="19">
        <v>5.8353999999999999</v>
      </c>
      <c r="Z261" s="4"/>
      <c r="AA261" s="4"/>
      <c r="AB261" s="4" t="e">
        <f ca="1">_xll.ciqfunctions.udf.CIQ("^SPX", "IQ_PRICEDATE", "1/5/2015")</f>
        <v>#NAME?</v>
      </c>
      <c r="AC261" s="16">
        <v>2020.5778843052001</v>
      </c>
    </row>
    <row r="262" spans="1:29" x14ac:dyDescent="0.35">
      <c r="A262" s="2" t="s">
        <v>272</v>
      </c>
      <c r="B262" s="4" t="s">
        <v>1193</v>
      </c>
      <c r="C262" s="4" t="s">
        <v>543</v>
      </c>
      <c r="D262" s="4" t="s">
        <v>664</v>
      </c>
      <c r="E262" s="4" t="s">
        <v>706</v>
      </c>
      <c r="F262" s="4" t="s">
        <v>706</v>
      </c>
      <c r="G262" s="14">
        <v>28.87</v>
      </c>
      <c r="H262" s="10">
        <v>9.7576499999999999</v>
      </c>
      <c r="I262" s="10">
        <v>62.486877999999997</v>
      </c>
      <c r="J262" s="10">
        <v>8.3905999999999992</v>
      </c>
      <c r="K262" s="15">
        <v>2.4938999999999999E-2</v>
      </c>
      <c r="L262" s="17">
        <v>9954.2319389999993</v>
      </c>
      <c r="M262" s="4" t="s">
        <v>1194</v>
      </c>
      <c r="N262" s="19">
        <v>0.46201700000000001</v>
      </c>
      <c r="O262" s="19">
        <v>1.8831</v>
      </c>
      <c r="P262" s="19">
        <v>0.8</v>
      </c>
      <c r="Q262" s="19">
        <v>2.0438999999999998</v>
      </c>
      <c r="R262" s="19">
        <v>1.53</v>
      </c>
      <c r="S262" s="19">
        <v>2.2212999999999998</v>
      </c>
      <c r="T262" s="19">
        <v>1.53</v>
      </c>
      <c r="U262" s="19">
        <v>2.1717</v>
      </c>
      <c r="V262" s="19">
        <v>-0.73087000000000002</v>
      </c>
      <c r="W262" s="19">
        <v>1.4215</v>
      </c>
      <c r="X262" s="19">
        <v>-0.73087000000000002</v>
      </c>
      <c r="Y262" s="19">
        <v>1.4215</v>
      </c>
      <c r="Z262" s="4"/>
      <c r="AA262" s="4"/>
      <c r="AB262" s="4" t="e">
        <f ca="1">_xll.ciqfunctions.udf.CIQ("^SPX", "IQ_PRICEDATE", "1/6/2015")</f>
        <v>#NAME?</v>
      </c>
      <c r="AC262" s="16">
        <v>2002.6135878652999</v>
      </c>
    </row>
    <row r="263" spans="1:29" x14ac:dyDescent="0.35">
      <c r="A263" s="2" t="s">
        <v>273</v>
      </c>
      <c r="B263" s="4" t="s">
        <v>1195</v>
      </c>
      <c r="C263" s="4" t="s">
        <v>525</v>
      </c>
      <c r="D263" s="4" t="s">
        <v>594</v>
      </c>
      <c r="E263" s="4" t="s">
        <v>903</v>
      </c>
      <c r="F263" s="4" t="s">
        <v>904</v>
      </c>
      <c r="G263" s="14">
        <v>104.01</v>
      </c>
      <c r="H263" s="10">
        <v>10.648586999999999</v>
      </c>
      <c r="I263" s="10">
        <v>11.040803</v>
      </c>
      <c r="J263" s="10">
        <v>2.2738339999999999</v>
      </c>
      <c r="K263" s="15">
        <v>1.3844E-2</v>
      </c>
      <c r="L263" s="17">
        <v>10625.573504</v>
      </c>
      <c r="M263" s="4" t="s">
        <v>1196</v>
      </c>
      <c r="N263" s="19">
        <v>9.4205100000000002</v>
      </c>
      <c r="O263" s="19">
        <v>6.4467999999999996</v>
      </c>
      <c r="P263" s="19">
        <v>9.16</v>
      </c>
      <c r="Q263" s="19">
        <v>5.7092000000000001</v>
      </c>
      <c r="R263" s="19">
        <v>4.43</v>
      </c>
      <c r="S263" s="19">
        <v>5.0011999999999999</v>
      </c>
      <c r="T263" s="19">
        <v>4.43</v>
      </c>
      <c r="U263" s="19">
        <v>4.6532</v>
      </c>
      <c r="V263" s="19">
        <v>4.55</v>
      </c>
      <c r="W263" s="19">
        <v>5.3170000000000002</v>
      </c>
      <c r="X263" s="19">
        <v>4.55</v>
      </c>
      <c r="Y263" s="19">
        <v>5.3170000000000002</v>
      </c>
      <c r="Z263" s="4"/>
      <c r="AA263" s="4"/>
      <c r="AB263" s="4" t="e">
        <f ca="1">_xll.ciqfunctions.udf.CIQ("^SPX", "IQ_PRICEDATE", "1/7/2015")</f>
        <v>#NAME?</v>
      </c>
      <c r="AC263" s="16">
        <v>2025.9010505617</v>
      </c>
    </row>
    <row r="264" spans="1:29" x14ac:dyDescent="0.35">
      <c r="A264" s="2" t="s">
        <v>274</v>
      </c>
      <c r="B264" s="4" t="s">
        <v>1197</v>
      </c>
      <c r="C264" s="4" t="s">
        <v>626</v>
      </c>
      <c r="D264" s="4" t="s">
        <v>627</v>
      </c>
      <c r="E264" s="4" t="s">
        <v>699</v>
      </c>
      <c r="F264" s="4" t="s">
        <v>789</v>
      </c>
      <c r="G264" s="14">
        <v>69.650000000000006</v>
      </c>
      <c r="H264" s="10">
        <v>10.42374</v>
      </c>
      <c r="I264" s="10">
        <v>13.776654000000001</v>
      </c>
      <c r="J264" s="10" t="s">
        <v>534</v>
      </c>
      <c r="K264" s="15">
        <v>3.2160000000000001E-2</v>
      </c>
      <c r="L264" s="17">
        <v>24145.750281000001</v>
      </c>
      <c r="M264" s="4" t="s">
        <v>1198</v>
      </c>
      <c r="N264" s="19">
        <v>5.0556539999999996</v>
      </c>
      <c r="O264" s="19">
        <v>4.4913999999999996</v>
      </c>
      <c r="P264" s="19">
        <v>3.62</v>
      </c>
      <c r="Q264" s="19">
        <v>4.1802999999999999</v>
      </c>
      <c r="R264" s="19">
        <v>1.96</v>
      </c>
      <c r="S264" s="19">
        <v>3.8578000000000001</v>
      </c>
      <c r="T264" s="19">
        <v>1.96</v>
      </c>
      <c r="U264" s="19">
        <v>3.6122999999999998</v>
      </c>
      <c r="V264" s="19">
        <v>4.814006</v>
      </c>
      <c r="W264" s="19">
        <v>4.0225</v>
      </c>
      <c r="X264" s="19">
        <v>4.814006</v>
      </c>
      <c r="Y264" s="19">
        <v>4.0225</v>
      </c>
      <c r="Z264" s="4"/>
      <c r="AA264" s="4"/>
      <c r="AB264" s="4" t="e">
        <f ca="1">_xll.ciqfunctions.udf.CIQ("^SPX", "IQ_PRICEDATE", "1/8/2015")</f>
        <v>#NAME?</v>
      </c>
      <c r="AC264" s="16">
        <v>2062.1435548651002</v>
      </c>
    </row>
    <row r="265" spans="1:29" x14ac:dyDescent="0.35">
      <c r="A265" s="2" t="s">
        <v>275</v>
      </c>
      <c r="B265" s="4" t="s">
        <v>1199</v>
      </c>
      <c r="C265" s="4" t="s">
        <v>573</v>
      </c>
      <c r="D265" s="4" t="s">
        <v>737</v>
      </c>
      <c r="E265" s="4" t="s">
        <v>737</v>
      </c>
      <c r="F265" s="4" t="s">
        <v>743</v>
      </c>
      <c r="G265" s="14">
        <v>18.739999999999998</v>
      </c>
      <c r="H265" s="10">
        <v>0</v>
      </c>
      <c r="I265" s="10">
        <v>14.445731</v>
      </c>
      <c r="J265" s="10">
        <v>1.7721560000000001</v>
      </c>
      <c r="K265" s="15">
        <v>3.6285999999999999E-2</v>
      </c>
      <c r="L265" s="17">
        <v>19715.156327000001</v>
      </c>
      <c r="M265" s="4" t="s">
        <v>1200</v>
      </c>
      <c r="N265" s="19">
        <v>1.297269</v>
      </c>
      <c r="O265" s="19">
        <v>1.8280000000000001</v>
      </c>
      <c r="P265" s="19">
        <v>1.1200000000000001</v>
      </c>
      <c r="Q265" s="19">
        <v>1.4718</v>
      </c>
      <c r="R265" s="19">
        <v>0.8</v>
      </c>
      <c r="S265" s="19">
        <v>1.2474000000000001</v>
      </c>
      <c r="T265" s="19">
        <v>0.8</v>
      </c>
      <c r="U265" s="19">
        <v>1.1483000000000001</v>
      </c>
      <c r="V265" s="19">
        <v>1.04</v>
      </c>
      <c r="W265" s="19">
        <v>1.0779000000000001</v>
      </c>
      <c r="X265" s="19">
        <v>1.04</v>
      </c>
      <c r="Y265" s="19">
        <v>1.0779000000000001</v>
      </c>
      <c r="Z265" s="4"/>
      <c r="AA265" s="4"/>
      <c r="AB265" s="4" t="e">
        <f ca="1">_xll.ciqfunctions.udf.CIQ("^SPX", "IQ_PRICEDATE", "1/9/2015")</f>
        <v>#NAME?</v>
      </c>
      <c r="AC265" s="16">
        <v>2044.8099000578</v>
      </c>
    </row>
    <row r="266" spans="1:29" x14ac:dyDescent="0.35">
      <c r="A266" s="2" t="s">
        <v>276</v>
      </c>
      <c r="B266" s="4" t="s">
        <v>1201</v>
      </c>
      <c r="C266" s="4" t="s">
        <v>626</v>
      </c>
      <c r="D266" s="4" t="s">
        <v>845</v>
      </c>
      <c r="E266" s="4" t="s">
        <v>846</v>
      </c>
      <c r="F266" s="4" t="s">
        <v>846</v>
      </c>
      <c r="G266" s="14">
        <v>108.82</v>
      </c>
      <c r="H266" s="10">
        <v>10.97031</v>
      </c>
      <c r="I266" s="10">
        <v>22.168955</v>
      </c>
      <c r="J266" s="10" t="s">
        <v>534</v>
      </c>
      <c r="K266" s="15">
        <v>3.6756999999999998E-2</v>
      </c>
      <c r="L266" s="17">
        <v>37832.855351999999</v>
      </c>
      <c r="M266" s="4" t="s">
        <v>1202</v>
      </c>
      <c r="N266" s="19">
        <v>4.9086660000000002</v>
      </c>
      <c r="O266" s="19">
        <v>6.6669</v>
      </c>
      <c r="P266" s="19">
        <v>6.4</v>
      </c>
      <c r="Q266" s="19">
        <v>6.4035000000000002</v>
      </c>
      <c r="R266" s="19">
        <v>5.99</v>
      </c>
      <c r="S266" s="19">
        <v>6.1612999999999998</v>
      </c>
      <c r="T266" s="19">
        <v>5.99</v>
      </c>
      <c r="U266" s="19">
        <v>6.0574000000000003</v>
      </c>
      <c r="V266" s="19">
        <v>3.91</v>
      </c>
      <c r="W266" s="19">
        <v>5.8613</v>
      </c>
      <c r="X266" s="19">
        <v>3.91</v>
      </c>
      <c r="Y266" s="19">
        <v>5.8613</v>
      </c>
      <c r="Z266" s="4"/>
      <c r="AA266" s="4"/>
      <c r="AB266" s="4" t="e">
        <f ca="1">_xll.ciqfunctions.udf.CIQ("^SPX", "IQ_PRICEDATE", "1/12/2015")</f>
        <v>#NAME?</v>
      </c>
      <c r="AC266" s="16">
        <v>2028.2638224775001</v>
      </c>
    </row>
    <row r="267" spans="1:29" x14ac:dyDescent="0.35">
      <c r="A267" s="2" t="s">
        <v>277</v>
      </c>
      <c r="B267" s="4" t="s">
        <v>1203</v>
      </c>
      <c r="C267" s="4" t="s">
        <v>601</v>
      </c>
      <c r="D267" s="4" t="s">
        <v>601</v>
      </c>
      <c r="E267" s="4" t="s">
        <v>602</v>
      </c>
      <c r="F267" s="4" t="s">
        <v>1026</v>
      </c>
      <c r="G267" s="14">
        <v>15.21</v>
      </c>
      <c r="H267" s="10">
        <v>12.975284</v>
      </c>
      <c r="I267" s="10">
        <v>14.244694000000001</v>
      </c>
      <c r="J267" s="10">
        <v>1.184458</v>
      </c>
      <c r="K267" s="15">
        <v>7.3635000000000006E-2</v>
      </c>
      <c r="L267" s="17">
        <v>6409.221939</v>
      </c>
      <c r="M267" s="4" t="s">
        <v>1204</v>
      </c>
      <c r="N267" s="19">
        <v>1.067766</v>
      </c>
      <c r="O267" s="19">
        <v>0.4889</v>
      </c>
      <c r="P267" s="19">
        <v>0.87</v>
      </c>
      <c r="Q267" s="19">
        <v>0.62929999999999997</v>
      </c>
      <c r="R267" s="19">
        <v>0.79</v>
      </c>
      <c r="S267" s="19">
        <v>0.63900000000000001</v>
      </c>
      <c r="T267" s="19">
        <v>0.79</v>
      </c>
      <c r="U267" s="19">
        <v>0.54549999999999998</v>
      </c>
      <c r="V267" s="19">
        <v>0.76270800000000005</v>
      </c>
      <c r="W267" s="19">
        <v>0.53769999999999996</v>
      </c>
      <c r="X267" s="19">
        <v>0.76270800000000005</v>
      </c>
      <c r="Y267" s="19">
        <v>0.53769999999999996</v>
      </c>
      <c r="Z267" s="4"/>
      <c r="AA267" s="4"/>
      <c r="AB267" s="4" t="e">
        <f ca="1">_xll.ciqfunctions.udf.CIQ("^SPX", "IQ_PRICEDATE", "1/13/2015")</f>
        <v>#NAME?</v>
      </c>
      <c r="AC267" s="16">
        <v>2023.0292191098999</v>
      </c>
    </row>
    <row r="268" spans="1:29" x14ac:dyDescent="0.35">
      <c r="A268" s="2" t="s">
        <v>278</v>
      </c>
      <c r="B268" s="4" t="s">
        <v>1205</v>
      </c>
      <c r="C268" s="4" t="s">
        <v>669</v>
      </c>
      <c r="D268" s="4" t="s">
        <v>669</v>
      </c>
      <c r="E268" s="4" t="s">
        <v>670</v>
      </c>
      <c r="F268" s="4" t="s">
        <v>1206</v>
      </c>
      <c r="G268" s="14">
        <v>17.95</v>
      </c>
      <c r="H268" s="10">
        <v>11.323112</v>
      </c>
      <c r="I268" s="10" t="s">
        <v>534</v>
      </c>
      <c r="J268" s="10">
        <v>3.435146</v>
      </c>
      <c r="K268" s="15">
        <v>4.4568000000000003E-2</v>
      </c>
      <c r="L268" s="17">
        <v>39612.580011999999</v>
      </c>
      <c r="M268" s="4" t="s">
        <v>1207</v>
      </c>
      <c r="N268" s="19">
        <v>-2.5257000000000002E-2</v>
      </c>
      <c r="O268" s="19">
        <v>0.92900000000000005</v>
      </c>
      <c r="P268" s="19">
        <v>9.8650000000000005E-3</v>
      </c>
      <c r="Q268" s="19">
        <v>0.67010000000000003</v>
      </c>
      <c r="R268" s="19">
        <v>0.24573900000000001</v>
      </c>
      <c r="S268" s="19">
        <v>0.70679999999999998</v>
      </c>
      <c r="T268" s="19">
        <v>0.24573900000000001</v>
      </c>
      <c r="U268" s="19">
        <v>0.70279999999999998</v>
      </c>
      <c r="V268" s="19">
        <v>0.89</v>
      </c>
      <c r="W268" s="19">
        <v>1.107</v>
      </c>
      <c r="X268" s="19">
        <v>0.89</v>
      </c>
      <c r="Y268" s="19">
        <v>1.107</v>
      </c>
      <c r="Z268" s="4"/>
      <c r="AA268" s="4"/>
      <c r="AB268" s="4" t="e">
        <f ca="1">_xll.ciqfunctions.udf.CIQ("^SPX", "IQ_PRICEDATE", "1/14/2015")</f>
        <v>#NAME?</v>
      </c>
      <c r="AC268" s="16">
        <v>2011.2728977286999</v>
      </c>
    </row>
    <row r="269" spans="1:29" x14ac:dyDescent="0.35">
      <c r="A269" s="2" t="s">
        <v>279</v>
      </c>
      <c r="B269" s="4" t="s">
        <v>1208</v>
      </c>
      <c r="C269" s="4" t="s">
        <v>543</v>
      </c>
      <c r="D269" s="4" t="s">
        <v>565</v>
      </c>
      <c r="E269" s="4" t="s">
        <v>565</v>
      </c>
      <c r="F269" s="4" t="s">
        <v>691</v>
      </c>
      <c r="G269" s="14">
        <v>93.82</v>
      </c>
      <c r="H269" s="10">
        <v>8.6779770000000003</v>
      </c>
      <c r="I269" s="10">
        <v>18.396077999999999</v>
      </c>
      <c r="J269" s="10">
        <v>11.745414</v>
      </c>
      <c r="K269" s="15">
        <v>3.1975999999999997E-2</v>
      </c>
      <c r="L269" s="17">
        <v>14526.620919999999</v>
      </c>
      <c r="M269" s="4" t="s">
        <v>1209</v>
      </c>
      <c r="N269" s="19">
        <v>5.0999999999999996</v>
      </c>
      <c r="O269" s="19">
        <v>8.80443</v>
      </c>
      <c r="P269" s="19">
        <v>4.1599719999999998</v>
      </c>
      <c r="Q269" s="19">
        <v>7.1634000000000002</v>
      </c>
      <c r="R269" s="19">
        <v>5.5011720000000004</v>
      </c>
      <c r="S269" s="19">
        <v>5.5274000000000001</v>
      </c>
      <c r="T269" s="19">
        <v>5.5011720000000004</v>
      </c>
      <c r="U269" s="19">
        <v>3.6928999999999998</v>
      </c>
      <c r="V269" s="19">
        <v>2.5487500000000001</v>
      </c>
      <c r="W269" s="19">
        <v>3.6116999999999999</v>
      </c>
      <c r="X269" s="19">
        <v>2.5487500000000001</v>
      </c>
      <c r="Y269" s="19">
        <v>3.6116999999999999</v>
      </c>
      <c r="Z269" s="4"/>
      <c r="AA269" s="4"/>
      <c r="AB269" s="4" t="e">
        <f ca="1">_xll.ciqfunctions.udf.CIQ("^SPX", "IQ_PRICEDATE", "1/15/2015")</f>
        <v>#NAME?</v>
      </c>
      <c r="AC269" s="16">
        <v>1992.6702757841001</v>
      </c>
    </row>
    <row r="270" spans="1:29" x14ac:dyDescent="0.35">
      <c r="A270" s="2" t="s">
        <v>280</v>
      </c>
      <c r="B270" s="4" t="s">
        <v>1210</v>
      </c>
      <c r="C270" s="4" t="s">
        <v>559</v>
      </c>
      <c r="D270" s="4" t="s">
        <v>560</v>
      </c>
      <c r="E270" s="4" t="s">
        <v>940</v>
      </c>
      <c r="F270" s="4" t="s">
        <v>1211</v>
      </c>
      <c r="G270" s="14">
        <v>70.84</v>
      </c>
      <c r="H270" s="10">
        <v>5.9201030000000001</v>
      </c>
      <c r="I270" s="10">
        <v>12.375621000000001</v>
      </c>
      <c r="J270" s="10">
        <v>2.156056</v>
      </c>
      <c r="K270" s="15">
        <v>3.4443000000000001E-2</v>
      </c>
      <c r="L270" s="17">
        <v>11809.937798000001</v>
      </c>
      <c r="M270" s="4" t="s">
        <v>1212</v>
      </c>
      <c r="N270" s="19">
        <v>5.7241569999999999</v>
      </c>
      <c r="O270" s="19">
        <v>5.6593999999999998</v>
      </c>
      <c r="P270" s="19">
        <v>3.789606</v>
      </c>
      <c r="Q270" s="19">
        <v>3.7555999999999998</v>
      </c>
      <c r="R270" s="19">
        <v>3.2859250000000002</v>
      </c>
      <c r="S270" s="19">
        <v>4.0464000000000002</v>
      </c>
      <c r="T270" s="19">
        <v>3.2859250000000002</v>
      </c>
      <c r="U270" s="19">
        <v>4.5217000000000001</v>
      </c>
      <c r="V270" s="19">
        <v>4.01173</v>
      </c>
      <c r="W270" s="19">
        <v>4.2188999999999997</v>
      </c>
      <c r="X270" s="19">
        <v>4.01173</v>
      </c>
      <c r="Y270" s="19">
        <v>4.2188999999999997</v>
      </c>
      <c r="Z270" s="4"/>
      <c r="AA270" s="4"/>
      <c r="AB270" s="4" t="e">
        <f ca="1">_xll.ciqfunctions.udf.CIQ("^SPX", "IQ_PRICEDATE", "1/16/2015")</f>
        <v>#NAME?</v>
      </c>
      <c r="AC270" s="16">
        <v>2019.4186537802</v>
      </c>
    </row>
    <row r="271" spans="1:29" x14ac:dyDescent="0.35">
      <c r="A271" s="2" t="s">
        <v>281</v>
      </c>
      <c r="B271" s="4" t="s">
        <v>1213</v>
      </c>
      <c r="C271" s="4" t="s">
        <v>559</v>
      </c>
      <c r="D271" s="4" t="s">
        <v>560</v>
      </c>
      <c r="E271" s="4" t="s">
        <v>561</v>
      </c>
      <c r="F271" s="4" t="s">
        <v>1051</v>
      </c>
      <c r="G271" s="14">
        <v>31.28</v>
      </c>
      <c r="H271" s="10">
        <v>6.1939539999999997</v>
      </c>
      <c r="I271" s="10">
        <v>9.894857</v>
      </c>
      <c r="J271" s="10" t="s">
        <v>534</v>
      </c>
      <c r="K271" s="15">
        <v>7.6726000000000003E-2</v>
      </c>
      <c r="L271" s="17">
        <v>8603.9841840000008</v>
      </c>
      <c r="M271" s="4" t="s">
        <v>1214</v>
      </c>
      <c r="N271" s="19">
        <v>3.161238</v>
      </c>
      <c r="O271" s="19">
        <v>2.5167000000000002</v>
      </c>
      <c r="P271" s="19">
        <v>3.294025</v>
      </c>
      <c r="Q271" s="19">
        <v>3.2151000000000001</v>
      </c>
      <c r="R271" s="19">
        <v>3.9736410000000002</v>
      </c>
      <c r="S271" s="19">
        <v>3.6696</v>
      </c>
      <c r="T271" s="19">
        <v>3.9736410000000002</v>
      </c>
      <c r="U271" s="19">
        <v>4.0000999999999998</v>
      </c>
      <c r="V271" s="19">
        <v>3.2443689999999998</v>
      </c>
      <c r="W271" s="19">
        <v>3.6316000000000002</v>
      </c>
      <c r="X271" s="19">
        <v>3.2443689999999998</v>
      </c>
      <c r="Y271" s="19">
        <v>3.6316000000000002</v>
      </c>
      <c r="Z271" s="4"/>
      <c r="AA271" s="4"/>
      <c r="AB271" s="4" t="e">
        <f ca="1">_xll.ciqfunctions.udf.CIQ("^SPX", "IQ_PRICEDATE", "1/20/2015")</f>
        <v>#NAME?</v>
      </c>
      <c r="AC271" s="16">
        <v>2022.5468815523</v>
      </c>
    </row>
    <row r="272" spans="1:29" x14ac:dyDescent="0.35">
      <c r="A272" s="2" t="s">
        <v>282</v>
      </c>
      <c r="B272" s="4" t="s">
        <v>1215</v>
      </c>
      <c r="C272" s="4" t="s">
        <v>525</v>
      </c>
      <c r="D272" s="4" t="s">
        <v>526</v>
      </c>
      <c r="E272" s="4" t="s">
        <v>703</v>
      </c>
      <c r="F272" s="4" t="s">
        <v>703</v>
      </c>
      <c r="G272" s="14">
        <v>220.16</v>
      </c>
      <c r="H272" s="10">
        <v>14.906272</v>
      </c>
      <c r="I272" s="10">
        <v>22.445765999999999</v>
      </c>
      <c r="J272" s="10" t="s">
        <v>534</v>
      </c>
      <c r="K272" s="15">
        <v>1.4534E-2</v>
      </c>
      <c r="L272" s="17">
        <v>17308.686387000002</v>
      </c>
      <c r="M272" s="4" t="s">
        <v>1216</v>
      </c>
      <c r="N272" s="19">
        <v>9.8085310000000003</v>
      </c>
      <c r="O272" s="19">
        <v>11.1175</v>
      </c>
      <c r="P272" s="19">
        <v>9.4600000000000009</v>
      </c>
      <c r="Q272" s="19">
        <v>8.6592000000000002</v>
      </c>
      <c r="R272" s="19">
        <v>7.86</v>
      </c>
      <c r="S272" s="19">
        <v>8.3239999999999998</v>
      </c>
      <c r="T272" s="19">
        <v>7.86</v>
      </c>
      <c r="U272" s="19">
        <v>0</v>
      </c>
      <c r="V272" s="19">
        <v>7.2</v>
      </c>
      <c r="W272" s="19">
        <v>0</v>
      </c>
      <c r="X272" s="19">
        <v>7.2</v>
      </c>
      <c r="Y272" s="19">
        <v>0</v>
      </c>
      <c r="Z272" s="4"/>
      <c r="AA272" s="4"/>
      <c r="AB272" s="4" t="e">
        <f ca="1">_xll.ciqfunctions.udf.CIQ("^SPX", "IQ_PRICEDATE", "1/21/2015")</f>
        <v>#NAME?</v>
      </c>
      <c r="AC272" s="16">
        <v>2032.1202886573999</v>
      </c>
    </row>
    <row r="273" spans="1:29" x14ac:dyDescent="0.35">
      <c r="A273" s="2" t="s">
        <v>283</v>
      </c>
      <c r="B273" s="4" t="s">
        <v>1217</v>
      </c>
      <c r="C273" s="4" t="s">
        <v>530</v>
      </c>
      <c r="D273" s="4" t="s">
        <v>531</v>
      </c>
      <c r="E273" s="4" t="s">
        <v>569</v>
      </c>
      <c r="F273" s="4" t="s">
        <v>909</v>
      </c>
      <c r="G273" s="14">
        <v>174.09</v>
      </c>
      <c r="H273" s="10">
        <v>11.488761</v>
      </c>
      <c r="I273" s="10">
        <v>13.787807000000001</v>
      </c>
      <c r="J273" s="10" t="s">
        <v>534</v>
      </c>
      <c r="K273" s="15">
        <v>0</v>
      </c>
      <c r="L273" s="17">
        <v>17739.771000000001</v>
      </c>
      <c r="M273" s="4" t="s">
        <v>1218</v>
      </c>
      <c r="N273" s="19">
        <v>12.626372999999999</v>
      </c>
      <c r="O273" s="19">
        <v>11.591799999999999</v>
      </c>
      <c r="P273" s="19">
        <v>12.21</v>
      </c>
      <c r="Q273" s="19">
        <v>10.067600000000001</v>
      </c>
      <c r="R273" s="19">
        <v>7.02</v>
      </c>
      <c r="S273" s="19">
        <v>9.4003999999999994</v>
      </c>
      <c r="T273" s="19">
        <v>7.02</v>
      </c>
      <c r="U273" s="19">
        <v>8.5863999999999994</v>
      </c>
      <c r="V273" s="19">
        <v>5.91</v>
      </c>
      <c r="W273" s="19">
        <v>7.1456</v>
      </c>
      <c r="X273" s="19">
        <v>5.91</v>
      </c>
      <c r="Y273" s="19">
        <v>7.1456</v>
      </c>
      <c r="Z273" s="4"/>
      <c r="AA273" s="4"/>
      <c r="AB273" s="4" t="e">
        <f ca="1">_xll.ciqfunctions.udf.CIQ("^SPX", "IQ_PRICEDATE", "1/22/2015")</f>
        <v>#NAME?</v>
      </c>
      <c r="AC273" s="16">
        <v>2063.1455908886001</v>
      </c>
    </row>
    <row r="274" spans="1:29" x14ac:dyDescent="0.35">
      <c r="A274" s="2" t="s">
        <v>284</v>
      </c>
      <c r="B274" s="4" t="s">
        <v>1219</v>
      </c>
      <c r="C274" s="4" t="s">
        <v>543</v>
      </c>
      <c r="D274" s="4" t="s">
        <v>565</v>
      </c>
      <c r="E274" s="4" t="s">
        <v>565</v>
      </c>
      <c r="F274" s="4" t="s">
        <v>691</v>
      </c>
      <c r="G274" s="14">
        <v>147.18</v>
      </c>
      <c r="H274" s="10">
        <v>6.185867</v>
      </c>
      <c r="I274" s="10">
        <v>11.152145000000001</v>
      </c>
      <c r="J274" s="10">
        <v>6.3497570000000003</v>
      </c>
      <c r="K274" s="15">
        <v>2.9895000000000001E-2</v>
      </c>
      <c r="L274" s="17">
        <v>22575.057120000001</v>
      </c>
      <c r="M274" s="4" t="s">
        <v>1220</v>
      </c>
      <c r="N274" s="19">
        <v>13.197461000000001</v>
      </c>
      <c r="O274" s="19">
        <v>14.30048</v>
      </c>
      <c r="P274" s="19">
        <v>9.1047969999999996</v>
      </c>
      <c r="Q274" s="19">
        <v>14.9114</v>
      </c>
      <c r="R274" s="19">
        <v>5.5792659999999996</v>
      </c>
      <c r="S274" s="19">
        <v>8.3873999999999995</v>
      </c>
      <c r="T274" s="19">
        <v>5.5792659999999996</v>
      </c>
      <c r="U274" s="19">
        <v>5.8806000000000003</v>
      </c>
      <c r="V274" s="19">
        <v>4.0359680000000004</v>
      </c>
      <c r="W274" s="19">
        <v>5.0499000000000001</v>
      </c>
      <c r="X274" s="19">
        <v>4.0359680000000004</v>
      </c>
      <c r="Y274" s="19">
        <v>5.0499000000000001</v>
      </c>
      <c r="Z274" s="4"/>
      <c r="AA274" s="4"/>
      <c r="AB274" s="4" t="e">
        <f ca="1">_xll.ciqfunctions.udf.CIQ("^SPX", "IQ_PRICEDATE", "1/23/2015")</f>
        <v>#NAME?</v>
      </c>
      <c r="AC274" s="16">
        <v>2051.8218117762999</v>
      </c>
    </row>
    <row r="275" spans="1:29" x14ac:dyDescent="0.35">
      <c r="A275" s="2" t="s">
        <v>285</v>
      </c>
      <c r="B275" s="4" t="s">
        <v>1221</v>
      </c>
      <c r="C275" s="4" t="s">
        <v>559</v>
      </c>
      <c r="D275" s="4" t="s">
        <v>912</v>
      </c>
      <c r="E275" s="4" t="s">
        <v>913</v>
      </c>
      <c r="F275" s="4" t="s">
        <v>1222</v>
      </c>
      <c r="G275" s="14">
        <v>39.229999999999997</v>
      </c>
      <c r="H275" s="10">
        <v>11.058248000000001</v>
      </c>
      <c r="I275" s="10">
        <v>18.884972999999999</v>
      </c>
      <c r="J275" s="10">
        <v>47.833413</v>
      </c>
      <c r="K275" s="15">
        <v>3.8745000000000002E-2</v>
      </c>
      <c r="L275" s="17">
        <v>5106.1939830000001</v>
      </c>
      <c r="M275" s="4" t="s">
        <v>1223</v>
      </c>
      <c r="N275" s="19">
        <v>2.0773130000000002</v>
      </c>
      <c r="O275" s="19">
        <v>2.7982999999999998</v>
      </c>
      <c r="P275" s="19">
        <v>2.14</v>
      </c>
      <c r="Q275" s="19">
        <v>2.6697000000000002</v>
      </c>
      <c r="R275" s="19">
        <v>2.62</v>
      </c>
      <c r="S275" s="19">
        <v>2.6225000000000001</v>
      </c>
      <c r="T275" s="19">
        <v>2.62</v>
      </c>
      <c r="U275" s="19">
        <v>2.2907000000000002</v>
      </c>
      <c r="V275" s="19">
        <v>1.55</v>
      </c>
      <c r="W275" s="19">
        <v>2.0756999999999999</v>
      </c>
      <c r="X275" s="19">
        <v>1.55</v>
      </c>
      <c r="Y275" s="19">
        <v>2.0756999999999999</v>
      </c>
      <c r="Z275" s="4"/>
      <c r="AA275" s="4"/>
      <c r="AB275" s="4" t="e">
        <f ca="1">_xll.ciqfunctions.udf.CIQ("^SPX", "IQ_PRICEDATE", "1/26/2015")</f>
        <v>#NAME?</v>
      </c>
      <c r="AC275" s="16">
        <v>2057.0944058770001</v>
      </c>
    </row>
    <row r="276" spans="1:29" x14ac:dyDescent="0.35">
      <c r="A276" s="2" t="s">
        <v>286</v>
      </c>
      <c r="B276" s="4" t="s">
        <v>1224</v>
      </c>
      <c r="C276" s="4" t="s">
        <v>559</v>
      </c>
      <c r="D276" s="4" t="s">
        <v>912</v>
      </c>
      <c r="E276" s="4" t="s">
        <v>913</v>
      </c>
      <c r="F276" s="4" t="s">
        <v>914</v>
      </c>
      <c r="G276" s="14">
        <v>43.04</v>
      </c>
      <c r="H276" s="10">
        <v>13.108779</v>
      </c>
      <c r="I276" s="10">
        <v>10.307684</v>
      </c>
      <c r="J276" s="10">
        <v>1.375713</v>
      </c>
      <c r="K276" s="15">
        <v>3.7140000000000003E-3</v>
      </c>
      <c r="L276" s="17">
        <v>13959.947106</v>
      </c>
      <c r="M276" s="4" t="s">
        <v>1225</v>
      </c>
      <c r="N276" s="19">
        <v>4.1794060000000002</v>
      </c>
      <c r="O276" s="19">
        <v>6.4625000000000004</v>
      </c>
      <c r="P276" s="19">
        <v>3.3802509999999999</v>
      </c>
      <c r="Q276" s="19">
        <v>4.6959999999999997</v>
      </c>
      <c r="R276" s="19">
        <v>3.8559239999999999</v>
      </c>
      <c r="S276" s="19">
        <v>4.0663400000000003</v>
      </c>
      <c r="T276" s="19">
        <v>3.8559239999999999</v>
      </c>
      <c r="U276" s="19">
        <v>3.64412</v>
      </c>
      <c r="V276" s="19">
        <v>2.7482160000000002</v>
      </c>
      <c r="W276" s="19">
        <v>2.9942000000000002</v>
      </c>
      <c r="X276" s="19">
        <v>2.7482160000000002</v>
      </c>
      <c r="Y276" s="19">
        <v>2.9942000000000002</v>
      </c>
      <c r="Z276" s="4"/>
      <c r="AA276" s="4"/>
      <c r="AB276" s="4" t="e">
        <f ca="1">_xll.ciqfunctions.udf.CIQ("^SPX", "IQ_PRICEDATE", "1/27/2015")</f>
        <v>#NAME?</v>
      </c>
      <c r="AC276" s="16">
        <v>2029.5544684716999</v>
      </c>
    </row>
    <row r="277" spans="1:29" x14ac:dyDescent="0.35">
      <c r="A277" s="2" t="s">
        <v>287</v>
      </c>
      <c r="B277" s="4" t="s">
        <v>1226</v>
      </c>
      <c r="C277" s="4" t="s">
        <v>573</v>
      </c>
      <c r="D277" s="4" t="s">
        <v>579</v>
      </c>
      <c r="E277" s="4" t="s">
        <v>579</v>
      </c>
      <c r="F277" s="4" t="s">
        <v>580</v>
      </c>
      <c r="G277" s="14">
        <v>65.64</v>
      </c>
      <c r="H277" s="10">
        <v>8.0877119999999998</v>
      </c>
      <c r="I277" s="10">
        <v>7.3838210000000002</v>
      </c>
      <c r="J277" s="10">
        <v>1.062276</v>
      </c>
      <c r="K277" s="15">
        <v>2.0108999999999998E-2</v>
      </c>
      <c r="L277" s="17">
        <v>14222.914978000001</v>
      </c>
      <c r="M277" s="4" t="s">
        <v>1227</v>
      </c>
      <c r="N277" s="19">
        <v>8.8897060000000003</v>
      </c>
      <c r="O277" s="19">
        <v>8.8598999999999997</v>
      </c>
      <c r="P277" s="19">
        <v>9.2210719999999995</v>
      </c>
      <c r="Q277" s="19">
        <v>7.7031000000000001</v>
      </c>
      <c r="R277" s="19">
        <v>5.03</v>
      </c>
      <c r="S277" s="19">
        <v>6.8211000000000004</v>
      </c>
      <c r="T277" s="19">
        <v>5.03</v>
      </c>
      <c r="U277" s="19">
        <v>6.3890000000000002</v>
      </c>
      <c r="V277" s="19">
        <v>5.6649399999999996</v>
      </c>
      <c r="W277" s="19">
        <v>6.09</v>
      </c>
      <c r="X277" s="19">
        <v>5.6649399999999996</v>
      </c>
      <c r="Y277" s="19">
        <v>6.09</v>
      </c>
      <c r="Z277" s="4"/>
      <c r="AA277" s="4"/>
      <c r="AB277" s="4" t="e">
        <f ca="1">_xll.ciqfunctions.udf.CIQ("^SPX", "IQ_PRICEDATE", "1/28/2015")</f>
        <v>#NAME?</v>
      </c>
      <c r="AC277" s="16">
        <v>2002.1564474966999</v>
      </c>
    </row>
    <row r="278" spans="1:29" x14ac:dyDescent="0.35">
      <c r="A278" s="2" t="s">
        <v>288</v>
      </c>
      <c r="B278" s="4" t="s">
        <v>1228</v>
      </c>
      <c r="C278" s="4" t="s">
        <v>559</v>
      </c>
      <c r="D278" s="4" t="s">
        <v>560</v>
      </c>
      <c r="E278" s="4" t="s">
        <v>1084</v>
      </c>
      <c r="F278" s="4" t="s">
        <v>1084</v>
      </c>
      <c r="G278" s="14">
        <v>28.61</v>
      </c>
      <c r="H278" s="10">
        <v>11.58916</v>
      </c>
      <c r="I278" s="10">
        <v>15.977313000000001</v>
      </c>
      <c r="J278" s="10" t="s">
        <v>534</v>
      </c>
      <c r="K278" s="15">
        <v>0</v>
      </c>
      <c r="L278" s="17">
        <v>9100.3140320000002</v>
      </c>
      <c r="M278" s="4" t="s">
        <v>1229</v>
      </c>
      <c r="N278" s="19">
        <v>1.790664</v>
      </c>
      <c r="O278" s="19">
        <v>2.4980000000000002</v>
      </c>
      <c r="P278" s="19">
        <v>1.74</v>
      </c>
      <c r="Q278" s="19">
        <v>2.0796999999999999</v>
      </c>
      <c r="R278" s="19">
        <v>1.47</v>
      </c>
      <c r="S278" s="19">
        <v>1.9739</v>
      </c>
      <c r="T278" s="19">
        <v>1.47</v>
      </c>
      <c r="U278" s="19">
        <v>1.5546</v>
      </c>
      <c r="V278" s="19">
        <v>1.25</v>
      </c>
      <c r="W278" s="19">
        <v>1.5710999999999999</v>
      </c>
      <c r="X278" s="19">
        <v>1.25</v>
      </c>
      <c r="Y278" s="19">
        <v>1.5710999999999999</v>
      </c>
      <c r="Z278" s="4"/>
      <c r="AA278" s="4"/>
      <c r="AB278" s="4" t="e">
        <f ca="1">_xll.ciqfunctions.udf.CIQ("^SPX", "IQ_PRICEDATE", "1/29/2015")</f>
        <v>#NAME?</v>
      </c>
      <c r="AC278" s="16">
        <v>2021.2516383586999</v>
      </c>
    </row>
    <row r="279" spans="1:29" x14ac:dyDescent="0.35">
      <c r="A279" s="2" t="s">
        <v>289</v>
      </c>
      <c r="B279" s="4" t="s">
        <v>1230</v>
      </c>
      <c r="C279" s="4" t="s">
        <v>525</v>
      </c>
      <c r="D279" s="4" t="s">
        <v>526</v>
      </c>
      <c r="E279" s="4" t="s">
        <v>703</v>
      </c>
      <c r="F279" s="4" t="s">
        <v>703</v>
      </c>
      <c r="G279" s="14">
        <v>333.4</v>
      </c>
      <c r="H279" s="10">
        <v>14.847073999999999</v>
      </c>
      <c r="I279" s="10">
        <v>38.355111000000001</v>
      </c>
      <c r="J279" s="10" t="s">
        <v>534</v>
      </c>
      <c r="K279" s="15">
        <v>2.6394000000000001E-2</v>
      </c>
      <c r="L279" s="17">
        <v>94946.007404000004</v>
      </c>
      <c r="M279" s="4" t="s">
        <v>1231</v>
      </c>
      <c r="N279" s="19">
        <v>8.6924530000000004</v>
      </c>
      <c r="O279" s="19">
        <v>18.1432</v>
      </c>
      <c r="P279" s="19">
        <v>6.64</v>
      </c>
      <c r="Q279" s="19">
        <v>13.624599999999999</v>
      </c>
      <c r="R279" s="19">
        <v>12.38</v>
      </c>
      <c r="S279" s="19">
        <v>12.129200000000001</v>
      </c>
      <c r="T279" s="19">
        <v>12.38</v>
      </c>
      <c r="U279" s="19">
        <v>11.674099999999999</v>
      </c>
      <c r="V279" s="19">
        <v>10.09</v>
      </c>
      <c r="W279" s="19">
        <v>11.2652</v>
      </c>
      <c r="X279" s="19">
        <v>10.09</v>
      </c>
      <c r="Y279" s="19">
        <v>11.2652</v>
      </c>
      <c r="Z279" s="4"/>
      <c r="AA279" s="4"/>
      <c r="AB279" s="4" t="e">
        <f ca="1">_xll.ciqfunctions.udf.CIQ("^SPX", "IQ_PRICEDATE", "1/30/2015")</f>
        <v>#NAME?</v>
      </c>
      <c r="AC279" s="16">
        <v>1994.9904120547001</v>
      </c>
    </row>
    <row r="280" spans="1:29" x14ac:dyDescent="0.35">
      <c r="A280" s="2" t="s">
        <v>290</v>
      </c>
      <c r="B280" s="4" t="s">
        <v>1232</v>
      </c>
      <c r="C280" s="4" t="s">
        <v>573</v>
      </c>
      <c r="D280" s="4" t="s">
        <v>579</v>
      </c>
      <c r="E280" s="4" t="s">
        <v>579</v>
      </c>
      <c r="F280" s="4" t="s">
        <v>644</v>
      </c>
      <c r="G280" s="14">
        <v>47.32</v>
      </c>
      <c r="H280" s="10">
        <v>9.4377519999999997</v>
      </c>
      <c r="I280" s="10">
        <v>13.497897999999999</v>
      </c>
      <c r="J280" s="10">
        <v>0.82094400000000001</v>
      </c>
      <c r="K280" s="15">
        <v>5.2829999999999995E-3</v>
      </c>
      <c r="L280" s="17">
        <v>14952.273067</v>
      </c>
      <c r="M280" s="4" t="s">
        <v>1233</v>
      </c>
      <c r="N280" s="19">
        <v>3.5057309999999999</v>
      </c>
      <c r="O280" s="19">
        <v>3.7761999999999998</v>
      </c>
      <c r="P280" s="19">
        <v>3.45</v>
      </c>
      <c r="Q280" s="19">
        <v>3.11</v>
      </c>
      <c r="R280" s="19">
        <v>1.93</v>
      </c>
      <c r="S280" s="19">
        <v>3.1341000000000001</v>
      </c>
      <c r="T280" s="19">
        <v>1.93</v>
      </c>
      <c r="U280" s="19">
        <v>2.8605</v>
      </c>
      <c r="V280" s="19">
        <v>2.5712190000000001</v>
      </c>
      <c r="W280" s="19">
        <v>2.9527000000000001</v>
      </c>
      <c r="X280" s="19">
        <v>2.5712190000000001</v>
      </c>
      <c r="Y280" s="19">
        <v>2.9527000000000001</v>
      </c>
      <c r="Z280" s="4"/>
      <c r="AA280" s="4"/>
      <c r="AB280" s="4" t="e">
        <f ca="1">_xll.ciqfunctions.udf.CIQ("^SPX", "IQ_PRICEDATE", "2/2/2015")</f>
        <v>#NAME?</v>
      </c>
      <c r="AC280" s="16">
        <v>2020.8491870268999</v>
      </c>
    </row>
    <row r="281" spans="1:29" x14ac:dyDescent="0.35">
      <c r="A281" s="2" t="s">
        <v>291</v>
      </c>
      <c r="B281" s="4" t="s">
        <v>1234</v>
      </c>
      <c r="C281" s="4" t="s">
        <v>559</v>
      </c>
      <c r="D281" s="4" t="s">
        <v>560</v>
      </c>
      <c r="E281" s="4" t="s">
        <v>561</v>
      </c>
      <c r="F281" s="4" t="s">
        <v>1235</v>
      </c>
      <c r="G281" s="14">
        <v>102.44</v>
      </c>
      <c r="H281" s="10">
        <v>12.012658</v>
      </c>
      <c r="I281" s="10">
        <v>21.547898</v>
      </c>
      <c r="J281" s="10">
        <v>19.543367</v>
      </c>
      <c r="K281" s="15">
        <v>1.8742000000000002E-2</v>
      </c>
      <c r="L281" s="17">
        <v>83078.84</v>
      </c>
      <c r="M281" s="4" t="s">
        <v>1236</v>
      </c>
      <c r="N281" s="19">
        <v>4.75406</v>
      </c>
      <c r="O281" s="19">
        <v>5.4198000000000004</v>
      </c>
      <c r="P281" s="19">
        <v>4.1492279999999999</v>
      </c>
      <c r="Q281" s="19">
        <v>5.0171000000000001</v>
      </c>
      <c r="R281" s="19">
        <v>2.7239559999999998</v>
      </c>
      <c r="S281" s="19">
        <v>4.4570999999999996</v>
      </c>
      <c r="T281" s="19">
        <v>2.7239559999999998</v>
      </c>
      <c r="U281" s="19">
        <v>3.8195000000000001</v>
      </c>
      <c r="V281" s="19">
        <v>2.5195729999999998</v>
      </c>
      <c r="W281" s="19">
        <v>3.1554000000000002</v>
      </c>
      <c r="X281" s="19">
        <v>2.5195729999999998</v>
      </c>
      <c r="Y281" s="19">
        <v>3.1554000000000002</v>
      </c>
      <c r="Z281" s="4"/>
      <c r="AA281" s="4"/>
      <c r="AB281" s="4" t="e">
        <f ca="1">_xll.ciqfunctions.udf.CIQ("^SPX", "IQ_PRICEDATE", "2/3/2015")</f>
        <v>#NAME?</v>
      </c>
      <c r="AC281" s="16">
        <v>2050.0328023764</v>
      </c>
    </row>
    <row r="282" spans="1:29" x14ac:dyDescent="0.35">
      <c r="A282" s="2" t="s">
        <v>292</v>
      </c>
      <c r="B282" s="4" t="s">
        <v>1237</v>
      </c>
      <c r="C282" s="4" t="s">
        <v>586</v>
      </c>
      <c r="D282" s="4" t="s">
        <v>586</v>
      </c>
      <c r="E282" s="4" t="s">
        <v>587</v>
      </c>
      <c r="F282" s="4" t="s">
        <v>1238</v>
      </c>
      <c r="G282" s="14">
        <v>96.22</v>
      </c>
      <c r="H282" s="10">
        <v>5.8906320000000001</v>
      </c>
      <c r="I282" s="10">
        <v>6.4894470000000002</v>
      </c>
      <c r="J282" s="10">
        <v>3.9485730000000001</v>
      </c>
      <c r="K282" s="15">
        <v>4.1570999999999997E-2</v>
      </c>
      <c r="L282" s="17">
        <v>37460.754894999998</v>
      </c>
      <c r="M282" s="4" t="s">
        <v>1239</v>
      </c>
      <c r="N282" s="19">
        <v>14.827147999999999</v>
      </c>
      <c r="O282" s="19">
        <v>10.6684</v>
      </c>
      <c r="P282" s="19">
        <v>12.28</v>
      </c>
      <c r="Q282" s="19">
        <v>10.118</v>
      </c>
      <c r="R282" s="19">
        <v>9.15</v>
      </c>
      <c r="S282" s="19">
        <v>9.5814000000000004</v>
      </c>
      <c r="T282" s="19">
        <v>9.15</v>
      </c>
      <c r="U282" s="19">
        <v>10.048500000000001</v>
      </c>
      <c r="V282" s="19">
        <v>8</v>
      </c>
      <c r="W282" s="19">
        <v>8.5454000000000008</v>
      </c>
      <c r="X282" s="19">
        <v>8</v>
      </c>
      <c r="Y282" s="19">
        <v>8.5454000000000008</v>
      </c>
      <c r="Z282" s="4"/>
      <c r="AA282" s="4"/>
      <c r="AB282" s="4" t="e">
        <f ca="1">_xll.ciqfunctions.udf.CIQ("^SPX", "IQ_PRICEDATE", "2/4/2015")</f>
        <v>#NAME?</v>
      </c>
      <c r="AC282" s="16">
        <v>2041.5093509660001</v>
      </c>
    </row>
    <row r="283" spans="1:29" x14ac:dyDescent="0.35">
      <c r="A283" s="2" t="s">
        <v>293</v>
      </c>
      <c r="B283" s="4" t="s">
        <v>1240</v>
      </c>
      <c r="C283" s="4" t="s">
        <v>573</v>
      </c>
      <c r="D283" s="4" t="s">
        <v>737</v>
      </c>
      <c r="E283" s="4" t="s">
        <v>737</v>
      </c>
      <c r="F283" s="4" t="s">
        <v>743</v>
      </c>
      <c r="G283" s="14">
        <v>161.9</v>
      </c>
      <c r="H283" s="10">
        <v>0</v>
      </c>
      <c r="I283" s="10">
        <v>14.738292</v>
      </c>
      <c r="J283" s="10">
        <v>2.3962059999999998</v>
      </c>
      <c r="K283" s="15">
        <v>2.4706000000000002E-2</v>
      </c>
      <c r="L283" s="17">
        <v>23279.740558000001</v>
      </c>
      <c r="M283" s="4" t="s">
        <v>1241</v>
      </c>
      <c r="N283" s="19">
        <v>10.98499</v>
      </c>
      <c r="O283" s="19">
        <v>13.4016</v>
      </c>
      <c r="P283" s="19">
        <v>8.7021189999999997</v>
      </c>
      <c r="Q283" s="19">
        <v>9.7939000000000007</v>
      </c>
      <c r="R283" s="19">
        <v>7.7778119999999999</v>
      </c>
      <c r="S283" s="19">
        <v>8.3176000000000005</v>
      </c>
      <c r="T283" s="19">
        <v>7.7778119999999999</v>
      </c>
      <c r="U283" s="19">
        <v>8.3454999999999995</v>
      </c>
      <c r="V283" s="19">
        <v>7.4222640000000002</v>
      </c>
      <c r="W283" s="19">
        <v>8.1942000000000004</v>
      </c>
      <c r="X283" s="19">
        <v>7.4222640000000002</v>
      </c>
      <c r="Y283" s="19">
        <v>8.1942000000000004</v>
      </c>
      <c r="Z283" s="4"/>
      <c r="AA283" s="4"/>
      <c r="AB283" s="4" t="e">
        <f ca="1">_xll.ciqfunctions.udf.CIQ("^SPX", "IQ_PRICEDATE", "2/5/2015")</f>
        <v>#NAME?</v>
      </c>
      <c r="AC283" s="16">
        <v>2062.5215572874999</v>
      </c>
    </row>
    <row r="284" spans="1:29" x14ac:dyDescent="0.35">
      <c r="A284" s="2" t="s">
        <v>294</v>
      </c>
      <c r="B284" s="4" t="s">
        <v>1242</v>
      </c>
      <c r="C284" s="4" t="s">
        <v>601</v>
      </c>
      <c r="D284" s="4" t="s">
        <v>601</v>
      </c>
      <c r="E284" s="4" t="s">
        <v>602</v>
      </c>
      <c r="F284" s="4" t="s">
        <v>1026</v>
      </c>
      <c r="G284" s="14">
        <v>51.49</v>
      </c>
      <c r="H284" s="10">
        <v>19.994215000000001</v>
      </c>
      <c r="I284" s="10" t="s">
        <v>534</v>
      </c>
      <c r="J284" s="10">
        <v>2.4890050000000001</v>
      </c>
      <c r="K284" s="15">
        <v>5.7485999999999995E-2</v>
      </c>
      <c r="L284" s="17">
        <v>7262.7109440000004</v>
      </c>
      <c r="M284" s="4" t="s">
        <v>1243</v>
      </c>
      <c r="N284" s="19">
        <v>0.158355</v>
      </c>
      <c r="O284" s="19">
        <v>0.83819999999999995</v>
      </c>
      <c r="P284" s="19">
        <v>1.02</v>
      </c>
      <c r="Q284" s="19">
        <v>0.80669999999999997</v>
      </c>
      <c r="R284" s="19">
        <v>3.52</v>
      </c>
      <c r="S284" s="19">
        <v>1.0861000000000001</v>
      </c>
      <c r="T284" s="19">
        <v>3.52</v>
      </c>
      <c r="U284" s="19">
        <v>0.80020000000000002</v>
      </c>
      <c r="V284" s="19">
        <v>10.45</v>
      </c>
      <c r="W284" s="19">
        <v>1.3734</v>
      </c>
      <c r="X284" s="19">
        <v>10.45</v>
      </c>
      <c r="Y284" s="19">
        <v>1.3734</v>
      </c>
      <c r="Z284" s="4"/>
      <c r="AA284" s="4"/>
      <c r="AB284" s="4" t="e">
        <f ca="1">_xll.ciqfunctions.udf.CIQ("^SPX", "IQ_PRICEDATE", "2/6/2015")</f>
        <v>#NAME?</v>
      </c>
      <c r="AC284" s="16">
        <v>2055.4722418257002</v>
      </c>
    </row>
    <row r="285" spans="1:29" x14ac:dyDescent="0.35">
      <c r="A285" s="2" t="s">
        <v>295</v>
      </c>
      <c r="B285" s="4" t="s">
        <v>1244</v>
      </c>
      <c r="C285" s="4" t="s">
        <v>559</v>
      </c>
      <c r="D285" s="4" t="s">
        <v>560</v>
      </c>
      <c r="E285" s="4" t="s">
        <v>940</v>
      </c>
      <c r="F285" s="4" t="s">
        <v>1211</v>
      </c>
      <c r="G285" s="14">
        <v>31.84</v>
      </c>
      <c r="H285" s="10">
        <v>5.4130219999999998</v>
      </c>
      <c r="I285" s="10">
        <v>5.9208530000000001</v>
      </c>
      <c r="J285" s="10">
        <v>6.4091880000000003</v>
      </c>
      <c r="K285" s="15">
        <v>4.7424000000000001E-2</v>
      </c>
      <c r="L285" s="17">
        <v>9774.0111500000003</v>
      </c>
      <c r="M285" s="4" t="s">
        <v>1245</v>
      </c>
      <c r="N285" s="19">
        <v>5.3776029999999997</v>
      </c>
      <c r="O285" s="19">
        <v>3.9506000000000001</v>
      </c>
      <c r="P285" s="19">
        <v>2.2871980000000001</v>
      </c>
      <c r="Q285" s="19">
        <v>3.3380999999999998</v>
      </c>
      <c r="R285" s="19">
        <v>2.1972100000000001</v>
      </c>
      <c r="S285" s="19">
        <v>3.4695999999999998</v>
      </c>
      <c r="T285" s="19">
        <v>2.1972100000000001</v>
      </c>
      <c r="U285" s="19">
        <v>4.0442</v>
      </c>
      <c r="V285" s="19">
        <v>4.1997819999999999</v>
      </c>
      <c r="W285" s="19">
        <v>4.6668000000000003</v>
      </c>
      <c r="X285" s="19">
        <v>4.1997819999999999</v>
      </c>
      <c r="Y285" s="19">
        <v>4.6668000000000003</v>
      </c>
      <c r="Z285" s="4"/>
      <c r="AA285" s="4"/>
      <c r="AB285" s="4" t="e">
        <f ca="1">_xll.ciqfunctions.udf.CIQ("^SPX", "IQ_PRICEDATE", "2/9/2015")</f>
        <v>#NAME?</v>
      </c>
      <c r="AC285" s="16">
        <v>2046.7436014545999</v>
      </c>
    </row>
    <row r="286" spans="1:29" x14ac:dyDescent="0.35">
      <c r="A286" s="2" t="s">
        <v>296</v>
      </c>
      <c r="B286" s="4" t="s">
        <v>1246</v>
      </c>
      <c r="C286" s="4" t="s">
        <v>669</v>
      </c>
      <c r="D286" s="4" t="s">
        <v>669</v>
      </c>
      <c r="E286" s="4" t="s">
        <v>670</v>
      </c>
      <c r="F286" s="4" t="s">
        <v>671</v>
      </c>
      <c r="G286" s="14">
        <v>20.89</v>
      </c>
      <c r="H286" s="10">
        <v>6.7266110000000001</v>
      </c>
      <c r="I286" s="10" t="s">
        <v>534</v>
      </c>
      <c r="J286" s="10">
        <v>1.4824710000000001</v>
      </c>
      <c r="K286" s="15">
        <v>9.5729999999999999E-3</v>
      </c>
      <c r="L286" s="17">
        <v>17843.141232999998</v>
      </c>
      <c r="M286" s="4" t="s">
        <v>1247</v>
      </c>
      <c r="N286" s="19">
        <v>-0.20551900000000001</v>
      </c>
      <c r="O286" s="19">
        <v>1.0368999999999999</v>
      </c>
      <c r="P286" s="19">
        <v>-0.97646999999999995</v>
      </c>
      <c r="Q286" s="19">
        <v>-3.7100000000000001E-2</v>
      </c>
      <c r="R286" s="19">
        <v>-2.5499999999999998</v>
      </c>
      <c r="S286" s="19">
        <v>-0.30819999999999997</v>
      </c>
      <c r="T286" s="19">
        <v>-2.5499999999999998</v>
      </c>
      <c r="U286" s="19">
        <v>-1.3289</v>
      </c>
      <c r="V286" s="19">
        <v>1.42</v>
      </c>
      <c r="W286" s="19">
        <v>0.56810000000000005</v>
      </c>
      <c r="X286" s="19">
        <v>1.42</v>
      </c>
      <c r="Y286" s="19">
        <v>0.56810000000000005</v>
      </c>
      <c r="Z286" s="4"/>
      <c r="AA286" s="4"/>
      <c r="AB286" s="4" t="e">
        <f ca="1">_xll.ciqfunctions.udf.CIQ("^SPX", "IQ_PRICEDATE", "2/10/2015")</f>
        <v>#NAME?</v>
      </c>
      <c r="AC286" s="16">
        <v>2068.5927921291</v>
      </c>
    </row>
    <row r="287" spans="1:29" x14ac:dyDescent="0.35">
      <c r="A287" s="2" t="s">
        <v>297</v>
      </c>
      <c r="B287" s="4" t="s">
        <v>1248</v>
      </c>
      <c r="C287" s="4" t="s">
        <v>669</v>
      </c>
      <c r="D287" s="4" t="s">
        <v>669</v>
      </c>
      <c r="E287" s="4" t="s">
        <v>670</v>
      </c>
      <c r="F287" s="4" t="s">
        <v>1126</v>
      </c>
      <c r="G287" s="14">
        <v>79.150000000000006</v>
      </c>
      <c r="H287" s="10">
        <v>10.389061999999999</v>
      </c>
      <c r="I287" s="10">
        <v>9.606973</v>
      </c>
      <c r="J287" s="10">
        <v>3.1737950000000001</v>
      </c>
      <c r="K287" s="15">
        <v>2.3246000000000003E-2</v>
      </c>
      <c r="L287" s="17">
        <v>54678.201008999997</v>
      </c>
      <c r="M287" s="4" t="s">
        <v>1249</v>
      </c>
      <c r="N287" s="19">
        <v>8.2388069999999995</v>
      </c>
      <c r="O287" s="19">
        <v>6.4508000000000001</v>
      </c>
      <c r="P287" s="19">
        <v>6.7</v>
      </c>
      <c r="Q287" s="19">
        <v>4.8760000000000003</v>
      </c>
      <c r="R287" s="19">
        <v>2.21</v>
      </c>
      <c r="S287" s="19">
        <v>3.3616000000000001</v>
      </c>
      <c r="T287" s="19">
        <v>2.21</v>
      </c>
      <c r="U287" s="19">
        <v>5.3543000000000003</v>
      </c>
      <c r="V287" s="19">
        <v>4.3899999999999997</v>
      </c>
      <c r="W287" s="19">
        <v>4.2502000000000004</v>
      </c>
      <c r="X287" s="19">
        <v>4.3899999999999997</v>
      </c>
      <c r="Y287" s="19">
        <v>4.2502000000000004</v>
      </c>
      <c r="Z287" s="4"/>
      <c r="AA287" s="4"/>
      <c r="AB287" s="4" t="e">
        <f ca="1">_xll.ciqfunctions.udf.CIQ("^SPX", "IQ_PRICEDATE", "2/11/2015")</f>
        <v>#NAME?</v>
      </c>
      <c r="AC287" s="16">
        <v>2068.5319770619999</v>
      </c>
    </row>
    <row r="288" spans="1:29" x14ac:dyDescent="0.35">
      <c r="A288" s="2" t="s">
        <v>298</v>
      </c>
      <c r="B288" s="4" t="s">
        <v>1250</v>
      </c>
      <c r="C288" s="4" t="s">
        <v>559</v>
      </c>
      <c r="D288" s="4" t="s">
        <v>798</v>
      </c>
      <c r="E288" s="4" t="s">
        <v>799</v>
      </c>
      <c r="F288" s="4" t="s">
        <v>800</v>
      </c>
      <c r="G288" s="14">
        <v>117.96</v>
      </c>
      <c r="H288" s="10">
        <v>17.070519999999998</v>
      </c>
      <c r="I288" s="10">
        <v>28.495912000000001</v>
      </c>
      <c r="J288" s="10" t="s">
        <v>534</v>
      </c>
      <c r="K288" s="15">
        <v>1.3903E-2</v>
      </c>
      <c r="L288" s="17">
        <v>40930.720641</v>
      </c>
      <c r="M288" s="4" t="s">
        <v>1251</v>
      </c>
      <c r="N288" s="19">
        <v>4.1395410000000004</v>
      </c>
      <c r="O288" s="19">
        <v>5.9173</v>
      </c>
      <c r="P288" s="19">
        <v>3.61</v>
      </c>
      <c r="Q288" s="19">
        <v>4.6467000000000001</v>
      </c>
      <c r="R288" s="19">
        <v>2.64</v>
      </c>
      <c r="S288" s="19">
        <v>3.8769</v>
      </c>
      <c r="T288" s="19">
        <v>2.64</v>
      </c>
      <c r="U288" s="19">
        <v>3.6078000000000001</v>
      </c>
      <c r="V288" s="19">
        <v>2.54</v>
      </c>
      <c r="W288" s="19">
        <v>2.9331</v>
      </c>
      <c r="X288" s="19">
        <v>2.54</v>
      </c>
      <c r="Y288" s="19">
        <v>2.9331</v>
      </c>
      <c r="Z288" s="4"/>
      <c r="AA288" s="4"/>
      <c r="AB288" s="4" t="e">
        <f ca="1">_xll.ciqfunctions.udf.CIQ("^SPX", "IQ_PRICEDATE", "2/12/2015")</f>
        <v>#NAME?</v>
      </c>
      <c r="AC288" s="16">
        <v>2088.4847683353</v>
      </c>
    </row>
    <row r="289" spans="1:29" x14ac:dyDescent="0.35">
      <c r="A289" s="2" t="s">
        <v>299</v>
      </c>
      <c r="B289" s="4" t="s">
        <v>1252</v>
      </c>
      <c r="C289" s="4" t="s">
        <v>573</v>
      </c>
      <c r="D289" s="4" t="s">
        <v>579</v>
      </c>
      <c r="E289" s="4" t="s">
        <v>579</v>
      </c>
      <c r="F289" s="4" t="s">
        <v>680</v>
      </c>
      <c r="G289" s="14">
        <v>80.91</v>
      </c>
      <c r="H289" s="10">
        <v>13.168301</v>
      </c>
      <c r="I289" s="10">
        <v>25.370277000000002</v>
      </c>
      <c r="J289" s="10" t="s">
        <v>534</v>
      </c>
      <c r="K289" s="15">
        <v>2.0516E-2</v>
      </c>
      <c r="L289" s="17">
        <v>40857.895066999998</v>
      </c>
      <c r="M289" s="4" t="s">
        <v>1253</v>
      </c>
      <c r="N289" s="19">
        <v>3.189165</v>
      </c>
      <c r="O289" s="19">
        <v>4.4569000000000001</v>
      </c>
      <c r="P289" s="19">
        <v>2.87</v>
      </c>
      <c r="Q289" s="19">
        <v>4.0698999999999996</v>
      </c>
      <c r="R289" s="19">
        <v>3.38</v>
      </c>
      <c r="S289" s="19">
        <v>3.6168</v>
      </c>
      <c r="T289" s="19">
        <v>3.38</v>
      </c>
      <c r="U289" s="19">
        <v>3.2086999999999999</v>
      </c>
      <c r="V289" s="19">
        <v>2.61</v>
      </c>
      <c r="W289" s="19">
        <v>3.0276999999999998</v>
      </c>
      <c r="X289" s="19">
        <v>2.61</v>
      </c>
      <c r="Y289" s="19">
        <v>3.0276999999999998</v>
      </c>
      <c r="Z289" s="4"/>
      <c r="AA289" s="4"/>
      <c r="AB289" s="4" t="e">
        <f ca="1">_xll.ciqfunctions.udf.CIQ("^SPX", "IQ_PRICEDATE", "2/13/2015")</f>
        <v>#NAME?</v>
      </c>
      <c r="AC289" s="16">
        <v>2096.9879019150999</v>
      </c>
    </row>
    <row r="290" spans="1:29" x14ac:dyDescent="0.35">
      <c r="A290" s="2" t="s">
        <v>300</v>
      </c>
      <c r="B290" s="4" t="s">
        <v>1254</v>
      </c>
      <c r="C290" s="4" t="s">
        <v>586</v>
      </c>
      <c r="D290" s="4" t="s">
        <v>586</v>
      </c>
      <c r="E290" s="4" t="s">
        <v>1255</v>
      </c>
      <c r="F290" s="4" t="s">
        <v>1255</v>
      </c>
      <c r="G290" s="14">
        <v>166.11</v>
      </c>
      <c r="H290" s="10">
        <v>13.140537999999999</v>
      </c>
      <c r="I290" s="10">
        <v>14.545806000000001</v>
      </c>
      <c r="J290" s="10">
        <v>5.4309950000000002</v>
      </c>
      <c r="K290" s="15">
        <v>1.1557999999999999E-2</v>
      </c>
      <c r="L290" s="17">
        <v>10466.918669000001</v>
      </c>
      <c r="M290" s="4" t="s">
        <v>1256</v>
      </c>
      <c r="N290" s="19">
        <v>11.419786</v>
      </c>
      <c r="O290" s="19">
        <v>9.4571000000000005</v>
      </c>
      <c r="P290" s="19">
        <v>11.25</v>
      </c>
      <c r="Q290" s="19">
        <v>7.9074999999999998</v>
      </c>
      <c r="R290" s="19">
        <v>6.63</v>
      </c>
      <c r="S290" s="19">
        <v>8.3643999999999998</v>
      </c>
      <c r="T290" s="19">
        <v>6.63</v>
      </c>
      <c r="U290" s="19">
        <v>6.5189000000000004</v>
      </c>
      <c r="V290" s="19">
        <v>2.71</v>
      </c>
      <c r="W290" s="19">
        <v>4.7074999999999996</v>
      </c>
      <c r="X290" s="19">
        <v>2.71</v>
      </c>
      <c r="Y290" s="19">
        <v>4.7074999999999996</v>
      </c>
      <c r="Z290" s="4"/>
      <c r="AA290" s="4"/>
      <c r="AB290" s="4" t="e">
        <f ca="1">_xll.ciqfunctions.udf.CIQ("^SPX", "IQ_PRICEDATE", "2/17/2015")</f>
        <v>#NAME?</v>
      </c>
      <c r="AC290" s="16">
        <v>2100.3432492548</v>
      </c>
    </row>
    <row r="291" spans="1:29" x14ac:dyDescent="0.35">
      <c r="A291" s="2" t="s">
        <v>301</v>
      </c>
      <c r="B291" s="4" t="s">
        <v>1257</v>
      </c>
      <c r="C291" s="4" t="s">
        <v>525</v>
      </c>
      <c r="D291" s="4" t="s">
        <v>526</v>
      </c>
      <c r="E291" s="4" t="s">
        <v>527</v>
      </c>
      <c r="F291" s="4" t="s">
        <v>527</v>
      </c>
      <c r="G291" s="14">
        <v>31.96</v>
      </c>
      <c r="H291" s="10">
        <v>9.8165139999999997</v>
      </c>
      <c r="I291" s="10">
        <v>17.041934000000001</v>
      </c>
      <c r="J291" s="10" t="s">
        <v>534</v>
      </c>
      <c r="K291" s="15">
        <v>1.5018E-2</v>
      </c>
      <c r="L291" s="17">
        <v>9826.9552359999998</v>
      </c>
      <c r="M291" s="4" t="s">
        <v>1258</v>
      </c>
      <c r="N291" s="19">
        <v>1.8753740000000001</v>
      </c>
      <c r="O291" s="19">
        <v>2.7391000000000001</v>
      </c>
      <c r="P291" s="19">
        <v>1.66</v>
      </c>
      <c r="Q291" s="19">
        <v>2.1812</v>
      </c>
      <c r="R291" s="19">
        <v>1.47</v>
      </c>
      <c r="S291" s="19">
        <v>1.8372999999999999</v>
      </c>
      <c r="T291" s="19">
        <v>1.47</v>
      </c>
      <c r="U291" s="19">
        <v>1.41</v>
      </c>
      <c r="V291" s="19">
        <v>2.2799999999999998</v>
      </c>
      <c r="W291" s="19">
        <v>1.151</v>
      </c>
      <c r="X291" s="19">
        <v>2.2799999999999998</v>
      </c>
      <c r="Y291" s="19">
        <v>1.151</v>
      </c>
      <c r="Z291" s="4"/>
      <c r="AA291" s="4"/>
      <c r="AB291" s="4" t="e">
        <f ca="1">_xll.ciqfunctions.udf.CIQ("^SPX", "IQ_PRICEDATE", "2/18/2015")</f>
        <v>#NAME?</v>
      </c>
      <c r="AC291" s="16">
        <v>2099.6753437890002</v>
      </c>
    </row>
    <row r="292" spans="1:29" x14ac:dyDescent="0.35">
      <c r="A292" s="2" t="s">
        <v>302</v>
      </c>
      <c r="B292" s="4" t="s">
        <v>1259</v>
      </c>
      <c r="C292" s="4" t="s">
        <v>543</v>
      </c>
      <c r="D292" s="4" t="s">
        <v>544</v>
      </c>
      <c r="E292" s="4" t="s">
        <v>545</v>
      </c>
      <c r="F292" s="4" t="s">
        <v>616</v>
      </c>
      <c r="G292" s="14">
        <v>207.38</v>
      </c>
      <c r="H292" s="10">
        <v>26.015381999999999</v>
      </c>
      <c r="I292" s="10">
        <v>46.511147999999999</v>
      </c>
      <c r="J292" s="10">
        <v>173.88154599999999</v>
      </c>
      <c r="K292" s="15">
        <v>4.8219999999999999E-3</v>
      </c>
      <c r="L292" s="17">
        <v>215354.27094700001</v>
      </c>
      <c r="M292" s="4" t="s">
        <v>1260</v>
      </c>
      <c r="N292" s="19">
        <v>4.4587159999999999</v>
      </c>
      <c r="O292" s="19">
        <v>6.8643000000000001</v>
      </c>
      <c r="P292" s="19">
        <v>3.65</v>
      </c>
      <c r="Q292" s="19">
        <v>5.1303999999999998</v>
      </c>
      <c r="R292" s="19">
        <v>3.69</v>
      </c>
      <c r="S292" s="19">
        <v>4.1387</v>
      </c>
      <c r="T292" s="19">
        <v>3.69</v>
      </c>
      <c r="U292" s="19">
        <v>3.6930000000000001</v>
      </c>
      <c r="V292" s="19">
        <v>3.1</v>
      </c>
      <c r="W292" s="19">
        <v>3.4184999999999999</v>
      </c>
      <c r="X292" s="19">
        <v>3.1</v>
      </c>
      <c r="Y292" s="19">
        <v>3.4184999999999999</v>
      </c>
      <c r="Z292" s="4"/>
      <c r="AA292" s="4"/>
      <c r="AB292" s="4" t="e">
        <f ca="1">_xll.ciqfunctions.udf.CIQ("^SPX", "IQ_PRICEDATE", "2/19/2015")</f>
        <v>#NAME?</v>
      </c>
      <c r="AC292" s="16">
        <v>2097.4493476088001</v>
      </c>
    </row>
    <row r="293" spans="1:29" x14ac:dyDescent="0.35">
      <c r="A293" s="2" t="s">
        <v>303</v>
      </c>
      <c r="B293" s="4" t="s">
        <v>1261</v>
      </c>
      <c r="C293" s="4" t="s">
        <v>559</v>
      </c>
      <c r="D293" s="4" t="s">
        <v>912</v>
      </c>
      <c r="E293" s="4" t="s">
        <v>1106</v>
      </c>
      <c r="F293" s="4" t="s">
        <v>1106</v>
      </c>
      <c r="G293" s="14">
        <v>14.77</v>
      </c>
      <c r="H293" s="10" t="s">
        <v>534</v>
      </c>
      <c r="I293" s="10" t="s">
        <v>534</v>
      </c>
      <c r="J293" s="10" t="s">
        <v>534</v>
      </c>
      <c r="K293" s="15">
        <v>0</v>
      </c>
      <c r="L293" s="17">
        <v>5083.1402680000001</v>
      </c>
      <c r="M293" s="4" t="s">
        <v>1262</v>
      </c>
      <c r="N293" s="19">
        <v>-4.1761299999999997</v>
      </c>
      <c r="O293" s="19">
        <v>-0.16669999999999999</v>
      </c>
      <c r="P293" s="19">
        <v>-3.07</v>
      </c>
      <c r="Q293" s="19">
        <v>0.2369</v>
      </c>
      <c r="R293" s="19">
        <v>0.92</v>
      </c>
      <c r="S293" s="19">
        <v>1.5628</v>
      </c>
      <c r="T293" s="19">
        <v>0.92</v>
      </c>
      <c r="U293" s="19">
        <v>1.343</v>
      </c>
      <c r="V293" s="19">
        <v>1.45</v>
      </c>
      <c r="W293" s="19">
        <v>2.1236000000000002</v>
      </c>
      <c r="X293" s="19">
        <v>1.45</v>
      </c>
      <c r="Y293" s="19">
        <v>2.1236000000000002</v>
      </c>
      <c r="Z293" s="4"/>
      <c r="AA293" s="4"/>
      <c r="AB293" s="4" t="e">
        <f ca="1">_xll.ciqfunctions.udf.CIQ("^SPX", "IQ_PRICEDATE", "2/20/2015")</f>
        <v>#NAME?</v>
      </c>
      <c r="AC293" s="16">
        <v>2110.3008991643001</v>
      </c>
    </row>
    <row r="294" spans="1:29" x14ac:dyDescent="0.35">
      <c r="A294" s="2" t="s">
        <v>304</v>
      </c>
      <c r="B294" s="4" t="s">
        <v>1263</v>
      </c>
      <c r="C294" s="4" t="s">
        <v>626</v>
      </c>
      <c r="D294" s="4" t="s">
        <v>627</v>
      </c>
      <c r="E294" s="4" t="s">
        <v>699</v>
      </c>
      <c r="F294" s="4" t="s">
        <v>789</v>
      </c>
      <c r="G294" s="14">
        <v>137.69</v>
      </c>
      <c r="H294" s="10">
        <v>20.631674</v>
      </c>
      <c r="I294" s="10">
        <v>20.406457</v>
      </c>
      <c r="J294" s="10" t="s">
        <v>534</v>
      </c>
      <c r="K294" s="15">
        <v>1.5106E-2</v>
      </c>
      <c r="L294" s="17">
        <v>18127.496093000002</v>
      </c>
      <c r="M294" s="4" t="s">
        <v>1264</v>
      </c>
      <c r="N294" s="19">
        <v>6.7473739999999998</v>
      </c>
      <c r="O294" s="19">
        <v>5.2282000000000002</v>
      </c>
      <c r="P294" s="19">
        <v>3.72</v>
      </c>
      <c r="Q294" s="19">
        <v>4.5216000000000003</v>
      </c>
      <c r="R294" s="19">
        <v>3.69</v>
      </c>
      <c r="S294" s="19">
        <v>3.9647999999999999</v>
      </c>
      <c r="T294" s="19">
        <v>3.69</v>
      </c>
      <c r="U294" s="19">
        <v>3.6116999999999999</v>
      </c>
      <c r="V294" s="19">
        <v>3.34</v>
      </c>
      <c r="W294" s="19">
        <v>3.4861</v>
      </c>
      <c r="X294" s="19">
        <v>3.34</v>
      </c>
      <c r="Y294" s="19">
        <v>3.4861</v>
      </c>
      <c r="Z294" s="4"/>
      <c r="AA294" s="4"/>
      <c r="AB294" s="4" t="e">
        <f ca="1">_xll.ciqfunctions.udf.CIQ("^SPX", "IQ_PRICEDATE", "2/23/2015")</f>
        <v>#NAME?</v>
      </c>
      <c r="AC294" s="16">
        <v>2109.6566290026999</v>
      </c>
    </row>
    <row r="295" spans="1:29" x14ac:dyDescent="0.35">
      <c r="A295" s="2" t="s">
        <v>305</v>
      </c>
      <c r="B295" s="4" t="s">
        <v>1265</v>
      </c>
      <c r="C295" s="4" t="s">
        <v>559</v>
      </c>
      <c r="D295" s="4" t="s">
        <v>798</v>
      </c>
      <c r="E295" s="4" t="s">
        <v>799</v>
      </c>
      <c r="F295" s="4" t="s">
        <v>839</v>
      </c>
      <c r="G295" s="14">
        <v>166.77</v>
      </c>
      <c r="H295" s="10">
        <v>15.762727</v>
      </c>
      <c r="I295" s="10">
        <v>24.466937000000001</v>
      </c>
      <c r="J295" s="10" t="s">
        <v>534</v>
      </c>
      <c r="K295" s="15">
        <v>2.7822E-2</v>
      </c>
      <c r="L295" s="17">
        <v>129380.234209</v>
      </c>
      <c r="M295" s="4" t="s">
        <v>1266</v>
      </c>
      <c r="N295" s="19">
        <v>6.8161370000000003</v>
      </c>
      <c r="O295" s="19">
        <v>7.7857000000000003</v>
      </c>
      <c r="P295" s="19">
        <v>6.37</v>
      </c>
      <c r="Q295" s="19">
        <v>6.835</v>
      </c>
      <c r="R295" s="19">
        <v>5.44</v>
      </c>
      <c r="S295" s="19">
        <v>6.0103</v>
      </c>
      <c r="T295" s="19">
        <v>5.44</v>
      </c>
      <c r="U295" s="19">
        <v>5.2130000000000001</v>
      </c>
      <c r="V295" s="19">
        <v>4.82</v>
      </c>
      <c r="W295" s="19">
        <v>5.2888999999999999</v>
      </c>
      <c r="X295" s="19">
        <v>4.82</v>
      </c>
      <c r="Y295" s="19">
        <v>5.2888999999999999</v>
      </c>
      <c r="Z295" s="4"/>
      <c r="AA295" s="4"/>
      <c r="AB295" s="4" t="e">
        <f ca="1">_xll.ciqfunctions.udf.CIQ("^SPX", "IQ_PRICEDATE", "2/24/2015")</f>
        <v>#NAME?</v>
      </c>
      <c r="AC295" s="16">
        <v>2115.4838159563001</v>
      </c>
    </row>
    <row r="296" spans="1:29" x14ac:dyDescent="0.35">
      <c r="A296" s="2" t="s">
        <v>306</v>
      </c>
      <c r="B296" s="4" t="s">
        <v>1267</v>
      </c>
      <c r="C296" s="4" t="s">
        <v>530</v>
      </c>
      <c r="D296" s="4" t="s">
        <v>531</v>
      </c>
      <c r="E296" s="4" t="s">
        <v>569</v>
      </c>
      <c r="F296" s="4" t="s">
        <v>655</v>
      </c>
      <c r="G296" s="14">
        <v>135.04</v>
      </c>
      <c r="H296" s="10">
        <v>9.6127769999999995</v>
      </c>
      <c r="I296" s="10" t="s">
        <v>534</v>
      </c>
      <c r="J296" s="10" t="s">
        <v>534</v>
      </c>
      <c r="K296" s="15">
        <v>1.1552E-2</v>
      </c>
      <c r="L296" s="17">
        <v>26977.071924</v>
      </c>
      <c r="M296" s="4" t="s">
        <v>1268</v>
      </c>
      <c r="N296" s="19">
        <v>-1.8663419999999999</v>
      </c>
      <c r="O296" s="19">
        <v>13.4869</v>
      </c>
      <c r="P296" s="19">
        <v>22.754123</v>
      </c>
      <c r="Q296" s="19">
        <v>12.5558</v>
      </c>
      <c r="R296" s="19">
        <v>9.0365629999999992</v>
      </c>
      <c r="S296" s="19">
        <v>12.116899999999999</v>
      </c>
      <c r="T296" s="19">
        <v>9.0365629999999992</v>
      </c>
      <c r="U296" s="19">
        <v>13.3017</v>
      </c>
      <c r="V296" s="19">
        <v>7.5714709999999998</v>
      </c>
      <c r="W296" s="19">
        <v>11.6843</v>
      </c>
      <c r="X296" s="19">
        <v>7.5714709999999998</v>
      </c>
      <c r="Y296" s="19">
        <v>11.6843</v>
      </c>
      <c r="Z296" s="4"/>
      <c r="AA296" s="4"/>
      <c r="AB296" s="4" t="e">
        <f ca="1">_xll.ciqfunctions.udf.CIQ("^SPX", "IQ_PRICEDATE", "2/25/2015")</f>
        <v>#NAME?</v>
      </c>
      <c r="AC296" s="16">
        <v>2113.8635148128001</v>
      </c>
    </row>
    <row r="297" spans="1:29" x14ac:dyDescent="0.35">
      <c r="A297" s="2" t="s">
        <v>307</v>
      </c>
      <c r="B297" s="4" t="s">
        <v>1269</v>
      </c>
      <c r="C297" s="4" t="s">
        <v>530</v>
      </c>
      <c r="D297" s="4" t="s">
        <v>531</v>
      </c>
      <c r="E297" s="4" t="s">
        <v>532</v>
      </c>
      <c r="F297" s="4" t="s">
        <v>533</v>
      </c>
      <c r="G297" s="14">
        <v>97.29</v>
      </c>
      <c r="H297" s="10">
        <v>15.317556</v>
      </c>
      <c r="I297" s="10">
        <v>41.958820000000003</v>
      </c>
      <c r="J297" s="10" t="s">
        <v>534</v>
      </c>
      <c r="K297" s="15">
        <v>2.0556999999999999E-2</v>
      </c>
      <c r="L297" s="17">
        <v>131391.23396700001</v>
      </c>
      <c r="M297" s="4" t="s">
        <v>1270</v>
      </c>
      <c r="N297" s="19">
        <v>2.318702</v>
      </c>
      <c r="O297" s="19">
        <v>5.2145999999999999</v>
      </c>
      <c r="P297" s="19">
        <v>3.6437590000000002</v>
      </c>
      <c r="Q297" s="19">
        <v>4.9591000000000003</v>
      </c>
      <c r="R297" s="19">
        <v>3.0034299999999998</v>
      </c>
      <c r="S297" s="19">
        <v>4.8093000000000004</v>
      </c>
      <c r="T297" s="19">
        <v>3.0034299999999998</v>
      </c>
      <c r="U297" s="19">
        <v>4.6657000000000002</v>
      </c>
      <c r="V297" s="19">
        <v>2.8895770000000001</v>
      </c>
      <c r="W297" s="19">
        <v>4.2085999999999997</v>
      </c>
      <c r="X297" s="19">
        <v>2.8895770000000001</v>
      </c>
      <c r="Y297" s="19">
        <v>4.2085999999999997</v>
      </c>
      <c r="Z297" s="4"/>
      <c r="AA297" s="4"/>
      <c r="AB297" s="4" t="e">
        <f ca="1">_xll.ciqfunctions.udf.CIQ("^SPX", "IQ_PRICEDATE", "2/26/2015")</f>
        <v>#NAME?</v>
      </c>
      <c r="AC297" s="16">
        <v>2110.7418309157001</v>
      </c>
    </row>
    <row r="298" spans="1:29" x14ac:dyDescent="0.35">
      <c r="A298" s="2" t="s">
        <v>308</v>
      </c>
      <c r="B298" s="4" t="s">
        <v>1271</v>
      </c>
      <c r="C298" s="4" t="s">
        <v>530</v>
      </c>
      <c r="D298" s="4" t="s">
        <v>537</v>
      </c>
      <c r="E298" s="4" t="s">
        <v>613</v>
      </c>
      <c r="F298" s="4" t="s">
        <v>613</v>
      </c>
      <c r="G298" s="14">
        <v>71.819999999999993</v>
      </c>
      <c r="H298" s="10">
        <v>17.355464000000001</v>
      </c>
      <c r="I298" s="10">
        <v>148.119427</v>
      </c>
      <c r="J298" s="10">
        <v>141.313693</v>
      </c>
      <c r="K298" s="15">
        <v>2.6732999999999996E-2</v>
      </c>
      <c r="L298" s="17">
        <v>191007.10783600001</v>
      </c>
      <c r="M298" s="4" t="s">
        <v>1272</v>
      </c>
      <c r="N298" s="19">
        <v>0.484879</v>
      </c>
      <c r="O298" s="19">
        <v>4.4579000000000004</v>
      </c>
      <c r="P298" s="19">
        <v>0.87</v>
      </c>
      <c r="Q298" s="19">
        <v>3.9620000000000002</v>
      </c>
      <c r="R298" s="19">
        <v>1.41</v>
      </c>
      <c r="S298" s="19">
        <v>3.7530999999999999</v>
      </c>
      <c r="T298" s="19">
        <v>1.41</v>
      </c>
      <c r="U298" s="19">
        <v>3.6737000000000002</v>
      </c>
      <c r="V298" s="19">
        <v>4.07</v>
      </c>
      <c r="W298" s="19">
        <v>3.4413</v>
      </c>
      <c r="X298" s="19">
        <v>4.07</v>
      </c>
      <c r="Y298" s="19">
        <v>3.4413</v>
      </c>
      <c r="Z298" s="4"/>
      <c r="AA298" s="4"/>
      <c r="AB298" s="4" t="e">
        <f ca="1">_xll.ciqfunctions.udf.CIQ("^SPX", "IQ_PRICEDATE", "2/27/2015")</f>
        <v>#NAME?</v>
      </c>
      <c r="AC298" s="16">
        <v>2104.5032493243002</v>
      </c>
    </row>
    <row r="299" spans="1:29" x14ac:dyDescent="0.35">
      <c r="A299" s="2" t="s">
        <v>309</v>
      </c>
      <c r="B299" s="4" t="s">
        <v>1273</v>
      </c>
      <c r="C299" s="4" t="s">
        <v>573</v>
      </c>
      <c r="D299" s="4" t="s">
        <v>579</v>
      </c>
      <c r="E299" s="4" t="s">
        <v>579</v>
      </c>
      <c r="F299" s="4" t="s">
        <v>580</v>
      </c>
      <c r="G299" s="14">
        <v>44.66</v>
      </c>
      <c r="H299" s="10">
        <v>21.555149</v>
      </c>
      <c r="I299" s="10">
        <v>8.9880689999999994</v>
      </c>
      <c r="J299" s="10">
        <v>1.0120739999999999</v>
      </c>
      <c r="K299" s="15">
        <v>3.7616999999999998E-2</v>
      </c>
      <c r="L299" s="17">
        <v>44429.462444999997</v>
      </c>
      <c r="M299" s="4" t="s">
        <v>1274</v>
      </c>
      <c r="N299" s="19">
        <v>4.9688090000000003</v>
      </c>
      <c r="O299" s="19">
        <v>5.2276999999999996</v>
      </c>
      <c r="P299" s="19">
        <v>4.53</v>
      </c>
      <c r="Q299" s="19">
        <v>4.5159000000000002</v>
      </c>
      <c r="R299" s="19">
        <v>3.13</v>
      </c>
      <c r="S299" s="19">
        <v>5.3220000000000001</v>
      </c>
      <c r="T299" s="19">
        <v>3.13</v>
      </c>
      <c r="U299" s="19">
        <v>5.7436999999999996</v>
      </c>
      <c r="V299" s="19">
        <v>5.42</v>
      </c>
      <c r="W299" s="19">
        <v>5.76</v>
      </c>
      <c r="X299" s="19">
        <v>5.42</v>
      </c>
      <c r="Y299" s="19">
        <v>5.76</v>
      </c>
      <c r="Z299" s="4"/>
      <c r="AA299" s="4"/>
      <c r="AB299" s="4" t="e">
        <f ca="1">_xll.ciqfunctions.udf.CIQ("^SPX", "IQ_PRICEDATE", "3/2/2015")</f>
        <v>#NAME?</v>
      </c>
      <c r="AC299" s="16">
        <v>2117.3933347360999</v>
      </c>
    </row>
    <row r="300" spans="1:29" x14ac:dyDescent="0.35">
      <c r="A300" s="2" t="s">
        <v>310</v>
      </c>
      <c r="B300" s="4" t="s">
        <v>1275</v>
      </c>
      <c r="C300" s="4" t="s">
        <v>530</v>
      </c>
      <c r="D300" s="4" t="s">
        <v>537</v>
      </c>
      <c r="E300" s="4" t="s">
        <v>583</v>
      </c>
      <c r="F300" s="4" t="s">
        <v>583</v>
      </c>
      <c r="G300" s="14">
        <v>578.69000000000005</v>
      </c>
      <c r="H300" s="10">
        <v>22.263456999999999</v>
      </c>
      <c r="I300" s="10">
        <v>39.119819999999997</v>
      </c>
      <c r="J300" s="10" t="s">
        <v>534</v>
      </c>
      <c r="K300" s="15">
        <v>0</v>
      </c>
      <c r="L300" s="17">
        <v>14590.990125</v>
      </c>
      <c r="M300" s="4" t="s">
        <v>1276</v>
      </c>
      <c r="N300" s="19">
        <v>14.792757</v>
      </c>
      <c r="O300" s="19">
        <v>21.353000000000002</v>
      </c>
      <c r="P300" s="19">
        <v>14.24</v>
      </c>
      <c r="Q300" s="19">
        <v>19.140499999999999</v>
      </c>
      <c r="R300" s="19">
        <v>14.219999</v>
      </c>
      <c r="S300" s="19">
        <v>15.7037</v>
      </c>
      <c r="T300" s="19">
        <v>14.219999</v>
      </c>
      <c r="U300" s="19">
        <v>13.7766</v>
      </c>
      <c r="V300" s="19">
        <v>11.44</v>
      </c>
      <c r="W300" s="19">
        <v>12.564299999999999</v>
      </c>
      <c r="X300" s="19">
        <v>11.44</v>
      </c>
      <c r="Y300" s="19">
        <v>12.564299999999999</v>
      </c>
      <c r="Z300" s="4"/>
      <c r="AA300" s="4"/>
      <c r="AB300" s="4" t="e">
        <f ca="1">_xll.ciqfunctions.udf.CIQ("^SPX", "IQ_PRICEDATE", "3/3/2015")</f>
        <v>#NAME?</v>
      </c>
      <c r="AC300" s="16">
        <v>2107.7784174444</v>
      </c>
    </row>
    <row r="301" spans="1:29" x14ac:dyDescent="0.35">
      <c r="A301" s="2" t="s">
        <v>311</v>
      </c>
      <c r="B301" s="4" t="s">
        <v>1277</v>
      </c>
      <c r="C301" s="4" t="s">
        <v>559</v>
      </c>
      <c r="D301" s="4" t="s">
        <v>798</v>
      </c>
      <c r="E301" s="4" t="s">
        <v>799</v>
      </c>
      <c r="F301" s="4" t="s">
        <v>1278</v>
      </c>
      <c r="G301" s="14">
        <v>27.92</v>
      </c>
      <c r="H301" s="10">
        <v>12.402637</v>
      </c>
      <c r="I301" s="10">
        <v>8.5436420000000002</v>
      </c>
      <c r="J301" s="10">
        <v>11.830769</v>
      </c>
      <c r="K301" s="15">
        <v>1.7191000000000001E-2</v>
      </c>
      <c r="L301" s="17">
        <v>15018.227079</v>
      </c>
      <c r="M301" s="4" t="s">
        <v>1279</v>
      </c>
      <c r="N301" s="19">
        <v>3.2679269999999998</v>
      </c>
      <c r="O301" s="19">
        <v>1.1268</v>
      </c>
      <c r="P301" s="19">
        <v>3.3546499999999999</v>
      </c>
      <c r="Q301" s="19">
        <v>1.236</v>
      </c>
      <c r="R301" s="19">
        <v>1.921033</v>
      </c>
      <c r="S301" s="19">
        <v>1.2794000000000001</v>
      </c>
      <c r="T301" s="19">
        <v>1.921033</v>
      </c>
      <c r="U301" s="19">
        <v>0.57110000000000005</v>
      </c>
      <c r="V301" s="19">
        <v>-0.30601</v>
      </c>
      <c r="W301" s="19">
        <v>0.53300000000000003</v>
      </c>
      <c r="X301" s="19">
        <v>-0.30601</v>
      </c>
      <c r="Y301" s="19">
        <v>0.53300000000000003</v>
      </c>
      <c r="Z301" s="4"/>
      <c r="AA301" s="4"/>
      <c r="AB301" s="4" t="e">
        <f ca="1">_xll.ciqfunctions.udf.CIQ("^SPX", "IQ_PRICEDATE", "3/4/2015")</f>
        <v>#NAME?</v>
      </c>
      <c r="AC301" s="16">
        <v>2098.5330535804001</v>
      </c>
    </row>
    <row r="302" spans="1:29" x14ac:dyDescent="0.35">
      <c r="A302" s="2" t="s">
        <v>312</v>
      </c>
      <c r="B302" s="4" t="s">
        <v>1280</v>
      </c>
      <c r="C302" s="4" t="s">
        <v>559</v>
      </c>
      <c r="D302" s="4" t="s">
        <v>912</v>
      </c>
      <c r="E302" s="4" t="s">
        <v>1097</v>
      </c>
      <c r="F302" s="4" t="s">
        <v>1098</v>
      </c>
      <c r="G302" s="14">
        <v>62.38</v>
      </c>
      <c r="H302" s="10">
        <v>8.4249170000000007</v>
      </c>
      <c r="I302" s="10">
        <v>14.711650000000001</v>
      </c>
      <c r="J302" s="10">
        <v>173.590723</v>
      </c>
      <c r="K302" s="15">
        <v>0</v>
      </c>
      <c r="L302" s="17">
        <v>9305.1369560000003</v>
      </c>
      <c r="M302" s="4" t="s">
        <v>1281</v>
      </c>
      <c r="N302" s="19">
        <v>4.2401770000000001</v>
      </c>
      <c r="O302" s="19">
        <v>5.0564999999999998</v>
      </c>
      <c r="P302" s="19">
        <v>3.3294570000000001</v>
      </c>
      <c r="Q302" s="19">
        <v>3.9893999999999998</v>
      </c>
      <c r="R302" s="19">
        <v>4.3754530000000003</v>
      </c>
      <c r="S302" s="19">
        <v>4.4847999999999999</v>
      </c>
      <c r="T302" s="19">
        <v>4.3754530000000003</v>
      </c>
      <c r="U302" s="19">
        <v>4.3769999999999998</v>
      </c>
      <c r="V302" s="19">
        <v>4.1599360000000001</v>
      </c>
      <c r="W302" s="19">
        <v>4.4702999999999999</v>
      </c>
      <c r="X302" s="19">
        <v>4.1599360000000001</v>
      </c>
      <c r="Y302" s="19">
        <v>4.4702999999999999</v>
      </c>
      <c r="Z302" s="4"/>
      <c r="AA302" s="4"/>
      <c r="AB302" s="4" t="e">
        <f ca="1">_xll.ciqfunctions.udf.CIQ("^SPX", "IQ_PRICEDATE", "3/5/2015")</f>
        <v>#NAME?</v>
      </c>
      <c r="AC302" s="16">
        <v>2101.0420529524999</v>
      </c>
    </row>
    <row r="303" spans="1:29" x14ac:dyDescent="0.35">
      <c r="A303" s="2" t="s">
        <v>313</v>
      </c>
      <c r="B303" s="4" t="s">
        <v>1282</v>
      </c>
      <c r="C303" s="4" t="s">
        <v>543</v>
      </c>
      <c r="D303" s="4" t="s">
        <v>565</v>
      </c>
      <c r="E303" s="4" t="s">
        <v>565</v>
      </c>
      <c r="F303" s="4" t="s">
        <v>566</v>
      </c>
      <c r="G303" s="14">
        <v>69.05</v>
      </c>
      <c r="H303" s="10">
        <v>17.165426</v>
      </c>
      <c r="I303" s="10">
        <v>142.604299</v>
      </c>
      <c r="J303" s="10" t="s">
        <v>534</v>
      </c>
      <c r="K303" s="15">
        <v>2.1086000000000001E-2</v>
      </c>
      <c r="L303" s="17">
        <v>16265.268023000001</v>
      </c>
      <c r="M303" s="4" t="s">
        <v>1283</v>
      </c>
      <c r="N303" s="19">
        <v>0.484207</v>
      </c>
      <c r="O303" s="19">
        <v>6.9287000000000001</v>
      </c>
      <c r="P303" s="19">
        <v>1.0271079999999999</v>
      </c>
      <c r="Q303" s="19">
        <v>5.6483999999999996</v>
      </c>
      <c r="R303" s="19">
        <v>0.43665500000000002</v>
      </c>
      <c r="S303" s="19">
        <v>3.8492999999999999</v>
      </c>
      <c r="T303" s="19">
        <v>0.43665500000000002</v>
      </c>
      <c r="U303" s="19">
        <v>2.7298</v>
      </c>
      <c r="V303" s="19">
        <v>1.7077009999999999</v>
      </c>
      <c r="W303" s="19">
        <v>2.6915</v>
      </c>
      <c r="X303" s="19">
        <v>1.7077009999999999</v>
      </c>
      <c r="Y303" s="19">
        <v>2.6915</v>
      </c>
      <c r="Z303" s="4"/>
      <c r="AA303" s="4"/>
      <c r="AB303" s="4" t="e">
        <f ca="1">_xll.ciqfunctions.udf.CIQ("^SPX", "IQ_PRICEDATE", "3/6/2015")</f>
        <v>#NAME?</v>
      </c>
      <c r="AC303" s="16">
        <v>2071.2621063056999</v>
      </c>
    </row>
    <row r="304" spans="1:29" x14ac:dyDescent="0.35">
      <c r="A304" s="2" t="s">
        <v>314</v>
      </c>
      <c r="B304" s="4" t="s">
        <v>1284</v>
      </c>
      <c r="C304" s="4" t="s">
        <v>543</v>
      </c>
      <c r="D304" s="4" t="s">
        <v>565</v>
      </c>
      <c r="E304" s="4" t="s">
        <v>565</v>
      </c>
      <c r="F304" s="4" t="s">
        <v>566</v>
      </c>
      <c r="G304" s="14">
        <v>42.35</v>
      </c>
      <c r="H304" s="10">
        <v>2.3795829999999998</v>
      </c>
      <c r="I304" s="10">
        <v>3.6794090000000002</v>
      </c>
      <c r="J304" s="10">
        <v>1.5997509999999999</v>
      </c>
      <c r="K304" s="15">
        <v>0</v>
      </c>
      <c r="L304" s="17">
        <v>48035.715130999997</v>
      </c>
      <c r="M304" s="4" t="s">
        <v>1285</v>
      </c>
      <c r="N304" s="19">
        <v>11.51</v>
      </c>
      <c r="O304" s="19">
        <v>10.607049999999999</v>
      </c>
      <c r="P304" s="19">
        <v>6.3977510000000004</v>
      </c>
      <c r="Q304" s="19">
        <v>9.7083999999999993</v>
      </c>
      <c r="R304" s="19">
        <v>-0.30013000000000001</v>
      </c>
      <c r="S304" s="19">
        <v>2.7976000000000001</v>
      </c>
      <c r="T304" s="19">
        <v>-0.30013000000000001</v>
      </c>
      <c r="U304" s="19">
        <v>0.56930000000000003</v>
      </c>
      <c r="V304" s="19">
        <v>3.0776029999999999</v>
      </c>
      <c r="W304" s="19">
        <v>3.7490700000000001</v>
      </c>
      <c r="X304" s="19">
        <v>3.0776029999999999</v>
      </c>
      <c r="Y304" s="19">
        <v>3.7490700000000001</v>
      </c>
      <c r="Z304" s="4"/>
      <c r="AA304" s="4"/>
      <c r="AB304" s="4" t="e">
        <f ca="1">_xll.ciqfunctions.udf.CIQ("^SPX", "IQ_PRICEDATE", "3/9/2015")</f>
        <v>#NAME?</v>
      </c>
      <c r="AC304" s="16">
        <v>2079.4254666122001</v>
      </c>
    </row>
    <row r="305" spans="1:29" x14ac:dyDescent="0.35">
      <c r="A305" s="2" t="s">
        <v>315</v>
      </c>
      <c r="B305" s="4" t="s">
        <v>1286</v>
      </c>
      <c r="C305" s="4" t="s">
        <v>543</v>
      </c>
      <c r="D305" s="4" t="s">
        <v>544</v>
      </c>
      <c r="E305" s="4" t="s">
        <v>555</v>
      </c>
      <c r="F305" s="4" t="s">
        <v>782</v>
      </c>
      <c r="G305" s="14">
        <v>110.71</v>
      </c>
      <c r="H305" s="10">
        <v>17.879272</v>
      </c>
      <c r="I305" s="10">
        <v>51.976525000000002</v>
      </c>
      <c r="J305" s="10">
        <v>21.802903000000001</v>
      </c>
      <c r="K305" s="15">
        <v>1.6618999999999998E-2</v>
      </c>
      <c r="L305" s="17">
        <v>849977.32351799996</v>
      </c>
      <c r="M305" s="4" t="s">
        <v>1287</v>
      </c>
      <c r="N305" s="19">
        <v>2.13</v>
      </c>
      <c r="O305" s="19">
        <v>4.2925899999999997</v>
      </c>
      <c r="P305" s="19">
        <v>1.2299960000000001</v>
      </c>
      <c r="Q305" s="19">
        <v>3.4314</v>
      </c>
      <c r="R305" s="19">
        <v>2.383178</v>
      </c>
      <c r="S305" s="19">
        <v>2.9746999999999999</v>
      </c>
      <c r="T305" s="19">
        <v>2.383178</v>
      </c>
      <c r="U305" s="19">
        <v>2.7997000000000001</v>
      </c>
      <c r="V305" s="19">
        <v>2.4794459999999998</v>
      </c>
      <c r="W305" s="19">
        <v>2.8952</v>
      </c>
      <c r="X305" s="19">
        <v>2.4794459999999998</v>
      </c>
      <c r="Y305" s="19">
        <v>2.8952</v>
      </c>
      <c r="Z305" s="4"/>
      <c r="AA305" s="4"/>
      <c r="AB305" s="4" t="e">
        <f ca="1">_xll.ciqfunctions.udf.CIQ("^SPX", "IQ_PRICEDATE", "3/10/2015")</f>
        <v>#NAME?</v>
      </c>
      <c r="AC305" s="16">
        <v>2044.1626309388</v>
      </c>
    </row>
    <row r="306" spans="1:29" x14ac:dyDescent="0.35">
      <c r="A306" s="2" t="s">
        <v>316</v>
      </c>
      <c r="B306" s="4" t="s">
        <v>1288</v>
      </c>
      <c r="C306" s="4" t="s">
        <v>601</v>
      </c>
      <c r="D306" s="4" t="s">
        <v>601</v>
      </c>
      <c r="E306" s="4" t="s">
        <v>602</v>
      </c>
      <c r="F306" s="4" t="s">
        <v>685</v>
      </c>
      <c r="G306" s="14">
        <v>98.11</v>
      </c>
      <c r="H306" s="10">
        <v>18.067543000000001</v>
      </c>
      <c r="I306" s="10">
        <v>32.507334999999998</v>
      </c>
      <c r="J306" s="10">
        <v>1.7858449999999999</v>
      </c>
      <c r="K306" s="15">
        <v>3.7610000000000005E-2</v>
      </c>
      <c r="L306" s="17">
        <v>11165.894587000001</v>
      </c>
      <c r="M306" s="4" t="s">
        <v>1289</v>
      </c>
      <c r="N306" s="19">
        <v>3.0180880000000001</v>
      </c>
      <c r="O306" s="19">
        <v>1.9883</v>
      </c>
      <c r="P306" s="19">
        <v>2.8560080000000001</v>
      </c>
      <c r="Q306" s="19">
        <v>2.0318999999999998</v>
      </c>
      <c r="R306" s="19">
        <v>2.689276</v>
      </c>
      <c r="S306" s="19">
        <v>1.895</v>
      </c>
      <c r="T306" s="19">
        <v>2.689276</v>
      </c>
      <c r="U306" s="19">
        <v>2.1225000000000001</v>
      </c>
      <c r="V306" s="19">
        <v>1.8986019999999999</v>
      </c>
      <c r="W306" s="19">
        <v>1.885</v>
      </c>
      <c r="X306" s="19">
        <v>1.8986019999999999</v>
      </c>
      <c r="Y306" s="19">
        <v>1.885</v>
      </c>
      <c r="Z306" s="4"/>
      <c r="AA306" s="4"/>
      <c r="AB306" s="4" t="e">
        <f ca="1">_xll.ciqfunctions.udf.CIQ("^SPX", "IQ_PRICEDATE", "3/11/2015")</f>
        <v>#NAME?</v>
      </c>
      <c r="AC306" s="16">
        <v>2040.2351976913999</v>
      </c>
    </row>
    <row r="307" spans="1:29" x14ac:dyDescent="0.35">
      <c r="A307" s="2" t="s">
        <v>317</v>
      </c>
      <c r="B307" s="4" t="s">
        <v>1290</v>
      </c>
      <c r="C307" s="4" t="s">
        <v>559</v>
      </c>
      <c r="D307" s="4" t="s">
        <v>912</v>
      </c>
      <c r="E307" s="4" t="s">
        <v>913</v>
      </c>
      <c r="F307" s="4" t="s">
        <v>1222</v>
      </c>
      <c r="G307" s="14">
        <v>155.94999999999999</v>
      </c>
      <c r="H307" s="10">
        <v>7.5434130000000001</v>
      </c>
      <c r="I307" s="10">
        <v>12.762679</v>
      </c>
      <c r="J307" s="10">
        <v>2.8655789999999999</v>
      </c>
      <c r="K307" s="15">
        <v>0</v>
      </c>
      <c r="L307" s="17">
        <v>11634.320851</v>
      </c>
      <c r="M307" s="4" t="s">
        <v>1291</v>
      </c>
      <c r="N307" s="19">
        <v>12.219220999999999</v>
      </c>
      <c r="O307" s="19">
        <v>14.0388</v>
      </c>
      <c r="P307" s="19">
        <v>12.98</v>
      </c>
      <c r="Q307" s="19">
        <v>14.451700000000001</v>
      </c>
      <c r="R307" s="19">
        <v>12.48</v>
      </c>
      <c r="S307" s="19">
        <v>13.2964</v>
      </c>
      <c r="T307" s="19">
        <v>12.48</v>
      </c>
      <c r="U307" s="19">
        <v>11.652699999999999</v>
      </c>
      <c r="V307" s="19">
        <v>7.25</v>
      </c>
      <c r="W307" s="19">
        <v>9.0420999999999996</v>
      </c>
      <c r="X307" s="19">
        <v>7.25</v>
      </c>
      <c r="Y307" s="19">
        <v>9.0420999999999996</v>
      </c>
      <c r="Z307" s="4"/>
      <c r="AA307" s="4"/>
      <c r="AB307" s="4" t="e">
        <f ca="1">_xll.ciqfunctions.udf.CIQ("^SPX", "IQ_PRICEDATE", "3/12/2015")</f>
        <v>#NAME?</v>
      </c>
      <c r="AC307" s="16">
        <v>2065.9542896005</v>
      </c>
    </row>
    <row r="308" spans="1:29" x14ac:dyDescent="0.35">
      <c r="A308" s="2" t="s">
        <v>318</v>
      </c>
      <c r="B308" s="4" t="s">
        <v>1292</v>
      </c>
      <c r="C308" s="4" t="s">
        <v>626</v>
      </c>
      <c r="D308" s="4" t="s">
        <v>627</v>
      </c>
      <c r="E308" s="4" t="s">
        <v>775</v>
      </c>
      <c r="F308" s="4" t="s">
        <v>1293</v>
      </c>
      <c r="G308" s="14">
        <v>59.57</v>
      </c>
      <c r="H308" s="10">
        <v>9.5026679999999999</v>
      </c>
      <c r="I308" s="10">
        <v>8.1947489999999998</v>
      </c>
      <c r="J308" s="10" t="s">
        <v>534</v>
      </c>
      <c r="K308" s="15">
        <v>2.7530000000000002E-2</v>
      </c>
      <c r="L308" s="17">
        <v>12872.404688000001</v>
      </c>
      <c r="M308" s="4" t="s">
        <v>1294</v>
      </c>
      <c r="N308" s="19">
        <v>7.2692889999999997</v>
      </c>
      <c r="O308" s="19">
        <v>4.9176000000000002</v>
      </c>
      <c r="P308" s="19">
        <v>6.52</v>
      </c>
      <c r="Q308" s="19">
        <v>4.7706999999999997</v>
      </c>
      <c r="R308" s="19">
        <v>9.35</v>
      </c>
      <c r="S308" s="19">
        <v>5.3032000000000004</v>
      </c>
      <c r="T308" s="19">
        <v>9.35</v>
      </c>
      <c r="U308" s="19">
        <v>3.8633000000000002</v>
      </c>
      <c r="V308" s="19">
        <v>2.76</v>
      </c>
      <c r="W308" s="19">
        <v>4.2073999999999998</v>
      </c>
      <c r="X308" s="19">
        <v>2.76</v>
      </c>
      <c r="Y308" s="19">
        <v>4.2073999999999998</v>
      </c>
      <c r="Z308" s="4"/>
      <c r="AA308" s="4"/>
      <c r="AB308" s="4" t="e">
        <f ca="1">_xll.ciqfunctions.udf.CIQ("^SPX", "IQ_PRICEDATE", "3/13/2015")</f>
        <v>#NAME?</v>
      </c>
      <c r="AC308" s="16">
        <v>2053.3982557016998</v>
      </c>
    </row>
    <row r="309" spans="1:29" x14ac:dyDescent="0.35">
      <c r="A309" s="2" t="s">
        <v>319</v>
      </c>
      <c r="B309" s="4" t="s">
        <v>1295</v>
      </c>
      <c r="C309" s="4" t="s">
        <v>626</v>
      </c>
      <c r="D309" s="4" t="s">
        <v>627</v>
      </c>
      <c r="E309" s="4" t="s">
        <v>699</v>
      </c>
      <c r="F309" s="4" t="s">
        <v>789</v>
      </c>
      <c r="G309" s="14">
        <v>41.16</v>
      </c>
      <c r="H309" s="10">
        <v>14.952602000000001</v>
      </c>
      <c r="I309" s="10">
        <v>20.312253999999999</v>
      </c>
      <c r="J309" s="10" t="s">
        <v>534</v>
      </c>
      <c r="K309" s="15">
        <v>2.5266999999999998E-2</v>
      </c>
      <c r="L309" s="17">
        <v>60363.650718999997</v>
      </c>
      <c r="M309" s="4" t="s">
        <v>1296</v>
      </c>
      <c r="N309" s="19">
        <v>2.0263629999999999</v>
      </c>
      <c r="O309" s="19">
        <v>2.4335</v>
      </c>
      <c r="P309" s="19">
        <v>1.91</v>
      </c>
      <c r="Q309" s="19">
        <v>2.3098000000000001</v>
      </c>
      <c r="R309" s="19">
        <v>1.05</v>
      </c>
      <c r="S309" s="19">
        <v>2.0310999999999999</v>
      </c>
      <c r="T309" s="19">
        <v>1.05</v>
      </c>
      <c r="U309" s="19">
        <v>1.927</v>
      </c>
      <c r="V309" s="19">
        <v>1.28</v>
      </c>
      <c r="W309" s="19">
        <v>1.7676000000000001</v>
      </c>
      <c r="X309" s="19">
        <v>1.28</v>
      </c>
      <c r="Y309" s="19">
        <v>1.7676000000000001</v>
      </c>
      <c r="Z309" s="4"/>
      <c r="AA309" s="4"/>
      <c r="AB309" s="4" t="e">
        <f ca="1">_xll.ciqfunctions.udf.CIQ("^SPX", "IQ_PRICEDATE", "3/16/2015")</f>
        <v>#NAME?</v>
      </c>
      <c r="AC309" s="16">
        <v>2081.1927519049</v>
      </c>
    </row>
    <row r="310" spans="1:29" x14ac:dyDescent="0.35">
      <c r="A310" s="2" t="s">
        <v>320</v>
      </c>
      <c r="B310" s="4" t="s">
        <v>1297</v>
      </c>
      <c r="C310" s="4" t="s">
        <v>626</v>
      </c>
      <c r="D310" s="4" t="s">
        <v>627</v>
      </c>
      <c r="E310" s="4" t="s">
        <v>775</v>
      </c>
      <c r="F310" s="4" t="s">
        <v>1298</v>
      </c>
      <c r="G310" s="14">
        <v>52.63</v>
      </c>
      <c r="H310" s="10">
        <v>21.630203999999999</v>
      </c>
      <c r="I310" s="10">
        <v>33.323265999999997</v>
      </c>
      <c r="J310" s="10">
        <v>23.560040999999998</v>
      </c>
      <c r="K310" s="15">
        <v>0</v>
      </c>
      <c r="L310" s="17">
        <v>29079.292332000001</v>
      </c>
      <c r="M310" s="4" t="s">
        <v>1299</v>
      </c>
      <c r="N310" s="19">
        <v>1.579377</v>
      </c>
      <c r="O310" s="19">
        <v>1.8596999999999999</v>
      </c>
      <c r="P310" s="19">
        <v>1.42</v>
      </c>
      <c r="Q310" s="19">
        <v>1.6449</v>
      </c>
      <c r="R310" s="19">
        <v>1.19</v>
      </c>
      <c r="S310" s="19">
        <v>1.4362999999999999</v>
      </c>
      <c r="T310" s="19">
        <v>1.19</v>
      </c>
      <c r="U310" s="19">
        <v>1.2426999999999999</v>
      </c>
      <c r="V310" s="19">
        <v>0.92</v>
      </c>
      <c r="W310" s="19">
        <v>1.0047999999999999</v>
      </c>
      <c r="X310" s="19">
        <v>0.92</v>
      </c>
      <c r="Y310" s="19">
        <v>1.0047999999999999</v>
      </c>
      <c r="Z310" s="4"/>
      <c r="AA310" s="4"/>
      <c r="AB310" s="4" t="e">
        <f ca="1">_xll.ciqfunctions.udf.CIQ("^SPX", "IQ_PRICEDATE", "3/17/2015")</f>
        <v>#NAME?</v>
      </c>
      <c r="AC310" s="16">
        <v>2074.2764352814002</v>
      </c>
    </row>
    <row r="311" spans="1:29" x14ac:dyDescent="0.35">
      <c r="A311" s="2" t="s">
        <v>321</v>
      </c>
      <c r="B311" s="4" t="s">
        <v>1300</v>
      </c>
      <c r="C311" s="4" t="s">
        <v>573</v>
      </c>
      <c r="D311" s="4" t="s">
        <v>574</v>
      </c>
      <c r="E311" s="4" t="s">
        <v>575</v>
      </c>
      <c r="F311" s="4" t="s">
        <v>807</v>
      </c>
      <c r="G311" s="14">
        <v>161.83000000000001</v>
      </c>
      <c r="H311" s="10">
        <v>16.366043000000001</v>
      </c>
      <c r="I311" s="10">
        <v>28.836867999999999</v>
      </c>
      <c r="J311" s="10" t="s">
        <v>534</v>
      </c>
      <c r="K311" s="15">
        <v>1.0874999999999999E-2</v>
      </c>
      <c r="L311" s="17">
        <v>31055.177</v>
      </c>
      <c r="M311" s="4" t="s">
        <v>1301</v>
      </c>
      <c r="N311" s="19">
        <v>5.6119130000000004</v>
      </c>
      <c r="O311" s="19">
        <v>7.9436</v>
      </c>
      <c r="P311" s="19">
        <v>5.15</v>
      </c>
      <c r="Q311" s="19">
        <v>6.2826000000000004</v>
      </c>
      <c r="R311" s="19">
        <v>1.36</v>
      </c>
      <c r="S311" s="19">
        <v>4.9725999999999999</v>
      </c>
      <c r="T311" s="19">
        <v>1.36</v>
      </c>
      <c r="U311" s="19">
        <v>4.9287000000000001</v>
      </c>
      <c r="V311" s="19">
        <v>4.6100000000000003</v>
      </c>
      <c r="W311" s="19">
        <v>4.4413999999999998</v>
      </c>
      <c r="X311" s="19">
        <v>4.6100000000000003</v>
      </c>
      <c r="Y311" s="19">
        <v>4.4413999999999998</v>
      </c>
      <c r="Z311" s="4"/>
      <c r="AA311" s="4"/>
      <c r="AB311" s="4" t="e">
        <f ca="1">_xll.ciqfunctions.udf.CIQ("^SPX", "IQ_PRICEDATE", "3/18/2015")</f>
        <v>#NAME?</v>
      </c>
      <c r="AC311" s="16">
        <v>2099.5007136298</v>
      </c>
    </row>
    <row r="312" spans="1:29" x14ac:dyDescent="0.35">
      <c r="A312" s="2" t="s">
        <v>322</v>
      </c>
      <c r="B312" s="4" t="s">
        <v>1302</v>
      </c>
      <c r="C312" s="4" t="s">
        <v>573</v>
      </c>
      <c r="D312" s="4" t="s">
        <v>574</v>
      </c>
      <c r="E312" s="4" t="s">
        <v>575</v>
      </c>
      <c r="F312" s="4" t="s">
        <v>963</v>
      </c>
      <c r="G312" s="14">
        <v>47.19</v>
      </c>
      <c r="H312" s="10">
        <v>0</v>
      </c>
      <c r="I312" s="10">
        <v>11.312206</v>
      </c>
      <c r="J312" s="10">
        <v>1.341121</v>
      </c>
      <c r="K312" s="15">
        <v>2.5429E-2</v>
      </c>
      <c r="L312" s="17">
        <v>80223</v>
      </c>
      <c r="M312" s="4" t="s">
        <v>1303</v>
      </c>
      <c r="N312" s="19">
        <v>4.1715999999999998</v>
      </c>
      <c r="O312" s="19">
        <v>4.7832999999999997</v>
      </c>
      <c r="P312" s="19">
        <v>3.08</v>
      </c>
      <c r="Q312" s="19">
        <v>3.9678</v>
      </c>
      <c r="R312" s="19">
        <v>2.92</v>
      </c>
      <c r="S312" s="19">
        <v>3.2086999999999999</v>
      </c>
      <c r="T312" s="19">
        <v>2.92</v>
      </c>
      <c r="U312" s="19">
        <v>2.9138999999999999</v>
      </c>
      <c r="V312" s="19">
        <v>1.61</v>
      </c>
      <c r="W312" s="19">
        <v>2.8113999999999999</v>
      </c>
      <c r="X312" s="19">
        <v>1.61</v>
      </c>
      <c r="Y312" s="19">
        <v>2.8113999999999999</v>
      </c>
      <c r="Z312" s="4"/>
      <c r="AA312" s="4"/>
      <c r="AB312" s="4" t="e">
        <f ca="1">_xll.ciqfunctions.udf.CIQ("^SPX", "IQ_PRICEDATE", "3/19/2015")</f>
        <v>#NAME?</v>
      </c>
      <c r="AC312" s="16">
        <v>2089.274370696</v>
      </c>
    </row>
    <row r="313" spans="1:29" x14ac:dyDescent="0.35">
      <c r="A313" s="2" t="s">
        <v>323</v>
      </c>
      <c r="B313" s="4" t="s">
        <v>1304</v>
      </c>
      <c r="C313" s="4" t="s">
        <v>543</v>
      </c>
      <c r="D313" s="4" t="s">
        <v>664</v>
      </c>
      <c r="E313" s="4" t="s">
        <v>706</v>
      </c>
      <c r="F313" s="4" t="s">
        <v>706</v>
      </c>
      <c r="G313" s="14">
        <v>123.56</v>
      </c>
      <c r="H313" s="10">
        <v>14.005463000000001</v>
      </c>
      <c r="I313" s="10" t="s">
        <v>534</v>
      </c>
      <c r="J313" s="10" t="s">
        <v>534</v>
      </c>
      <c r="K313" s="15">
        <v>1.6833000000000001E-2</v>
      </c>
      <c r="L313" s="17">
        <v>20049.685932</v>
      </c>
      <c r="M313" s="4" t="s">
        <v>1305</v>
      </c>
      <c r="N313" s="19">
        <v>-0.41529899999999997</v>
      </c>
      <c r="O313" s="19">
        <v>7.0298999999999996</v>
      </c>
      <c r="P313" s="19">
        <v>-0.95150299999999999</v>
      </c>
      <c r="Q313" s="19">
        <v>5.5968999999999998</v>
      </c>
      <c r="R313" s="19">
        <v>3.24</v>
      </c>
      <c r="S313" s="19">
        <v>4.9733000000000001</v>
      </c>
      <c r="T313" s="19">
        <v>3.24</v>
      </c>
      <c r="U313" s="19">
        <v>3.8220999999999998</v>
      </c>
      <c r="V313" s="19">
        <v>-2.84</v>
      </c>
      <c r="W313" s="19">
        <v>3.1013999999999999</v>
      </c>
      <c r="X313" s="19">
        <v>-2.84</v>
      </c>
      <c r="Y313" s="19">
        <v>3.1013999999999999</v>
      </c>
      <c r="Z313" s="4"/>
      <c r="AA313" s="4"/>
      <c r="AB313" s="4" t="e">
        <f ca="1">_xll.ciqfunctions.udf.CIQ("^SPX", "IQ_PRICEDATE", "3/20/2015")</f>
        <v>#NAME?</v>
      </c>
      <c r="AC313" s="16">
        <v>2108.0973212684999</v>
      </c>
    </row>
    <row r="314" spans="1:29" x14ac:dyDescent="0.35">
      <c r="A314" s="2" t="s">
        <v>324</v>
      </c>
      <c r="B314" s="4" t="s">
        <v>1306</v>
      </c>
      <c r="C314" s="4" t="s">
        <v>573</v>
      </c>
      <c r="D314" s="4" t="s">
        <v>574</v>
      </c>
      <c r="E314" s="4" t="s">
        <v>575</v>
      </c>
      <c r="F314" s="4" t="s">
        <v>807</v>
      </c>
      <c r="G314" s="14">
        <v>157.28</v>
      </c>
      <c r="H314" s="10">
        <v>20.900062999999999</v>
      </c>
      <c r="I314" s="10">
        <v>37.901049999999998</v>
      </c>
      <c r="J314" s="10" t="s">
        <v>534</v>
      </c>
      <c r="K314" s="15">
        <v>1.4750000000000001E-2</v>
      </c>
      <c r="L314" s="17">
        <v>13971.638354999999</v>
      </c>
      <c r="M314" s="4" t="s">
        <v>1307</v>
      </c>
      <c r="N314" s="19">
        <v>4.1497529999999996</v>
      </c>
      <c r="O314" s="19">
        <v>5.5590999999999999</v>
      </c>
      <c r="P314" s="19">
        <v>3.31</v>
      </c>
      <c r="Q314" s="19">
        <v>4.3346</v>
      </c>
      <c r="R314" s="19">
        <v>2.7</v>
      </c>
      <c r="S314" s="19">
        <v>3.2816999999999998</v>
      </c>
      <c r="T314" s="19">
        <v>2.7</v>
      </c>
      <c r="U314" s="19">
        <v>2.6101000000000001</v>
      </c>
      <c r="V314" s="19">
        <v>1.7</v>
      </c>
      <c r="W314" s="19">
        <v>2.0375000000000001</v>
      </c>
      <c r="X314" s="19">
        <v>1.7</v>
      </c>
      <c r="Y314" s="19">
        <v>2.0375000000000001</v>
      </c>
      <c r="Z314" s="4"/>
      <c r="AA314" s="4"/>
      <c r="AB314" s="4" t="e">
        <f ca="1">_xll.ciqfunctions.udf.CIQ("^SPX", "IQ_PRICEDATE", "3/23/2015")</f>
        <v>#NAME?</v>
      </c>
      <c r="AC314" s="16">
        <v>2104.4201169500998</v>
      </c>
    </row>
    <row r="315" spans="1:29" x14ac:dyDescent="0.35">
      <c r="A315" s="2" t="s">
        <v>325</v>
      </c>
      <c r="B315" s="4" t="s">
        <v>1308</v>
      </c>
      <c r="C315" s="4" t="s">
        <v>530</v>
      </c>
      <c r="D315" s="4" t="s">
        <v>537</v>
      </c>
      <c r="E315" s="4" t="s">
        <v>613</v>
      </c>
      <c r="F315" s="4" t="s">
        <v>613</v>
      </c>
      <c r="G315" s="14">
        <v>33.020000000000003</v>
      </c>
      <c r="H315" s="10">
        <v>9.0554609999999993</v>
      </c>
      <c r="I315" s="10">
        <v>38.080475999999997</v>
      </c>
      <c r="J315" s="10" t="s">
        <v>534</v>
      </c>
      <c r="K315" s="15">
        <v>0</v>
      </c>
      <c r="L315" s="17">
        <v>17024.030727000001</v>
      </c>
      <c r="M315" s="4" t="s">
        <v>1309</v>
      </c>
      <c r="N315" s="19">
        <v>0.86711099999999997</v>
      </c>
      <c r="O315" s="19">
        <v>4.9622000000000002</v>
      </c>
      <c r="P315" s="19">
        <v>1.3</v>
      </c>
      <c r="Q315" s="19">
        <v>5.2491000000000003</v>
      </c>
      <c r="R315" s="19">
        <v>0.92</v>
      </c>
      <c r="S315" s="19">
        <v>5.3051000000000004</v>
      </c>
      <c r="T315" s="19">
        <v>0.92</v>
      </c>
      <c r="U315" s="19">
        <v>4.8670999999999998</v>
      </c>
      <c r="V315" s="19">
        <v>2.34</v>
      </c>
      <c r="W315" s="19">
        <v>4.0833000000000004</v>
      </c>
      <c r="X315" s="19">
        <v>2.34</v>
      </c>
      <c r="Y315" s="19">
        <v>4.0833000000000004</v>
      </c>
      <c r="Z315" s="4"/>
      <c r="AA315" s="4"/>
      <c r="AB315" s="4" t="e">
        <f ca="1">_xll.ciqfunctions.udf.CIQ("^SPX", "IQ_PRICEDATE", "3/24/2015")</f>
        <v>#NAME?</v>
      </c>
      <c r="AC315" s="16">
        <v>2091.5017884394001</v>
      </c>
    </row>
    <row r="316" spans="1:29" x14ac:dyDescent="0.35">
      <c r="A316" s="2" t="s">
        <v>326</v>
      </c>
      <c r="B316" s="4" t="s">
        <v>1310</v>
      </c>
      <c r="C316" s="4" t="s">
        <v>573</v>
      </c>
      <c r="D316" s="4" t="s">
        <v>574</v>
      </c>
      <c r="E316" s="4" t="s">
        <v>575</v>
      </c>
      <c r="F316" s="4" t="s">
        <v>807</v>
      </c>
      <c r="G316" s="14">
        <v>80.63</v>
      </c>
      <c r="H316" s="10">
        <v>12.503247999999999</v>
      </c>
      <c r="I316" s="10">
        <v>17.912168999999999</v>
      </c>
      <c r="J316" s="10" t="s">
        <v>534</v>
      </c>
      <c r="K316" s="15">
        <v>2.1828E-2</v>
      </c>
      <c r="L316" s="17">
        <v>13264.320919</v>
      </c>
      <c r="M316" s="4" t="s">
        <v>1311</v>
      </c>
      <c r="N316" s="19">
        <v>4.5014089999999998</v>
      </c>
      <c r="O316" s="19">
        <v>4.9147999999999996</v>
      </c>
      <c r="P316" s="19">
        <v>4.3299989999999999</v>
      </c>
      <c r="Q316" s="19">
        <v>4.2944000000000004</v>
      </c>
      <c r="R316" s="19">
        <v>0.63999899999999998</v>
      </c>
      <c r="S316" s="19">
        <v>4.0232999999999999</v>
      </c>
      <c r="T316" s="19">
        <v>0.63999899999999998</v>
      </c>
      <c r="U316" s="19">
        <v>3.657</v>
      </c>
      <c r="V316" s="19">
        <v>2.389999</v>
      </c>
      <c r="W316" s="19">
        <v>3.1396000000000002</v>
      </c>
      <c r="X316" s="19">
        <v>2.389999</v>
      </c>
      <c r="Y316" s="19">
        <v>3.1396000000000002</v>
      </c>
      <c r="Z316" s="4"/>
      <c r="AA316" s="4"/>
      <c r="AB316" s="4" t="e">
        <f ca="1">_xll.ciqfunctions.udf.CIQ("^SPX", "IQ_PRICEDATE", "3/25/2015")</f>
        <v>#NAME?</v>
      </c>
      <c r="AC316" s="16">
        <v>2061.0474809228999</v>
      </c>
    </row>
    <row r="317" spans="1:29" x14ac:dyDescent="0.35">
      <c r="A317" s="2" t="s">
        <v>327</v>
      </c>
      <c r="B317" s="4" t="s">
        <v>1312</v>
      </c>
      <c r="C317" s="4" t="s">
        <v>669</v>
      </c>
      <c r="D317" s="4" t="s">
        <v>669</v>
      </c>
      <c r="E317" s="4" t="s">
        <v>730</v>
      </c>
      <c r="F317" s="4" t="s">
        <v>731</v>
      </c>
      <c r="G317" s="14">
        <v>41.87</v>
      </c>
      <c r="H317" s="10">
        <v>28.175878999999998</v>
      </c>
      <c r="I317" s="10" t="s">
        <v>534</v>
      </c>
      <c r="J317" s="10">
        <v>3.5943700000000001</v>
      </c>
      <c r="K317" s="15">
        <v>4.7759999999999999E-3</v>
      </c>
      <c r="L317" s="17">
        <v>16020.276706000001</v>
      </c>
      <c r="M317" s="4" t="s">
        <v>1313</v>
      </c>
      <c r="N317" s="19">
        <v>-0.23</v>
      </c>
      <c r="O317" s="19">
        <v>0.66539999999999999</v>
      </c>
      <c r="P317" s="19">
        <v>-0.63</v>
      </c>
      <c r="Q317" s="19">
        <v>9.01E-2</v>
      </c>
      <c r="R317" s="19">
        <v>-6.4148930000000002</v>
      </c>
      <c r="S317" s="19">
        <v>-0.7802</v>
      </c>
      <c r="T317" s="19">
        <v>-6.4148930000000002</v>
      </c>
      <c r="U317" s="19">
        <v>1.5317000000000001</v>
      </c>
      <c r="V317" s="19">
        <v>5.7</v>
      </c>
      <c r="W317" s="19">
        <v>5.9945000000000004</v>
      </c>
      <c r="X317" s="19">
        <v>5.7</v>
      </c>
      <c r="Y317" s="19">
        <v>5.9945000000000004</v>
      </c>
      <c r="Z317" s="4"/>
      <c r="AA317" s="4"/>
      <c r="AB317" s="4" t="e">
        <f ca="1">_xll.ciqfunctions.udf.CIQ("^SPX", "IQ_PRICEDATE", "3/26/2015")</f>
        <v>#NAME?</v>
      </c>
      <c r="AC317" s="16">
        <v>2056.1488082319001</v>
      </c>
    </row>
    <row r="318" spans="1:29" x14ac:dyDescent="0.35">
      <c r="A318" s="2" t="s">
        <v>328</v>
      </c>
      <c r="B318" s="4" t="s">
        <v>1314</v>
      </c>
      <c r="C318" s="4" t="s">
        <v>530</v>
      </c>
      <c r="D318" s="4" t="s">
        <v>537</v>
      </c>
      <c r="E318" s="4" t="s">
        <v>613</v>
      </c>
      <c r="F318" s="4" t="s">
        <v>613</v>
      </c>
      <c r="G318" s="14">
        <v>50.59</v>
      </c>
      <c r="H318" s="10">
        <v>7.4100630000000001</v>
      </c>
      <c r="I318" s="10">
        <v>9.4104489999999998</v>
      </c>
      <c r="J318" s="10">
        <v>4.8895179999999998</v>
      </c>
      <c r="K318" s="15">
        <v>0</v>
      </c>
      <c r="L318" s="17">
        <v>8725.1952259999998</v>
      </c>
      <c r="M318" s="4" t="s">
        <v>1315</v>
      </c>
      <c r="N318" s="19">
        <v>5.3759389999999998</v>
      </c>
      <c r="O318" s="19">
        <v>-2.4963000000000002</v>
      </c>
      <c r="P318" s="19">
        <v>-0.62000699999999997</v>
      </c>
      <c r="Q318" s="19">
        <v>-1.3118000000000001</v>
      </c>
      <c r="R318" s="19">
        <v>-1.0997729999999999</v>
      </c>
      <c r="S318" s="19">
        <v>-0.9375</v>
      </c>
      <c r="T318" s="19">
        <v>-1.0997729999999999</v>
      </c>
      <c r="U318" s="19">
        <v>-1.4531000000000001</v>
      </c>
      <c r="V318" s="19">
        <v>-0.42496</v>
      </c>
      <c r="W318" s="19">
        <v>-0.39600000000000002</v>
      </c>
      <c r="X318" s="19">
        <v>-0.42496</v>
      </c>
      <c r="Y318" s="19">
        <v>-0.39600000000000002</v>
      </c>
      <c r="Z318" s="4"/>
      <c r="AA318" s="4"/>
      <c r="AB318" s="4" t="e">
        <f ca="1">_xll.ciqfunctions.udf.CIQ("^SPX", "IQ_PRICEDATE", "3/27/2015")</f>
        <v>#NAME?</v>
      </c>
      <c r="AC318" s="16">
        <v>2061.0219968101001</v>
      </c>
    </row>
    <row r="319" spans="1:29" x14ac:dyDescent="0.35">
      <c r="A319" s="2" t="s">
        <v>329</v>
      </c>
      <c r="B319" s="4" t="s">
        <v>1316</v>
      </c>
      <c r="C319" s="4" t="s">
        <v>543</v>
      </c>
      <c r="D319" s="4" t="s">
        <v>664</v>
      </c>
      <c r="E319" s="4" t="s">
        <v>688</v>
      </c>
      <c r="F319" s="4" t="s">
        <v>688</v>
      </c>
      <c r="G319" s="14">
        <v>79.069999999999993</v>
      </c>
      <c r="H319" s="10">
        <v>14.533227999999999</v>
      </c>
      <c r="I319" s="10">
        <v>94.492610999999997</v>
      </c>
      <c r="J319" s="10">
        <v>201.55133599999999</v>
      </c>
      <c r="K319" s="15">
        <v>2.0235E-2</v>
      </c>
      <c r="L319" s="17">
        <v>20500.340686</v>
      </c>
      <c r="M319" s="4" t="s">
        <v>1317</v>
      </c>
      <c r="N319" s="19">
        <v>0.836785</v>
      </c>
      <c r="O319" s="19">
        <v>4.4036999999999997</v>
      </c>
      <c r="P319" s="19">
        <v>2.3137349999999999</v>
      </c>
      <c r="Q319" s="19">
        <v>3.5114000000000001</v>
      </c>
      <c r="R319" s="19">
        <v>1.1017729999999999</v>
      </c>
      <c r="S319" s="19">
        <v>2.8216000000000001</v>
      </c>
      <c r="T319" s="19">
        <v>1.1017729999999999</v>
      </c>
      <c r="U319" s="19">
        <v>2.5897000000000001</v>
      </c>
      <c r="V319" s="19">
        <v>1.906989</v>
      </c>
      <c r="W319" s="19">
        <v>3.0823</v>
      </c>
      <c r="X319" s="19">
        <v>1.906989</v>
      </c>
      <c r="Y319" s="19">
        <v>3.0823</v>
      </c>
      <c r="Z319" s="4"/>
      <c r="AA319" s="4"/>
      <c r="AB319" s="4" t="e">
        <f ca="1">_xll.ciqfunctions.udf.CIQ("^SPX", "IQ_PRICEDATE", "3/30/2015")</f>
        <v>#NAME?</v>
      </c>
      <c r="AC319" s="16">
        <v>2086.2373115864998</v>
      </c>
    </row>
    <row r="320" spans="1:29" x14ac:dyDescent="0.35">
      <c r="A320" s="2" t="s">
        <v>330</v>
      </c>
      <c r="B320" s="4" t="s">
        <v>1318</v>
      </c>
      <c r="C320" s="4" t="s">
        <v>549</v>
      </c>
      <c r="D320" s="4" t="s">
        <v>550</v>
      </c>
      <c r="E320" s="4" t="s">
        <v>551</v>
      </c>
      <c r="F320" s="4" t="s">
        <v>1319</v>
      </c>
      <c r="G320" s="14">
        <v>364.7</v>
      </c>
      <c r="H320" s="10">
        <v>95.742203000000003</v>
      </c>
      <c r="I320" s="10">
        <v>130.17440500000001</v>
      </c>
      <c r="J320" s="10" t="s">
        <v>534</v>
      </c>
      <c r="K320" s="15">
        <v>0</v>
      </c>
      <c r="L320" s="17">
        <v>158811.35207399999</v>
      </c>
      <c r="M320" s="4" t="s">
        <v>1320</v>
      </c>
      <c r="N320" s="19">
        <v>2.8016260000000002</v>
      </c>
      <c r="O320" s="19">
        <v>3.3824000000000001</v>
      </c>
      <c r="P320" s="19">
        <v>1.25</v>
      </c>
      <c r="Q320" s="19">
        <v>2.15</v>
      </c>
      <c r="R320" s="19">
        <v>0.43</v>
      </c>
      <c r="S320" s="19">
        <v>0.76919999999999999</v>
      </c>
      <c r="T320" s="19">
        <v>0.43</v>
      </c>
      <c r="U320" s="19">
        <v>0.15329999999999999</v>
      </c>
      <c r="V320" s="19">
        <v>0.62</v>
      </c>
      <c r="W320" s="19">
        <v>0.50800000000000001</v>
      </c>
      <c r="X320" s="19">
        <v>0.62</v>
      </c>
      <c r="Y320" s="19">
        <v>0.50800000000000001</v>
      </c>
      <c r="Z320" s="4"/>
      <c r="AA320" s="4"/>
      <c r="AB320" s="4" t="e">
        <f ca="1">_xll.ciqfunctions.udf.CIQ("^SPX", "IQ_PRICEDATE", "3/31/2015")</f>
        <v>#NAME?</v>
      </c>
      <c r="AC320" s="16">
        <v>2067.8872407585</v>
      </c>
    </row>
    <row r="321" spans="1:29" x14ac:dyDescent="0.35">
      <c r="A321" s="2" t="s">
        <v>331</v>
      </c>
      <c r="B321" s="4" t="s">
        <v>1321</v>
      </c>
      <c r="C321" s="4" t="s">
        <v>559</v>
      </c>
      <c r="D321" s="4" t="s">
        <v>912</v>
      </c>
      <c r="E321" s="4" t="s">
        <v>913</v>
      </c>
      <c r="F321" s="4" t="s">
        <v>1322</v>
      </c>
      <c r="G321" s="14">
        <v>17.75</v>
      </c>
      <c r="H321" s="10">
        <v>8.4282540000000008</v>
      </c>
      <c r="I321" s="10">
        <v>4.2112100000000003</v>
      </c>
      <c r="J321" s="10" t="s">
        <v>534</v>
      </c>
      <c r="K321" s="15">
        <v>5.1830000000000001E-2</v>
      </c>
      <c r="L321" s="17">
        <v>8386.875</v>
      </c>
      <c r="M321" s="4" t="s">
        <v>1323</v>
      </c>
      <c r="N321" s="19">
        <v>4.2149400000000004</v>
      </c>
      <c r="O321" s="19">
        <v>2.1389</v>
      </c>
      <c r="P321" s="19">
        <v>5.63</v>
      </c>
      <c r="Q321" s="19">
        <v>2.8382000000000001</v>
      </c>
      <c r="R321" s="19">
        <v>1.25</v>
      </c>
      <c r="S321" s="19">
        <v>2.7991999999999999</v>
      </c>
      <c r="T321" s="19">
        <v>1.25</v>
      </c>
      <c r="U321" s="19">
        <v>2.3395999999999999</v>
      </c>
      <c r="V321" s="19">
        <v>1.34</v>
      </c>
      <c r="W321" s="19">
        <v>2.1078000000000001</v>
      </c>
      <c r="X321" s="19">
        <v>1.34</v>
      </c>
      <c r="Y321" s="19">
        <v>2.1078000000000001</v>
      </c>
      <c r="Z321" s="4"/>
      <c r="AA321" s="4"/>
      <c r="AB321" s="4" t="e">
        <f ca="1">_xll.ciqfunctions.udf.CIQ("^SPX", "IQ_PRICEDATE", "4/1/2015")</f>
        <v>#NAME?</v>
      </c>
      <c r="AC321" s="16">
        <v>2059.6908719502999</v>
      </c>
    </row>
    <row r="322" spans="1:29" x14ac:dyDescent="0.35">
      <c r="A322" s="2" t="s">
        <v>332</v>
      </c>
      <c r="B322" s="4" t="s">
        <v>1324</v>
      </c>
      <c r="C322" s="4" t="s">
        <v>669</v>
      </c>
      <c r="D322" s="4" t="s">
        <v>669</v>
      </c>
      <c r="E322" s="4" t="s">
        <v>670</v>
      </c>
      <c r="F322" s="4" t="s">
        <v>671</v>
      </c>
      <c r="G322" s="14">
        <v>24.54</v>
      </c>
      <c r="H322" s="10">
        <v>7.1722869999999999</v>
      </c>
      <c r="I322" s="10">
        <v>12.715025000000001</v>
      </c>
      <c r="J322" s="10">
        <v>2.9578380000000002</v>
      </c>
      <c r="K322" s="15">
        <v>0</v>
      </c>
      <c r="L322" s="17">
        <v>4850.9799359999997</v>
      </c>
      <c r="M322" s="4" t="s">
        <v>1325</v>
      </c>
      <c r="N322" s="19">
        <v>1.93</v>
      </c>
      <c r="O322" s="19">
        <v>3.7919</v>
      </c>
      <c r="P322" s="19">
        <v>2.13</v>
      </c>
      <c r="Q322" s="19">
        <v>2.2008000000000001</v>
      </c>
      <c r="R322" s="19">
        <v>-6.3730560000000001</v>
      </c>
      <c r="S322" s="19">
        <v>1.5844</v>
      </c>
      <c r="T322" s="19">
        <v>-6.3730560000000001</v>
      </c>
      <c r="U322" s="19">
        <v>0.38550000000000001</v>
      </c>
      <c r="V322" s="19">
        <v>4.71</v>
      </c>
      <c r="W322" s="19">
        <v>1.8422000000000001</v>
      </c>
      <c r="X322" s="19">
        <v>4.71</v>
      </c>
      <c r="Y322" s="19">
        <v>1.8422000000000001</v>
      </c>
      <c r="Z322" s="4"/>
      <c r="AA322" s="4"/>
      <c r="AB322" s="4" t="e">
        <f ca="1">_xll.ciqfunctions.udf.CIQ("^SPX", "IQ_PRICEDATE", "4/2/2015")</f>
        <v>#NAME?</v>
      </c>
      <c r="AC322" s="16">
        <v>2066.9648541660999</v>
      </c>
    </row>
    <row r="323" spans="1:29" x14ac:dyDescent="0.35">
      <c r="A323" s="2" t="s">
        <v>333</v>
      </c>
      <c r="B323" s="4" t="s">
        <v>1326</v>
      </c>
      <c r="C323" s="4" t="s">
        <v>586</v>
      </c>
      <c r="D323" s="4" t="s">
        <v>586</v>
      </c>
      <c r="E323" s="4" t="s">
        <v>1066</v>
      </c>
      <c r="F323" s="4" t="s">
        <v>1327</v>
      </c>
      <c r="G323" s="14">
        <v>32.11</v>
      </c>
      <c r="H323" s="10">
        <v>6.8900480000000002</v>
      </c>
      <c r="I323" s="10">
        <v>139.18508800000001</v>
      </c>
      <c r="J323" s="10">
        <v>1.5827819999999999</v>
      </c>
      <c r="K323" s="15">
        <v>1.7440000000000001E-2</v>
      </c>
      <c r="L323" s="17">
        <v>17127.433316999999</v>
      </c>
      <c r="M323" s="4" t="s">
        <v>1328</v>
      </c>
      <c r="N323" s="19">
        <v>0.23069999999999999</v>
      </c>
      <c r="O323" s="19">
        <v>1.2717000000000001</v>
      </c>
      <c r="P323" s="19">
        <v>-0.11257</v>
      </c>
      <c r="Q323" s="19">
        <v>1.3714</v>
      </c>
      <c r="R323" s="19">
        <v>-0.41509400000000002</v>
      </c>
      <c r="S323" s="19">
        <v>1.5692999999999999</v>
      </c>
      <c r="T323" s="19">
        <v>-0.41509400000000002</v>
      </c>
      <c r="U323" s="19">
        <v>0.78839999999999999</v>
      </c>
      <c r="V323" s="19">
        <v>1.3</v>
      </c>
      <c r="W323" s="19">
        <v>0.83399999999999996</v>
      </c>
      <c r="X323" s="19">
        <v>1.3</v>
      </c>
      <c r="Y323" s="19">
        <v>0.83399999999999996</v>
      </c>
      <c r="Z323" s="4"/>
      <c r="AA323" s="4"/>
      <c r="AB323" s="4" t="e">
        <f ca="1">_xll.ciqfunctions.udf.CIQ("^SPX", "IQ_PRICEDATE", "4/6/2015")</f>
        <v>#NAME?</v>
      </c>
      <c r="AC323" s="16">
        <v>2080.6177622591999</v>
      </c>
    </row>
    <row r="324" spans="1:29" x14ac:dyDescent="0.35">
      <c r="A324" s="2" t="s">
        <v>334</v>
      </c>
      <c r="B324" s="4" t="s">
        <v>1329</v>
      </c>
      <c r="C324" s="4" t="s">
        <v>549</v>
      </c>
      <c r="D324" s="4" t="s">
        <v>550</v>
      </c>
      <c r="E324" s="4" t="s">
        <v>814</v>
      </c>
      <c r="F324" s="4" t="s">
        <v>1330</v>
      </c>
      <c r="G324" s="14">
        <v>13.51</v>
      </c>
      <c r="H324" s="10" t="s">
        <v>534</v>
      </c>
      <c r="I324" s="10">
        <v>0</v>
      </c>
      <c r="J324" s="10">
        <v>0</v>
      </c>
      <c r="K324" s="15">
        <v>0</v>
      </c>
      <c r="L324" s="17">
        <v>7785.5289599999996</v>
      </c>
      <c r="M324" s="4" t="s">
        <v>1331</v>
      </c>
      <c r="N324" s="19">
        <v>-2.6016810000000001</v>
      </c>
      <c r="O324" s="19">
        <v>0.36312</v>
      </c>
      <c r="P324" s="19">
        <v>-0.77938600000000002</v>
      </c>
      <c r="Q324" s="19">
        <v>0.50560000000000005</v>
      </c>
      <c r="R324" s="19">
        <v>-0.61660300000000001</v>
      </c>
      <c r="S324" s="19">
        <v>0.37619999999999998</v>
      </c>
      <c r="T324" s="19">
        <v>-0.61660300000000001</v>
      </c>
      <c r="U324" s="19">
        <v>0.53839999999999999</v>
      </c>
      <c r="V324" s="19">
        <v>0.52976699999999999</v>
      </c>
      <c r="W324" s="19">
        <v>0.45250000000000001</v>
      </c>
      <c r="X324" s="19">
        <v>0.52976699999999999</v>
      </c>
      <c r="Y324" s="19">
        <v>0.45250000000000001</v>
      </c>
      <c r="Z324" s="4"/>
      <c r="AA324" s="4"/>
      <c r="AB324" s="4" t="e">
        <f ca="1">_xll.ciqfunctions.udf.CIQ("^SPX", "IQ_PRICEDATE", "4/7/2015")</f>
        <v>#NAME?</v>
      </c>
      <c r="AC324" s="16">
        <v>2076.3337338901001</v>
      </c>
    </row>
    <row r="325" spans="1:29" x14ac:dyDescent="0.35">
      <c r="A325" s="2" t="s">
        <v>335</v>
      </c>
      <c r="B325" s="4" t="s">
        <v>1329</v>
      </c>
      <c r="C325" s="4" t="s">
        <v>549</v>
      </c>
      <c r="D325" s="4" t="s">
        <v>550</v>
      </c>
      <c r="E325" s="4" t="s">
        <v>814</v>
      </c>
      <c r="F325" s="4" t="s">
        <v>1330</v>
      </c>
      <c r="G325" s="14">
        <v>13.21</v>
      </c>
      <c r="H325" s="10" t="s">
        <v>534</v>
      </c>
      <c r="I325" s="10" t="s">
        <v>534</v>
      </c>
      <c r="J325" s="10">
        <v>8.1272950000000002</v>
      </c>
      <c r="K325" s="15">
        <v>1.5140000000000001E-2</v>
      </c>
      <c r="L325" s="17">
        <v>7785.5289599999996</v>
      </c>
      <c r="M325" s="4" t="s">
        <v>1331</v>
      </c>
      <c r="N325" s="19">
        <v>-2.6016810000000001</v>
      </c>
      <c r="O325" s="19">
        <v>0.36312</v>
      </c>
      <c r="P325" s="19">
        <v>-0.77938600000000002</v>
      </c>
      <c r="Q325" s="19">
        <v>0.50560000000000005</v>
      </c>
      <c r="R325" s="19">
        <v>-0.61660300000000001</v>
      </c>
      <c r="S325" s="19">
        <v>0.37619999999999998</v>
      </c>
      <c r="T325" s="19">
        <v>-0.61660300000000001</v>
      </c>
      <c r="U325" s="19">
        <v>0.53839999999999999</v>
      </c>
      <c r="V325" s="19">
        <v>0.52976699999999999</v>
      </c>
      <c r="W325" s="19">
        <v>0.51949999999999996</v>
      </c>
      <c r="X325" s="19">
        <v>0.52976699999999999</v>
      </c>
      <c r="Y325" s="19">
        <v>0.51949999999999996</v>
      </c>
      <c r="Z325" s="4"/>
      <c r="AA325" s="4"/>
      <c r="AB325" s="4" t="e">
        <f ca="1">_xll.ciqfunctions.udf.CIQ("^SPX", "IQ_PRICEDATE", "4/8/2015")</f>
        <v>#NAME?</v>
      </c>
      <c r="AC325" s="16">
        <v>2081.9039764783001</v>
      </c>
    </row>
    <row r="326" spans="1:29" x14ac:dyDescent="0.35">
      <c r="A326" s="2" t="s">
        <v>336</v>
      </c>
      <c r="B326" s="4" t="s">
        <v>1332</v>
      </c>
      <c r="C326" s="4" t="s">
        <v>619</v>
      </c>
      <c r="D326" s="4" t="s">
        <v>619</v>
      </c>
      <c r="E326" s="4" t="s">
        <v>620</v>
      </c>
      <c r="F326" s="4" t="s">
        <v>620</v>
      </c>
      <c r="G326" s="14">
        <v>170.82</v>
      </c>
      <c r="H326" s="10">
        <v>13.342378999999999</v>
      </c>
      <c r="I326" s="10">
        <v>9.8845340000000004</v>
      </c>
      <c r="J326" s="10">
        <v>2.4396439999999999</v>
      </c>
      <c r="K326" s="15">
        <v>2.5992000000000001E-2</v>
      </c>
      <c r="L326" s="17">
        <v>80559.512121000007</v>
      </c>
      <c r="M326" s="4" t="s">
        <v>1333</v>
      </c>
      <c r="N326" s="19">
        <v>17.281542999999999</v>
      </c>
      <c r="O326" s="19">
        <v>7.7286000000000001</v>
      </c>
      <c r="P326" s="19">
        <v>11.38</v>
      </c>
      <c r="Q326" s="19">
        <v>6.8398000000000003</v>
      </c>
      <c r="R326" s="19">
        <v>6.25</v>
      </c>
      <c r="S326" s="19">
        <v>6.2187999999999999</v>
      </c>
      <c r="T326" s="19">
        <v>6.25</v>
      </c>
      <c r="U326" s="19">
        <v>5.8682999999999996</v>
      </c>
      <c r="V326" s="19">
        <v>5.6</v>
      </c>
      <c r="W326" s="19">
        <v>5.5164</v>
      </c>
      <c r="X326" s="19">
        <v>5.6</v>
      </c>
      <c r="Y326" s="19">
        <v>5.5164</v>
      </c>
      <c r="Z326" s="4"/>
      <c r="AA326" s="4"/>
      <c r="AB326" s="4" t="e">
        <f ca="1">_xll.ciqfunctions.udf.CIQ("^SPX", "IQ_PRICEDATE", "4/9/2015")</f>
        <v>#NAME?</v>
      </c>
      <c r="AC326" s="16">
        <v>2091.1811724098002</v>
      </c>
    </row>
    <row r="327" spans="1:29" x14ac:dyDescent="0.35">
      <c r="A327" s="2" t="s">
        <v>337</v>
      </c>
      <c r="B327" s="4" t="s">
        <v>1334</v>
      </c>
      <c r="C327" s="4" t="s">
        <v>525</v>
      </c>
      <c r="D327" s="4" t="s">
        <v>855</v>
      </c>
      <c r="E327" s="4" t="s">
        <v>990</v>
      </c>
      <c r="F327" s="4" t="s">
        <v>991</v>
      </c>
      <c r="G327" s="14">
        <v>27.05</v>
      </c>
      <c r="H327" s="10">
        <v>10.911452000000001</v>
      </c>
      <c r="I327" s="10">
        <v>26.00074</v>
      </c>
      <c r="J327" s="10" t="s">
        <v>534</v>
      </c>
      <c r="K327" s="15">
        <v>5.1756000000000003E-2</v>
      </c>
      <c r="L327" s="17">
        <v>9608.3658230000001</v>
      </c>
      <c r="M327" s="4" t="s">
        <v>1335</v>
      </c>
      <c r="N327" s="19">
        <v>1.0403549999999999</v>
      </c>
      <c r="O327" s="19">
        <v>2.1158999999999999</v>
      </c>
      <c r="P327" s="19">
        <v>1.2</v>
      </c>
      <c r="Q327" s="19">
        <v>2.5840999999999998</v>
      </c>
      <c r="R327" s="19">
        <v>1.389999</v>
      </c>
      <c r="S327" s="19">
        <v>2.6619999999999999</v>
      </c>
      <c r="T327" s="19">
        <v>1.389999</v>
      </c>
      <c r="U327" s="19">
        <v>2.774</v>
      </c>
      <c r="V327" s="19">
        <v>0.99903299999999995</v>
      </c>
      <c r="W327" s="19">
        <v>2.7361</v>
      </c>
      <c r="X327" s="19">
        <v>0.99903299999999995</v>
      </c>
      <c r="Y327" s="19">
        <v>2.7361</v>
      </c>
      <c r="Z327" s="4"/>
      <c r="AA327" s="4"/>
      <c r="AB327" s="4" t="e">
        <f ca="1">_xll.ciqfunctions.udf.CIQ("^SPX", "IQ_PRICEDATE", "4/10/2015")</f>
        <v>#NAME?</v>
      </c>
      <c r="AC327" s="16">
        <v>2102.0553488088999</v>
      </c>
    </row>
    <row r="328" spans="1:29" x14ac:dyDescent="0.35">
      <c r="A328" s="2" t="s">
        <v>338</v>
      </c>
      <c r="B328" s="4" t="s">
        <v>1336</v>
      </c>
      <c r="C328" s="4" t="s">
        <v>559</v>
      </c>
      <c r="D328" s="4" t="s">
        <v>912</v>
      </c>
      <c r="E328" s="4" t="s">
        <v>1097</v>
      </c>
      <c r="F328" s="4" t="s">
        <v>1337</v>
      </c>
      <c r="G328" s="14">
        <v>76.48</v>
      </c>
      <c r="H328" s="10">
        <v>22.170774000000002</v>
      </c>
      <c r="I328" s="10">
        <v>60.602649999999997</v>
      </c>
      <c r="J328" s="10">
        <v>14.207007000000001</v>
      </c>
      <c r="K328" s="15">
        <v>1.0460000000000001E-2</v>
      </c>
      <c r="L328" s="17">
        <v>121458.526761</v>
      </c>
      <c r="M328" s="4" t="s">
        <v>1338</v>
      </c>
      <c r="N328" s="19">
        <v>1.2619910000000001</v>
      </c>
      <c r="O328" s="19">
        <v>2.7951999999999999</v>
      </c>
      <c r="P328" s="19">
        <v>2.3112910000000002</v>
      </c>
      <c r="Q328" s="19">
        <v>2.4445000000000001</v>
      </c>
      <c r="R328" s="19">
        <v>2.267814</v>
      </c>
      <c r="S328" s="19">
        <v>2.4293</v>
      </c>
      <c r="T328" s="19">
        <v>2.267814</v>
      </c>
      <c r="U328" s="19">
        <v>2.2677</v>
      </c>
      <c r="V328" s="19">
        <v>1.674021</v>
      </c>
      <c r="W328" s="19">
        <v>1.9109</v>
      </c>
      <c r="X328" s="19">
        <v>1.674021</v>
      </c>
      <c r="Y328" s="19">
        <v>1.9109</v>
      </c>
      <c r="Z328" s="4"/>
      <c r="AA328" s="4"/>
      <c r="AB328" s="4" t="e">
        <f ca="1">_xll.ciqfunctions.udf.CIQ("^SPX", "IQ_PRICEDATE", "4/13/2015")</f>
        <v>#NAME?</v>
      </c>
      <c r="AC328" s="16">
        <v>2092.4295913532001</v>
      </c>
    </row>
    <row r="329" spans="1:29" x14ac:dyDescent="0.35">
      <c r="A329" s="2" t="s">
        <v>339</v>
      </c>
      <c r="B329" s="4" t="s">
        <v>1339</v>
      </c>
      <c r="C329" s="4" t="s">
        <v>619</v>
      </c>
      <c r="D329" s="4" t="s">
        <v>619</v>
      </c>
      <c r="E329" s="4" t="s">
        <v>634</v>
      </c>
      <c r="F329" s="4" t="s">
        <v>634</v>
      </c>
      <c r="G329" s="14">
        <v>25.03</v>
      </c>
      <c r="H329" s="10">
        <v>12.416881999999999</v>
      </c>
      <c r="I329" s="10">
        <v>32.696984999999998</v>
      </c>
      <c r="J329" s="10">
        <v>2.8821789999999998</v>
      </c>
      <c r="K329" s="15">
        <v>3.1162000000000002E-2</v>
      </c>
      <c r="L329" s="17">
        <v>9086.8082259999992</v>
      </c>
      <c r="M329" s="4" t="s">
        <v>1340</v>
      </c>
      <c r="N329" s="19">
        <v>0.76551400000000003</v>
      </c>
      <c r="O329" s="19">
        <v>1.3664000000000001</v>
      </c>
      <c r="P329" s="19">
        <v>0.39</v>
      </c>
      <c r="Q329" s="19">
        <v>1.2854000000000001</v>
      </c>
      <c r="R329" s="19">
        <v>1.01</v>
      </c>
      <c r="S329" s="19">
        <v>1.1627000000000001</v>
      </c>
      <c r="T329" s="19">
        <v>1.01</v>
      </c>
      <c r="U329" s="19">
        <v>1.0684</v>
      </c>
      <c r="V329" s="19">
        <v>0.81</v>
      </c>
      <c r="W329" s="19">
        <v>1.7846</v>
      </c>
      <c r="X329" s="19">
        <v>0.81</v>
      </c>
      <c r="Y329" s="19">
        <v>1.7846</v>
      </c>
      <c r="Z329" s="4"/>
      <c r="AA329" s="4"/>
      <c r="AB329" s="4" t="e">
        <f ca="1">_xll.ciqfunctions.udf.CIQ("^SPX", "IQ_PRICEDATE", "4/14/2015")</f>
        <v>#NAME?</v>
      </c>
      <c r="AC329" s="16">
        <v>2095.8353553612001</v>
      </c>
    </row>
    <row r="330" spans="1:29" x14ac:dyDescent="0.35">
      <c r="A330" s="2" t="s">
        <v>340</v>
      </c>
      <c r="B330" s="4" t="s">
        <v>1341</v>
      </c>
      <c r="C330" s="4" t="s">
        <v>669</v>
      </c>
      <c r="D330" s="4" t="s">
        <v>669</v>
      </c>
      <c r="E330" s="4" t="s">
        <v>670</v>
      </c>
      <c r="F330" s="4" t="s">
        <v>671</v>
      </c>
      <c r="G330" s="14">
        <v>31.4</v>
      </c>
      <c r="H330" s="10">
        <v>8.5730280000000008</v>
      </c>
      <c r="I330" s="10">
        <v>17.148152</v>
      </c>
      <c r="J330" s="10">
        <v>1.782918</v>
      </c>
      <c r="K330" s="15">
        <v>1.4012E-2</v>
      </c>
      <c r="L330" s="17">
        <v>15074.121321000001</v>
      </c>
      <c r="M330" s="4" t="s">
        <v>1342</v>
      </c>
      <c r="N330" s="19">
        <v>1.8311010000000001</v>
      </c>
      <c r="O330" s="19">
        <v>0.98440000000000005</v>
      </c>
      <c r="P330" s="19">
        <v>-2.3837950000000001</v>
      </c>
      <c r="Q330" s="19">
        <v>0.1216</v>
      </c>
      <c r="R330" s="19">
        <v>-2.3209300000000002</v>
      </c>
      <c r="S330" s="19">
        <v>-0.49909999999999999</v>
      </c>
      <c r="T330" s="19">
        <v>-2.3209300000000002</v>
      </c>
      <c r="U330" s="19">
        <v>-0.2122</v>
      </c>
      <c r="V330" s="19">
        <v>3.2615799999999999</v>
      </c>
      <c r="W330" s="19">
        <v>1.6998</v>
      </c>
      <c r="X330" s="19">
        <v>3.2615799999999999</v>
      </c>
      <c r="Y330" s="19">
        <v>1.6998</v>
      </c>
      <c r="Z330" s="4"/>
      <c r="AA330" s="4"/>
      <c r="AB330" s="4" t="e">
        <f ca="1">_xll.ciqfunctions.udf.CIQ("^SPX", "IQ_PRICEDATE", "4/15/2015")</f>
        <v>#NAME?</v>
      </c>
      <c r="AC330" s="16">
        <v>2106.6262636495999</v>
      </c>
    </row>
    <row r="331" spans="1:29" x14ac:dyDescent="0.35">
      <c r="A331" s="2" t="s">
        <v>341</v>
      </c>
      <c r="B331" s="4" t="s">
        <v>1343</v>
      </c>
      <c r="C331" s="4" t="s">
        <v>559</v>
      </c>
      <c r="D331" s="4" t="s">
        <v>560</v>
      </c>
      <c r="E331" s="4" t="s">
        <v>940</v>
      </c>
      <c r="F331" s="4" t="s">
        <v>1211</v>
      </c>
      <c r="G331" s="14">
        <v>60.41</v>
      </c>
      <c r="H331" s="10">
        <v>7.0530400000000002</v>
      </c>
      <c r="I331" s="10">
        <v>19.942202999999999</v>
      </c>
      <c r="J331" s="10">
        <v>11.356539</v>
      </c>
      <c r="K331" s="15">
        <v>2.4499E-2</v>
      </c>
      <c r="L331" s="17">
        <v>10183.039377999999</v>
      </c>
      <c r="M331" s="4" t="s">
        <v>1344</v>
      </c>
      <c r="N331" s="19">
        <v>3.0292539999999999</v>
      </c>
      <c r="O331" s="19">
        <v>3.6128999999999998</v>
      </c>
      <c r="P331" s="19">
        <v>2.8575499999999998</v>
      </c>
      <c r="Q331" s="19">
        <v>2.968</v>
      </c>
      <c r="R331" s="19">
        <v>1.8787050000000001</v>
      </c>
      <c r="S331" s="19">
        <v>3.0581999999999998</v>
      </c>
      <c r="T331" s="19">
        <v>1.8787050000000001</v>
      </c>
      <c r="U331" s="19">
        <v>3.3942999999999999</v>
      </c>
      <c r="V331" s="19">
        <v>3.7707609999999998</v>
      </c>
      <c r="W331" s="19">
        <v>3.9209000000000001</v>
      </c>
      <c r="X331" s="19">
        <v>3.7707609999999998</v>
      </c>
      <c r="Y331" s="19">
        <v>3.9209000000000001</v>
      </c>
      <c r="Z331" s="4"/>
      <c r="AA331" s="4"/>
      <c r="AB331" s="4" t="e">
        <f ca="1">_xll.ciqfunctions.udf.CIQ("^SPX", "IQ_PRICEDATE", "4/16/2015")</f>
        <v>#NAME?</v>
      </c>
      <c r="AC331" s="16">
        <v>2104.9857874947002</v>
      </c>
    </row>
    <row r="332" spans="1:29" x14ac:dyDescent="0.35">
      <c r="A332" s="2" t="s">
        <v>342</v>
      </c>
      <c r="B332" s="4" t="s">
        <v>1345</v>
      </c>
      <c r="C332" s="4" t="s">
        <v>525</v>
      </c>
      <c r="D332" s="4" t="s">
        <v>594</v>
      </c>
      <c r="E332" s="4" t="s">
        <v>903</v>
      </c>
      <c r="F332" s="4" t="s">
        <v>904</v>
      </c>
      <c r="G332" s="14">
        <v>169</v>
      </c>
      <c r="H332" s="10">
        <v>11.600863</v>
      </c>
      <c r="I332" s="10">
        <v>8.4499999999999993</v>
      </c>
      <c r="J332" s="10">
        <v>2.8579639999999999</v>
      </c>
      <c r="K332" s="15">
        <v>1.8933999999999999E-2</v>
      </c>
      <c r="L332" s="17">
        <v>47325.030116000002</v>
      </c>
      <c r="M332" s="4" t="s">
        <v>1346</v>
      </c>
      <c r="N332" s="19">
        <v>20</v>
      </c>
      <c r="O332" s="19">
        <v>9.5861999999999998</v>
      </c>
      <c r="P332" s="19">
        <v>18.608336000000001</v>
      </c>
      <c r="Q332" s="19">
        <v>6.8451000000000004</v>
      </c>
      <c r="R332" s="19">
        <v>5.6216210000000002</v>
      </c>
      <c r="S332" s="19">
        <v>5.8533999999999997</v>
      </c>
      <c r="T332" s="19">
        <v>5.6216210000000002</v>
      </c>
      <c r="U332" s="19">
        <v>5.5622999999999996</v>
      </c>
      <c r="V332" s="19">
        <v>6.3872</v>
      </c>
      <c r="W332" s="19">
        <v>7.0490000000000004</v>
      </c>
      <c r="X332" s="19">
        <v>6.3872</v>
      </c>
      <c r="Y332" s="19">
        <v>7.0490000000000004</v>
      </c>
      <c r="Z332" s="4"/>
      <c r="AA332" s="4"/>
      <c r="AB332" s="4" t="e">
        <f ca="1">_xll.ciqfunctions.udf.CIQ("^SPX", "IQ_PRICEDATE", "4/17/2015")</f>
        <v>#NAME?</v>
      </c>
      <c r="AC332" s="16">
        <v>2081.1777536902</v>
      </c>
    </row>
    <row r="333" spans="1:29" x14ac:dyDescent="0.35">
      <c r="A333" s="2" t="s">
        <v>343</v>
      </c>
      <c r="B333" s="4" t="s">
        <v>1347</v>
      </c>
      <c r="C333" s="4" t="s">
        <v>573</v>
      </c>
      <c r="D333" s="4" t="s">
        <v>574</v>
      </c>
      <c r="E333" s="4" t="s">
        <v>575</v>
      </c>
      <c r="F333" s="4" t="s">
        <v>576</v>
      </c>
      <c r="G333" s="14">
        <v>94.21</v>
      </c>
      <c r="H333" s="10">
        <v>0</v>
      </c>
      <c r="I333" s="10">
        <v>15.782382999999999</v>
      </c>
      <c r="J333" s="10">
        <v>2.4309919999999998</v>
      </c>
      <c r="K333" s="15">
        <v>2.3351999999999998E-2</v>
      </c>
      <c r="L333" s="17">
        <v>20857.622950000001</v>
      </c>
      <c r="M333" s="4" t="s">
        <v>1348</v>
      </c>
      <c r="N333" s="19">
        <v>6.3517710000000003</v>
      </c>
      <c r="O333" s="19">
        <v>6.8392999999999997</v>
      </c>
      <c r="P333" s="19">
        <v>4.92</v>
      </c>
      <c r="Q333" s="19">
        <v>5.4245000000000001</v>
      </c>
      <c r="R333" s="19">
        <v>4.32</v>
      </c>
      <c r="S333" s="19">
        <v>4.5838999999999999</v>
      </c>
      <c r="T333" s="19">
        <v>4.32</v>
      </c>
      <c r="U333" s="19">
        <v>4.0640000000000001</v>
      </c>
      <c r="V333" s="19">
        <v>3.32</v>
      </c>
      <c r="W333" s="19">
        <v>3.5537999999999998</v>
      </c>
      <c r="X333" s="19">
        <v>3.32</v>
      </c>
      <c r="Y333" s="19">
        <v>3.5537999999999998</v>
      </c>
      <c r="Z333" s="4"/>
      <c r="AA333" s="4"/>
      <c r="AB333" s="4" t="e">
        <f ca="1">_xll.ciqfunctions.udf.CIQ("^SPX", "IQ_PRICEDATE", "4/20/2015")</f>
        <v>#NAME?</v>
      </c>
      <c r="AC333" s="16">
        <v>2100.4009440958998</v>
      </c>
    </row>
    <row r="334" spans="1:29" x14ac:dyDescent="0.35">
      <c r="A334" s="2" t="s">
        <v>344</v>
      </c>
      <c r="B334" s="4" t="s">
        <v>1349</v>
      </c>
      <c r="C334" s="4" t="s">
        <v>525</v>
      </c>
      <c r="D334" s="4" t="s">
        <v>526</v>
      </c>
      <c r="E334" s="4" t="s">
        <v>703</v>
      </c>
      <c r="F334" s="4" t="s">
        <v>703</v>
      </c>
      <c r="G334" s="14">
        <v>309.5</v>
      </c>
      <c r="H334" s="10">
        <v>16.487465</v>
      </c>
      <c r="I334" s="10">
        <v>24.26032</v>
      </c>
      <c r="J334" s="10" t="s">
        <v>534</v>
      </c>
      <c r="K334" s="15">
        <v>1.5507999999999999E-2</v>
      </c>
      <c r="L334" s="17">
        <v>53891.198181</v>
      </c>
      <c r="M334" s="4" t="s">
        <v>1350</v>
      </c>
      <c r="N334" s="19">
        <v>12.757457</v>
      </c>
      <c r="O334" s="19">
        <v>17.9908</v>
      </c>
      <c r="P334" s="19">
        <v>11.47</v>
      </c>
      <c r="Q334" s="19">
        <v>12.540699999999999</v>
      </c>
      <c r="R334" s="19">
        <v>12.19</v>
      </c>
      <c r="S334" s="19">
        <v>11.597300000000001</v>
      </c>
      <c r="T334" s="19">
        <v>12.19</v>
      </c>
      <c r="U334" s="19">
        <v>9.7711000000000006</v>
      </c>
      <c r="V334" s="19">
        <v>9.75</v>
      </c>
      <c r="W334" s="19">
        <v>8.8088999999999995</v>
      </c>
      <c r="X334" s="19">
        <v>9.75</v>
      </c>
      <c r="Y334" s="19">
        <v>8.8088999999999995</v>
      </c>
      <c r="Z334" s="4"/>
      <c r="AA334" s="4"/>
      <c r="AB334" s="4" t="e">
        <f ca="1">_xll.ciqfunctions.udf.CIQ("^SPX", "IQ_PRICEDATE", "4/21/2015")</f>
        <v>#NAME?</v>
      </c>
      <c r="AC334" s="16">
        <v>2097.2888943436001</v>
      </c>
    </row>
    <row r="335" spans="1:29" x14ac:dyDescent="0.35">
      <c r="A335" s="2" t="s">
        <v>345</v>
      </c>
      <c r="B335" s="4" t="s">
        <v>1351</v>
      </c>
      <c r="C335" s="4" t="s">
        <v>559</v>
      </c>
      <c r="D335" s="4" t="s">
        <v>798</v>
      </c>
      <c r="E335" s="4" t="s">
        <v>799</v>
      </c>
      <c r="F335" s="4" t="s">
        <v>800</v>
      </c>
      <c r="G335" s="14">
        <v>51.42</v>
      </c>
      <c r="H335" s="10">
        <v>10.840752999999999</v>
      </c>
      <c r="I335" s="10">
        <v>14.194938</v>
      </c>
      <c r="J335" s="10">
        <v>3.3105370000000001</v>
      </c>
      <c r="K335" s="15">
        <v>0</v>
      </c>
      <c r="L335" s="17">
        <v>11387.901426</v>
      </c>
      <c r="M335" s="4" t="s">
        <v>1352</v>
      </c>
      <c r="N335" s="19">
        <v>3.6224180000000001</v>
      </c>
      <c r="O335" s="19">
        <v>4.9335000000000004</v>
      </c>
      <c r="P335" s="19">
        <v>3.3099989999999999</v>
      </c>
      <c r="Q335" s="19">
        <v>4.4551999999999996</v>
      </c>
      <c r="R335" s="19">
        <v>2.7799990000000001</v>
      </c>
      <c r="S335" s="19">
        <v>3.6316000000000002</v>
      </c>
      <c r="T335" s="19">
        <v>2.7799990000000001</v>
      </c>
      <c r="U335" s="19">
        <v>3.5331000000000001</v>
      </c>
      <c r="V335" s="19">
        <v>1.619999</v>
      </c>
      <c r="W335" s="19">
        <v>2.6339999999999999</v>
      </c>
      <c r="X335" s="19">
        <v>1.619999</v>
      </c>
      <c r="Y335" s="19">
        <v>2.6339999999999999</v>
      </c>
      <c r="Z335" s="4"/>
      <c r="AA335" s="4"/>
      <c r="AB335" s="4" t="e">
        <f ca="1">_xll.ciqfunctions.udf.CIQ("^SPX", "IQ_PRICEDATE", "4/22/2015")</f>
        <v>#NAME?</v>
      </c>
      <c r="AC335" s="16">
        <v>2107.9640776233</v>
      </c>
    </row>
    <row r="336" spans="1:29" x14ac:dyDescent="0.35">
      <c r="A336" s="2" t="s">
        <v>346</v>
      </c>
      <c r="B336" s="4" t="s">
        <v>1353</v>
      </c>
      <c r="C336" s="4" t="s">
        <v>619</v>
      </c>
      <c r="D336" s="4" t="s">
        <v>619</v>
      </c>
      <c r="E336" s="4" t="s">
        <v>1354</v>
      </c>
      <c r="F336" s="4" t="s">
        <v>1355</v>
      </c>
      <c r="G336" s="14">
        <v>37.520000000000003</v>
      </c>
      <c r="H336" s="10">
        <v>10.296574</v>
      </c>
      <c r="I336" s="10" t="s">
        <v>534</v>
      </c>
      <c r="J336" s="10" t="s">
        <v>534</v>
      </c>
      <c r="K336" s="15">
        <v>3.1979999999999999E-3</v>
      </c>
      <c r="L336" s="17">
        <v>11352.367306</v>
      </c>
      <c r="M336" s="4" t="s">
        <v>1356</v>
      </c>
      <c r="N336" s="19">
        <v>-3.079113</v>
      </c>
      <c r="O336" s="19">
        <v>2.8513999999999999</v>
      </c>
      <c r="P336" s="19">
        <v>-4.3028389999999996</v>
      </c>
      <c r="Q336" s="19">
        <v>1.2450000000000001</v>
      </c>
      <c r="R336" s="19">
        <v>-2.5099999999999998</v>
      </c>
      <c r="S336" s="19">
        <v>-0.86</v>
      </c>
      <c r="T336" s="19">
        <v>-2.5099999999999998</v>
      </c>
      <c r="U336" s="19">
        <v>0.37169999999999997</v>
      </c>
      <c r="V336" s="19">
        <v>0.23</v>
      </c>
      <c r="W336" s="19">
        <v>1.9650000000000001</v>
      </c>
      <c r="X336" s="19">
        <v>0.23</v>
      </c>
      <c r="Y336" s="19">
        <v>1.9650000000000001</v>
      </c>
      <c r="Z336" s="4"/>
      <c r="AA336" s="4"/>
      <c r="AB336" s="4" t="e">
        <f ca="1">_xll.ciqfunctions.udf.CIQ("^SPX", "IQ_PRICEDATE", "4/23/2015")</f>
        <v>#NAME?</v>
      </c>
      <c r="AC336" s="16">
        <v>2112.9289997132</v>
      </c>
    </row>
    <row r="337" spans="1:29" x14ac:dyDescent="0.35">
      <c r="A337" s="2" t="s">
        <v>347</v>
      </c>
      <c r="B337" s="4" t="s">
        <v>1357</v>
      </c>
      <c r="C337" s="4" t="s">
        <v>586</v>
      </c>
      <c r="D337" s="4" t="s">
        <v>586</v>
      </c>
      <c r="E337" s="4" t="s">
        <v>1066</v>
      </c>
      <c r="F337" s="4" t="s">
        <v>1358</v>
      </c>
      <c r="G337" s="14">
        <v>59.09</v>
      </c>
      <c r="H337" s="10">
        <v>7.2447100000000004</v>
      </c>
      <c r="I337" s="10">
        <v>11.328200000000001</v>
      </c>
      <c r="J337" s="10">
        <v>2.9578549999999999</v>
      </c>
      <c r="K337" s="15">
        <v>2.5722999999999999E-2</v>
      </c>
      <c r="L337" s="17">
        <v>18692.736706</v>
      </c>
      <c r="M337" s="4" t="s">
        <v>1359</v>
      </c>
      <c r="N337" s="19">
        <v>5.2161860000000004</v>
      </c>
      <c r="O337" s="19">
        <v>7.81</v>
      </c>
      <c r="P337" s="19">
        <v>4.096819</v>
      </c>
      <c r="Q337" s="19">
        <v>4.0796000000000001</v>
      </c>
      <c r="R337" s="19">
        <v>2.4815049999999998</v>
      </c>
      <c r="S337" s="19">
        <v>3.0131000000000001</v>
      </c>
      <c r="T337" s="19">
        <v>2.4815049999999998</v>
      </c>
      <c r="U337" s="19">
        <v>2.1333000000000002</v>
      </c>
      <c r="V337" s="19">
        <v>2.11</v>
      </c>
      <c r="W337" s="19">
        <v>3.1785999999999999</v>
      </c>
      <c r="X337" s="19">
        <v>2.11</v>
      </c>
      <c r="Y337" s="19">
        <v>3.1785999999999999</v>
      </c>
      <c r="Z337" s="4"/>
      <c r="AA337" s="4"/>
      <c r="AB337" s="4" t="e">
        <f ca="1">_xll.ciqfunctions.udf.CIQ("^SPX", "IQ_PRICEDATE", "4/24/2015")</f>
        <v>#NAME?</v>
      </c>
      <c r="AC337" s="16">
        <v>2117.6899287491001</v>
      </c>
    </row>
    <row r="338" spans="1:29" x14ac:dyDescent="0.35">
      <c r="A338" s="2" t="s">
        <v>348</v>
      </c>
      <c r="B338" s="4" t="s">
        <v>1360</v>
      </c>
      <c r="C338" s="4" t="s">
        <v>543</v>
      </c>
      <c r="D338" s="4" t="s">
        <v>565</v>
      </c>
      <c r="E338" s="4" t="s">
        <v>565</v>
      </c>
      <c r="F338" s="4" t="s">
        <v>566</v>
      </c>
      <c r="G338" s="14">
        <v>243.06</v>
      </c>
      <c r="H338" s="10">
        <v>30.575227000000002</v>
      </c>
      <c r="I338" s="10">
        <v>35.425474999999999</v>
      </c>
      <c r="J338" s="10">
        <v>18.186129000000001</v>
      </c>
      <c r="K338" s="15">
        <v>2.4679999999999997E-3</v>
      </c>
      <c r="L338" s="17">
        <v>147780.48000000001</v>
      </c>
      <c r="M338" s="4" t="s">
        <v>1361</v>
      </c>
      <c r="N338" s="19">
        <v>6.8611639999999996</v>
      </c>
      <c r="O338" s="19">
        <v>7.9511000000000003</v>
      </c>
      <c r="P338" s="19">
        <v>4.0005249999999997</v>
      </c>
      <c r="Q338" s="19">
        <v>5.0218999999999996</v>
      </c>
      <c r="R338" s="19">
        <v>1.956553</v>
      </c>
      <c r="S338" s="19">
        <v>3.3001</v>
      </c>
      <c r="T338" s="19">
        <v>1.956553</v>
      </c>
      <c r="U338" s="19">
        <v>1.6435</v>
      </c>
      <c r="V338" s="19">
        <v>1.022451</v>
      </c>
      <c r="W338" s="19">
        <v>1.4068000000000001</v>
      </c>
      <c r="X338" s="19">
        <v>1.022451</v>
      </c>
      <c r="Y338" s="19">
        <v>1.4068000000000001</v>
      </c>
      <c r="Z338" s="4"/>
      <c r="AA338" s="4"/>
      <c r="AB338" s="4" t="e">
        <f ca="1">_xll.ciqfunctions.udf.CIQ("^SPX", "IQ_PRICEDATE", "4/27/2015")</f>
        <v>#NAME?</v>
      </c>
      <c r="AC338" s="16">
        <v>2108.9211408291999</v>
      </c>
    </row>
    <row r="339" spans="1:29" x14ac:dyDescent="0.35">
      <c r="A339" s="2" t="s">
        <v>349</v>
      </c>
      <c r="B339" s="4" t="s">
        <v>1362</v>
      </c>
      <c r="C339" s="4" t="s">
        <v>559</v>
      </c>
      <c r="D339" s="4" t="s">
        <v>560</v>
      </c>
      <c r="E339" s="4" t="s">
        <v>561</v>
      </c>
      <c r="F339" s="4" t="s">
        <v>562</v>
      </c>
      <c r="G339" s="14">
        <v>334.78</v>
      </c>
      <c r="H339" s="10">
        <v>14.97048</v>
      </c>
      <c r="I339" s="10">
        <v>22.874863999999999</v>
      </c>
      <c r="J339" s="10" t="s">
        <v>534</v>
      </c>
      <c r="K339" s="15">
        <v>0</v>
      </c>
      <c r="L339" s="17">
        <v>26970.884152999999</v>
      </c>
      <c r="M339" s="4" t="s">
        <v>1363</v>
      </c>
      <c r="N339" s="19">
        <v>14.635278</v>
      </c>
      <c r="O339" s="19">
        <v>16.7653</v>
      </c>
      <c r="P339" s="19">
        <v>12.67</v>
      </c>
      <c r="Q339" s="19">
        <v>12.696400000000001</v>
      </c>
      <c r="R339" s="19">
        <v>10.73</v>
      </c>
      <c r="S339" s="19">
        <v>11.896000000000001</v>
      </c>
      <c r="T339" s="19">
        <v>10.73</v>
      </c>
      <c r="U339" s="19">
        <v>10.028600000000001</v>
      </c>
      <c r="V339" s="19">
        <v>7.34</v>
      </c>
      <c r="W339" s="19">
        <v>8.0328999999999997</v>
      </c>
      <c r="X339" s="19">
        <v>7.34</v>
      </c>
      <c r="Y339" s="19">
        <v>8.0328999999999997</v>
      </c>
      <c r="Z339" s="4"/>
      <c r="AA339" s="4"/>
      <c r="AB339" s="4" t="e">
        <f ca="1">_xll.ciqfunctions.udf.CIQ("^SPX", "IQ_PRICEDATE", "4/28/2015")</f>
        <v>#NAME?</v>
      </c>
      <c r="AC339" s="16">
        <v>2114.7615406107998</v>
      </c>
    </row>
    <row r="340" spans="1:29" x14ac:dyDescent="0.35">
      <c r="A340" s="2" t="s">
        <v>350</v>
      </c>
      <c r="B340" s="4" t="s">
        <v>1364</v>
      </c>
      <c r="C340" s="4" t="s">
        <v>669</v>
      </c>
      <c r="D340" s="4" t="s">
        <v>669</v>
      </c>
      <c r="E340" s="4" t="s">
        <v>670</v>
      </c>
      <c r="F340" s="4" t="s">
        <v>836</v>
      </c>
      <c r="G340" s="14">
        <v>72.92</v>
      </c>
      <c r="H340" s="10">
        <v>9.1004760000000005</v>
      </c>
      <c r="I340" s="10">
        <v>25.053072</v>
      </c>
      <c r="J340" s="10">
        <v>2.664018</v>
      </c>
      <c r="K340" s="15">
        <v>4.2785999999999998E-2</v>
      </c>
      <c r="L340" s="17">
        <v>55763.488353000001</v>
      </c>
      <c r="M340" s="4" t="s">
        <v>1365</v>
      </c>
      <c r="N340" s="19">
        <v>2.9106209999999999</v>
      </c>
      <c r="O340" s="19">
        <v>6.2939999999999996</v>
      </c>
      <c r="P340" s="19">
        <v>1.7</v>
      </c>
      <c r="Q340" s="19">
        <v>1.6597</v>
      </c>
      <c r="R340" s="19">
        <v>-1.3118609999999999</v>
      </c>
      <c r="S340" s="19">
        <v>0.76859999999999995</v>
      </c>
      <c r="T340" s="19">
        <v>-1.3118609999999999</v>
      </c>
      <c r="U340" s="19">
        <v>0.48039999999999999</v>
      </c>
      <c r="V340" s="19">
        <v>-0.18435499999999999</v>
      </c>
      <c r="W340" s="19">
        <v>3.3957000000000002</v>
      </c>
      <c r="X340" s="19">
        <v>-0.18435499999999999</v>
      </c>
      <c r="Y340" s="19">
        <v>3.3957000000000002</v>
      </c>
      <c r="Z340" s="4"/>
      <c r="AA340" s="4"/>
      <c r="AB340" s="4" t="e">
        <f ca="1">_xll.ciqfunctions.udf.CIQ("^SPX", "IQ_PRICEDATE", "4/29/2015")</f>
        <v>#NAME?</v>
      </c>
      <c r="AC340" s="16">
        <v>2106.8509961673999</v>
      </c>
    </row>
    <row r="341" spans="1:29" x14ac:dyDescent="0.35">
      <c r="A341" s="2" t="s">
        <v>351</v>
      </c>
      <c r="B341" s="4" t="s">
        <v>1366</v>
      </c>
      <c r="C341" s="4" t="s">
        <v>549</v>
      </c>
      <c r="D341" s="4" t="s">
        <v>550</v>
      </c>
      <c r="E341" s="4" t="s">
        <v>814</v>
      </c>
      <c r="F341" s="4" t="s">
        <v>1367</v>
      </c>
      <c r="G341" s="14">
        <v>75.69</v>
      </c>
      <c r="H341" s="10">
        <v>8.7426829999999995</v>
      </c>
      <c r="I341" s="10">
        <v>14.679341000000001</v>
      </c>
      <c r="J341" s="10" t="s">
        <v>534</v>
      </c>
      <c r="K341" s="15">
        <v>3.1708E-2</v>
      </c>
      <c r="L341" s="17">
        <v>16962.558540999999</v>
      </c>
      <c r="M341" s="4" t="s">
        <v>1368</v>
      </c>
      <c r="N341" s="19">
        <v>5.1562260000000002</v>
      </c>
      <c r="O341" s="19">
        <v>5.5791000000000004</v>
      </c>
      <c r="P341" s="19">
        <v>4.6500000000000004</v>
      </c>
      <c r="Q341" s="19">
        <v>5.2290000000000001</v>
      </c>
      <c r="R341" s="19">
        <v>4.78</v>
      </c>
      <c r="S341" s="19">
        <v>4.9657</v>
      </c>
      <c r="T341" s="19">
        <v>4.78</v>
      </c>
      <c r="U341" s="19">
        <v>4.5791000000000004</v>
      </c>
      <c r="V341" s="19">
        <v>4.24</v>
      </c>
      <c r="W341" s="19">
        <v>4.4665999999999997</v>
      </c>
      <c r="X341" s="19">
        <v>4.24</v>
      </c>
      <c r="Y341" s="19">
        <v>4.4665999999999997</v>
      </c>
      <c r="Z341" s="4"/>
      <c r="AA341" s="4"/>
      <c r="AB341" s="4" t="e">
        <f ca="1">_xll.ciqfunctions.udf.CIQ("^SPX", "IQ_PRICEDATE", "4/30/2015")</f>
        <v>#NAME?</v>
      </c>
      <c r="AC341" s="16">
        <v>2085.5136532975998</v>
      </c>
    </row>
    <row r="342" spans="1:29" x14ac:dyDescent="0.35">
      <c r="A342" s="2" t="s">
        <v>352</v>
      </c>
      <c r="B342" s="4" t="s">
        <v>1369</v>
      </c>
      <c r="C342" s="4" t="s">
        <v>669</v>
      </c>
      <c r="D342" s="4" t="s">
        <v>669</v>
      </c>
      <c r="E342" s="4" t="s">
        <v>670</v>
      </c>
      <c r="F342" s="4" t="s">
        <v>1206</v>
      </c>
      <c r="G342" s="14">
        <v>67.02</v>
      </c>
      <c r="H342" s="10">
        <v>16.309066000000001</v>
      </c>
      <c r="I342" s="10">
        <v>34.590521000000003</v>
      </c>
      <c r="J342" s="10">
        <v>4.8538249999999996</v>
      </c>
      <c r="K342" s="15">
        <v>4.9238999999999998E-2</v>
      </c>
      <c r="L342" s="17">
        <v>27561.939747</v>
      </c>
      <c r="M342" s="4" t="s">
        <v>1370</v>
      </c>
      <c r="N342" s="19">
        <v>1.9375249999999999</v>
      </c>
      <c r="O342" s="19">
        <v>2.8071999999999999</v>
      </c>
      <c r="P342" s="19">
        <v>1.29</v>
      </c>
      <c r="Q342" s="19">
        <v>2.08</v>
      </c>
      <c r="R342" s="19">
        <v>1.67</v>
      </c>
      <c r="S342" s="19">
        <v>1.6295999999999999</v>
      </c>
      <c r="T342" s="19">
        <v>1.67</v>
      </c>
      <c r="U342" s="19">
        <v>1.6425000000000001</v>
      </c>
      <c r="V342" s="19">
        <v>1.52</v>
      </c>
      <c r="W342" s="19">
        <v>1.7535000000000001</v>
      </c>
      <c r="X342" s="19">
        <v>1.52</v>
      </c>
      <c r="Y342" s="19">
        <v>1.7535000000000001</v>
      </c>
      <c r="Z342" s="4"/>
      <c r="AA342" s="4"/>
      <c r="AB342" s="4" t="e">
        <f ca="1">_xll.ciqfunctions.udf.CIQ("^SPX", "IQ_PRICEDATE", "5/1/2015")</f>
        <v>#NAME?</v>
      </c>
      <c r="AC342" s="16">
        <v>2108.2902805086001</v>
      </c>
    </row>
    <row r="343" spans="1:29" x14ac:dyDescent="0.35">
      <c r="A343" s="2" t="s">
        <v>353</v>
      </c>
      <c r="B343" s="4" t="s">
        <v>1371</v>
      </c>
      <c r="C343" s="4" t="s">
        <v>543</v>
      </c>
      <c r="D343" s="4" t="s">
        <v>544</v>
      </c>
      <c r="E343" s="4" t="s">
        <v>555</v>
      </c>
      <c r="F343" s="4" t="s">
        <v>782</v>
      </c>
      <c r="G343" s="14">
        <v>47.86</v>
      </c>
      <c r="H343" s="10">
        <v>11.143684</v>
      </c>
      <c r="I343" s="10">
        <v>50.465429</v>
      </c>
      <c r="J343" s="10" t="s">
        <v>534</v>
      </c>
      <c r="K343" s="15">
        <v>1.5879000000000001E-2</v>
      </c>
      <c r="L343" s="17">
        <v>181324.22214599999</v>
      </c>
      <c r="M343" s="4" t="s">
        <v>1372</v>
      </c>
      <c r="N343" s="19">
        <v>0.94837199999999999</v>
      </c>
      <c r="O343" s="19">
        <v>3.4506000000000001</v>
      </c>
      <c r="P343" s="19">
        <v>2.3073899999999998</v>
      </c>
      <c r="Q343" s="19">
        <v>3.0503999999999998</v>
      </c>
      <c r="R343" s="19">
        <v>2.0948920000000002</v>
      </c>
      <c r="S343" s="19">
        <v>2.6434000000000002</v>
      </c>
      <c r="T343" s="19">
        <v>2.0948920000000002</v>
      </c>
      <c r="U343" s="19">
        <v>2.6959</v>
      </c>
      <c r="V343" s="19">
        <v>2.4040140000000001</v>
      </c>
      <c r="W343" s="19">
        <v>3.0528</v>
      </c>
      <c r="X343" s="19">
        <v>2.4040140000000001</v>
      </c>
      <c r="Y343" s="19">
        <v>3.0528</v>
      </c>
      <c r="Z343" s="4"/>
      <c r="AA343" s="4"/>
      <c r="AB343" s="4" t="e">
        <f ca="1">_xll.ciqfunctions.udf.CIQ("^SPX", "IQ_PRICEDATE", "5/4/2015")</f>
        <v>#NAME?</v>
      </c>
      <c r="AC343" s="16">
        <v>2114.4864683408</v>
      </c>
    </row>
    <row r="344" spans="1:29" x14ac:dyDescent="0.35">
      <c r="A344" s="2" t="s">
        <v>354</v>
      </c>
      <c r="B344" s="4" t="s">
        <v>1373</v>
      </c>
      <c r="C344" s="4" t="s">
        <v>525</v>
      </c>
      <c r="D344" s="4" t="s">
        <v>526</v>
      </c>
      <c r="E344" s="4" t="s">
        <v>803</v>
      </c>
      <c r="F344" s="4" t="s">
        <v>804</v>
      </c>
      <c r="G344" s="14">
        <v>61.74</v>
      </c>
      <c r="H344" s="10">
        <v>9.0038529999999994</v>
      </c>
      <c r="I344" s="10">
        <v>10.554795</v>
      </c>
      <c r="J344" s="10">
        <v>2.4662519999999999</v>
      </c>
      <c r="K344" s="15">
        <v>3.7575999999999998E-2</v>
      </c>
      <c r="L344" s="17">
        <v>21642.540563999999</v>
      </c>
      <c r="M344" s="4" t="s">
        <v>1374</v>
      </c>
      <c r="N344" s="19">
        <v>5.8494739999999998</v>
      </c>
      <c r="O344" s="19">
        <v>6.1204999999999998</v>
      </c>
      <c r="P344" s="19">
        <v>4.75</v>
      </c>
      <c r="Q344" s="19">
        <v>4.6715</v>
      </c>
      <c r="R344" s="19">
        <v>1.48</v>
      </c>
      <c r="S344" s="19">
        <v>3.5116000000000001</v>
      </c>
      <c r="T344" s="19">
        <v>1.48</v>
      </c>
      <c r="U344" s="19">
        <v>4.2267999999999999</v>
      </c>
      <c r="V344" s="19">
        <v>3.82</v>
      </c>
      <c r="W344" s="19">
        <v>4.2896000000000001</v>
      </c>
      <c r="X344" s="19">
        <v>3.82</v>
      </c>
      <c r="Y344" s="19">
        <v>4.2896000000000001</v>
      </c>
      <c r="Z344" s="4"/>
      <c r="AA344" s="4"/>
      <c r="AB344" s="4" t="e">
        <f ca="1">_xll.ciqfunctions.udf.CIQ("^SPX", "IQ_PRICEDATE", "5/5/2015")</f>
        <v>#NAME?</v>
      </c>
      <c r="AC344" s="16">
        <v>2089.4601421030002</v>
      </c>
    </row>
    <row r="345" spans="1:29" x14ac:dyDescent="0.35">
      <c r="A345" s="2" t="s">
        <v>355</v>
      </c>
      <c r="B345" s="4" t="s">
        <v>1375</v>
      </c>
      <c r="C345" s="4" t="s">
        <v>586</v>
      </c>
      <c r="D345" s="4" t="s">
        <v>586</v>
      </c>
      <c r="E345" s="4" t="s">
        <v>726</v>
      </c>
      <c r="F345" s="4" t="s">
        <v>727</v>
      </c>
      <c r="G345" s="14">
        <v>90.91</v>
      </c>
      <c r="H345" s="10">
        <v>7.6609619999999996</v>
      </c>
      <c r="I345" s="10">
        <v>11.702617999999999</v>
      </c>
      <c r="J345" s="10">
        <v>7.6423420000000002</v>
      </c>
      <c r="K345" s="15">
        <v>3.4759000000000005E-2</v>
      </c>
      <c r="L345" s="17">
        <v>8522.7398630000007</v>
      </c>
      <c r="M345" s="4" t="s">
        <v>1376</v>
      </c>
      <c r="N345" s="19">
        <v>7.7683470000000003</v>
      </c>
      <c r="O345" s="19">
        <v>8.5388000000000002</v>
      </c>
      <c r="P345" s="19">
        <v>7.07</v>
      </c>
      <c r="Q345" s="19">
        <v>6.4749999999999996</v>
      </c>
      <c r="R345" s="19">
        <v>4.75</v>
      </c>
      <c r="S345" s="19">
        <v>5.5372000000000003</v>
      </c>
      <c r="T345" s="19">
        <v>4.75</v>
      </c>
      <c r="U345" s="19">
        <v>4.7121000000000004</v>
      </c>
      <c r="V345" s="19">
        <v>3.9886590000000002</v>
      </c>
      <c r="W345" s="19">
        <v>5.1288</v>
      </c>
      <c r="X345" s="19">
        <v>3.9886590000000002</v>
      </c>
      <c r="Y345" s="19">
        <v>5.1288</v>
      </c>
      <c r="Z345" s="4"/>
      <c r="AA345" s="4"/>
      <c r="AB345" s="4" t="e">
        <f ca="1">_xll.ciqfunctions.udf.CIQ("^SPX", "IQ_PRICEDATE", "5/6/2015")</f>
        <v>#NAME?</v>
      </c>
      <c r="AC345" s="16">
        <v>2080.1450500901001</v>
      </c>
    </row>
    <row r="346" spans="1:29" x14ac:dyDescent="0.35">
      <c r="A346" s="2" t="s">
        <v>356</v>
      </c>
      <c r="B346" s="4" t="s">
        <v>1377</v>
      </c>
      <c r="C346" s="4" t="s">
        <v>525</v>
      </c>
      <c r="D346" s="4" t="s">
        <v>526</v>
      </c>
      <c r="E346" s="4" t="s">
        <v>803</v>
      </c>
      <c r="F346" s="4" t="s">
        <v>948</v>
      </c>
      <c r="G346" s="14">
        <v>162.54</v>
      </c>
      <c r="H346" s="10">
        <v>10.33174</v>
      </c>
      <c r="I346" s="10">
        <v>20.758623</v>
      </c>
      <c r="J346" s="10" t="s">
        <v>534</v>
      </c>
      <c r="K346" s="15">
        <v>1.8703000000000001E-2</v>
      </c>
      <c r="L346" s="17">
        <v>21522.903629</v>
      </c>
      <c r="M346" s="4" t="s">
        <v>1378</v>
      </c>
      <c r="N346" s="19">
        <v>7.8299989999999999</v>
      </c>
      <c r="O346" s="19">
        <v>11.417590000000001</v>
      </c>
      <c r="P346" s="19">
        <v>6.4283330000000003</v>
      </c>
      <c r="Q346" s="19">
        <v>9.8341999999999992</v>
      </c>
      <c r="R346" s="19">
        <v>6.4823550000000001</v>
      </c>
      <c r="S346" s="19">
        <v>6.9569000000000001</v>
      </c>
      <c r="T346" s="19">
        <v>6.4823550000000001</v>
      </c>
      <c r="U346" s="19">
        <v>6.1521999999999997</v>
      </c>
      <c r="V346" s="19">
        <v>7.2502250000000004</v>
      </c>
      <c r="W346" s="19">
        <v>8.1905999999999999</v>
      </c>
      <c r="X346" s="19">
        <v>7.2502250000000004</v>
      </c>
      <c r="Y346" s="19">
        <v>8.1905999999999999</v>
      </c>
      <c r="Z346" s="4"/>
      <c r="AA346" s="4"/>
      <c r="AB346" s="4" t="e">
        <f ca="1">_xll.ciqfunctions.udf.CIQ("^SPX", "IQ_PRICEDATE", "5/7/2015")</f>
        <v>#NAME?</v>
      </c>
      <c r="AC346" s="16">
        <v>2087.9973305568001</v>
      </c>
    </row>
    <row r="347" spans="1:29" x14ac:dyDescent="0.35">
      <c r="A347" s="2" t="s">
        <v>357</v>
      </c>
      <c r="B347" s="4" t="s">
        <v>1379</v>
      </c>
      <c r="C347" s="4" t="s">
        <v>543</v>
      </c>
      <c r="D347" s="4" t="s">
        <v>544</v>
      </c>
      <c r="E347" s="4" t="s">
        <v>545</v>
      </c>
      <c r="F347" s="4" t="s">
        <v>616</v>
      </c>
      <c r="G347" s="14">
        <v>68.89</v>
      </c>
      <c r="H347" s="10">
        <v>16.944186999999999</v>
      </c>
      <c r="I347" s="10">
        <v>25.801971000000002</v>
      </c>
      <c r="J347" s="10">
        <v>17.196155000000001</v>
      </c>
      <c r="K347" s="15">
        <v>3.2515000000000002E-2</v>
      </c>
      <c r="L347" s="17">
        <v>24737.154847000002</v>
      </c>
      <c r="M347" s="4" t="s">
        <v>1380</v>
      </c>
      <c r="N347" s="19">
        <v>2.6699510000000002</v>
      </c>
      <c r="O347" s="19">
        <v>2.9075000000000002</v>
      </c>
      <c r="P347" s="19">
        <v>2.2698049999999999</v>
      </c>
      <c r="Q347" s="19">
        <v>2.6501000000000001</v>
      </c>
      <c r="R347" s="19">
        <v>2.1501570000000001</v>
      </c>
      <c r="S347" s="19">
        <v>2.3043</v>
      </c>
      <c r="T347" s="19">
        <v>2.1501570000000001</v>
      </c>
      <c r="U347" s="19">
        <v>2.125</v>
      </c>
      <c r="V347" s="19">
        <v>1.769779</v>
      </c>
      <c r="W347" s="19">
        <v>1.9277</v>
      </c>
      <c r="X347" s="19">
        <v>1.769779</v>
      </c>
      <c r="Y347" s="19">
        <v>1.9277</v>
      </c>
      <c r="Z347" s="4"/>
      <c r="AA347" s="4"/>
      <c r="AB347" s="4" t="e">
        <f ca="1">_xll.ciqfunctions.udf.CIQ("^SPX", "IQ_PRICEDATE", "5/8/2015")</f>
        <v>#NAME?</v>
      </c>
      <c r="AC347" s="16">
        <v>2116.0951116755</v>
      </c>
    </row>
    <row r="348" spans="1:29" x14ac:dyDescent="0.35">
      <c r="A348" s="2" t="s">
        <v>358</v>
      </c>
      <c r="B348" s="4" t="s">
        <v>1381</v>
      </c>
      <c r="C348" s="4" t="s">
        <v>543</v>
      </c>
      <c r="D348" s="4" t="s">
        <v>544</v>
      </c>
      <c r="E348" s="4" t="s">
        <v>545</v>
      </c>
      <c r="F348" s="4" t="s">
        <v>616</v>
      </c>
      <c r="G348" s="14">
        <v>80.09</v>
      </c>
      <c r="H348" s="10">
        <v>32.757137999999998</v>
      </c>
      <c r="I348" s="10">
        <v>47.700386999999999</v>
      </c>
      <c r="J348" s="10">
        <v>8.9772379999999998</v>
      </c>
      <c r="K348" s="15">
        <v>0</v>
      </c>
      <c r="L348" s="17">
        <v>94800.331166000004</v>
      </c>
      <c r="M348" s="4" t="s">
        <v>1382</v>
      </c>
      <c r="N348" s="19">
        <v>1.679022</v>
      </c>
      <c r="O348" s="19">
        <v>2.5468000000000002</v>
      </c>
      <c r="P348" s="19">
        <v>1.47</v>
      </c>
      <c r="Q348" s="19">
        <v>2.1452</v>
      </c>
      <c r="R348" s="19">
        <v>1.1499999999999999</v>
      </c>
      <c r="S348" s="19">
        <v>1.6547000000000001</v>
      </c>
      <c r="T348" s="19">
        <v>1.1499999999999999</v>
      </c>
      <c r="U348" s="19">
        <v>1.4307000000000001</v>
      </c>
      <c r="V348" s="19">
        <v>0.34</v>
      </c>
      <c r="W348" s="19">
        <v>0</v>
      </c>
      <c r="X348" s="19">
        <v>0.34</v>
      </c>
      <c r="Y348" s="19">
        <v>0</v>
      </c>
      <c r="Z348" s="4"/>
      <c r="AA348" s="4"/>
      <c r="AB348" s="4" t="e">
        <f ca="1">_xll.ciqfunctions.udf.CIQ("^SPX", "IQ_PRICEDATE", "5/11/2015")</f>
        <v>#NAME?</v>
      </c>
      <c r="AC348" s="16">
        <v>2105.3275425463999</v>
      </c>
    </row>
    <row r="349" spans="1:29" x14ac:dyDescent="0.35">
      <c r="A349" s="2" t="s">
        <v>359</v>
      </c>
      <c r="B349" s="4" t="s">
        <v>1383</v>
      </c>
      <c r="C349" s="4" t="s">
        <v>525</v>
      </c>
      <c r="D349" s="4" t="s">
        <v>526</v>
      </c>
      <c r="E349" s="4" t="s">
        <v>803</v>
      </c>
      <c r="F349" s="4" t="s">
        <v>948</v>
      </c>
      <c r="G349" s="14">
        <v>38.994999999999997</v>
      </c>
      <c r="H349" s="10">
        <v>7.4371559999999999</v>
      </c>
      <c r="I349" s="10">
        <v>11.725459000000001</v>
      </c>
      <c r="J349" s="10" t="s">
        <v>534</v>
      </c>
      <c r="K349" s="15">
        <v>1.787E-2</v>
      </c>
      <c r="L349" s="17">
        <v>6870.5694309999999</v>
      </c>
      <c r="M349" s="4" t="s">
        <v>1384</v>
      </c>
      <c r="N349" s="19">
        <v>3.3405939999999998</v>
      </c>
      <c r="O349" s="19">
        <v>2.4123000000000001</v>
      </c>
      <c r="P349" s="19">
        <v>2.61</v>
      </c>
      <c r="Q349" s="19">
        <v>3.8936000000000002</v>
      </c>
      <c r="R349" s="19">
        <v>2.4700000000000002</v>
      </c>
      <c r="S349" s="19">
        <v>3.3353000000000002</v>
      </c>
      <c r="T349" s="19">
        <v>2.4700000000000002</v>
      </c>
      <c r="U349" s="19">
        <v>4.0029000000000003</v>
      </c>
      <c r="V349" s="19">
        <v>1.84</v>
      </c>
      <c r="W349" s="19">
        <v>4.1447000000000003</v>
      </c>
      <c r="X349" s="19">
        <v>1.84</v>
      </c>
      <c r="Y349" s="19">
        <v>4.1447000000000003</v>
      </c>
      <c r="Z349" s="4"/>
      <c r="AA349" s="4"/>
      <c r="AB349" s="4" t="e">
        <f ca="1">_xll.ciqfunctions.udf.CIQ("^SPX", "IQ_PRICEDATE", "5/12/2015")</f>
        <v>#NAME?</v>
      </c>
      <c r="AC349" s="16">
        <v>2099.1159344456</v>
      </c>
    </row>
    <row r="350" spans="1:29" x14ac:dyDescent="0.35">
      <c r="A350" s="2" t="s">
        <v>360</v>
      </c>
      <c r="B350" s="4" t="s">
        <v>1385</v>
      </c>
      <c r="C350" s="4" t="s">
        <v>573</v>
      </c>
      <c r="D350" s="4" t="s">
        <v>737</v>
      </c>
      <c r="E350" s="4" t="s">
        <v>737</v>
      </c>
      <c r="F350" s="4" t="s">
        <v>743</v>
      </c>
      <c r="G350" s="14">
        <v>16.350000000000001</v>
      </c>
      <c r="H350" s="10">
        <v>0</v>
      </c>
      <c r="I350" s="10">
        <v>14.013439999999999</v>
      </c>
      <c r="J350" s="10">
        <v>1.811957</v>
      </c>
      <c r="K350" s="15">
        <v>4.2812999999999997E-2</v>
      </c>
      <c r="L350" s="17">
        <v>6056.4263010000004</v>
      </c>
      <c r="M350" s="4" t="s">
        <v>1386</v>
      </c>
      <c r="N350" s="19">
        <v>1.1667369999999999</v>
      </c>
      <c r="O350" s="19">
        <v>1.3675999999999999</v>
      </c>
      <c r="P350" s="19">
        <v>0.97</v>
      </c>
      <c r="Q350" s="19">
        <v>1.1198999999999999</v>
      </c>
      <c r="R350" s="19">
        <v>0.91817800000000005</v>
      </c>
      <c r="S350" s="19">
        <v>0.93940000000000001</v>
      </c>
      <c r="T350" s="19">
        <v>0.91817800000000005</v>
      </c>
      <c r="U350" s="19">
        <v>0.92410000000000003</v>
      </c>
      <c r="V350" s="19">
        <v>0.84</v>
      </c>
      <c r="W350" s="19">
        <v>0.85940000000000005</v>
      </c>
      <c r="X350" s="19">
        <v>0.84</v>
      </c>
      <c r="Y350" s="19">
        <v>0.85940000000000005</v>
      </c>
      <c r="Z350" s="4"/>
      <c r="AA350" s="4"/>
      <c r="AB350" s="4" t="e">
        <f ca="1">_xll.ciqfunctions.udf.CIQ("^SPX", "IQ_PRICEDATE", "5/13/2015")</f>
        <v>#NAME?</v>
      </c>
      <c r="AC350" s="16">
        <v>2098.4776424717002</v>
      </c>
    </row>
    <row r="351" spans="1:29" x14ac:dyDescent="0.35">
      <c r="A351" s="2" t="s">
        <v>361</v>
      </c>
      <c r="B351" s="4" t="s">
        <v>1387</v>
      </c>
      <c r="C351" s="4" t="s">
        <v>626</v>
      </c>
      <c r="D351" s="4" t="s">
        <v>627</v>
      </c>
      <c r="E351" s="4" t="s">
        <v>775</v>
      </c>
      <c r="F351" s="4" t="s">
        <v>1298</v>
      </c>
      <c r="G351" s="14">
        <v>108.31</v>
      </c>
      <c r="H351" s="10">
        <v>13.702133</v>
      </c>
      <c r="I351" s="10">
        <v>31.244959999999999</v>
      </c>
      <c r="J351" s="10" t="s">
        <v>534</v>
      </c>
      <c r="K351" s="15">
        <v>3.4252999999999999E-2</v>
      </c>
      <c r="L351" s="17">
        <v>152886.93007999999</v>
      </c>
      <c r="M351" s="4" t="s">
        <v>1388</v>
      </c>
      <c r="N351" s="19">
        <v>3.4664790000000001</v>
      </c>
      <c r="O351" s="19">
        <v>5.8837999999999999</v>
      </c>
      <c r="P351" s="19">
        <v>3.3776069999999998</v>
      </c>
      <c r="Q351" s="19">
        <v>5.4755000000000003</v>
      </c>
      <c r="R351" s="19">
        <v>4.3588149999999999</v>
      </c>
      <c r="S351" s="19">
        <v>5.0688000000000004</v>
      </c>
      <c r="T351" s="19">
        <v>4.3588149999999999</v>
      </c>
      <c r="U351" s="19">
        <v>4.6847000000000003</v>
      </c>
      <c r="V351" s="19">
        <v>4.265225</v>
      </c>
      <c r="W351" s="19">
        <v>4.7572999999999999</v>
      </c>
      <c r="X351" s="19">
        <v>4.265225</v>
      </c>
      <c r="Y351" s="19">
        <v>4.7572999999999999</v>
      </c>
      <c r="Z351" s="4"/>
      <c r="AA351" s="4"/>
      <c r="AB351" s="4" t="e">
        <f ca="1">_xll.ciqfunctions.udf.CIQ("^SPX", "IQ_PRICEDATE", "5/14/2015")</f>
        <v>#NAME?</v>
      </c>
      <c r="AC351" s="16">
        <v>2121.0952244886998</v>
      </c>
    </row>
    <row r="352" spans="1:29" x14ac:dyDescent="0.35">
      <c r="A352" s="2" t="s">
        <v>362</v>
      </c>
      <c r="B352" s="4" t="s">
        <v>1389</v>
      </c>
      <c r="C352" s="4" t="s">
        <v>530</v>
      </c>
      <c r="D352" s="4" t="s">
        <v>537</v>
      </c>
      <c r="E352" s="4" t="s">
        <v>583</v>
      </c>
      <c r="F352" s="4" t="s">
        <v>583</v>
      </c>
      <c r="G352" s="14">
        <v>90.09</v>
      </c>
      <c r="H352" s="10">
        <v>23.292202</v>
      </c>
      <c r="I352" s="10">
        <v>67.212857999999997</v>
      </c>
      <c r="J352" s="10" t="s">
        <v>534</v>
      </c>
      <c r="K352" s="15">
        <v>3.1050000000000001E-3</v>
      </c>
      <c r="L352" s="17">
        <v>9983.7784319999992</v>
      </c>
      <c r="M352" s="4" t="s">
        <v>1390</v>
      </c>
      <c r="N352" s="19">
        <v>1.34141</v>
      </c>
      <c r="O352" s="19">
        <v>3.8965999999999998</v>
      </c>
      <c r="P352" s="19">
        <v>1.42</v>
      </c>
      <c r="Q352" s="19">
        <v>3.2837999999999998</v>
      </c>
      <c r="R352" s="19">
        <v>1.7889029999999999</v>
      </c>
      <c r="S352" s="19">
        <v>2.9066999999999998</v>
      </c>
      <c r="T352" s="19">
        <v>1.7889029999999999</v>
      </c>
      <c r="U352" s="19">
        <v>2.7705000000000002</v>
      </c>
      <c r="V352" s="19">
        <v>1.1399999999999999</v>
      </c>
      <c r="W352" s="19">
        <v>2.6059000000000001</v>
      </c>
      <c r="X352" s="19">
        <v>1.1399999999999999</v>
      </c>
      <c r="Y352" s="19">
        <v>2.6059000000000001</v>
      </c>
      <c r="Z352" s="4"/>
      <c r="AA352" s="4"/>
      <c r="AB352" s="4" t="e">
        <f ca="1">_xll.ciqfunctions.udf.CIQ("^SPX", "IQ_PRICEDATE", "5/15/2015")</f>
        <v>#NAME?</v>
      </c>
      <c r="AC352" s="16">
        <v>2122.7341297664002</v>
      </c>
    </row>
    <row r="353" spans="1:29" x14ac:dyDescent="0.35">
      <c r="A353" s="2" t="s">
        <v>363</v>
      </c>
      <c r="B353" s="4" t="s">
        <v>1391</v>
      </c>
      <c r="C353" s="4" t="s">
        <v>530</v>
      </c>
      <c r="D353" s="4" t="s">
        <v>537</v>
      </c>
      <c r="E353" s="4" t="s">
        <v>613</v>
      </c>
      <c r="F353" s="4" t="s">
        <v>613</v>
      </c>
      <c r="G353" s="14">
        <v>73.87</v>
      </c>
      <c r="H353" s="10">
        <v>12.218610999999999</v>
      </c>
      <c r="I353" s="10">
        <v>44.208649000000001</v>
      </c>
      <c r="J353" s="10" t="s">
        <v>534</v>
      </c>
      <c r="K353" s="15">
        <v>1.0287999999999999E-2</v>
      </c>
      <c r="L353" s="17">
        <v>10107.823054</v>
      </c>
      <c r="M353" s="4" t="s">
        <v>1392</v>
      </c>
      <c r="N353" s="19">
        <v>1.6709400000000001</v>
      </c>
      <c r="O353" s="19">
        <v>4.9934000000000003</v>
      </c>
      <c r="P353" s="19">
        <v>0.84</v>
      </c>
      <c r="Q353" s="19">
        <v>5.1871</v>
      </c>
      <c r="R353" s="19">
        <v>-28.01</v>
      </c>
      <c r="S353" s="19">
        <v>7.1489000000000003</v>
      </c>
      <c r="T353" s="19">
        <v>-28.01</v>
      </c>
      <c r="U353" s="19">
        <v>9.0718999999999994</v>
      </c>
      <c r="V353" s="19">
        <v>2.565439</v>
      </c>
      <c r="W353" s="19">
        <v>0</v>
      </c>
      <c r="X353" s="19">
        <v>2.565439</v>
      </c>
      <c r="Y353" s="19">
        <v>0</v>
      </c>
      <c r="Z353" s="4"/>
      <c r="AA353" s="4"/>
      <c r="AB353" s="4" t="e">
        <f ca="1">_xll.ciqfunctions.udf.CIQ("^SPX", "IQ_PRICEDATE", "5/18/2015")</f>
        <v>#NAME?</v>
      </c>
      <c r="AC353" s="16">
        <v>2129.2039046988998</v>
      </c>
    </row>
    <row r="354" spans="1:29" x14ac:dyDescent="0.35">
      <c r="A354" s="2" t="s">
        <v>364</v>
      </c>
      <c r="B354" s="4" t="s">
        <v>1393</v>
      </c>
      <c r="C354" s="4" t="s">
        <v>530</v>
      </c>
      <c r="D354" s="4" t="s">
        <v>537</v>
      </c>
      <c r="E354" s="4" t="s">
        <v>613</v>
      </c>
      <c r="F354" s="4" t="s">
        <v>613</v>
      </c>
      <c r="G354" s="14">
        <v>44.57</v>
      </c>
      <c r="H354" s="10">
        <v>13.467200999999999</v>
      </c>
      <c r="I354" s="10">
        <v>11.905595</v>
      </c>
      <c r="J354" s="10" t="s">
        <v>534</v>
      </c>
      <c r="K354" s="15">
        <v>3.0512999999999998E-2</v>
      </c>
      <c r="L354" s="17">
        <v>261274.22054899999</v>
      </c>
      <c r="M354" s="4" t="s">
        <v>1394</v>
      </c>
      <c r="N354" s="19">
        <v>3.7436180000000001</v>
      </c>
      <c r="O354" s="19">
        <v>3.0602999999999998</v>
      </c>
      <c r="P354" s="19">
        <v>3.5170020000000002</v>
      </c>
      <c r="Q354" s="19">
        <v>2.6686000000000001</v>
      </c>
      <c r="R354" s="19">
        <v>1.17</v>
      </c>
      <c r="S354" s="19">
        <v>2.4758</v>
      </c>
      <c r="T354" s="19">
        <v>1.17</v>
      </c>
      <c r="U354" s="19">
        <v>2.3218000000000001</v>
      </c>
      <c r="V354" s="19">
        <v>1.4143829999999999</v>
      </c>
      <c r="W354" s="19">
        <v>2.1695000000000002</v>
      </c>
      <c r="X354" s="19">
        <v>1.4143829999999999</v>
      </c>
      <c r="Y354" s="19">
        <v>2.1695000000000002</v>
      </c>
      <c r="Z354" s="4"/>
      <c r="AA354" s="4"/>
      <c r="AB354" s="4" t="e">
        <f ca="1">_xll.ciqfunctions.udf.CIQ("^SPX", "IQ_PRICEDATE", "5/19/2015")</f>
        <v>#NAME?</v>
      </c>
      <c r="AC354" s="16">
        <v>2127.8250587712</v>
      </c>
    </row>
    <row r="355" spans="1:29" x14ac:dyDescent="0.35">
      <c r="A355" s="2" t="s">
        <v>365</v>
      </c>
      <c r="B355" s="4" t="s">
        <v>1395</v>
      </c>
      <c r="C355" s="4" t="s">
        <v>619</v>
      </c>
      <c r="D355" s="4" t="s">
        <v>619</v>
      </c>
      <c r="E355" s="4" t="s">
        <v>620</v>
      </c>
      <c r="F355" s="4" t="s">
        <v>620</v>
      </c>
      <c r="G355" s="14">
        <v>48.96</v>
      </c>
      <c r="H355" s="10">
        <v>7.8465959999999999</v>
      </c>
      <c r="I355" s="10">
        <v>208.86213599999999</v>
      </c>
      <c r="J355" s="10">
        <v>1.346023</v>
      </c>
      <c r="K355" s="15">
        <v>0</v>
      </c>
      <c r="L355" s="17">
        <v>25319.729459999999</v>
      </c>
      <c r="M355" s="4" t="s">
        <v>1396</v>
      </c>
      <c r="N355" s="19">
        <v>0.23441300000000001</v>
      </c>
      <c r="O355" s="19">
        <v>3.6970000000000001</v>
      </c>
      <c r="P355" s="19">
        <v>3.21</v>
      </c>
      <c r="Q355" s="19">
        <v>3.4001000000000001</v>
      </c>
      <c r="R355" s="19">
        <v>2.78</v>
      </c>
      <c r="S355" s="19">
        <v>3.7797000000000001</v>
      </c>
      <c r="T355" s="19">
        <v>2.78</v>
      </c>
      <c r="U355" s="19">
        <v>3.4639000000000002</v>
      </c>
      <c r="V355" s="19">
        <v>3.06</v>
      </c>
      <c r="W355" s="19">
        <v>3.2985000000000002</v>
      </c>
      <c r="X355" s="19">
        <v>3.06</v>
      </c>
      <c r="Y355" s="19">
        <v>3.2985000000000002</v>
      </c>
      <c r="Z355" s="4"/>
      <c r="AA355" s="4"/>
      <c r="AB355" s="4" t="e">
        <f ca="1">_xll.ciqfunctions.udf.CIQ("^SPX", "IQ_PRICEDATE", "5/20/2015")</f>
        <v>#NAME?</v>
      </c>
      <c r="AC355" s="16">
        <v>2125.8487640356998</v>
      </c>
    </row>
    <row r="356" spans="1:29" x14ac:dyDescent="0.35">
      <c r="A356" s="2" t="s">
        <v>366</v>
      </c>
      <c r="B356" s="4" t="s">
        <v>1397</v>
      </c>
      <c r="C356" s="4" t="s">
        <v>626</v>
      </c>
      <c r="D356" s="4" t="s">
        <v>627</v>
      </c>
      <c r="E356" s="4" t="s">
        <v>628</v>
      </c>
      <c r="F356" s="4" t="s">
        <v>628</v>
      </c>
      <c r="G356" s="14">
        <v>84.56</v>
      </c>
      <c r="H356" s="10">
        <v>12.273115000000001</v>
      </c>
      <c r="I356" s="10">
        <v>20.523150999999999</v>
      </c>
      <c r="J356" s="10" t="s">
        <v>534</v>
      </c>
      <c r="K356" s="15">
        <v>5.3926000000000002E-2</v>
      </c>
      <c r="L356" s="17">
        <v>131449.09881299999</v>
      </c>
      <c r="M356" s="4" t="s">
        <v>1398</v>
      </c>
      <c r="N356" s="19">
        <v>4.1202249999999996</v>
      </c>
      <c r="O356" s="19">
        <v>5.0110999999999999</v>
      </c>
      <c r="P356" s="19">
        <v>3.8795099999999998</v>
      </c>
      <c r="Q356" s="19">
        <v>5.1825999999999999</v>
      </c>
      <c r="R356" s="19">
        <v>4.4796899999999997</v>
      </c>
      <c r="S356" s="19">
        <v>4.7333999999999996</v>
      </c>
      <c r="T356" s="19">
        <v>4.4796899999999997</v>
      </c>
      <c r="U356" s="19">
        <v>4.4893999999999998</v>
      </c>
      <c r="V356" s="19">
        <v>4.76</v>
      </c>
      <c r="W356" s="19">
        <v>4.8090999999999999</v>
      </c>
      <c r="X356" s="19">
        <v>4.76</v>
      </c>
      <c r="Y356" s="19">
        <v>4.8090999999999999</v>
      </c>
      <c r="Z356" s="4"/>
      <c r="AA356" s="4"/>
      <c r="AB356" s="4" t="e">
        <f ca="1">_xll.ciqfunctions.udf.CIQ("^SPX", "IQ_PRICEDATE", "5/21/2015")</f>
        <v>#NAME?</v>
      </c>
      <c r="AC356" s="16">
        <v>2130.8168954618</v>
      </c>
    </row>
    <row r="357" spans="1:29" x14ac:dyDescent="0.35">
      <c r="A357" s="2" t="s">
        <v>367</v>
      </c>
      <c r="B357" s="4" t="s">
        <v>1399</v>
      </c>
      <c r="C357" s="4" t="s">
        <v>669</v>
      </c>
      <c r="D357" s="4" t="s">
        <v>669</v>
      </c>
      <c r="E357" s="4" t="s">
        <v>670</v>
      </c>
      <c r="F357" s="4" t="s">
        <v>1126</v>
      </c>
      <c r="G357" s="14">
        <v>108.78</v>
      </c>
      <c r="H357" s="10">
        <v>10.004242</v>
      </c>
      <c r="I357" s="10">
        <v>9.2006700000000006</v>
      </c>
      <c r="J357" s="10">
        <v>2.7446990000000002</v>
      </c>
      <c r="K357" s="15">
        <v>2.9416999999999999E-2</v>
      </c>
      <c r="L357" s="17">
        <v>50502.464959999998</v>
      </c>
      <c r="M357" s="4" t="s">
        <v>1400</v>
      </c>
      <c r="N357" s="19">
        <v>11.823051</v>
      </c>
      <c r="O357" s="19">
        <v>8.7157</v>
      </c>
      <c r="P357" s="19">
        <v>9.8474850000000007</v>
      </c>
      <c r="Q357" s="19">
        <v>6.2218999999999998</v>
      </c>
      <c r="R357" s="19">
        <v>2.9241640000000002</v>
      </c>
      <c r="S357" s="19">
        <v>5.0987999999999998</v>
      </c>
      <c r="T357" s="19">
        <v>2.9241640000000002</v>
      </c>
      <c r="U357" s="19">
        <v>7.4589999999999996</v>
      </c>
      <c r="V357" s="19">
        <v>7.0970630000000003</v>
      </c>
      <c r="W357" s="19">
        <v>6.7664999999999997</v>
      </c>
      <c r="X357" s="19">
        <v>7.0970630000000003</v>
      </c>
      <c r="Y357" s="19">
        <v>6.7664999999999997</v>
      </c>
      <c r="Z357" s="4"/>
      <c r="AA357" s="4"/>
      <c r="AB357" s="4" t="e">
        <f ca="1">_xll.ciqfunctions.udf.CIQ("^SPX", "IQ_PRICEDATE", "5/22/2015")</f>
        <v>#NAME?</v>
      </c>
      <c r="AC357" s="16">
        <v>2126.0614088692</v>
      </c>
    </row>
    <row r="358" spans="1:29" x14ac:dyDescent="0.35">
      <c r="A358" s="2" t="s">
        <v>368</v>
      </c>
      <c r="B358" s="4" t="s">
        <v>1401</v>
      </c>
      <c r="C358" s="4" t="s">
        <v>619</v>
      </c>
      <c r="D358" s="4" t="s">
        <v>619</v>
      </c>
      <c r="E358" s="4" t="s">
        <v>620</v>
      </c>
      <c r="F358" s="4" t="s">
        <v>620</v>
      </c>
      <c r="G358" s="14">
        <v>83.69</v>
      </c>
      <c r="H358" s="10">
        <v>9.9353280000000002</v>
      </c>
      <c r="I358" s="10">
        <v>20.122198999999998</v>
      </c>
      <c r="J358" s="10">
        <v>1.962518</v>
      </c>
      <c r="K358" s="15">
        <v>3.3216999999999997E-2</v>
      </c>
      <c r="L358" s="17">
        <v>9371.1156929999997</v>
      </c>
      <c r="M358" s="4" t="s">
        <v>1402</v>
      </c>
      <c r="N358" s="19">
        <v>4.1590879999999997</v>
      </c>
      <c r="O358" s="19">
        <v>4.6233000000000004</v>
      </c>
      <c r="P358" s="19">
        <v>4.3499990000000004</v>
      </c>
      <c r="Q358" s="19">
        <v>4.4267000000000003</v>
      </c>
      <c r="R358" s="19">
        <v>3.95</v>
      </c>
      <c r="S358" s="19">
        <v>4.3037000000000001</v>
      </c>
      <c r="T358" s="19">
        <v>3.95</v>
      </c>
      <c r="U358" s="19">
        <v>3.9756</v>
      </c>
      <c r="V358" s="19">
        <v>3.58</v>
      </c>
      <c r="W358" s="19">
        <v>3.8540000000000001</v>
      </c>
      <c r="X358" s="19">
        <v>3.58</v>
      </c>
      <c r="Y358" s="19">
        <v>3.8540000000000001</v>
      </c>
      <c r="Z358" s="4"/>
      <c r="AA358" s="4"/>
      <c r="AB358" s="4" t="e">
        <f ca="1">_xll.ciqfunctions.udf.CIQ("^SPX", "IQ_PRICEDATE", "5/26/2015")</f>
        <v>#NAME?</v>
      </c>
      <c r="AC358" s="16">
        <v>2104.1993725443999</v>
      </c>
    </row>
    <row r="359" spans="1:29" x14ac:dyDescent="0.35">
      <c r="A359" s="2" t="s">
        <v>369</v>
      </c>
      <c r="B359" s="4" t="s">
        <v>1403</v>
      </c>
      <c r="C359" s="4" t="s">
        <v>669</v>
      </c>
      <c r="D359" s="4" t="s">
        <v>669</v>
      </c>
      <c r="E359" s="4" t="s">
        <v>670</v>
      </c>
      <c r="F359" s="4" t="s">
        <v>671</v>
      </c>
      <c r="G359" s="14">
        <v>170.18</v>
      </c>
      <c r="H359" s="10">
        <v>15.654123</v>
      </c>
      <c r="I359" s="10">
        <v>33.024165000000004</v>
      </c>
      <c r="J359" s="10">
        <v>2.586176</v>
      </c>
      <c r="K359" s="15">
        <v>1.8799999999999999E-3</v>
      </c>
      <c r="L359" s="17">
        <v>28998.880300000001</v>
      </c>
      <c r="M359" s="4" t="s">
        <v>1404</v>
      </c>
      <c r="N359" s="19">
        <v>5.1531960000000003</v>
      </c>
      <c r="O359" s="19">
        <v>9.2149000000000001</v>
      </c>
      <c r="P359" s="19">
        <v>4.8499999999999996</v>
      </c>
      <c r="Q359" s="19">
        <v>3.3130999999999999</v>
      </c>
      <c r="R359" s="19">
        <v>-3.3493970000000002</v>
      </c>
      <c r="S359" s="19">
        <v>0.74819999999999998</v>
      </c>
      <c r="T359" s="19">
        <v>-3.3493970000000002</v>
      </c>
      <c r="U359" s="19">
        <v>-0.19969999999999999</v>
      </c>
      <c r="V359" s="19">
        <v>7.15</v>
      </c>
      <c r="W359" s="19">
        <v>4.4124999999999996</v>
      </c>
      <c r="X359" s="19">
        <v>7.15</v>
      </c>
      <c r="Y359" s="19">
        <v>4.4124999999999996</v>
      </c>
      <c r="Z359" s="4"/>
      <c r="AA359" s="4"/>
      <c r="AB359" s="4" t="e">
        <f ca="1">_xll.ciqfunctions.udf.CIQ("^SPX", "IQ_PRICEDATE", "5/27/2015")</f>
        <v>#NAME?</v>
      </c>
      <c r="AC359" s="16">
        <v>2123.4758687950002</v>
      </c>
    </row>
    <row r="360" spans="1:29" x14ac:dyDescent="0.35">
      <c r="A360" s="2" t="s">
        <v>370</v>
      </c>
      <c r="B360" s="4" t="s">
        <v>1405</v>
      </c>
      <c r="C360" s="4" t="s">
        <v>586</v>
      </c>
      <c r="D360" s="4" t="s">
        <v>586</v>
      </c>
      <c r="E360" s="4" t="s">
        <v>587</v>
      </c>
      <c r="F360" s="4" t="s">
        <v>598</v>
      </c>
      <c r="G360" s="14">
        <v>98.12</v>
      </c>
      <c r="H360" s="10">
        <v>11.401399</v>
      </c>
      <c r="I360" s="10">
        <v>19.969313</v>
      </c>
      <c r="J360" s="10" t="s">
        <v>534</v>
      </c>
      <c r="K360" s="15">
        <v>1.9567000000000001E-2</v>
      </c>
      <c r="L360" s="17">
        <v>23746.816363999998</v>
      </c>
      <c r="M360" s="4" t="s">
        <v>1406</v>
      </c>
      <c r="N360" s="19">
        <v>4.9135390000000001</v>
      </c>
      <c r="O360" s="19">
        <v>6.1002000000000001</v>
      </c>
      <c r="P360" s="19">
        <v>5.31</v>
      </c>
      <c r="Q360" s="19">
        <v>6.4161999999999999</v>
      </c>
      <c r="R360" s="19">
        <v>2.04</v>
      </c>
      <c r="S360" s="19">
        <v>6.1288999999999998</v>
      </c>
      <c r="T360" s="19">
        <v>2.04</v>
      </c>
      <c r="U360" s="19">
        <v>6.2786999999999997</v>
      </c>
      <c r="V360" s="19">
        <v>3.7646350000000002</v>
      </c>
      <c r="W360" s="19">
        <v>5.5399000000000003</v>
      </c>
      <c r="X360" s="19">
        <v>3.7646350000000002</v>
      </c>
      <c r="Y360" s="19">
        <v>5.5399000000000003</v>
      </c>
      <c r="Z360" s="4"/>
      <c r="AA360" s="4"/>
      <c r="AB360" s="4" t="e">
        <f ca="1">_xll.ciqfunctions.udf.CIQ("^SPX", "IQ_PRICEDATE", "5/28/2015")</f>
        <v>#NAME?</v>
      </c>
      <c r="AC360" s="16">
        <v>2120.7897623846002</v>
      </c>
    </row>
    <row r="361" spans="1:29" x14ac:dyDescent="0.35">
      <c r="A361" s="2" t="s">
        <v>371</v>
      </c>
      <c r="B361" s="4" t="s">
        <v>1407</v>
      </c>
      <c r="C361" s="4" t="s">
        <v>619</v>
      </c>
      <c r="D361" s="4" t="s">
        <v>619</v>
      </c>
      <c r="E361" s="4" t="s">
        <v>620</v>
      </c>
      <c r="F361" s="4" t="s">
        <v>620</v>
      </c>
      <c r="G361" s="14">
        <v>30.9</v>
      </c>
      <c r="H361" s="10">
        <v>10.155426</v>
      </c>
      <c r="I361" s="10">
        <v>15.328384</v>
      </c>
      <c r="J361" s="10">
        <v>2.9846720000000002</v>
      </c>
      <c r="K361" s="15">
        <v>5.3074000000000003E-2</v>
      </c>
      <c r="L361" s="17">
        <v>22234.733393999999</v>
      </c>
      <c r="M361" s="4" t="s">
        <v>1408</v>
      </c>
      <c r="N361" s="19">
        <v>2.0158680000000002</v>
      </c>
      <c r="O361" s="19">
        <v>2.3231999999999999</v>
      </c>
      <c r="P361" s="19">
        <v>1.64</v>
      </c>
      <c r="Q361" s="19">
        <v>2.2665000000000002</v>
      </c>
      <c r="R361" s="19">
        <v>2.79</v>
      </c>
      <c r="S361" s="19">
        <v>2.1981999999999999</v>
      </c>
      <c r="T361" s="19">
        <v>2.79</v>
      </c>
      <c r="U361" s="19">
        <v>2.2444999999999999</v>
      </c>
      <c r="V361" s="19">
        <v>2.1577449999999998</v>
      </c>
      <c r="W361" s="19">
        <v>2.3094000000000001</v>
      </c>
      <c r="X361" s="19">
        <v>2.1577449999999998</v>
      </c>
      <c r="Y361" s="19">
        <v>2.3094000000000001</v>
      </c>
      <c r="Z361" s="4"/>
      <c r="AA361" s="4"/>
      <c r="AB361" s="4" t="e">
        <f ca="1">_xll.ciqfunctions.udf.CIQ("^SPX", "IQ_PRICEDATE", "5/29/2015")</f>
        <v>#NAME?</v>
      </c>
      <c r="AC361" s="16">
        <v>2107.3895783551002</v>
      </c>
    </row>
    <row r="362" spans="1:29" x14ac:dyDescent="0.35">
      <c r="A362" s="2" t="s">
        <v>372</v>
      </c>
      <c r="B362" s="4" t="s">
        <v>1409</v>
      </c>
      <c r="C362" s="4" t="s">
        <v>586</v>
      </c>
      <c r="D362" s="4" t="s">
        <v>586</v>
      </c>
      <c r="E362" s="4" t="s">
        <v>587</v>
      </c>
      <c r="F362" s="4" t="s">
        <v>588</v>
      </c>
      <c r="G362" s="14">
        <v>159.79</v>
      </c>
      <c r="H362" s="10">
        <v>13.742234</v>
      </c>
      <c r="I362" s="10">
        <v>33.244315</v>
      </c>
      <c r="J362" s="10">
        <v>19.961658</v>
      </c>
      <c r="K362" s="15">
        <v>2.0652E-2</v>
      </c>
      <c r="L362" s="17">
        <v>45951.734525</v>
      </c>
      <c r="M362" s="4" t="s">
        <v>1410</v>
      </c>
      <c r="N362" s="19">
        <v>4.8065360000000004</v>
      </c>
      <c r="O362" s="19">
        <v>7.0350000000000001</v>
      </c>
      <c r="P362" s="19">
        <v>4.32</v>
      </c>
      <c r="Q362" s="19">
        <v>6.2965999999999998</v>
      </c>
      <c r="R362" s="19">
        <v>5.21</v>
      </c>
      <c r="S362" s="19">
        <v>5.8258999999999999</v>
      </c>
      <c r="T362" s="19">
        <v>5.21</v>
      </c>
      <c r="U362" s="19">
        <v>5.9588000000000001</v>
      </c>
      <c r="V362" s="19">
        <v>5.73</v>
      </c>
      <c r="W362" s="19">
        <v>6.6227</v>
      </c>
      <c r="X362" s="19">
        <v>5.73</v>
      </c>
      <c r="Y362" s="19">
        <v>6.6227</v>
      </c>
      <c r="Z362" s="4"/>
      <c r="AA362" s="4"/>
      <c r="AB362" s="4" t="e">
        <f ca="1">_xll.ciqfunctions.udf.CIQ("^SPX", "IQ_PRICEDATE", "6/1/2015")</f>
        <v>#NAME?</v>
      </c>
      <c r="AC362" s="16">
        <v>2111.7315555443001</v>
      </c>
    </row>
    <row r="363" spans="1:29" x14ac:dyDescent="0.35">
      <c r="A363" s="2" t="s">
        <v>373</v>
      </c>
      <c r="B363" s="4" t="s">
        <v>1411</v>
      </c>
      <c r="C363" s="4" t="s">
        <v>573</v>
      </c>
      <c r="D363" s="4" t="s">
        <v>579</v>
      </c>
      <c r="E363" s="4" t="s">
        <v>579</v>
      </c>
      <c r="F363" s="4" t="s">
        <v>580</v>
      </c>
      <c r="G363" s="14">
        <v>55.08</v>
      </c>
      <c r="H363" s="10">
        <v>6.0108459999999999</v>
      </c>
      <c r="I363" s="10">
        <v>6.4307720000000002</v>
      </c>
      <c r="J363" s="10">
        <v>1.7074689999999999</v>
      </c>
      <c r="K363" s="15">
        <v>3.8489000000000002E-2</v>
      </c>
      <c r="L363" s="17">
        <v>15683.961756000001</v>
      </c>
      <c r="M363" s="4" t="s">
        <v>1412</v>
      </c>
      <c r="N363" s="19">
        <v>8.5650680000000001</v>
      </c>
      <c r="O363" s="19">
        <v>6.0256999999999996</v>
      </c>
      <c r="P363" s="19">
        <v>7.88</v>
      </c>
      <c r="Q363" s="19">
        <v>5.4653999999999998</v>
      </c>
      <c r="R363" s="19">
        <v>4.5</v>
      </c>
      <c r="S363" s="19">
        <v>4.7317</v>
      </c>
      <c r="T363" s="19">
        <v>4.5</v>
      </c>
      <c r="U363" s="19">
        <v>4.29</v>
      </c>
      <c r="V363" s="19">
        <v>3.65</v>
      </c>
      <c r="W363" s="19">
        <v>4.2855999999999996</v>
      </c>
      <c r="X363" s="19">
        <v>3.65</v>
      </c>
      <c r="Y363" s="19">
        <v>4.2855999999999996</v>
      </c>
      <c r="Z363" s="4"/>
      <c r="AA363" s="4"/>
      <c r="AB363" s="4" t="e">
        <f ca="1">_xll.ciqfunctions.udf.CIQ("^SPX", "IQ_PRICEDATE", "6/2/2015")</f>
        <v>#NAME?</v>
      </c>
      <c r="AC363" s="16">
        <v>2109.5971932025</v>
      </c>
    </row>
    <row r="364" spans="1:29" x14ac:dyDescent="0.35">
      <c r="A364" s="2" t="s">
        <v>374</v>
      </c>
      <c r="B364" s="4" t="s">
        <v>1413</v>
      </c>
      <c r="C364" s="4" t="s">
        <v>601</v>
      </c>
      <c r="D364" s="4" t="s">
        <v>601</v>
      </c>
      <c r="E364" s="4" t="s">
        <v>602</v>
      </c>
      <c r="F364" s="4" t="s">
        <v>958</v>
      </c>
      <c r="G364" s="14">
        <v>62.86</v>
      </c>
      <c r="H364" s="10">
        <v>29.059937999999999</v>
      </c>
      <c r="I364" s="10">
        <v>25.663626000000001</v>
      </c>
      <c r="J364" s="10">
        <v>1.705268</v>
      </c>
      <c r="K364" s="15">
        <v>3.0543999999999998E-2</v>
      </c>
      <c r="L364" s="17">
        <v>39571.564339999997</v>
      </c>
      <c r="M364" s="4" t="s">
        <v>1414</v>
      </c>
      <c r="N364" s="19">
        <v>2.4493809999999998</v>
      </c>
      <c r="O364" s="19">
        <v>1.7458</v>
      </c>
      <c r="P364" s="19">
        <v>3.056692</v>
      </c>
      <c r="Q364" s="19">
        <v>1.5014000000000001</v>
      </c>
      <c r="R364" s="19">
        <v>2.2688380000000001</v>
      </c>
      <c r="S364" s="19">
        <v>1.1967000000000001</v>
      </c>
      <c r="T364" s="19">
        <v>2.2688380000000001</v>
      </c>
      <c r="U364" s="19">
        <v>0.42280000000000001</v>
      </c>
      <c r="V364" s="19">
        <v>1.2359439999999999</v>
      </c>
      <c r="W364" s="19">
        <v>0.45</v>
      </c>
      <c r="X364" s="19">
        <v>1.2359439999999999</v>
      </c>
      <c r="Y364" s="19">
        <v>0.45</v>
      </c>
      <c r="Z364" s="4"/>
      <c r="AA364" s="4"/>
      <c r="AB364" s="4" t="e">
        <f ca="1">_xll.ciqfunctions.udf.CIQ("^SPX", "IQ_PRICEDATE", "6/3/2015")</f>
        <v>#NAME?</v>
      </c>
      <c r="AC364" s="16">
        <v>2114.0673737123998</v>
      </c>
    </row>
    <row r="365" spans="1:29" x14ac:dyDescent="0.35">
      <c r="A365" s="2" t="s">
        <v>375</v>
      </c>
      <c r="B365" s="4" t="s">
        <v>1415</v>
      </c>
      <c r="C365" s="4" t="s">
        <v>573</v>
      </c>
      <c r="D365" s="4" t="s">
        <v>579</v>
      </c>
      <c r="E365" s="4" t="s">
        <v>579</v>
      </c>
      <c r="F365" s="4" t="s">
        <v>580</v>
      </c>
      <c r="G365" s="14">
        <v>99.7</v>
      </c>
      <c r="H365" s="10">
        <v>7.1693439999999997</v>
      </c>
      <c r="I365" s="10">
        <v>5.7440930000000003</v>
      </c>
      <c r="J365" s="10">
        <v>0.86344699999999996</v>
      </c>
      <c r="K365" s="15">
        <v>3.6108000000000001E-2</v>
      </c>
      <c r="L365" s="17">
        <v>41645.819701</v>
      </c>
      <c r="M365" s="4" t="s">
        <v>1416</v>
      </c>
      <c r="N365" s="19">
        <v>17.356960000000001</v>
      </c>
      <c r="O365" s="19">
        <v>12.6372</v>
      </c>
      <c r="P365" s="19">
        <v>17.857797999999999</v>
      </c>
      <c r="Q365" s="19">
        <v>11.2858</v>
      </c>
      <c r="R365" s="19">
        <v>9.7089110000000005</v>
      </c>
      <c r="S365" s="19">
        <v>10.2933</v>
      </c>
      <c r="T365" s="19">
        <v>9.7089110000000005</v>
      </c>
      <c r="U365" s="19">
        <v>9.9460999999999995</v>
      </c>
      <c r="V365" s="19">
        <v>2.8860480000000002</v>
      </c>
      <c r="W365" s="19">
        <v>9.8229000000000006</v>
      </c>
      <c r="X365" s="19">
        <v>2.8860480000000002</v>
      </c>
      <c r="Y365" s="19">
        <v>9.8229000000000006</v>
      </c>
      <c r="Z365" s="4"/>
      <c r="AA365" s="4"/>
      <c r="AB365" s="4" t="e">
        <f ca="1">_xll.ciqfunctions.udf.CIQ("^SPX", "IQ_PRICEDATE", "6/4/2015")</f>
        <v>#NAME?</v>
      </c>
      <c r="AC365" s="16">
        <v>2095.8440838400002</v>
      </c>
    </row>
    <row r="366" spans="1:29" x14ac:dyDescent="0.35">
      <c r="A366" s="2" t="s">
        <v>376</v>
      </c>
      <c r="B366" s="4" t="s">
        <v>1417</v>
      </c>
      <c r="C366" s="4" t="s">
        <v>619</v>
      </c>
      <c r="D366" s="4" t="s">
        <v>619</v>
      </c>
      <c r="E366" s="4" t="s">
        <v>634</v>
      </c>
      <c r="F366" s="4" t="s">
        <v>634</v>
      </c>
      <c r="G366" s="14">
        <v>53.65</v>
      </c>
      <c r="H366" s="10">
        <v>15.427460999999999</v>
      </c>
      <c r="I366" s="10">
        <v>12.505827</v>
      </c>
      <c r="J366" s="10">
        <v>1.929332</v>
      </c>
      <c r="K366" s="15">
        <v>3.3549999999999996E-2</v>
      </c>
      <c r="L366" s="17">
        <v>27110.596440000001</v>
      </c>
      <c r="M366" s="4" t="s">
        <v>1418</v>
      </c>
      <c r="N366" s="19">
        <v>4.29</v>
      </c>
      <c r="O366" s="19">
        <v>3.3405999999999998</v>
      </c>
      <c r="P366" s="19">
        <v>3.1</v>
      </c>
      <c r="Q366" s="19">
        <v>3.0203000000000002</v>
      </c>
      <c r="R366" s="19">
        <v>1.75</v>
      </c>
      <c r="S366" s="19">
        <v>2.9262999999999999</v>
      </c>
      <c r="T366" s="19">
        <v>1.75</v>
      </c>
      <c r="U366" s="19">
        <v>2.9211</v>
      </c>
      <c r="V366" s="19">
        <v>2.99</v>
      </c>
      <c r="W366" s="19">
        <v>2.7528000000000001</v>
      </c>
      <c r="X366" s="19">
        <v>2.99</v>
      </c>
      <c r="Y366" s="19">
        <v>2.7528000000000001</v>
      </c>
      <c r="Z366" s="4"/>
      <c r="AA366" s="4"/>
      <c r="AB366" s="4" t="e">
        <f ca="1">_xll.ciqfunctions.udf.CIQ("^SPX", "IQ_PRICEDATE", "6/5/2015")</f>
        <v>#NAME?</v>
      </c>
      <c r="AC366" s="16">
        <v>2092.8309484256001</v>
      </c>
    </row>
    <row r="367" spans="1:29" x14ac:dyDescent="0.35">
      <c r="A367" s="2" t="s">
        <v>377</v>
      </c>
      <c r="B367" s="4" t="s">
        <v>1419</v>
      </c>
      <c r="C367" s="4" t="s">
        <v>601</v>
      </c>
      <c r="D367" s="4" t="s">
        <v>601</v>
      </c>
      <c r="E367" s="4" t="s">
        <v>602</v>
      </c>
      <c r="F367" s="4" t="s">
        <v>647</v>
      </c>
      <c r="G367" s="14">
        <v>198.13</v>
      </c>
      <c r="H367" s="10">
        <v>19.940149000000002</v>
      </c>
      <c r="I367" s="10">
        <v>27.595341000000001</v>
      </c>
      <c r="J367" s="10">
        <v>7.3898929999999998</v>
      </c>
      <c r="K367" s="15">
        <v>4.0377000000000003E-2</v>
      </c>
      <c r="L367" s="17">
        <v>34522.255207000002</v>
      </c>
      <c r="M367" s="4" t="s">
        <v>1420</v>
      </c>
      <c r="N367" s="19">
        <v>7.1798349999999997</v>
      </c>
      <c r="O367" s="19">
        <v>7.4696999999999996</v>
      </c>
      <c r="P367" s="19">
        <v>6.73</v>
      </c>
      <c r="Q367" s="19">
        <v>7.4301000000000004</v>
      </c>
      <c r="R367" s="19">
        <v>6.81</v>
      </c>
      <c r="S367" s="19">
        <v>7.3371000000000004</v>
      </c>
      <c r="T367" s="19">
        <v>6.81</v>
      </c>
      <c r="U367" s="19">
        <v>6.7283999999999997</v>
      </c>
      <c r="V367" s="19">
        <v>5.25</v>
      </c>
      <c r="W367" s="19">
        <v>5.5126999999999997</v>
      </c>
      <c r="X367" s="19">
        <v>5.25</v>
      </c>
      <c r="Y367" s="19">
        <v>5.5126999999999997</v>
      </c>
      <c r="Z367" s="4"/>
      <c r="AA367" s="4"/>
      <c r="AB367" s="4" t="e">
        <f ca="1">_xll.ciqfunctions.udf.CIQ("^SPX", "IQ_PRICEDATE", "6/8/2015")</f>
        <v>#NAME?</v>
      </c>
      <c r="AC367" s="16">
        <v>2079.2803854418999</v>
      </c>
    </row>
    <row r="368" spans="1:29" x14ac:dyDescent="0.35">
      <c r="A368" s="2" t="s">
        <v>378</v>
      </c>
      <c r="B368" s="4" t="s">
        <v>1421</v>
      </c>
      <c r="C368" s="4" t="s">
        <v>559</v>
      </c>
      <c r="D368" s="4" t="s">
        <v>912</v>
      </c>
      <c r="E368" s="4" t="s">
        <v>913</v>
      </c>
      <c r="F368" s="4" t="s">
        <v>914</v>
      </c>
      <c r="G368" s="14">
        <v>22.82</v>
      </c>
      <c r="H368" s="10">
        <v>6.5710879999999996</v>
      </c>
      <c r="I368" s="10">
        <v>8.952045</v>
      </c>
      <c r="J368" s="10">
        <v>1.477282</v>
      </c>
      <c r="K368" s="15">
        <v>1.5774999999999997E-2</v>
      </c>
      <c r="L368" s="17">
        <v>6481.3036990000001</v>
      </c>
      <c r="M368" s="4" t="s">
        <v>1422</v>
      </c>
      <c r="N368" s="19">
        <v>2.5491380000000001</v>
      </c>
      <c r="O368" s="19">
        <v>3.6315</v>
      </c>
      <c r="P368" s="19">
        <v>1.4427890000000001</v>
      </c>
      <c r="Q368" s="19">
        <v>2.6408</v>
      </c>
      <c r="R368" s="19">
        <v>1.7479119999999999</v>
      </c>
      <c r="S368" s="19">
        <v>1.9226000000000001</v>
      </c>
      <c r="T368" s="19">
        <v>1.7479119999999999</v>
      </c>
      <c r="U368" s="19">
        <v>1.4933000000000001</v>
      </c>
      <c r="V368" s="19">
        <v>1.259314</v>
      </c>
      <c r="W368" s="19">
        <v>1.3675999999999999</v>
      </c>
      <c r="X368" s="19">
        <v>1.259314</v>
      </c>
      <c r="Y368" s="19">
        <v>1.3675999999999999</v>
      </c>
      <c r="Z368" s="4"/>
      <c r="AA368" s="4"/>
      <c r="AB368" s="4" t="e">
        <f ca="1">_xll.ciqfunctions.udf.CIQ("^SPX", "IQ_PRICEDATE", "6/9/2015")</f>
        <v>#NAME?</v>
      </c>
      <c r="AC368" s="16">
        <v>2080.1520763919998</v>
      </c>
    </row>
    <row r="369" spans="1:29" x14ac:dyDescent="0.35">
      <c r="A369" s="2" t="s">
        <v>379</v>
      </c>
      <c r="B369" s="4" t="s">
        <v>1423</v>
      </c>
      <c r="C369" s="4" t="s">
        <v>559</v>
      </c>
      <c r="D369" s="4" t="s">
        <v>912</v>
      </c>
      <c r="E369" s="4" t="s">
        <v>1097</v>
      </c>
      <c r="F369" s="4" t="s">
        <v>1098</v>
      </c>
      <c r="G369" s="14">
        <v>127.96</v>
      </c>
      <c r="H369" s="10">
        <v>10.616185</v>
      </c>
      <c r="I369" s="10">
        <v>14.450281</v>
      </c>
      <c r="J369" s="10" t="s">
        <v>534</v>
      </c>
      <c r="K369" s="15">
        <v>1.1720000000000001E-3</v>
      </c>
      <c r="L369" s="17">
        <v>9816.5094939999999</v>
      </c>
      <c r="M369" s="4" t="s">
        <v>1424</v>
      </c>
      <c r="N369" s="19">
        <v>8.8551909999999996</v>
      </c>
      <c r="O369" s="19">
        <v>9.8125</v>
      </c>
      <c r="P369" s="19">
        <v>6.7120579999999999</v>
      </c>
      <c r="Q369" s="19">
        <v>8.6102000000000007</v>
      </c>
      <c r="R369" s="19">
        <v>7.1465800000000002</v>
      </c>
      <c r="S369" s="19">
        <v>7.1961000000000004</v>
      </c>
      <c r="T369" s="19">
        <v>7.1465800000000002</v>
      </c>
      <c r="U369" s="19">
        <v>6.5484999999999998</v>
      </c>
      <c r="V369" s="19">
        <v>4.2196809999999996</v>
      </c>
      <c r="W369" s="19">
        <v>8.0885999999999996</v>
      </c>
      <c r="X369" s="19">
        <v>4.2196809999999996</v>
      </c>
      <c r="Y369" s="19">
        <v>8.0885999999999996</v>
      </c>
      <c r="Z369" s="4"/>
      <c r="AA369" s="4"/>
      <c r="AB369" s="4" t="e">
        <f ca="1">_xll.ciqfunctions.udf.CIQ("^SPX", "IQ_PRICEDATE", "6/10/2015")</f>
        <v>#NAME?</v>
      </c>
      <c r="AC369" s="16">
        <v>2105.2022673125998</v>
      </c>
    </row>
    <row r="370" spans="1:29" x14ac:dyDescent="0.35">
      <c r="A370" s="2" t="s">
        <v>380</v>
      </c>
      <c r="B370" s="4" t="s">
        <v>1425</v>
      </c>
      <c r="C370" s="4" t="s">
        <v>543</v>
      </c>
      <c r="D370" s="4" t="s">
        <v>565</v>
      </c>
      <c r="E370" s="4" t="s">
        <v>565</v>
      </c>
      <c r="F370" s="4" t="s">
        <v>566</v>
      </c>
      <c r="G370" s="14">
        <v>75.42</v>
      </c>
      <c r="H370" s="10">
        <v>11.11843</v>
      </c>
      <c r="I370" s="10" t="s">
        <v>534</v>
      </c>
      <c r="J370" s="10">
        <v>5.3367430000000002</v>
      </c>
      <c r="K370" s="15">
        <v>0</v>
      </c>
      <c r="L370" s="17">
        <v>9476.0162529999998</v>
      </c>
      <c r="M370" s="4" t="s">
        <v>1426</v>
      </c>
      <c r="N370" s="19">
        <v>-0.31903599999999999</v>
      </c>
      <c r="O370" s="19">
        <v>6.7069000000000001</v>
      </c>
      <c r="P370" s="19">
        <v>0.217893</v>
      </c>
      <c r="Q370" s="19">
        <v>6.2256</v>
      </c>
      <c r="R370" s="19">
        <v>-0.75099499999999997</v>
      </c>
      <c r="S370" s="19">
        <v>5.0407000000000002</v>
      </c>
      <c r="T370" s="19">
        <v>-0.75099499999999997</v>
      </c>
      <c r="U370" s="19">
        <v>4.8334000000000001</v>
      </c>
      <c r="V370" s="19">
        <v>2.5673659999999998</v>
      </c>
      <c r="W370" s="19">
        <v>0</v>
      </c>
      <c r="X370" s="19">
        <v>2.5673659999999998</v>
      </c>
      <c r="Y370" s="19">
        <v>0</v>
      </c>
      <c r="Z370" s="4"/>
      <c r="AA370" s="4"/>
      <c r="AB370" s="4" t="e">
        <f ca="1">_xll.ciqfunctions.udf.CIQ("^SPX", "IQ_PRICEDATE", "6/11/2015")</f>
        <v>#NAME?</v>
      </c>
      <c r="AC370" s="16">
        <v>2108.8561965326999</v>
      </c>
    </row>
    <row r="371" spans="1:29" x14ac:dyDescent="0.35">
      <c r="A371" s="2" t="s">
        <v>381</v>
      </c>
      <c r="B371" s="4" t="s">
        <v>1427</v>
      </c>
      <c r="C371" s="4" t="s">
        <v>543</v>
      </c>
      <c r="D371" s="4" t="s">
        <v>565</v>
      </c>
      <c r="E371" s="4" t="s">
        <v>565</v>
      </c>
      <c r="F371" s="4" t="s">
        <v>566</v>
      </c>
      <c r="G371" s="14">
        <v>66.099999999999994</v>
      </c>
      <c r="H371" s="10">
        <v>12.284266000000001</v>
      </c>
      <c r="I371" s="10" t="s">
        <v>534</v>
      </c>
      <c r="J371" s="10">
        <v>7.3206350000000002</v>
      </c>
      <c r="K371" s="15">
        <v>3.7517999999999996E-2</v>
      </c>
      <c r="L371" s="17">
        <v>97109.421281999996</v>
      </c>
      <c r="M371" s="4" t="s">
        <v>1428</v>
      </c>
      <c r="N371" s="19">
        <v>-2.8526340000000001</v>
      </c>
      <c r="O371" s="19">
        <v>3.7048999999999999</v>
      </c>
      <c r="P371" s="19">
        <v>-2.8315619999999999</v>
      </c>
      <c r="Q371" s="19">
        <v>3.6014900000000001</v>
      </c>
      <c r="R371" s="19">
        <v>3.278559</v>
      </c>
      <c r="S371" s="19">
        <v>4.7089600000000003</v>
      </c>
      <c r="T371" s="19">
        <v>3.278559</v>
      </c>
      <c r="U371" s="19">
        <v>4.1777199999999999</v>
      </c>
      <c r="V371" s="19">
        <v>4.7318119999999997</v>
      </c>
      <c r="W371" s="19">
        <v>5.2083199999999996</v>
      </c>
      <c r="X371" s="19">
        <v>4.7318119999999997</v>
      </c>
      <c r="Y371" s="19">
        <v>5.2083199999999996</v>
      </c>
      <c r="Z371" s="4"/>
      <c r="AA371" s="4"/>
      <c r="AB371" s="4" t="e">
        <f ca="1">_xll.ciqfunctions.udf.CIQ("^SPX", "IQ_PRICEDATE", "6/12/2015")</f>
        <v>#NAME?</v>
      </c>
      <c r="AC371" s="16">
        <v>2094.1056542483002</v>
      </c>
    </row>
    <row r="372" spans="1:29" x14ac:dyDescent="0.35">
      <c r="A372" s="2" t="s">
        <v>382</v>
      </c>
      <c r="B372" s="4" t="s">
        <v>1429</v>
      </c>
      <c r="C372" s="4" t="s">
        <v>525</v>
      </c>
      <c r="D372" s="4" t="s">
        <v>526</v>
      </c>
      <c r="E372" s="4" t="s">
        <v>1046</v>
      </c>
      <c r="F372" s="4" t="s">
        <v>1046</v>
      </c>
      <c r="G372" s="14">
        <v>32.58</v>
      </c>
      <c r="H372" s="10">
        <v>8.5303269999999998</v>
      </c>
      <c r="I372" s="10">
        <v>16.295328000000001</v>
      </c>
      <c r="J372" s="10">
        <v>3.1826050000000001</v>
      </c>
      <c r="K372" s="15">
        <v>0</v>
      </c>
      <c r="L372" s="17">
        <v>4863.9875730000003</v>
      </c>
      <c r="M372" s="4" t="s">
        <v>1430</v>
      </c>
      <c r="N372" s="19">
        <v>1.9993460000000001</v>
      </c>
      <c r="O372" s="19">
        <v>3.0196000000000001</v>
      </c>
      <c r="P372" s="19">
        <v>2</v>
      </c>
      <c r="Q372" s="19">
        <v>2.2818999999999998</v>
      </c>
      <c r="R372" s="19">
        <v>1.26</v>
      </c>
      <c r="S372" s="19">
        <v>2.0802</v>
      </c>
      <c r="T372" s="19">
        <v>1.26</v>
      </c>
      <c r="U372" s="19">
        <v>1.5874999999999999</v>
      </c>
      <c r="V372" s="19">
        <v>1.22</v>
      </c>
      <c r="W372" s="19">
        <v>2.1514000000000002</v>
      </c>
      <c r="X372" s="19">
        <v>1.22</v>
      </c>
      <c r="Y372" s="19">
        <v>2.1514000000000002</v>
      </c>
      <c r="Z372" s="4"/>
      <c r="AA372" s="4"/>
      <c r="AB372" s="4" t="e">
        <f ca="1">_xll.ciqfunctions.udf.CIQ("^SPX", "IQ_PRICEDATE", "6/15/2015")</f>
        <v>#NAME?</v>
      </c>
      <c r="AC372" s="16">
        <v>2084.4252841215998</v>
      </c>
    </row>
    <row r="373" spans="1:29" x14ac:dyDescent="0.35">
      <c r="A373" s="2" t="s">
        <v>383</v>
      </c>
      <c r="B373" s="4" t="s">
        <v>1431</v>
      </c>
      <c r="C373" s="4" t="s">
        <v>530</v>
      </c>
      <c r="D373" s="4" t="s">
        <v>531</v>
      </c>
      <c r="E373" s="4" t="s">
        <v>569</v>
      </c>
      <c r="F373" s="4" t="s">
        <v>909</v>
      </c>
      <c r="G373" s="14">
        <v>102.38</v>
      </c>
      <c r="H373" s="10">
        <v>11.041496</v>
      </c>
      <c r="I373" s="10">
        <v>17.619931999999999</v>
      </c>
      <c r="J373" s="10" t="s">
        <v>534</v>
      </c>
      <c r="K373" s="15">
        <v>1.9535E-2</v>
      </c>
      <c r="L373" s="17">
        <v>13991.934493999999</v>
      </c>
      <c r="M373" s="4" t="s">
        <v>1432</v>
      </c>
      <c r="N373" s="19">
        <v>5.8104649999999998</v>
      </c>
      <c r="O373" s="19">
        <v>6.7607999999999997</v>
      </c>
      <c r="P373" s="19">
        <v>5.5</v>
      </c>
      <c r="Q373" s="19">
        <v>5.7065000000000001</v>
      </c>
      <c r="R373" s="19">
        <v>4.51</v>
      </c>
      <c r="S373" s="19">
        <v>5.3535000000000004</v>
      </c>
      <c r="T373" s="19">
        <v>4.51</v>
      </c>
      <c r="U373" s="19">
        <v>4.9916999999999998</v>
      </c>
      <c r="V373" s="19">
        <v>3.78</v>
      </c>
      <c r="W373" s="19">
        <v>4.3490000000000002</v>
      </c>
      <c r="X373" s="19">
        <v>3.78</v>
      </c>
      <c r="Y373" s="19">
        <v>4.3490000000000002</v>
      </c>
      <c r="Z373" s="4"/>
      <c r="AA373" s="4"/>
      <c r="AB373" s="4" t="e">
        <f ca="1">_xll.ciqfunctions.udf.CIQ("^SPX", "IQ_PRICEDATE", "6/16/2015")</f>
        <v>#NAME?</v>
      </c>
      <c r="AC373" s="16">
        <v>2096.2923688098999</v>
      </c>
    </row>
    <row r="374" spans="1:29" x14ac:dyDescent="0.35">
      <c r="A374" s="2" t="s">
        <v>384</v>
      </c>
      <c r="B374" s="4" t="s">
        <v>1433</v>
      </c>
      <c r="C374" s="4" t="s">
        <v>559</v>
      </c>
      <c r="D374" s="4" t="s">
        <v>912</v>
      </c>
      <c r="E374" s="4" t="s">
        <v>1097</v>
      </c>
      <c r="F374" s="4" t="s">
        <v>1098</v>
      </c>
      <c r="G374" s="14">
        <v>128.16999999999999</v>
      </c>
      <c r="H374" s="10">
        <v>9.7130709999999993</v>
      </c>
      <c r="I374" s="10">
        <v>49.939976000000001</v>
      </c>
      <c r="J374" s="10">
        <v>4.498068</v>
      </c>
      <c r="K374" s="15">
        <v>1.9504999999999998E-2</v>
      </c>
      <c r="L374" s="17">
        <v>10398.446968</v>
      </c>
      <c r="M374" s="4" t="s">
        <v>1434</v>
      </c>
      <c r="N374" s="19">
        <v>2.566481</v>
      </c>
      <c r="O374" s="19">
        <v>6.7205000000000004</v>
      </c>
      <c r="P374" s="19">
        <v>-1.0085569999999999</v>
      </c>
      <c r="Q374" s="19">
        <v>5.6300999999999997</v>
      </c>
      <c r="R374" s="19">
        <v>1.7486139999999999</v>
      </c>
      <c r="S374" s="19">
        <v>5.4927000000000001</v>
      </c>
      <c r="T374" s="19">
        <v>1.7486139999999999</v>
      </c>
      <c r="U374" s="19">
        <v>7.1894</v>
      </c>
      <c r="V374" s="19">
        <v>8.1375340000000005</v>
      </c>
      <c r="W374" s="19">
        <v>9.1341000000000001</v>
      </c>
      <c r="X374" s="19">
        <v>8.1375340000000005</v>
      </c>
      <c r="Y374" s="19">
        <v>9.1341000000000001</v>
      </c>
      <c r="Z374" s="4"/>
      <c r="AA374" s="4"/>
      <c r="AB374" s="4" t="e">
        <f ca="1">_xll.ciqfunctions.udf.CIQ("^SPX", "IQ_PRICEDATE", "6/17/2015")</f>
        <v>#NAME?</v>
      </c>
      <c r="AC374" s="16">
        <v>2100.4437209033999</v>
      </c>
    </row>
    <row r="375" spans="1:29" x14ac:dyDescent="0.35">
      <c r="A375" s="2" t="s">
        <v>385</v>
      </c>
      <c r="B375" s="4" t="s">
        <v>1435</v>
      </c>
      <c r="C375" s="4" t="s">
        <v>573</v>
      </c>
      <c r="D375" s="4" t="s">
        <v>574</v>
      </c>
      <c r="E375" s="4" t="s">
        <v>575</v>
      </c>
      <c r="F375" s="4" t="s">
        <v>963</v>
      </c>
      <c r="G375" s="14">
        <v>89.18</v>
      </c>
      <c r="H375" s="10">
        <v>0</v>
      </c>
      <c r="I375" s="10">
        <v>16.845255999999999</v>
      </c>
      <c r="J375" s="10">
        <v>2.3547199999999999</v>
      </c>
      <c r="K375" s="15">
        <v>1.3455E-2</v>
      </c>
      <c r="L375" s="17">
        <v>12587.40028</v>
      </c>
      <c r="M375" s="4" t="s">
        <v>1436</v>
      </c>
      <c r="N375" s="19">
        <v>5.2940719999999999</v>
      </c>
      <c r="O375" s="19">
        <v>7.5509000000000004</v>
      </c>
      <c r="P375" s="19">
        <v>4.1229310000000003</v>
      </c>
      <c r="Q375" s="19">
        <v>6.0290699999999999</v>
      </c>
      <c r="R375" s="19">
        <v>3.9355730000000002</v>
      </c>
      <c r="S375" s="19">
        <v>4.3505000000000003</v>
      </c>
      <c r="T375" s="19">
        <v>3.9355730000000002</v>
      </c>
      <c r="U375" s="19">
        <v>3.85243</v>
      </c>
      <c r="V375" s="19">
        <v>3.3785249999999998</v>
      </c>
      <c r="W375" s="19">
        <v>3.6553100000000001</v>
      </c>
      <c r="X375" s="19">
        <v>3.3785249999999998</v>
      </c>
      <c r="Y375" s="19">
        <v>3.6553100000000001</v>
      </c>
      <c r="Z375" s="4"/>
      <c r="AA375" s="4"/>
      <c r="AB375" s="4" t="e">
        <f ca="1">_xll.ciqfunctions.udf.CIQ("^SPX", "IQ_PRICEDATE", "6/18/2015")</f>
        <v>#NAME?</v>
      </c>
      <c r="AC375" s="16">
        <v>2121.2354112715998</v>
      </c>
    </row>
    <row r="376" spans="1:29" x14ac:dyDescent="0.35">
      <c r="A376" s="2" t="s">
        <v>386</v>
      </c>
      <c r="B376" s="4" t="s">
        <v>1437</v>
      </c>
      <c r="C376" s="4" t="s">
        <v>525</v>
      </c>
      <c r="D376" s="4" t="s">
        <v>526</v>
      </c>
      <c r="E376" s="4" t="s">
        <v>703</v>
      </c>
      <c r="F376" s="4" t="s">
        <v>703</v>
      </c>
      <c r="G376" s="14">
        <v>193.12</v>
      </c>
      <c r="H376" s="10">
        <v>14.827256</v>
      </c>
      <c r="I376" s="10">
        <v>23.288088999999999</v>
      </c>
      <c r="J376" s="10" t="s">
        <v>534</v>
      </c>
      <c r="K376" s="15">
        <v>1.7967999999999998E-2</v>
      </c>
      <c r="L376" s="17">
        <v>55089.411200000002</v>
      </c>
      <c r="M376" s="4" t="s">
        <v>1438</v>
      </c>
      <c r="N376" s="19">
        <v>8.2926509999999993</v>
      </c>
      <c r="O376" s="19">
        <v>10.5326</v>
      </c>
      <c r="P376" s="19">
        <v>6.94</v>
      </c>
      <c r="Q376" s="19">
        <v>7.9721000000000002</v>
      </c>
      <c r="R376" s="19">
        <v>7.55</v>
      </c>
      <c r="S376" s="19">
        <v>6.9596</v>
      </c>
      <c r="T376" s="19">
        <v>7.55</v>
      </c>
      <c r="U376" s="19">
        <v>6.8864999999999998</v>
      </c>
      <c r="V376" s="19">
        <v>6.97</v>
      </c>
      <c r="W376" s="19">
        <v>6.8384999999999998</v>
      </c>
      <c r="X376" s="19">
        <v>6.97</v>
      </c>
      <c r="Y376" s="19">
        <v>6.8384999999999998</v>
      </c>
      <c r="Z376" s="4"/>
      <c r="AA376" s="4"/>
      <c r="AB376" s="4" t="e">
        <f ca="1">_xll.ciqfunctions.udf.CIQ("^SPX", "IQ_PRICEDATE", "6/19/2015")</f>
        <v>#NAME?</v>
      </c>
      <c r="AC376" s="16">
        <v>2109.9882780010998</v>
      </c>
    </row>
    <row r="377" spans="1:29" x14ac:dyDescent="0.35">
      <c r="A377" s="2" t="s">
        <v>387</v>
      </c>
      <c r="B377" s="4" t="s">
        <v>1439</v>
      </c>
      <c r="C377" s="4" t="s">
        <v>601</v>
      </c>
      <c r="D377" s="4" t="s">
        <v>601</v>
      </c>
      <c r="E377" s="4" t="s">
        <v>602</v>
      </c>
      <c r="F377" s="4" t="s">
        <v>1026</v>
      </c>
      <c r="G377" s="14">
        <v>58.04</v>
      </c>
      <c r="H377" s="10">
        <v>20.322717000000001</v>
      </c>
      <c r="I377" s="10">
        <v>49.958812000000002</v>
      </c>
      <c r="J377" s="10">
        <v>2.7009439999999998</v>
      </c>
      <c r="K377" s="15">
        <v>4.5589000000000005E-2</v>
      </c>
      <c r="L377" s="17">
        <v>16834.113131999999</v>
      </c>
      <c r="M377" s="4" t="s">
        <v>1440</v>
      </c>
      <c r="N377" s="19">
        <v>1.1617569999999999</v>
      </c>
      <c r="O377" s="19">
        <v>1.3156000000000001</v>
      </c>
      <c r="P377" s="19">
        <v>1.0999989999999999</v>
      </c>
      <c r="Q377" s="19">
        <v>1.2678</v>
      </c>
      <c r="R377" s="19">
        <v>1.1299999999999999</v>
      </c>
      <c r="S377" s="19">
        <v>1.2182999999999999</v>
      </c>
      <c r="T377" s="19">
        <v>1.1299999999999999</v>
      </c>
      <c r="U377" s="19">
        <v>1.0723</v>
      </c>
      <c r="V377" s="19">
        <v>1.0291539999999999</v>
      </c>
      <c r="W377" s="19">
        <v>0.96919999999999995</v>
      </c>
      <c r="X377" s="19">
        <v>1.0291539999999999</v>
      </c>
      <c r="Y377" s="19">
        <v>0.96919999999999995</v>
      </c>
      <c r="Z377" s="4"/>
      <c r="AA377" s="4"/>
      <c r="AB377" s="4" t="e">
        <f ca="1">_xll.ciqfunctions.udf.CIQ("^SPX", "IQ_PRICEDATE", "6/22/2015")</f>
        <v>#NAME?</v>
      </c>
      <c r="AC377" s="16">
        <v>2122.8467894445998</v>
      </c>
    </row>
    <row r="378" spans="1:29" x14ac:dyDescent="0.35">
      <c r="A378" s="2" t="s">
        <v>388</v>
      </c>
      <c r="B378" s="4" t="s">
        <v>1441</v>
      </c>
      <c r="C378" s="4" t="s">
        <v>543</v>
      </c>
      <c r="D378" s="4" t="s">
        <v>544</v>
      </c>
      <c r="E378" s="4" t="s">
        <v>555</v>
      </c>
      <c r="F378" s="4" t="s">
        <v>782</v>
      </c>
      <c r="G378" s="14">
        <v>124.84</v>
      </c>
      <c r="H378" s="10">
        <v>34.442061000000002</v>
      </c>
      <c r="I378" s="10">
        <v>81.723285000000004</v>
      </c>
      <c r="J378" s="10" t="s">
        <v>534</v>
      </c>
      <c r="K378" s="15">
        <v>0</v>
      </c>
      <c r="L378" s="17">
        <v>21968.553962000002</v>
      </c>
      <c r="M378" s="4" t="s">
        <v>1442</v>
      </c>
      <c r="N378" s="19">
        <v>1.5275939999999999</v>
      </c>
      <c r="O378" s="19">
        <v>3.7183999999999999</v>
      </c>
      <c r="P378" s="19">
        <v>1.852301</v>
      </c>
      <c r="Q378" s="19">
        <v>3.2326999999999999</v>
      </c>
      <c r="R378" s="19">
        <v>1.3097810000000001</v>
      </c>
      <c r="S378" s="19">
        <v>2.5049999999999999</v>
      </c>
      <c r="T378" s="19">
        <v>1.3097810000000001</v>
      </c>
      <c r="U378" s="19">
        <v>2.0676999999999999</v>
      </c>
      <c r="V378" s="19">
        <v>0.940052</v>
      </c>
      <c r="W378" s="19">
        <v>1.7611000000000001</v>
      </c>
      <c r="X378" s="19">
        <v>0.940052</v>
      </c>
      <c r="Y378" s="19">
        <v>1.7611000000000001</v>
      </c>
      <c r="Z378" s="4"/>
      <c r="AA378" s="4"/>
      <c r="AB378" s="4" t="e">
        <f ca="1">_xll.ciqfunctions.udf.CIQ("^SPX", "IQ_PRICEDATE", "6/23/2015")</f>
        <v>#NAME?</v>
      </c>
      <c r="AC378" s="16">
        <v>2124.1984754584</v>
      </c>
    </row>
    <row r="379" spans="1:29" x14ac:dyDescent="0.35">
      <c r="A379" s="2" t="s">
        <v>389</v>
      </c>
      <c r="B379" s="4" t="s">
        <v>1443</v>
      </c>
      <c r="C379" s="4" t="s">
        <v>601</v>
      </c>
      <c r="D379" s="4" t="s">
        <v>601</v>
      </c>
      <c r="E379" s="4" t="s">
        <v>602</v>
      </c>
      <c r="F379" s="4" t="s">
        <v>1026</v>
      </c>
      <c r="G379" s="14">
        <v>63.02</v>
      </c>
      <c r="H379" s="10">
        <v>19.780158</v>
      </c>
      <c r="I379" s="10">
        <v>43.796644999999998</v>
      </c>
      <c r="J379" s="10">
        <v>1.844967</v>
      </c>
      <c r="K379" s="15">
        <v>3.5226E-2</v>
      </c>
      <c r="L379" s="17">
        <v>10677.838191999999</v>
      </c>
      <c r="M379" s="4" t="s">
        <v>1444</v>
      </c>
      <c r="N379" s="19">
        <v>1.438923</v>
      </c>
      <c r="O379" s="19">
        <v>1.4756</v>
      </c>
      <c r="P379" s="19">
        <v>1</v>
      </c>
      <c r="Q379" s="19">
        <v>1.3922000000000001</v>
      </c>
      <c r="R379" s="19">
        <v>1.42</v>
      </c>
      <c r="S379" s="19">
        <v>1.5489999999999999</v>
      </c>
      <c r="T379" s="19">
        <v>1.42</v>
      </c>
      <c r="U379" s="19">
        <v>1.1554</v>
      </c>
      <c r="V379" s="19">
        <v>1.7957669999999999</v>
      </c>
      <c r="W379" s="19">
        <v>0.99760000000000004</v>
      </c>
      <c r="X379" s="19">
        <v>1.7957669999999999</v>
      </c>
      <c r="Y379" s="19">
        <v>0.99760000000000004</v>
      </c>
      <c r="Z379" s="4"/>
      <c r="AA379" s="4"/>
      <c r="AB379" s="4" t="e">
        <f ca="1">_xll.ciqfunctions.udf.CIQ("^SPX", "IQ_PRICEDATE", "6/24/2015")</f>
        <v>#NAME?</v>
      </c>
      <c r="AC379" s="16">
        <v>2108.5780593228001</v>
      </c>
    </row>
    <row r="380" spans="1:29" x14ac:dyDescent="0.35">
      <c r="A380" s="2" t="s">
        <v>390</v>
      </c>
      <c r="B380" s="4" t="s">
        <v>1445</v>
      </c>
      <c r="C380" s="4" t="s">
        <v>530</v>
      </c>
      <c r="D380" s="4" t="s">
        <v>537</v>
      </c>
      <c r="E380" s="4" t="s">
        <v>538</v>
      </c>
      <c r="F380" s="4" t="s">
        <v>538</v>
      </c>
      <c r="G380" s="14">
        <v>399.06</v>
      </c>
      <c r="H380" s="10">
        <v>17.321949</v>
      </c>
      <c r="I380" s="10">
        <v>28.973458999999998</v>
      </c>
      <c r="J380" s="10">
        <v>5.9860939999999996</v>
      </c>
      <c r="K380" s="15">
        <v>0</v>
      </c>
      <c r="L380" s="17">
        <v>43076.569212000002</v>
      </c>
      <c r="M380" s="4" t="s">
        <v>1446</v>
      </c>
      <c r="N380" s="19">
        <v>13.773294999999999</v>
      </c>
      <c r="O380" s="19">
        <v>20.823799999999999</v>
      </c>
      <c r="P380" s="19">
        <v>10.34</v>
      </c>
      <c r="Q380" s="19">
        <v>16.898900000000001</v>
      </c>
      <c r="R380" s="19">
        <v>7.6990809999999996</v>
      </c>
      <c r="S380" s="19">
        <v>13.571300000000001</v>
      </c>
      <c r="T380" s="19">
        <v>7.6990809999999996</v>
      </c>
      <c r="U380" s="19">
        <v>14.7066</v>
      </c>
      <c r="V380" s="19">
        <v>2.98</v>
      </c>
      <c r="W380" s="19">
        <v>10.794</v>
      </c>
      <c r="X380" s="19">
        <v>2.98</v>
      </c>
      <c r="Y380" s="19">
        <v>10.794</v>
      </c>
      <c r="Z380" s="4"/>
      <c r="AA380" s="4"/>
      <c r="AB380" s="4" t="e">
        <f ca="1">_xll.ciqfunctions.udf.CIQ("^SPX", "IQ_PRICEDATE", "6/25/2015")</f>
        <v>#NAME?</v>
      </c>
      <c r="AC380" s="16">
        <v>2102.3120563614002</v>
      </c>
    </row>
    <row r="381" spans="1:29" x14ac:dyDescent="0.35">
      <c r="A381" s="2" t="s">
        <v>391</v>
      </c>
      <c r="B381" s="4" t="s">
        <v>1447</v>
      </c>
      <c r="C381" s="4" t="s">
        <v>573</v>
      </c>
      <c r="D381" s="4" t="s">
        <v>737</v>
      </c>
      <c r="E381" s="4" t="s">
        <v>737</v>
      </c>
      <c r="F381" s="4" t="s">
        <v>743</v>
      </c>
      <c r="G381" s="14">
        <v>17.329999999999998</v>
      </c>
      <c r="H381" s="10">
        <v>0</v>
      </c>
      <c r="I381" s="10">
        <v>14.460537</v>
      </c>
      <c r="J381" s="10">
        <v>1.9513240000000001</v>
      </c>
      <c r="K381" s="15">
        <v>3.2313000000000001E-2</v>
      </c>
      <c r="L381" s="17">
        <v>19105.808375000001</v>
      </c>
      <c r="M381" s="4" t="s">
        <v>1448</v>
      </c>
      <c r="N381" s="19">
        <v>1.198434</v>
      </c>
      <c r="O381" s="19">
        <v>1.4888999999999999</v>
      </c>
      <c r="P381" s="19">
        <v>1</v>
      </c>
      <c r="Q381" s="19">
        <v>1.1037999999999999</v>
      </c>
      <c r="R381" s="19">
        <v>0.87</v>
      </c>
      <c r="S381" s="19">
        <v>0.94189999999999996</v>
      </c>
      <c r="T381" s="19">
        <v>0.87</v>
      </c>
      <c r="U381" s="19">
        <v>0.82430000000000003</v>
      </c>
      <c r="V381" s="19">
        <v>0.78</v>
      </c>
      <c r="W381" s="19">
        <v>0.85</v>
      </c>
      <c r="X381" s="19">
        <v>0.78</v>
      </c>
      <c r="Y381" s="19">
        <v>0.85</v>
      </c>
      <c r="Z381" s="4"/>
      <c r="AA381" s="4"/>
      <c r="AB381" s="4" t="e">
        <f ca="1">_xll.ciqfunctions.udf.CIQ("^SPX", "IQ_PRICEDATE", "6/26/2015")</f>
        <v>#NAME?</v>
      </c>
      <c r="AC381" s="16">
        <v>2101.4873869614999</v>
      </c>
    </row>
    <row r="382" spans="1:29" x14ac:dyDescent="0.35">
      <c r="A382" s="2" t="s">
        <v>392</v>
      </c>
      <c r="B382" s="4" t="s">
        <v>1449</v>
      </c>
      <c r="C382" s="4" t="s">
        <v>525</v>
      </c>
      <c r="D382" s="4" t="s">
        <v>855</v>
      </c>
      <c r="E382" s="4" t="s">
        <v>856</v>
      </c>
      <c r="F382" s="4" t="s">
        <v>1450</v>
      </c>
      <c r="G382" s="14">
        <v>71.959999999999994</v>
      </c>
      <c r="H382" s="10">
        <v>11.416579</v>
      </c>
      <c r="I382" s="10">
        <v>17.679811999999998</v>
      </c>
      <c r="J382" s="10" t="s">
        <v>534</v>
      </c>
      <c r="K382" s="15">
        <v>2.0844000000000001E-2</v>
      </c>
      <c r="L382" s="17">
        <v>23430.175999999999</v>
      </c>
      <c r="M382" s="4" t="s">
        <v>1451</v>
      </c>
      <c r="N382" s="19">
        <v>4.0701790000000004</v>
      </c>
      <c r="O382" s="19">
        <v>3.1497000000000002</v>
      </c>
      <c r="P382" s="19">
        <v>3.77</v>
      </c>
      <c r="Q382" s="19">
        <v>2.5028999999999999</v>
      </c>
      <c r="R382" s="19">
        <v>1.78</v>
      </c>
      <c r="S382" s="19">
        <v>2.3121999999999998</v>
      </c>
      <c r="T382" s="19">
        <v>1.78</v>
      </c>
      <c r="U382" s="19">
        <v>2.1122999999999998</v>
      </c>
      <c r="V382" s="19">
        <v>1.53</v>
      </c>
      <c r="W382" s="19">
        <v>2.0036</v>
      </c>
      <c r="X382" s="19">
        <v>1.53</v>
      </c>
      <c r="Y382" s="19">
        <v>2.0036</v>
      </c>
      <c r="Z382" s="4"/>
      <c r="AA382" s="4"/>
      <c r="AB382" s="4" t="e">
        <f ca="1">_xll.ciqfunctions.udf.CIQ("^SPX", "IQ_PRICEDATE", "6/29/2015")</f>
        <v>#NAME?</v>
      </c>
      <c r="AC382" s="16">
        <v>2057.6410918902002</v>
      </c>
    </row>
    <row r="383" spans="1:29" x14ac:dyDescent="0.35">
      <c r="A383" s="2" t="s">
        <v>393</v>
      </c>
      <c r="B383" s="4" t="s">
        <v>1452</v>
      </c>
      <c r="C383" s="4" t="s">
        <v>530</v>
      </c>
      <c r="D383" s="4" t="s">
        <v>531</v>
      </c>
      <c r="E383" s="4" t="s">
        <v>532</v>
      </c>
      <c r="F383" s="4" t="s">
        <v>533</v>
      </c>
      <c r="G383" s="14">
        <v>106.66</v>
      </c>
      <c r="H383" s="10">
        <v>22.510649999999998</v>
      </c>
      <c r="I383" s="10">
        <v>48.703195999999998</v>
      </c>
      <c r="J383" s="10">
        <v>19.640149999999998</v>
      </c>
      <c r="K383" s="15">
        <v>1.3875E-2</v>
      </c>
      <c r="L383" s="17">
        <v>15219.508988</v>
      </c>
      <c r="M383" s="4" t="s">
        <v>1453</v>
      </c>
      <c r="N383" s="19">
        <v>2.19</v>
      </c>
      <c r="O383" s="19">
        <v>3.7151100000000001</v>
      </c>
      <c r="P383" s="19">
        <v>1.987322</v>
      </c>
      <c r="Q383" s="19">
        <v>3.1392000000000002</v>
      </c>
      <c r="R383" s="19">
        <v>2.3097089999999998</v>
      </c>
      <c r="S383" s="19">
        <v>2.82</v>
      </c>
      <c r="T383" s="19">
        <v>2.3097089999999998</v>
      </c>
      <c r="U383" s="19">
        <v>2.7869999999999999</v>
      </c>
      <c r="V383" s="19">
        <v>2.4607209999999999</v>
      </c>
      <c r="W383" s="19">
        <v>2.6614</v>
      </c>
      <c r="X383" s="19">
        <v>2.4607209999999999</v>
      </c>
      <c r="Y383" s="19">
        <v>2.6614</v>
      </c>
      <c r="Z383" s="4"/>
      <c r="AA383" s="4"/>
      <c r="AB383" s="4" t="e">
        <f ca="1">_xll.ciqfunctions.udf.CIQ("^SPX", "IQ_PRICEDATE", "6/30/2015")</f>
        <v>#NAME?</v>
      </c>
      <c r="AC383" s="16">
        <v>2063.1118322236998</v>
      </c>
    </row>
    <row r="384" spans="1:29" x14ac:dyDescent="0.35">
      <c r="A384" s="2" t="s">
        <v>394</v>
      </c>
      <c r="B384" s="4" t="s">
        <v>1454</v>
      </c>
      <c r="C384" s="4" t="s">
        <v>525</v>
      </c>
      <c r="D384" s="4" t="s">
        <v>855</v>
      </c>
      <c r="E384" s="4" t="s">
        <v>990</v>
      </c>
      <c r="F384" s="4" t="s">
        <v>1455</v>
      </c>
      <c r="G384" s="14">
        <v>64.55</v>
      </c>
      <c r="H384" s="10">
        <v>12.243043999999999</v>
      </c>
      <c r="I384" s="10">
        <v>23.514814000000001</v>
      </c>
      <c r="J384" s="10">
        <v>8.7478300000000004</v>
      </c>
      <c r="K384" s="15">
        <v>1.7350000000000001E-2</v>
      </c>
      <c r="L384" s="17">
        <v>7768.2052000000003</v>
      </c>
      <c r="M384" s="4" t="s">
        <v>1456</v>
      </c>
      <c r="N384" s="19">
        <v>2.7450779999999999</v>
      </c>
      <c r="O384" s="19">
        <v>3.6137000000000001</v>
      </c>
      <c r="P384" s="19">
        <v>2.33</v>
      </c>
      <c r="Q384" s="19">
        <v>3.0674000000000001</v>
      </c>
      <c r="R384" s="19">
        <v>2.67</v>
      </c>
      <c r="S384" s="19">
        <v>2.7521</v>
      </c>
      <c r="T384" s="19">
        <v>2.67</v>
      </c>
      <c r="U384" s="19">
        <v>2.9569999999999999</v>
      </c>
      <c r="V384" s="19">
        <v>2.2599999999999998</v>
      </c>
      <c r="W384" s="19">
        <v>2.5206</v>
      </c>
      <c r="X384" s="19">
        <v>2.2599999999999998</v>
      </c>
      <c r="Y384" s="19">
        <v>2.5206</v>
      </c>
      <c r="Z384" s="4"/>
      <c r="AA384" s="4"/>
      <c r="AB384" s="4" t="e">
        <f ca="1">_xll.ciqfunctions.udf.CIQ("^SPX", "IQ_PRICEDATE", "7/1/2015")</f>
        <v>#NAME?</v>
      </c>
      <c r="AC384" s="16">
        <v>2077.4243417120001</v>
      </c>
    </row>
    <row r="385" spans="1:29" x14ac:dyDescent="0.35">
      <c r="A385" s="2" t="s">
        <v>395</v>
      </c>
      <c r="B385" s="4" t="s">
        <v>1457</v>
      </c>
      <c r="C385" s="4" t="s">
        <v>525</v>
      </c>
      <c r="D385" s="4" t="s">
        <v>526</v>
      </c>
      <c r="E385" s="4" t="s">
        <v>658</v>
      </c>
      <c r="F385" s="4" t="s">
        <v>659</v>
      </c>
      <c r="G385" s="14">
        <v>171.52</v>
      </c>
      <c r="H385" s="10">
        <v>15.32572</v>
      </c>
      <c r="I385" s="10">
        <v>55.878953000000003</v>
      </c>
      <c r="J385" s="10">
        <v>147.522639</v>
      </c>
      <c r="K385" s="15">
        <v>2.1455000000000002E-2</v>
      </c>
      <c r="L385" s="17">
        <v>21125.235586999999</v>
      </c>
      <c r="M385" s="4" t="s">
        <v>1458</v>
      </c>
      <c r="N385" s="19">
        <v>3.0694919999999999</v>
      </c>
      <c r="O385" s="19">
        <v>8.7108000000000008</v>
      </c>
      <c r="P385" s="19">
        <v>2.8949769999999999</v>
      </c>
      <c r="Q385" s="19">
        <v>7.4127400000000003</v>
      </c>
      <c r="R385" s="19">
        <v>5.8084829999999998</v>
      </c>
      <c r="S385" s="19">
        <v>6.0611100000000002</v>
      </c>
      <c r="T385" s="19">
        <v>5.8084829999999998</v>
      </c>
      <c r="U385" s="19">
        <v>6.0425500000000003</v>
      </c>
      <c r="V385" s="19">
        <v>6.0596209999999999</v>
      </c>
      <c r="W385" s="19">
        <v>6.7373399999999997</v>
      </c>
      <c r="X385" s="19">
        <v>6.0596209999999999</v>
      </c>
      <c r="Y385" s="19">
        <v>6.7373399999999997</v>
      </c>
      <c r="Z385" s="4"/>
      <c r="AA385" s="4"/>
      <c r="AB385" s="4" t="e">
        <f ca="1">_xll.ciqfunctions.udf.CIQ("^SPX", "IQ_PRICEDATE", "7/2/2015")</f>
        <v>#NAME?</v>
      </c>
      <c r="AC385" s="16">
        <v>2076.7757002570002</v>
      </c>
    </row>
    <row r="386" spans="1:29" x14ac:dyDescent="0.35">
      <c r="A386" s="2" t="s">
        <v>396</v>
      </c>
      <c r="B386" s="4" t="s">
        <v>1459</v>
      </c>
      <c r="C386" s="4" t="s">
        <v>525</v>
      </c>
      <c r="D386" s="4" t="s">
        <v>526</v>
      </c>
      <c r="E386" s="4" t="s">
        <v>703</v>
      </c>
      <c r="F386" s="4" t="s">
        <v>703</v>
      </c>
      <c r="G386" s="14">
        <v>133.59</v>
      </c>
      <c r="H386" s="10">
        <v>15.769275</v>
      </c>
      <c r="I386" s="10">
        <v>21.987825000000001</v>
      </c>
      <c r="J386" s="10" t="s">
        <v>534</v>
      </c>
      <c r="K386" s="15">
        <v>9.8799999999999999E-3</v>
      </c>
      <c r="L386" s="17">
        <v>21957.619340000001</v>
      </c>
      <c r="M386" s="4" t="s">
        <v>1460</v>
      </c>
      <c r="N386" s="19">
        <v>6.0756350000000001</v>
      </c>
      <c r="O386" s="19">
        <v>8.1076999999999995</v>
      </c>
      <c r="P386" s="19">
        <v>5.3962649999999996</v>
      </c>
      <c r="Q386" s="19">
        <v>6.9805999999999999</v>
      </c>
      <c r="R386" s="19">
        <v>5.6025780000000003</v>
      </c>
      <c r="S386" s="19">
        <v>5.43682</v>
      </c>
      <c r="T386" s="19">
        <v>5.6025780000000003</v>
      </c>
      <c r="U386" s="19">
        <v>5.37425</v>
      </c>
      <c r="V386" s="19">
        <v>4.7990300000000001</v>
      </c>
      <c r="W386" s="19">
        <v>5.03308</v>
      </c>
      <c r="X386" s="19">
        <v>4.7990300000000001</v>
      </c>
      <c r="Y386" s="19">
        <v>5.03308</v>
      </c>
      <c r="Z386" s="4"/>
      <c r="AA386" s="4"/>
      <c r="AB386" s="4" t="e">
        <f ca="1">_xll.ciqfunctions.udf.CIQ("^SPX", "IQ_PRICEDATE", "7/6/2015")</f>
        <v>#NAME?</v>
      </c>
      <c r="AC386" s="16">
        <v>2068.7566460202002</v>
      </c>
    </row>
    <row r="387" spans="1:29" x14ac:dyDescent="0.35">
      <c r="A387" s="2" t="s">
        <v>397</v>
      </c>
      <c r="B387" s="4" t="s">
        <v>1461</v>
      </c>
      <c r="C387" s="4" t="s">
        <v>525</v>
      </c>
      <c r="D387" s="4" t="s">
        <v>855</v>
      </c>
      <c r="E387" s="4" t="s">
        <v>856</v>
      </c>
      <c r="F387" s="4" t="s">
        <v>1450</v>
      </c>
      <c r="G387" s="14">
        <v>57.37</v>
      </c>
      <c r="H387" s="10">
        <v>34.270729000000003</v>
      </c>
      <c r="I387" s="10">
        <v>63.040145000000003</v>
      </c>
      <c r="J387" s="10">
        <v>138.66866400000001</v>
      </c>
      <c r="K387" s="15">
        <v>1.1504E-2</v>
      </c>
      <c r="L387" s="17">
        <v>12516.679269</v>
      </c>
      <c r="M387" s="4" t="s">
        <v>1462</v>
      </c>
      <c r="N387" s="19">
        <v>0.91005499999999995</v>
      </c>
      <c r="O387" s="19">
        <v>1.1359999999999999</v>
      </c>
      <c r="P387" s="19">
        <v>0.82</v>
      </c>
      <c r="Q387" s="19">
        <v>0.92649999999999999</v>
      </c>
      <c r="R387" s="19">
        <v>0.76688900000000004</v>
      </c>
      <c r="S387" s="19">
        <v>0.82320000000000004</v>
      </c>
      <c r="T387" s="19">
        <v>0.76688900000000004</v>
      </c>
      <c r="U387" s="19">
        <v>0.74860000000000004</v>
      </c>
      <c r="V387" s="19">
        <v>0.62947900000000001</v>
      </c>
      <c r="W387" s="19">
        <v>0.69330000000000003</v>
      </c>
      <c r="X387" s="19">
        <v>0.62947900000000001</v>
      </c>
      <c r="Y387" s="19">
        <v>0.69330000000000003</v>
      </c>
      <c r="Z387" s="4"/>
      <c r="AA387" s="4"/>
      <c r="AB387" s="4" t="e">
        <f ca="1">_xll.ciqfunctions.udf.CIQ("^SPX", "IQ_PRICEDATE", "7/7/2015")</f>
        <v>#NAME?</v>
      </c>
      <c r="AC387" s="16">
        <v>2081.340933767</v>
      </c>
    </row>
    <row r="388" spans="1:29" x14ac:dyDescent="0.35">
      <c r="A388" s="2" t="s">
        <v>398</v>
      </c>
      <c r="B388" s="4" t="s">
        <v>1463</v>
      </c>
      <c r="C388" s="4" t="s">
        <v>525</v>
      </c>
      <c r="D388" s="4" t="s">
        <v>526</v>
      </c>
      <c r="E388" s="4" t="s">
        <v>1077</v>
      </c>
      <c r="F388" s="4" t="s">
        <v>1077</v>
      </c>
      <c r="G388" s="14">
        <v>284.32</v>
      </c>
      <c r="H388" s="10">
        <v>20.785246000000001</v>
      </c>
      <c r="I388" s="10">
        <v>27.531662000000001</v>
      </c>
      <c r="J388" s="10" t="s">
        <v>534</v>
      </c>
      <c r="K388" s="15">
        <v>5.803E-3</v>
      </c>
      <c r="L388" s="17">
        <v>29383.158157000002</v>
      </c>
      <c r="M388" s="4" t="s">
        <v>1464</v>
      </c>
      <c r="N388" s="19">
        <v>10.327019</v>
      </c>
      <c r="O388" s="19">
        <v>11.9902</v>
      </c>
      <c r="P388" s="19">
        <v>9.39</v>
      </c>
      <c r="Q388" s="19">
        <v>9.9524000000000008</v>
      </c>
      <c r="R388" s="19">
        <v>6.43</v>
      </c>
      <c r="S388" s="19">
        <v>7.8586999999999998</v>
      </c>
      <c r="T388" s="19">
        <v>6.43</v>
      </c>
      <c r="U388" s="19">
        <v>7.2096</v>
      </c>
      <c r="V388" s="19">
        <v>6.4</v>
      </c>
      <c r="W388" s="19">
        <v>6.7225000000000001</v>
      </c>
      <c r="X388" s="19">
        <v>6.4</v>
      </c>
      <c r="Y388" s="19">
        <v>6.7225000000000001</v>
      </c>
      <c r="Z388" s="4"/>
      <c r="AA388" s="4"/>
      <c r="AB388" s="4" t="e">
        <f ca="1">_xll.ciqfunctions.udf.CIQ("^SPX", "IQ_PRICEDATE", "7/8/2015")</f>
        <v>#NAME?</v>
      </c>
      <c r="AC388" s="16">
        <v>2046.6840334527001</v>
      </c>
    </row>
    <row r="389" spans="1:29" x14ac:dyDescent="0.35">
      <c r="A389" s="2" t="s">
        <v>399</v>
      </c>
      <c r="B389" s="4" t="s">
        <v>1465</v>
      </c>
      <c r="C389" s="4" t="s">
        <v>559</v>
      </c>
      <c r="D389" s="4" t="s">
        <v>560</v>
      </c>
      <c r="E389" s="4" t="s">
        <v>561</v>
      </c>
      <c r="F389" s="4" t="s">
        <v>1051</v>
      </c>
      <c r="G389" s="14">
        <v>96.96</v>
      </c>
      <c r="H389" s="10">
        <v>14.566182</v>
      </c>
      <c r="I389" s="10">
        <v>23.878373</v>
      </c>
      <c r="J389" s="10">
        <v>11.382944999999999</v>
      </c>
      <c r="K389" s="15">
        <v>9.2820000000000003E-3</v>
      </c>
      <c r="L389" s="17">
        <v>36201.537012000001</v>
      </c>
      <c r="M389" s="4" t="s">
        <v>1466</v>
      </c>
      <c r="N389" s="19">
        <v>4.0605779999999996</v>
      </c>
      <c r="O389" s="19">
        <v>4.3414000000000001</v>
      </c>
      <c r="P389" s="19">
        <v>3.1314730000000002</v>
      </c>
      <c r="Q389" s="19">
        <v>3.5348999999999999</v>
      </c>
      <c r="R389" s="19">
        <v>2.7201879999999998</v>
      </c>
      <c r="S389" s="19">
        <v>3.0390999999999999</v>
      </c>
      <c r="T389" s="19">
        <v>2.7201879999999998</v>
      </c>
      <c r="U389" s="19">
        <v>2.6808000000000001</v>
      </c>
      <c r="V389" s="19">
        <v>2.1200749999999999</v>
      </c>
      <c r="W389" s="19">
        <v>2.3216999999999999</v>
      </c>
      <c r="X389" s="19">
        <v>2.1200749999999999</v>
      </c>
      <c r="Y389" s="19">
        <v>2.3216999999999999</v>
      </c>
      <c r="Z389" s="4"/>
      <c r="AA389" s="4"/>
      <c r="AB389" s="4" t="e">
        <f ca="1">_xll.ciqfunctions.udf.CIQ("^SPX", "IQ_PRICEDATE", "7/9/2015")</f>
        <v>#NAME?</v>
      </c>
      <c r="AC389" s="16">
        <v>2051.3113582238002</v>
      </c>
    </row>
    <row r="390" spans="1:29" x14ac:dyDescent="0.35">
      <c r="A390" s="2" t="s">
        <v>400</v>
      </c>
      <c r="B390" s="4" t="s">
        <v>1467</v>
      </c>
      <c r="C390" s="4" t="s">
        <v>559</v>
      </c>
      <c r="D390" s="4" t="s">
        <v>798</v>
      </c>
      <c r="E390" s="4" t="s">
        <v>799</v>
      </c>
      <c r="F390" s="4" t="s">
        <v>800</v>
      </c>
      <c r="G390" s="14">
        <v>120.59</v>
      </c>
      <c r="H390" s="10">
        <v>11.372239</v>
      </c>
      <c r="I390" s="10">
        <v>14.996243</v>
      </c>
      <c r="J390" s="10">
        <v>2.4207719999999999</v>
      </c>
      <c r="K390" s="15">
        <v>2.3219E-2</v>
      </c>
      <c r="L390" s="17">
        <v>25199.695435000001</v>
      </c>
      <c r="M390" s="4" t="s">
        <v>1468</v>
      </c>
      <c r="N390" s="19">
        <v>8.041347</v>
      </c>
      <c r="O390" s="19">
        <v>9.2256</v>
      </c>
      <c r="P390" s="19">
        <v>7.53</v>
      </c>
      <c r="Q390" s="19">
        <v>8.1911000000000005</v>
      </c>
      <c r="R390" s="19">
        <v>5.93</v>
      </c>
      <c r="S390" s="19">
        <v>6.5033000000000003</v>
      </c>
      <c r="T390" s="19">
        <v>5.93</v>
      </c>
      <c r="U390" s="19">
        <v>5.9537000000000004</v>
      </c>
      <c r="V390" s="19">
        <v>3.43</v>
      </c>
      <c r="W390" s="19">
        <v>4.5311000000000003</v>
      </c>
      <c r="X390" s="19">
        <v>3.43</v>
      </c>
      <c r="Y390" s="19">
        <v>4.5311000000000003</v>
      </c>
      <c r="Z390" s="4"/>
      <c r="AA390" s="4"/>
      <c r="AB390" s="4" t="e">
        <f ca="1">_xll.ciqfunctions.udf.CIQ("^SPX", "IQ_PRICEDATE", "7/10/2015")</f>
        <v>#NAME?</v>
      </c>
      <c r="AC390" s="16">
        <v>2076.6183523557002</v>
      </c>
    </row>
    <row r="391" spans="1:29" x14ac:dyDescent="0.35">
      <c r="A391" s="2" t="s">
        <v>401</v>
      </c>
      <c r="B391" s="4" t="s">
        <v>1469</v>
      </c>
      <c r="C391" s="4" t="s">
        <v>573</v>
      </c>
      <c r="D391" s="4" t="s">
        <v>574</v>
      </c>
      <c r="E391" s="4" t="s">
        <v>575</v>
      </c>
      <c r="F391" s="4" t="s">
        <v>807</v>
      </c>
      <c r="G391" s="14">
        <v>190.63</v>
      </c>
      <c r="H391" s="10">
        <v>16.667462</v>
      </c>
      <c r="I391" s="10">
        <v>29.930627999999999</v>
      </c>
      <c r="J391" s="10" t="s">
        <v>534</v>
      </c>
      <c r="K391" s="15">
        <v>1.0490999999999999E-2</v>
      </c>
      <c r="L391" s="17">
        <v>47943.445</v>
      </c>
      <c r="M391" s="4" t="s">
        <v>1470</v>
      </c>
      <c r="N391" s="19">
        <v>6.3690610000000003</v>
      </c>
      <c r="O391" s="19">
        <v>8.9459</v>
      </c>
      <c r="P391" s="19">
        <v>5.78</v>
      </c>
      <c r="Q391" s="19">
        <v>7.0751999999999997</v>
      </c>
      <c r="R391" s="19">
        <v>7.94</v>
      </c>
      <c r="S391" s="19">
        <v>5.6291000000000002</v>
      </c>
      <c r="T391" s="19">
        <v>7.94</v>
      </c>
      <c r="U391" s="19">
        <v>4.7160000000000002</v>
      </c>
      <c r="V391" s="19">
        <v>-1.08</v>
      </c>
      <c r="W391" s="19">
        <v>4.1563999999999997</v>
      </c>
      <c r="X391" s="19">
        <v>-1.08</v>
      </c>
      <c r="Y391" s="19">
        <v>4.1563999999999997</v>
      </c>
      <c r="Z391" s="4"/>
      <c r="AA391" s="4"/>
      <c r="AB391" s="4" t="e">
        <f ca="1">_xll.ciqfunctions.udf.CIQ("^SPX", "IQ_PRICEDATE", "7/13/2015")</f>
        <v>#NAME?</v>
      </c>
      <c r="AC391" s="16">
        <v>2099.5991931722001</v>
      </c>
    </row>
    <row r="392" spans="1:29" x14ac:dyDescent="0.35">
      <c r="A392" s="2" t="s">
        <v>402</v>
      </c>
      <c r="B392" s="4" t="s">
        <v>1471</v>
      </c>
      <c r="C392" s="4" t="s">
        <v>543</v>
      </c>
      <c r="D392" s="4" t="s">
        <v>544</v>
      </c>
      <c r="E392" s="4" t="s">
        <v>555</v>
      </c>
      <c r="F392" s="4" t="s">
        <v>556</v>
      </c>
      <c r="G392" s="14">
        <v>147.01</v>
      </c>
      <c r="H392" s="10">
        <v>101.765415</v>
      </c>
      <c r="I392" s="10">
        <v>153.290783</v>
      </c>
      <c r="J392" s="10" t="s">
        <v>534</v>
      </c>
      <c r="K392" s="15">
        <v>0</v>
      </c>
      <c r="L392" s="17">
        <v>111242.467</v>
      </c>
      <c r="M392" s="4" t="s">
        <v>1472</v>
      </c>
      <c r="N392" s="19">
        <v>0.95902699999999996</v>
      </c>
      <c r="O392" s="19">
        <v>2.3761000000000001</v>
      </c>
      <c r="P392" s="19">
        <v>6.5492999999999996E-2</v>
      </c>
      <c r="Q392" s="19">
        <v>1.5885</v>
      </c>
      <c r="R392" s="19">
        <v>0.29475400000000002</v>
      </c>
      <c r="S392" s="19">
        <v>1.1863999999999999</v>
      </c>
      <c r="T392" s="19">
        <v>0.29475400000000002</v>
      </c>
      <c r="U392" s="19">
        <v>0.90739999999999998</v>
      </c>
      <c r="V392" s="19">
        <v>-0.51642699999999997</v>
      </c>
      <c r="W392" s="19">
        <v>0.63560000000000005</v>
      </c>
      <c r="X392" s="19">
        <v>-0.51642699999999997</v>
      </c>
      <c r="Y392" s="19">
        <v>0.63560000000000005</v>
      </c>
      <c r="Z392" s="4"/>
      <c r="AA392" s="4"/>
      <c r="AB392" s="4" t="e">
        <f ca="1">_xll.ciqfunctions.udf.CIQ("^SPX", "IQ_PRICEDATE", "7/14/2015")</f>
        <v>#NAME?</v>
      </c>
      <c r="AC392" s="16">
        <v>2108.9549682367001</v>
      </c>
    </row>
    <row r="393" spans="1:29" x14ac:dyDescent="0.35">
      <c r="A393" s="2" t="s">
        <v>403</v>
      </c>
      <c r="B393" s="4" t="s">
        <v>1473</v>
      </c>
      <c r="C393" s="4" t="s">
        <v>601</v>
      </c>
      <c r="D393" s="4" t="s">
        <v>601</v>
      </c>
      <c r="E393" s="4" t="s">
        <v>602</v>
      </c>
      <c r="F393" s="4" t="s">
        <v>647</v>
      </c>
      <c r="G393" s="14">
        <v>152.34</v>
      </c>
      <c r="H393" s="10">
        <v>22.840526000000001</v>
      </c>
      <c r="I393" s="10" t="s">
        <v>534</v>
      </c>
      <c r="J393" s="10" t="s">
        <v>534</v>
      </c>
      <c r="K393" s="15">
        <v>0</v>
      </c>
      <c r="L393" s="17">
        <v>17495.386602999999</v>
      </c>
      <c r="M393" s="4" t="s">
        <v>1474</v>
      </c>
      <c r="N393" s="19">
        <v>0.26447799999999999</v>
      </c>
      <c r="O393" s="19">
        <v>1.1674</v>
      </c>
      <c r="P393" s="19">
        <v>0.86</v>
      </c>
      <c r="Q393" s="19">
        <v>1.0752999999999999</v>
      </c>
      <c r="R393" s="19">
        <v>0.61</v>
      </c>
      <c r="S393" s="19">
        <v>1.004</v>
      </c>
      <c r="T393" s="19">
        <v>0.61</v>
      </c>
      <c r="U393" s="19">
        <v>0.47020000000000001</v>
      </c>
      <c r="V393" s="19">
        <v>-0.19</v>
      </c>
      <c r="W393" s="19">
        <v>-3.3500000000000002E-2</v>
      </c>
      <c r="X393" s="19">
        <v>-0.19</v>
      </c>
      <c r="Y393" s="19">
        <v>-3.3500000000000002E-2</v>
      </c>
      <c r="Z393" s="4"/>
      <c r="AA393" s="4"/>
      <c r="AB393" s="4" t="e">
        <f ca="1">_xll.ciqfunctions.udf.CIQ("^SPX", "IQ_PRICEDATE", "7/15/2015")</f>
        <v>#NAME?</v>
      </c>
      <c r="AC393" s="16">
        <v>2107.4030475322002</v>
      </c>
    </row>
    <row r="394" spans="1:29" x14ac:dyDescent="0.35">
      <c r="A394" s="2" t="s">
        <v>404</v>
      </c>
      <c r="B394" s="4" t="s">
        <v>1475</v>
      </c>
      <c r="C394" s="4" t="s">
        <v>619</v>
      </c>
      <c r="D394" s="4" t="s">
        <v>619</v>
      </c>
      <c r="E394" s="4" t="s">
        <v>634</v>
      </c>
      <c r="F394" s="4" t="s">
        <v>634</v>
      </c>
      <c r="G394" s="14">
        <v>40.08</v>
      </c>
      <c r="H394" s="10">
        <v>9.1816010000000006</v>
      </c>
      <c r="I394" s="10" t="s">
        <v>534</v>
      </c>
      <c r="J394" s="10">
        <v>1.114965</v>
      </c>
      <c r="K394" s="15">
        <v>1.2345E-2</v>
      </c>
      <c r="L394" s="17">
        <v>5716.4266729999999</v>
      </c>
      <c r="M394" s="4" t="s">
        <v>1476</v>
      </c>
      <c r="N394" s="19">
        <v>-1.636363</v>
      </c>
      <c r="O394" s="19">
        <v>2.9784999999999999</v>
      </c>
      <c r="P394" s="19">
        <v>-0.83216699999999999</v>
      </c>
      <c r="Q394" s="19">
        <v>3.4148000000000001</v>
      </c>
      <c r="R394" s="19">
        <v>4.16</v>
      </c>
      <c r="S394" s="19">
        <v>4.1891999999999996</v>
      </c>
      <c r="T394" s="19">
        <v>4.16</v>
      </c>
      <c r="U394" s="19">
        <v>3.9243999999999999</v>
      </c>
      <c r="V394" s="19">
        <v>3.79</v>
      </c>
      <c r="W394" s="19">
        <v>3.722</v>
      </c>
      <c r="X394" s="19">
        <v>3.79</v>
      </c>
      <c r="Y394" s="19">
        <v>3.722</v>
      </c>
      <c r="Z394" s="4"/>
      <c r="AA394" s="4"/>
      <c r="AB394" s="4" t="e">
        <f ca="1">_xll.ciqfunctions.udf.CIQ("^SPX", "IQ_PRICEDATE", "7/16/2015")</f>
        <v>#NAME?</v>
      </c>
      <c r="AC394" s="16">
        <v>2124.2864594386001</v>
      </c>
    </row>
    <row r="395" spans="1:29" x14ac:dyDescent="0.35">
      <c r="A395" s="2" t="s">
        <v>405</v>
      </c>
      <c r="B395" s="4" t="s">
        <v>1477</v>
      </c>
      <c r="C395" s="4" t="s">
        <v>669</v>
      </c>
      <c r="D395" s="4" t="s">
        <v>669</v>
      </c>
      <c r="E395" s="4" t="s">
        <v>730</v>
      </c>
      <c r="F395" s="4" t="s">
        <v>731</v>
      </c>
      <c r="G395" s="14">
        <v>59.24</v>
      </c>
      <c r="H395" s="10">
        <v>13.833671000000001</v>
      </c>
      <c r="I395" s="10" t="s">
        <v>534</v>
      </c>
      <c r="J395" s="10">
        <v>51.732027000000002</v>
      </c>
      <c r="K395" s="15">
        <v>3.3759999999999998E-2</v>
      </c>
      <c r="L395" s="17">
        <v>81995.204287999994</v>
      </c>
      <c r="M395" s="4" t="s">
        <v>1478</v>
      </c>
      <c r="N395" s="19">
        <v>-0.544929</v>
      </c>
      <c r="O395" s="19">
        <v>1.9111</v>
      </c>
      <c r="P395" s="19">
        <v>-1.084293</v>
      </c>
      <c r="Q395" s="19">
        <v>1.9665999999999999</v>
      </c>
      <c r="R395" s="19">
        <v>-1.2431829999999999</v>
      </c>
      <c r="S395" s="19">
        <v>1.5141</v>
      </c>
      <c r="T395" s="19">
        <v>-1.2431829999999999</v>
      </c>
      <c r="U395" s="19">
        <v>2.4939</v>
      </c>
      <c r="V395" s="19">
        <v>4.3099999999999996</v>
      </c>
      <c r="W395" s="19">
        <v>5.3281000000000001</v>
      </c>
      <c r="X395" s="19">
        <v>4.3099999999999996</v>
      </c>
      <c r="Y395" s="19">
        <v>5.3281000000000001</v>
      </c>
      <c r="Z395" s="4"/>
      <c r="AA395" s="4"/>
      <c r="AB395" s="4" t="e">
        <f ca="1">_xll.ciqfunctions.udf.CIQ("^SPX", "IQ_PRICEDATE", "7/17/2015")</f>
        <v>#NAME?</v>
      </c>
      <c r="AC395" s="16">
        <v>2126.6439439241999</v>
      </c>
    </row>
    <row r="396" spans="1:29" x14ac:dyDescent="0.35">
      <c r="A396" s="2" t="s">
        <v>406</v>
      </c>
      <c r="B396" s="4" t="s">
        <v>1479</v>
      </c>
      <c r="C396" s="4" t="s">
        <v>543</v>
      </c>
      <c r="D396" s="4" t="s">
        <v>664</v>
      </c>
      <c r="E396" s="4" t="s">
        <v>688</v>
      </c>
      <c r="F396" s="4" t="s">
        <v>688</v>
      </c>
      <c r="G396" s="14">
        <v>44.12</v>
      </c>
      <c r="H396" s="10">
        <v>6.7305109999999999</v>
      </c>
      <c r="I396" s="10">
        <v>10.893827</v>
      </c>
      <c r="J396" s="10">
        <v>52.791538000000003</v>
      </c>
      <c r="K396" s="15">
        <v>5.7116E-2</v>
      </c>
      <c r="L396" s="17">
        <v>12702.629790000001</v>
      </c>
      <c r="M396" s="4" t="s">
        <v>1480</v>
      </c>
      <c r="N396" s="19">
        <v>4.05</v>
      </c>
      <c r="O396" s="19">
        <v>6.1776299999999997</v>
      </c>
      <c r="P396" s="19">
        <v>2.1981009999999999</v>
      </c>
      <c r="Q396" s="19">
        <v>4.0801999999999996</v>
      </c>
      <c r="R396" s="19">
        <v>1.7144900000000001</v>
      </c>
      <c r="S396" s="19">
        <v>3.7997000000000001</v>
      </c>
      <c r="T396" s="19">
        <v>1.7144900000000001</v>
      </c>
      <c r="U396" s="19">
        <v>3.496</v>
      </c>
      <c r="V396" s="19">
        <v>4.487457</v>
      </c>
      <c r="W396" s="19">
        <v>5.2712000000000003</v>
      </c>
      <c r="X396" s="19">
        <v>4.487457</v>
      </c>
      <c r="Y396" s="19">
        <v>5.2712000000000003</v>
      </c>
      <c r="Z396" s="4"/>
      <c r="AA396" s="4"/>
      <c r="AB396" s="4" t="e">
        <f ca="1">_xll.ciqfunctions.udf.CIQ("^SPX", "IQ_PRICEDATE", "7/20/2015")</f>
        <v>#NAME?</v>
      </c>
      <c r="AC396" s="16">
        <v>2128.2835669705</v>
      </c>
    </row>
    <row r="397" spans="1:29" x14ac:dyDescent="0.35">
      <c r="A397" s="2" t="s">
        <v>407</v>
      </c>
      <c r="B397" s="4" t="s">
        <v>1481</v>
      </c>
      <c r="C397" s="4" t="s">
        <v>586</v>
      </c>
      <c r="D397" s="4" t="s">
        <v>586</v>
      </c>
      <c r="E397" s="4" t="s">
        <v>726</v>
      </c>
      <c r="F397" s="4" t="s">
        <v>727</v>
      </c>
      <c r="G397" s="14">
        <v>35.28</v>
      </c>
      <c r="H397" s="10">
        <v>11.106391</v>
      </c>
      <c r="I397" s="10" t="s">
        <v>534</v>
      </c>
      <c r="J397" s="10" t="s">
        <v>534</v>
      </c>
      <c r="K397" s="15">
        <v>1.814E-2</v>
      </c>
      <c r="L397" s="17">
        <v>5602.9004139999997</v>
      </c>
      <c r="M397" s="4" t="s">
        <v>1482</v>
      </c>
      <c r="N397" s="19">
        <v>-0.245777</v>
      </c>
      <c r="O397" s="19">
        <v>2.6915</v>
      </c>
      <c r="P397" s="19">
        <v>0.30852800000000002</v>
      </c>
      <c r="Q397" s="19">
        <v>2.3214000000000001</v>
      </c>
      <c r="R397" s="19">
        <v>1.4757199999999999</v>
      </c>
      <c r="S397" s="19">
        <v>2.8933</v>
      </c>
      <c r="T397" s="19">
        <v>1.4757199999999999</v>
      </c>
      <c r="U397" s="19">
        <v>2.4399000000000002</v>
      </c>
      <c r="V397" s="19">
        <v>1.1996249999999999</v>
      </c>
      <c r="W397" s="19">
        <v>1.9958</v>
      </c>
      <c r="X397" s="19">
        <v>1.1996249999999999</v>
      </c>
      <c r="Y397" s="19">
        <v>1.9958</v>
      </c>
      <c r="Z397" s="4"/>
      <c r="AA397" s="4"/>
      <c r="AB397" s="4" t="e">
        <f ca="1">_xll.ciqfunctions.udf.CIQ("^SPX", "IQ_PRICEDATE", "7/21/2015")</f>
        <v>#NAME?</v>
      </c>
      <c r="AC397" s="16">
        <v>2119.2099513663002</v>
      </c>
    </row>
    <row r="398" spans="1:29" x14ac:dyDescent="0.35">
      <c r="A398" s="2" t="s">
        <v>408</v>
      </c>
      <c r="B398" s="4" t="s">
        <v>1483</v>
      </c>
      <c r="C398" s="4" t="s">
        <v>619</v>
      </c>
      <c r="D398" s="4" t="s">
        <v>619</v>
      </c>
      <c r="E398" s="4" t="s">
        <v>634</v>
      </c>
      <c r="F398" s="4" t="s">
        <v>634</v>
      </c>
      <c r="G398" s="14">
        <v>115.3</v>
      </c>
      <c r="H398" s="10">
        <v>16.099806000000001</v>
      </c>
      <c r="I398" s="10" t="s">
        <v>534</v>
      </c>
      <c r="J398" s="10">
        <v>2.7174070000000001</v>
      </c>
      <c r="K398" s="15">
        <v>3.1049000000000004E-2</v>
      </c>
      <c r="L398" s="17">
        <v>31529.758938999999</v>
      </c>
      <c r="M398" s="4" t="s">
        <v>1484</v>
      </c>
      <c r="N398" s="19">
        <v>-2.5682659999999999</v>
      </c>
      <c r="O398" s="19">
        <v>5.6677</v>
      </c>
      <c r="P398" s="19">
        <v>1.01</v>
      </c>
      <c r="Q398" s="19">
        <v>5.4333</v>
      </c>
      <c r="R398" s="19">
        <v>5.46</v>
      </c>
      <c r="S398" s="19">
        <v>5.0349000000000004</v>
      </c>
      <c r="T398" s="19">
        <v>5.46</v>
      </c>
      <c r="U398" s="19">
        <v>5.2542999999999997</v>
      </c>
      <c r="V398" s="19">
        <v>4.63</v>
      </c>
      <c r="W398" s="19">
        <v>4.7480000000000002</v>
      </c>
      <c r="X398" s="19">
        <v>4.63</v>
      </c>
      <c r="Y398" s="19">
        <v>4.7480000000000002</v>
      </c>
      <c r="Z398" s="4"/>
      <c r="AA398" s="4"/>
      <c r="AB398" s="4" t="e">
        <f ca="1">_xll.ciqfunctions.udf.CIQ("^SPX", "IQ_PRICEDATE", "7/22/2015")</f>
        <v>#NAME?</v>
      </c>
      <c r="AC398" s="16">
        <v>2114.1512378338002</v>
      </c>
    </row>
    <row r="399" spans="1:29" x14ac:dyDescent="0.35">
      <c r="A399" s="2" t="s">
        <v>409</v>
      </c>
      <c r="B399" s="4" t="s">
        <v>1485</v>
      </c>
      <c r="C399" s="4" t="s">
        <v>601</v>
      </c>
      <c r="D399" s="4" t="s">
        <v>601</v>
      </c>
      <c r="E399" s="4" t="s">
        <v>602</v>
      </c>
      <c r="F399" s="4" t="s">
        <v>1026</v>
      </c>
      <c r="G399" s="14">
        <v>172.75</v>
      </c>
      <c r="H399" s="10">
        <v>16.715260000000001</v>
      </c>
      <c r="I399" s="10">
        <v>23.805133000000001</v>
      </c>
      <c r="J399" s="10">
        <v>16.050348</v>
      </c>
      <c r="K399" s="15">
        <v>4.6308999999999996E-2</v>
      </c>
      <c r="L399" s="17">
        <v>53417.354738000002</v>
      </c>
      <c r="M399" s="4" t="s">
        <v>1486</v>
      </c>
      <c r="N399" s="19">
        <v>7.2568380000000001</v>
      </c>
      <c r="O399" s="19">
        <v>7.2000999999999999</v>
      </c>
      <c r="P399" s="19">
        <v>6.24</v>
      </c>
      <c r="Q399" s="19">
        <v>6.5951000000000004</v>
      </c>
      <c r="R399" s="19">
        <v>5.87</v>
      </c>
      <c r="S399" s="19">
        <v>6.6962999999999999</v>
      </c>
      <c r="T399" s="19">
        <v>5.87</v>
      </c>
      <c r="U399" s="19">
        <v>5.9370000000000003</v>
      </c>
      <c r="V399" s="19">
        <v>4.4279130000000002</v>
      </c>
      <c r="W399" s="19">
        <v>5.2740999999999998</v>
      </c>
      <c r="X399" s="19">
        <v>4.4279130000000002</v>
      </c>
      <c r="Y399" s="19">
        <v>5.2740999999999998</v>
      </c>
      <c r="Z399" s="4"/>
      <c r="AA399" s="4"/>
      <c r="AB399" s="4" t="e">
        <f ca="1">_xll.ciqfunctions.udf.CIQ("^SPX", "IQ_PRICEDATE", "7/23/2015")</f>
        <v>#NAME?</v>
      </c>
      <c r="AC399" s="16">
        <v>2102.1479844647001</v>
      </c>
    </row>
    <row r="400" spans="1:29" x14ac:dyDescent="0.35">
      <c r="A400" s="2" t="s">
        <v>410</v>
      </c>
      <c r="B400" s="4" t="s">
        <v>1487</v>
      </c>
      <c r="C400" s="4" t="s">
        <v>543</v>
      </c>
      <c r="D400" s="4" t="s">
        <v>565</v>
      </c>
      <c r="E400" s="4" t="s">
        <v>565</v>
      </c>
      <c r="F400" s="4" t="s">
        <v>566</v>
      </c>
      <c r="G400" s="14">
        <v>88.38</v>
      </c>
      <c r="H400" s="10">
        <v>8.9610749999999992</v>
      </c>
      <c r="I400" s="10">
        <v>17.842344000000001</v>
      </c>
      <c r="J400" s="10">
        <v>5.057925</v>
      </c>
      <c r="K400" s="15">
        <v>1.4482E-2</v>
      </c>
      <c r="L400" s="17">
        <v>15818.388946999999</v>
      </c>
      <c r="M400" s="4" t="s">
        <v>1488</v>
      </c>
      <c r="N400" s="19">
        <v>4.9533849999999999</v>
      </c>
      <c r="O400" s="19">
        <v>7.6551</v>
      </c>
      <c r="P400" s="19">
        <v>4.413761</v>
      </c>
      <c r="Q400" s="19">
        <v>7.2417400000000001</v>
      </c>
      <c r="R400" s="19">
        <v>4.7264020000000002</v>
      </c>
      <c r="S400" s="19">
        <v>6.15604</v>
      </c>
      <c r="T400" s="19">
        <v>4.7264020000000002</v>
      </c>
      <c r="U400" s="19">
        <v>6.26959</v>
      </c>
      <c r="V400" s="19">
        <v>2.38</v>
      </c>
      <c r="W400" s="19">
        <v>4.4965000000000002</v>
      </c>
      <c r="X400" s="19">
        <v>2.38</v>
      </c>
      <c r="Y400" s="19">
        <v>4.4965000000000002</v>
      </c>
      <c r="Z400" s="4"/>
      <c r="AA400" s="4"/>
      <c r="AB400" s="4" t="e">
        <f ca="1">_xll.ciqfunctions.udf.CIQ("^SPX", "IQ_PRICEDATE", "7/24/2015")</f>
        <v>#NAME?</v>
      </c>
      <c r="AC400" s="16">
        <v>2079.6492126245998</v>
      </c>
    </row>
    <row r="401" spans="1:29" x14ac:dyDescent="0.35">
      <c r="A401" s="2" t="s">
        <v>411</v>
      </c>
      <c r="B401" s="4" t="s">
        <v>1489</v>
      </c>
      <c r="C401" s="4" t="s">
        <v>601</v>
      </c>
      <c r="D401" s="4" t="s">
        <v>601</v>
      </c>
      <c r="E401" s="4" t="s">
        <v>602</v>
      </c>
      <c r="F401" s="4" t="s">
        <v>603</v>
      </c>
      <c r="G401" s="14">
        <v>92.17</v>
      </c>
      <c r="H401" s="10">
        <v>20.455514999999998</v>
      </c>
      <c r="I401" s="10">
        <v>26.907028</v>
      </c>
      <c r="J401" s="10">
        <v>1.3171660000000001</v>
      </c>
      <c r="K401" s="15">
        <v>3.526E-2</v>
      </c>
      <c r="L401" s="17">
        <v>7889.1989800000001</v>
      </c>
      <c r="M401" s="4" t="s">
        <v>1490</v>
      </c>
      <c r="N401" s="19">
        <v>3.4254989999999998</v>
      </c>
      <c r="O401" s="19">
        <v>1.4849000000000001</v>
      </c>
      <c r="P401" s="19">
        <v>0.87443300000000002</v>
      </c>
      <c r="Q401" s="19">
        <v>2.1</v>
      </c>
      <c r="R401" s="19">
        <v>2.3367619999999998</v>
      </c>
      <c r="S401" s="19">
        <v>1.2424999999999999</v>
      </c>
      <c r="T401" s="19">
        <v>2.3367619999999998</v>
      </c>
      <c r="U401" s="19">
        <v>0.65110000000000001</v>
      </c>
      <c r="V401" s="19">
        <v>3.3513269999999999</v>
      </c>
      <c r="W401" s="19">
        <v>1.8984000000000001</v>
      </c>
      <c r="X401" s="19">
        <v>3.3513269999999999</v>
      </c>
      <c r="Y401" s="19">
        <v>1.8984000000000001</v>
      </c>
      <c r="Z401" s="4"/>
      <c r="AA401" s="4"/>
      <c r="AB401" s="4" t="e">
        <f ca="1">_xll.ciqfunctions.udf.CIQ("^SPX", "IQ_PRICEDATE", "7/27/2015")</f>
        <v>#NAME?</v>
      </c>
      <c r="AC401" s="16">
        <v>2067.6418261434001</v>
      </c>
    </row>
    <row r="402" spans="1:29" x14ac:dyDescent="0.35">
      <c r="A402" s="2" t="s">
        <v>412</v>
      </c>
      <c r="B402" s="4" t="s">
        <v>1491</v>
      </c>
      <c r="C402" s="4" t="s">
        <v>525</v>
      </c>
      <c r="D402" s="4" t="s">
        <v>526</v>
      </c>
      <c r="E402" s="4" t="s">
        <v>803</v>
      </c>
      <c r="F402" s="4" t="s">
        <v>948</v>
      </c>
      <c r="G402" s="14">
        <v>167.57</v>
      </c>
      <c r="H402" s="10">
        <v>10.087440000000001</v>
      </c>
      <c r="I402" s="10">
        <v>16.020188000000001</v>
      </c>
      <c r="J402" s="10">
        <v>4.8684079999999996</v>
      </c>
      <c r="K402" s="15">
        <v>1.9573E-2</v>
      </c>
      <c r="L402" s="17">
        <v>9451.3134699999991</v>
      </c>
      <c r="M402" s="4" t="s">
        <v>1492</v>
      </c>
      <c r="N402" s="19">
        <v>10.459927</v>
      </c>
      <c r="O402" s="19">
        <v>12.326700000000001</v>
      </c>
      <c r="P402" s="19">
        <v>9.52</v>
      </c>
      <c r="Q402" s="19">
        <v>10.6473</v>
      </c>
      <c r="R402" s="19">
        <v>9.1999999999999993</v>
      </c>
      <c r="S402" s="19">
        <v>9.8010999999999999</v>
      </c>
      <c r="T402" s="19">
        <v>9.1999999999999993</v>
      </c>
      <c r="U402" s="19">
        <v>8.8339999999999996</v>
      </c>
      <c r="V402" s="19">
        <v>6.7795030000000001</v>
      </c>
      <c r="W402" s="19">
        <v>7.5033000000000003</v>
      </c>
      <c r="X402" s="19">
        <v>6.7795030000000001</v>
      </c>
      <c r="Y402" s="19">
        <v>7.5033000000000003</v>
      </c>
      <c r="Z402" s="4"/>
      <c r="AA402" s="4"/>
      <c r="AB402" s="4" t="e">
        <f ca="1">_xll.ciqfunctions.udf.CIQ("^SPX", "IQ_PRICEDATE", "7/28/2015")</f>
        <v>#NAME?</v>
      </c>
      <c r="AC402" s="16">
        <v>2093.253342511</v>
      </c>
    </row>
    <row r="403" spans="1:29" x14ac:dyDescent="0.35">
      <c r="A403" s="2" t="s">
        <v>413</v>
      </c>
      <c r="B403" s="4" t="s">
        <v>1493</v>
      </c>
      <c r="C403" s="4" t="s">
        <v>525</v>
      </c>
      <c r="D403" s="4" t="s">
        <v>594</v>
      </c>
      <c r="E403" s="4" t="s">
        <v>595</v>
      </c>
      <c r="F403" s="4" t="s">
        <v>595</v>
      </c>
      <c r="G403" s="14">
        <v>59.2</v>
      </c>
      <c r="H403" s="10">
        <v>8.0103709999999992</v>
      </c>
      <c r="I403" s="10">
        <v>9.6756700000000002</v>
      </c>
      <c r="J403" s="10">
        <v>3.934895</v>
      </c>
      <c r="K403" s="15">
        <v>1.081E-2</v>
      </c>
      <c r="L403" s="17">
        <v>33922.736047999999</v>
      </c>
      <c r="M403" s="4" t="s">
        <v>1494</v>
      </c>
      <c r="N403" s="19">
        <v>6.1184390000000004</v>
      </c>
      <c r="O403" s="19">
        <v>4.5202999999999998</v>
      </c>
      <c r="P403" s="19">
        <v>5.79</v>
      </c>
      <c r="Q403" s="19">
        <v>4.2991999999999999</v>
      </c>
      <c r="R403" s="19">
        <v>3.5481829999999999</v>
      </c>
      <c r="S403" s="19">
        <v>3.4277000000000002</v>
      </c>
      <c r="T403" s="19">
        <v>3.5481829999999999</v>
      </c>
      <c r="U403" s="19">
        <v>4.0465</v>
      </c>
      <c r="V403" s="19">
        <v>1.637931</v>
      </c>
      <c r="W403" s="19">
        <v>2.7282999999999999</v>
      </c>
      <c r="X403" s="19">
        <v>1.637931</v>
      </c>
      <c r="Y403" s="19">
        <v>2.7282999999999999</v>
      </c>
      <c r="Z403" s="4"/>
      <c r="AA403" s="4"/>
      <c r="AB403" s="4" t="e">
        <f ca="1">_xll.ciqfunctions.udf.CIQ("^SPX", "IQ_PRICEDATE", "7/29/2015")</f>
        <v>#NAME?</v>
      </c>
      <c r="AC403" s="16">
        <v>2108.5685642213002</v>
      </c>
    </row>
    <row r="404" spans="1:29" x14ac:dyDescent="0.35">
      <c r="A404" s="2" t="s">
        <v>414</v>
      </c>
      <c r="B404" s="4" t="s">
        <v>1495</v>
      </c>
      <c r="C404" s="4" t="s">
        <v>525</v>
      </c>
      <c r="D404" s="4" t="s">
        <v>526</v>
      </c>
      <c r="E404" s="4" t="s">
        <v>803</v>
      </c>
      <c r="F404" s="4" t="s">
        <v>948</v>
      </c>
      <c r="G404" s="14">
        <v>123.57</v>
      </c>
      <c r="H404" s="10">
        <v>11.257039000000001</v>
      </c>
      <c r="I404" s="10">
        <v>18.57386</v>
      </c>
      <c r="J404" s="10" t="s">
        <v>534</v>
      </c>
      <c r="K404" s="15">
        <v>2.1364000000000001E-2</v>
      </c>
      <c r="L404" s="17">
        <v>18907.421356999999</v>
      </c>
      <c r="M404" s="4" t="s">
        <v>1496</v>
      </c>
      <c r="N404" s="19">
        <v>6.6528980000000004</v>
      </c>
      <c r="O404" s="19">
        <v>8.4849999999999994</v>
      </c>
      <c r="P404" s="19">
        <v>8.0399999999999991</v>
      </c>
      <c r="Q404" s="19">
        <v>8.1202000000000005</v>
      </c>
      <c r="R404" s="19">
        <v>6.51</v>
      </c>
      <c r="S404" s="19">
        <v>6.7171000000000003</v>
      </c>
      <c r="T404" s="19">
        <v>6.51</v>
      </c>
      <c r="U404" s="19">
        <v>6.4880000000000004</v>
      </c>
      <c r="V404" s="19">
        <v>4.4186930000000002</v>
      </c>
      <c r="W404" s="19">
        <v>5.9595000000000002</v>
      </c>
      <c r="X404" s="19">
        <v>4.4186930000000002</v>
      </c>
      <c r="Y404" s="19">
        <v>5.9595000000000002</v>
      </c>
      <c r="Z404" s="4"/>
      <c r="AA404" s="4"/>
      <c r="AB404" s="4" t="e">
        <f ca="1">_xll.ciqfunctions.udf.CIQ("^SPX", "IQ_PRICEDATE", "7/30/2015")</f>
        <v>#NAME?</v>
      </c>
      <c r="AC404" s="16">
        <v>2108.6299535420999</v>
      </c>
    </row>
    <row r="405" spans="1:29" x14ac:dyDescent="0.35">
      <c r="A405" s="2" t="s">
        <v>415</v>
      </c>
      <c r="B405" s="4" t="s">
        <v>1497</v>
      </c>
      <c r="C405" s="4" t="s">
        <v>559</v>
      </c>
      <c r="D405" s="4" t="s">
        <v>798</v>
      </c>
      <c r="E405" s="4" t="s">
        <v>799</v>
      </c>
      <c r="F405" s="4" t="s">
        <v>839</v>
      </c>
      <c r="G405" s="14">
        <v>59.1</v>
      </c>
      <c r="H405" s="10">
        <v>15.665952000000001</v>
      </c>
      <c r="I405" s="10">
        <v>18.452586</v>
      </c>
      <c r="J405" s="10" t="s">
        <v>534</v>
      </c>
      <c r="K405" s="15">
        <v>2.4365000000000001E-2</v>
      </c>
      <c r="L405" s="17">
        <v>79731.81</v>
      </c>
      <c r="M405" s="4" t="s">
        <v>1498</v>
      </c>
      <c r="N405" s="19">
        <v>3.2028029999999998</v>
      </c>
      <c r="O405" s="19">
        <v>2.5272000000000001</v>
      </c>
      <c r="P405" s="19">
        <v>3.016486</v>
      </c>
      <c r="Q405" s="19">
        <v>2.3214899999999998</v>
      </c>
      <c r="R405" s="19">
        <v>1.9</v>
      </c>
      <c r="S405" s="19">
        <v>2.1384500000000002</v>
      </c>
      <c r="T405" s="19">
        <v>1.9</v>
      </c>
      <c r="U405" s="19">
        <v>1.8896599999999999</v>
      </c>
      <c r="V405" s="19">
        <v>1.6437349999999999</v>
      </c>
      <c r="W405" s="19">
        <v>1.5526800000000001</v>
      </c>
      <c r="X405" s="19">
        <v>1.6437349999999999</v>
      </c>
      <c r="Y405" s="19">
        <v>1.5526800000000001</v>
      </c>
      <c r="Z405" s="4"/>
      <c r="AA405" s="4"/>
      <c r="AB405" s="4" t="e">
        <f ca="1">_xll.ciqfunctions.udf.CIQ("^SPX", "IQ_PRICEDATE", "7/31/2015")</f>
        <v>#NAME?</v>
      </c>
      <c r="AC405" s="16">
        <v>2103.8353651370999</v>
      </c>
    </row>
    <row r="406" spans="1:29" x14ac:dyDescent="0.35">
      <c r="A406" s="2" t="s">
        <v>416</v>
      </c>
      <c r="B406" s="4" t="s">
        <v>1499</v>
      </c>
      <c r="C406" s="4" t="s">
        <v>573</v>
      </c>
      <c r="D406" s="4" t="s">
        <v>574</v>
      </c>
      <c r="E406" s="4" t="s">
        <v>575</v>
      </c>
      <c r="F406" s="4" t="s">
        <v>576</v>
      </c>
      <c r="G406" s="14">
        <v>82.15</v>
      </c>
      <c r="H406" s="10">
        <v>0</v>
      </c>
      <c r="I406" s="10">
        <v>13.574719999999999</v>
      </c>
      <c r="J406" s="10">
        <v>2.5250149999999998</v>
      </c>
      <c r="K406" s="15">
        <v>2.2884000000000002E-2</v>
      </c>
      <c r="L406" s="17">
        <v>31168.977164</v>
      </c>
      <c r="M406" s="4" t="s">
        <v>1500</v>
      </c>
      <c r="N406" s="19">
        <v>6.0516899999999998</v>
      </c>
      <c r="O406" s="19">
        <v>7.7119999999999997</v>
      </c>
      <c r="P406" s="19">
        <v>5.24</v>
      </c>
      <c r="Q406" s="19">
        <v>6.907</v>
      </c>
      <c r="R406" s="19">
        <v>4.97</v>
      </c>
      <c r="S406" s="19">
        <v>5.5077999999999996</v>
      </c>
      <c r="T406" s="19">
        <v>4.97</v>
      </c>
      <c r="U406" s="19">
        <v>5.0037000000000003</v>
      </c>
      <c r="V406" s="19">
        <v>4.53</v>
      </c>
      <c r="W406" s="19">
        <v>5.1422999999999996</v>
      </c>
      <c r="X406" s="19">
        <v>4.53</v>
      </c>
      <c r="Y406" s="19">
        <v>5.1422999999999996</v>
      </c>
      <c r="Z406" s="4"/>
      <c r="AA406" s="4"/>
      <c r="AB406" s="4" t="e">
        <f ca="1">_xll.ciqfunctions.udf.CIQ("^SPX", "IQ_PRICEDATE", "8/3/2015")</f>
        <v>#NAME?</v>
      </c>
      <c r="AC406" s="16">
        <v>2098.0396633670998</v>
      </c>
    </row>
    <row r="407" spans="1:29" x14ac:dyDescent="0.35">
      <c r="A407" s="2" t="s">
        <v>417</v>
      </c>
      <c r="B407" s="4" t="s">
        <v>1501</v>
      </c>
      <c r="C407" s="4" t="s">
        <v>525</v>
      </c>
      <c r="D407" s="4" t="s">
        <v>855</v>
      </c>
      <c r="E407" s="4" t="s">
        <v>856</v>
      </c>
      <c r="F407" s="4" t="s">
        <v>1450</v>
      </c>
      <c r="G407" s="14">
        <v>53.75</v>
      </c>
      <c r="H407" s="10">
        <v>10.560729</v>
      </c>
      <c r="I407" s="10">
        <v>27.860004</v>
      </c>
      <c r="J407" s="10" t="s">
        <v>534</v>
      </c>
      <c r="K407" s="15">
        <v>0</v>
      </c>
      <c r="L407" s="17">
        <v>4616.468175</v>
      </c>
      <c r="M407" s="4" t="s">
        <v>1502</v>
      </c>
      <c r="N407" s="19">
        <v>1.929289</v>
      </c>
      <c r="O407" s="19">
        <v>4.3295000000000003</v>
      </c>
      <c r="P407" s="19">
        <v>0.27</v>
      </c>
      <c r="Q407" s="19">
        <v>4.4885000000000002</v>
      </c>
      <c r="R407" s="19">
        <v>2.08</v>
      </c>
      <c r="S407" s="19">
        <v>4.6181000000000001</v>
      </c>
      <c r="T407" s="19">
        <v>2.08</v>
      </c>
      <c r="U407" s="19">
        <v>4.7899000000000003</v>
      </c>
      <c r="V407" s="19">
        <v>3.7899989999999999</v>
      </c>
      <c r="W407" s="19">
        <v>4.6071</v>
      </c>
      <c r="X407" s="19">
        <v>3.7899989999999999</v>
      </c>
      <c r="Y407" s="19">
        <v>4.6071</v>
      </c>
      <c r="Z407" s="4"/>
      <c r="AA407" s="4"/>
      <c r="AB407" s="4" t="e">
        <f ca="1">_xll.ciqfunctions.udf.CIQ("^SPX", "IQ_PRICEDATE", "8/4/2015")</f>
        <v>#NAME?</v>
      </c>
      <c r="AC407" s="16">
        <v>2093.3239169262001</v>
      </c>
    </row>
    <row r="408" spans="1:29" x14ac:dyDescent="0.35">
      <c r="A408" s="2" t="s">
        <v>418</v>
      </c>
      <c r="B408" s="4" t="s">
        <v>1503</v>
      </c>
      <c r="C408" s="4" t="s">
        <v>530</v>
      </c>
      <c r="D408" s="4" t="s">
        <v>531</v>
      </c>
      <c r="E408" s="4" t="s">
        <v>532</v>
      </c>
      <c r="F408" s="4" t="s">
        <v>533</v>
      </c>
      <c r="G408" s="14">
        <v>176.23</v>
      </c>
      <c r="H408" s="10">
        <v>19.974844000000001</v>
      </c>
      <c r="I408" s="10">
        <v>62.233204999999998</v>
      </c>
      <c r="J408" s="10" t="s">
        <v>534</v>
      </c>
      <c r="K408" s="15">
        <v>1.0666999999999999E-2</v>
      </c>
      <c r="L408" s="17">
        <v>65908.344758000007</v>
      </c>
      <c r="M408" s="4" t="s">
        <v>1504</v>
      </c>
      <c r="N408" s="19">
        <v>2.8317679999999998</v>
      </c>
      <c r="O408" s="19">
        <v>7.5571000000000002</v>
      </c>
      <c r="P408" s="19">
        <v>2.68</v>
      </c>
      <c r="Q408" s="19">
        <v>6.9295999999999998</v>
      </c>
      <c r="R408" s="19">
        <v>4.3499999999999996</v>
      </c>
      <c r="S408" s="19">
        <v>6.2773000000000003</v>
      </c>
      <c r="T408" s="19">
        <v>4.3499999999999996</v>
      </c>
      <c r="U408" s="19">
        <v>5.4596999999999998</v>
      </c>
      <c r="V408" s="19">
        <v>1.34</v>
      </c>
      <c r="W408" s="19">
        <v>5.0968</v>
      </c>
      <c r="X408" s="19">
        <v>1.34</v>
      </c>
      <c r="Y408" s="19">
        <v>5.0968</v>
      </c>
      <c r="Z408" s="4"/>
      <c r="AA408" s="4"/>
      <c r="AB408" s="4" t="e">
        <f ca="1">_xll.ciqfunctions.udf.CIQ("^SPX", "IQ_PRICEDATE", "8/5/2015")</f>
        <v>#NAME?</v>
      </c>
      <c r="AC408" s="16">
        <v>2099.8422217912998</v>
      </c>
    </row>
    <row r="409" spans="1:29" x14ac:dyDescent="0.35">
      <c r="A409" s="2" t="s">
        <v>419</v>
      </c>
      <c r="B409" s="4" t="s">
        <v>1505</v>
      </c>
      <c r="C409" s="4" t="s">
        <v>573</v>
      </c>
      <c r="D409" s="4" t="s">
        <v>737</v>
      </c>
      <c r="E409" s="4" t="s">
        <v>737</v>
      </c>
      <c r="F409" s="4" t="s">
        <v>743</v>
      </c>
      <c r="G409" s="14">
        <v>62.42</v>
      </c>
      <c r="H409" s="10">
        <v>0</v>
      </c>
      <c r="I409" s="10">
        <v>11.747455</v>
      </c>
      <c r="J409" s="10">
        <v>1.8328139999999999</v>
      </c>
      <c r="K409" s="15">
        <v>3.2041E-2</v>
      </c>
      <c r="L409" s="17">
        <v>28758.766599999999</v>
      </c>
      <c r="M409" s="4" t="s">
        <v>1506</v>
      </c>
      <c r="N409" s="19">
        <v>5.313491</v>
      </c>
      <c r="O409" s="19">
        <v>5.5731999999999999</v>
      </c>
      <c r="P409" s="19">
        <v>4.47</v>
      </c>
      <c r="Q409" s="19">
        <v>4.3282999999999996</v>
      </c>
      <c r="R409" s="19">
        <v>3.6</v>
      </c>
      <c r="S409" s="19">
        <v>3.6676000000000002</v>
      </c>
      <c r="T409" s="19">
        <v>3.6</v>
      </c>
      <c r="U409" s="19">
        <v>3.5158</v>
      </c>
      <c r="V409" s="19">
        <v>3.23</v>
      </c>
      <c r="W409" s="19">
        <v>3.1966000000000001</v>
      </c>
      <c r="X409" s="19">
        <v>3.23</v>
      </c>
      <c r="Y409" s="19">
        <v>3.1966000000000001</v>
      </c>
      <c r="Z409" s="4"/>
      <c r="AA409" s="4"/>
      <c r="AB409" s="4" t="e">
        <f ca="1">_xll.ciqfunctions.udf.CIQ("^SPX", "IQ_PRICEDATE", "8/6/2015")</f>
        <v>#NAME?</v>
      </c>
      <c r="AC409" s="16">
        <v>2083.5585172903002</v>
      </c>
    </row>
    <row r="410" spans="1:29" x14ac:dyDescent="0.35">
      <c r="A410" s="2" t="s">
        <v>420</v>
      </c>
      <c r="B410" s="4" t="s">
        <v>1507</v>
      </c>
      <c r="C410" s="4" t="s">
        <v>573</v>
      </c>
      <c r="D410" s="4" t="s">
        <v>737</v>
      </c>
      <c r="E410" s="4" t="s">
        <v>737</v>
      </c>
      <c r="F410" s="4" t="s">
        <v>743</v>
      </c>
      <c r="G410" s="14">
        <v>296.98</v>
      </c>
      <c r="H410" s="10">
        <v>0</v>
      </c>
      <c r="I410" s="10">
        <v>22.780117000000001</v>
      </c>
      <c r="J410" s="10">
        <v>3.392801</v>
      </c>
      <c r="K410" s="15">
        <v>0</v>
      </c>
      <c r="L410" s="17">
        <v>15803.415614</v>
      </c>
      <c r="M410" s="4" t="s">
        <v>1508</v>
      </c>
      <c r="N410" s="19">
        <v>13.036807</v>
      </c>
      <c r="O410" s="19">
        <v>19.271699999999999</v>
      </c>
      <c r="P410" s="19">
        <v>9.1999999999999993</v>
      </c>
      <c r="Q410" s="19">
        <v>11.307</v>
      </c>
      <c r="R410" s="19">
        <v>7.31</v>
      </c>
      <c r="S410" s="19">
        <v>7.7786</v>
      </c>
      <c r="T410" s="19">
        <v>7.31</v>
      </c>
      <c r="U410" s="19">
        <v>6.8251999999999997</v>
      </c>
      <c r="V410" s="19">
        <v>5.31</v>
      </c>
      <c r="W410" s="19">
        <v>5.3982999999999999</v>
      </c>
      <c r="X410" s="19">
        <v>5.31</v>
      </c>
      <c r="Y410" s="19">
        <v>5.3982999999999999</v>
      </c>
      <c r="Z410" s="4"/>
      <c r="AA410" s="4"/>
      <c r="AB410" s="4" t="e">
        <f ca="1">_xll.ciqfunctions.udf.CIQ("^SPX", "IQ_PRICEDATE", "8/7/2015")</f>
        <v>#NAME?</v>
      </c>
      <c r="AC410" s="16">
        <v>2077.5684171683001</v>
      </c>
    </row>
    <row r="411" spans="1:29" x14ac:dyDescent="0.35">
      <c r="A411" s="2" t="s">
        <v>421</v>
      </c>
      <c r="B411" s="4" t="s">
        <v>1509</v>
      </c>
      <c r="C411" s="4" t="s">
        <v>543</v>
      </c>
      <c r="D411" s="4" t="s">
        <v>544</v>
      </c>
      <c r="E411" s="4" t="s">
        <v>555</v>
      </c>
      <c r="F411" s="4" t="s">
        <v>782</v>
      </c>
      <c r="G411" s="14">
        <v>20.57</v>
      </c>
      <c r="H411" s="10">
        <v>12.554335</v>
      </c>
      <c r="I411" s="10">
        <v>11.577239000000001</v>
      </c>
      <c r="J411" s="10" t="s">
        <v>534</v>
      </c>
      <c r="K411" s="15">
        <v>1.4584E-2</v>
      </c>
      <c r="L411" s="17">
        <v>12785.049988999999</v>
      </c>
      <c r="M411" s="4" t="s">
        <v>1510</v>
      </c>
      <c r="N411" s="19">
        <v>1.776762</v>
      </c>
      <c r="O411" s="19">
        <v>1.5720000000000001</v>
      </c>
      <c r="P411" s="19">
        <v>1.5471250000000001</v>
      </c>
      <c r="Q411" s="19">
        <v>1.83</v>
      </c>
      <c r="R411" s="19">
        <v>-1.7213579999999999</v>
      </c>
      <c r="S411" s="19">
        <v>1.3633999999999999</v>
      </c>
      <c r="T411" s="19">
        <v>-1.7213579999999999</v>
      </c>
      <c r="U411" s="19">
        <v>1.0382</v>
      </c>
      <c r="V411" s="19">
        <v>0.83640300000000001</v>
      </c>
      <c r="W411" s="19">
        <v>1.952</v>
      </c>
      <c r="X411" s="19">
        <v>0.83640300000000001</v>
      </c>
      <c r="Y411" s="19">
        <v>1.952</v>
      </c>
      <c r="Z411" s="4"/>
      <c r="AA411" s="4"/>
      <c r="AB411" s="4" t="e">
        <f ca="1">_xll.ciqfunctions.udf.CIQ("^SPX", "IQ_PRICEDATE", "8/10/2015")</f>
        <v>#NAME?</v>
      </c>
      <c r="AC411" s="16">
        <v>2104.1825034717999</v>
      </c>
    </row>
    <row r="412" spans="1:29" x14ac:dyDescent="0.35">
      <c r="A412" s="2" t="s">
        <v>422</v>
      </c>
      <c r="B412" s="4" t="s">
        <v>1511</v>
      </c>
      <c r="C412" s="4" t="s">
        <v>573</v>
      </c>
      <c r="D412" s="4" t="s">
        <v>574</v>
      </c>
      <c r="E412" s="4" t="s">
        <v>641</v>
      </c>
      <c r="F412" s="4" t="s">
        <v>641</v>
      </c>
      <c r="G412" s="14">
        <v>30.07</v>
      </c>
      <c r="H412" s="10">
        <v>0</v>
      </c>
      <c r="I412" s="10">
        <v>10.258984999999999</v>
      </c>
      <c r="J412" s="10">
        <v>1.785873</v>
      </c>
      <c r="K412" s="15">
        <v>2.7934E-2</v>
      </c>
      <c r="L412" s="17">
        <v>22272.431388000001</v>
      </c>
      <c r="M412" s="4" t="s">
        <v>1512</v>
      </c>
      <c r="N412" s="19">
        <v>2.9310890000000001</v>
      </c>
      <c r="O412" s="19">
        <v>3.6911999999999998</v>
      </c>
      <c r="P412" s="19">
        <v>2.42</v>
      </c>
      <c r="Q412" s="19">
        <v>2.9068000000000001</v>
      </c>
      <c r="R412" s="19">
        <v>2.71</v>
      </c>
      <c r="S412" s="19">
        <v>2.9849000000000001</v>
      </c>
      <c r="T412" s="19">
        <v>2.71</v>
      </c>
      <c r="U412" s="19">
        <v>2.75</v>
      </c>
      <c r="V412" s="19">
        <v>2.78</v>
      </c>
      <c r="W412" s="19">
        <v>2.5200999999999998</v>
      </c>
      <c r="X412" s="19">
        <v>2.78</v>
      </c>
      <c r="Y412" s="19">
        <v>2.5200999999999998</v>
      </c>
      <c r="Z412" s="4"/>
      <c r="AA412" s="4"/>
      <c r="AB412" s="4" t="e">
        <f ca="1">_xll.ciqfunctions.udf.CIQ("^SPX", "IQ_PRICEDATE", "8/11/2015")</f>
        <v>#NAME?</v>
      </c>
      <c r="AC412" s="16">
        <v>2084.0735079156998</v>
      </c>
    </row>
    <row r="413" spans="1:29" x14ac:dyDescent="0.35">
      <c r="A413" s="2" t="s">
        <v>423</v>
      </c>
      <c r="B413" s="4" t="s">
        <v>1513</v>
      </c>
      <c r="C413" s="4" t="s">
        <v>543</v>
      </c>
      <c r="D413" s="4" t="s">
        <v>544</v>
      </c>
      <c r="E413" s="4" t="s">
        <v>555</v>
      </c>
      <c r="F413" s="4" t="s">
        <v>556</v>
      </c>
      <c r="G413" s="14">
        <v>89.57</v>
      </c>
      <c r="H413" s="10">
        <v>25.671937</v>
      </c>
      <c r="I413" s="10">
        <v>241.57442699999999</v>
      </c>
      <c r="J413" s="10" t="s">
        <v>534</v>
      </c>
      <c r="K413" s="15">
        <v>0</v>
      </c>
      <c r="L413" s="17">
        <v>13309.036744000001</v>
      </c>
      <c r="M413" s="4" t="s">
        <v>1514</v>
      </c>
      <c r="N413" s="19">
        <v>0.37077599999999999</v>
      </c>
      <c r="O413" s="19">
        <v>3.9087000000000001</v>
      </c>
      <c r="P413" s="19">
        <v>0.88</v>
      </c>
      <c r="Q413" s="19">
        <v>3.5009999999999999</v>
      </c>
      <c r="R413" s="19">
        <v>1.73</v>
      </c>
      <c r="S413" s="19">
        <v>3.2007500000000002</v>
      </c>
      <c r="T413" s="19">
        <v>1.73</v>
      </c>
      <c r="U413" s="19">
        <v>2.9549099999999999</v>
      </c>
      <c r="V413" s="19">
        <v>1.64</v>
      </c>
      <c r="W413" s="19">
        <v>2.69</v>
      </c>
      <c r="X413" s="19">
        <v>1.64</v>
      </c>
      <c r="Y413" s="19">
        <v>2.69</v>
      </c>
      <c r="Z413" s="4"/>
      <c r="AA413" s="4"/>
      <c r="AB413" s="4" t="e">
        <f ca="1">_xll.ciqfunctions.udf.CIQ("^SPX", "IQ_PRICEDATE", "8/12/2015")</f>
        <v>#NAME?</v>
      </c>
      <c r="AC413" s="16">
        <v>2086.0464367455002</v>
      </c>
    </row>
    <row r="414" spans="1:29" x14ac:dyDescent="0.35">
      <c r="A414" s="2" t="s">
        <v>424</v>
      </c>
      <c r="B414" s="4" t="s">
        <v>1515</v>
      </c>
      <c r="C414" s="4" t="s">
        <v>626</v>
      </c>
      <c r="D414" s="4" t="s">
        <v>894</v>
      </c>
      <c r="E414" s="4" t="s">
        <v>894</v>
      </c>
      <c r="F414" s="4" t="s">
        <v>1516</v>
      </c>
      <c r="G414" s="14">
        <v>70.38</v>
      </c>
      <c r="H414" s="10">
        <v>13.652329999999999</v>
      </c>
      <c r="I414" s="10">
        <v>26.066666000000001</v>
      </c>
      <c r="J414" s="10" t="s">
        <v>534</v>
      </c>
      <c r="K414" s="15">
        <v>2.0459999999999999E-2</v>
      </c>
      <c r="L414" s="17">
        <v>36646.111455999999</v>
      </c>
      <c r="M414" s="4" t="s">
        <v>1517</v>
      </c>
      <c r="N414" s="19">
        <v>2.7</v>
      </c>
      <c r="O414" s="19">
        <v>3.5036</v>
      </c>
      <c r="P414" s="19">
        <v>2.226518</v>
      </c>
      <c r="Q414" s="19">
        <v>2.8266</v>
      </c>
      <c r="R414" s="19">
        <v>1.834436</v>
      </c>
      <c r="S414" s="19">
        <v>2.5177999999999998</v>
      </c>
      <c r="T414" s="19">
        <v>1.834436</v>
      </c>
      <c r="U414" s="19">
        <v>1.9779</v>
      </c>
      <c r="V414" s="19">
        <v>1.470086</v>
      </c>
      <c r="W414" s="19">
        <v>1.9001999999999999</v>
      </c>
      <c r="X414" s="19">
        <v>1.470086</v>
      </c>
      <c r="Y414" s="19">
        <v>1.9001999999999999</v>
      </c>
      <c r="Z414" s="4"/>
      <c r="AA414" s="4"/>
      <c r="AB414" s="4" t="e">
        <f ca="1">_xll.ciqfunctions.udf.CIQ("^SPX", "IQ_PRICEDATE", "8/13/2015")</f>
        <v>#NAME?</v>
      </c>
      <c r="AC414" s="16">
        <v>2083.3873035974002</v>
      </c>
    </row>
    <row r="415" spans="1:29" x14ac:dyDescent="0.35">
      <c r="A415" s="2" t="s">
        <v>425</v>
      </c>
      <c r="B415" s="4" t="s">
        <v>1518</v>
      </c>
      <c r="C415" s="4" t="s">
        <v>573</v>
      </c>
      <c r="D415" s="4" t="s">
        <v>574</v>
      </c>
      <c r="E415" s="4" t="s">
        <v>575</v>
      </c>
      <c r="F415" s="4" t="s">
        <v>576</v>
      </c>
      <c r="G415" s="14">
        <v>102.66</v>
      </c>
      <c r="H415" s="10">
        <v>10.073513999999999</v>
      </c>
      <c r="I415" s="10">
        <v>15.833651</v>
      </c>
      <c r="J415" s="10">
        <v>4.5816319999999999</v>
      </c>
      <c r="K415" s="15">
        <v>2.7274E-2</v>
      </c>
      <c r="L415" s="17">
        <v>24965.957569999999</v>
      </c>
      <c r="M415" s="4" t="s">
        <v>1519</v>
      </c>
      <c r="N415" s="19">
        <v>6.4836590000000003</v>
      </c>
      <c r="O415" s="19">
        <v>7.5735000000000001</v>
      </c>
      <c r="P415" s="19">
        <v>5.97</v>
      </c>
      <c r="Q415" s="19">
        <v>5.6021000000000001</v>
      </c>
      <c r="R415" s="19">
        <v>4.75</v>
      </c>
      <c r="S415" s="19">
        <v>4.8513999999999999</v>
      </c>
      <c r="T415" s="19">
        <v>4.75</v>
      </c>
      <c r="U415" s="19">
        <v>4.5837000000000003</v>
      </c>
      <c r="V415" s="19">
        <v>4.55</v>
      </c>
      <c r="W415" s="19">
        <v>4.7064000000000004</v>
      </c>
      <c r="X415" s="19">
        <v>4.55</v>
      </c>
      <c r="Y415" s="19">
        <v>4.7064000000000004</v>
      </c>
      <c r="Z415" s="4"/>
      <c r="AA415" s="4"/>
      <c r="AB415" s="4" t="e">
        <f ca="1">_xll.ciqfunctions.udf.CIQ("^SPX", "IQ_PRICEDATE", "8/14/2015")</f>
        <v>#NAME?</v>
      </c>
      <c r="AC415" s="16">
        <v>2091.5436408942001</v>
      </c>
    </row>
    <row r="416" spans="1:29" x14ac:dyDescent="0.35">
      <c r="A416" s="2" t="s">
        <v>426</v>
      </c>
      <c r="B416" s="4" t="s">
        <v>1520</v>
      </c>
      <c r="C416" s="4" t="s">
        <v>549</v>
      </c>
      <c r="D416" s="4" t="s">
        <v>550</v>
      </c>
      <c r="E416" s="4" t="s">
        <v>551</v>
      </c>
      <c r="F416" s="4" t="s">
        <v>552</v>
      </c>
      <c r="G416" s="14">
        <v>132.06</v>
      </c>
      <c r="H416" s="10">
        <v>59.969042000000002</v>
      </c>
      <c r="I416" s="10">
        <v>82.561235999999994</v>
      </c>
      <c r="J416" s="10">
        <v>22.838864000000001</v>
      </c>
      <c r="K416" s="15">
        <v>0</v>
      </c>
      <c r="L416" s="17">
        <v>15032.154337</v>
      </c>
      <c r="M416" s="4" t="s">
        <v>1521</v>
      </c>
      <c r="N416" s="19">
        <v>1.59954</v>
      </c>
      <c r="O416" s="19">
        <v>5.4131999999999998</v>
      </c>
      <c r="P416" s="19">
        <v>1.633982</v>
      </c>
      <c r="Q416" s="19">
        <v>3.8226</v>
      </c>
      <c r="R416" s="19">
        <v>0.16561600000000001</v>
      </c>
      <c r="S416" s="19">
        <v>1.6736</v>
      </c>
      <c r="T416" s="19">
        <v>0.16561600000000001</v>
      </c>
      <c r="U416" s="19">
        <v>1.1617999999999999</v>
      </c>
      <c r="V416" s="19">
        <v>-0.83181799999999995</v>
      </c>
      <c r="W416" s="19">
        <v>1.8036000000000001</v>
      </c>
      <c r="X416" s="19">
        <v>-0.83181799999999995</v>
      </c>
      <c r="Y416" s="19">
        <v>1.8036000000000001</v>
      </c>
      <c r="Z416" s="4"/>
      <c r="AA416" s="4"/>
      <c r="AB416" s="4" t="e">
        <f ca="1">_xll.ciqfunctions.udf.CIQ("^SPX", "IQ_PRICEDATE", "8/17/2015")</f>
        <v>#NAME?</v>
      </c>
      <c r="AC416" s="16">
        <v>2102.4363504756002</v>
      </c>
    </row>
    <row r="417" spans="1:29" x14ac:dyDescent="0.35">
      <c r="A417" s="2" t="s">
        <v>427</v>
      </c>
      <c r="B417" s="4" t="s">
        <v>1522</v>
      </c>
      <c r="C417" s="4" t="s">
        <v>559</v>
      </c>
      <c r="D417" s="4" t="s">
        <v>912</v>
      </c>
      <c r="E417" s="4" t="s">
        <v>1097</v>
      </c>
      <c r="F417" s="4" t="s">
        <v>1098</v>
      </c>
      <c r="G417" s="14">
        <v>43.99</v>
      </c>
      <c r="H417" s="10">
        <v>11.194981</v>
      </c>
      <c r="I417" s="10">
        <v>31.876811</v>
      </c>
      <c r="J417" s="10" t="s">
        <v>534</v>
      </c>
      <c r="K417" s="15">
        <v>3.0688E-2</v>
      </c>
      <c r="L417" s="17">
        <v>12740.810855</v>
      </c>
      <c r="M417" s="4" t="s">
        <v>1523</v>
      </c>
      <c r="N417" s="19">
        <v>1.38</v>
      </c>
      <c r="O417" s="19">
        <v>2.7761100000000001</v>
      </c>
      <c r="P417" s="19">
        <v>1.116808</v>
      </c>
      <c r="Q417" s="19">
        <v>2.4628000000000001</v>
      </c>
      <c r="R417" s="19">
        <v>1.8221339999999999</v>
      </c>
      <c r="S417" s="19">
        <v>2.1831</v>
      </c>
      <c r="T417" s="19">
        <v>1.8221339999999999</v>
      </c>
      <c r="U417" s="19">
        <v>1.9338</v>
      </c>
      <c r="V417" s="19">
        <v>2.0517210000000001</v>
      </c>
      <c r="W417" s="19">
        <v>1.8629</v>
      </c>
      <c r="X417" s="19">
        <v>2.0517210000000001</v>
      </c>
      <c r="Y417" s="19">
        <v>1.8629</v>
      </c>
      <c r="Z417" s="4"/>
      <c r="AA417" s="4"/>
      <c r="AB417" s="4" t="e">
        <f ca="1">_xll.ciqfunctions.udf.CIQ("^SPX", "IQ_PRICEDATE", "8/18/2015")</f>
        <v>#NAME?</v>
      </c>
      <c r="AC417" s="16">
        <v>2096.9193711046</v>
      </c>
    </row>
    <row r="418" spans="1:29" x14ac:dyDescent="0.35">
      <c r="A418" s="2" t="s">
        <v>428</v>
      </c>
      <c r="B418" s="4" t="s">
        <v>1524</v>
      </c>
      <c r="C418" s="4" t="s">
        <v>559</v>
      </c>
      <c r="D418" s="4" t="s">
        <v>560</v>
      </c>
      <c r="E418" s="4" t="s">
        <v>940</v>
      </c>
      <c r="F418" s="4" t="s">
        <v>941</v>
      </c>
      <c r="G418" s="14">
        <v>84.42</v>
      </c>
      <c r="H418" s="10">
        <v>8.2758509999999994</v>
      </c>
      <c r="I418" s="10">
        <v>14.801658</v>
      </c>
      <c r="J418" s="10">
        <v>3.9772940000000001</v>
      </c>
      <c r="K418" s="15">
        <v>3.0324E-2</v>
      </c>
      <c r="L418" s="17">
        <v>44434.550323000003</v>
      </c>
      <c r="M418" s="4" t="s">
        <v>1525</v>
      </c>
      <c r="N418" s="19">
        <v>5.7034149999999997</v>
      </c>
      <c r="O418" s="19">
        <v>5.5453000000000001</v>
      </c>
      <c r="P418" s="19">
        <v>4.7610070000000002</v>
      </c>
      <c r="Q418" s="19">
        <v>4.2606000000000002</v>
      </c>
      <c r="R418" s="19">
        <v>5.4889349999999997</v>
      </c>
      <c r="S418" s="19">
        <v>5.4146000000000001</v>
      </c>
      <c r="T418" s="19">
        <v>5.4889349999999997</v>
      </c>
      <c r="U418" s="19">
        <v>5.0492999999999997</v>
      </c>
      <c r="V418" s="19">
        <v>4.2760059999999998</v>
      </c>
      <c r="W418" s="19">
        <v>3.7113999999999998</v>
      </c>
      <c r="X418" s="19">
        <v>4.2760059999999998</v>
      </c>
      <c r="Y418" s="19">
        <v>3.7113999999999998</v>
      </c>
      <c r="Z418" s="4"/>
      <c r="AA418" s="4"/>
      <c r="AB418" s="4" t="e">
        <f ca="1">_xll.ciqfunctions.udf.CIQ("^SPX", "IQ_PRICEDATE", "8/19/2015")</f>
        <v>#NAME?</v>
      </c>
      <c r="AC418" s="16">
        <v>2079.6106568018999</v>
      </c>
    </row>
    <row r="419" spans="1:29" x14ac:dyDescent="0.35">
      <c r="A419" s="2" t="s">
        <v>429</v>
      </c>
      <c r="B419" s="4" t="s">
        <v>1526</v>
      </c>
      <c r="C419" s="4" t="s">
        <v>543</v>
      </c>
      <c r="D419" s="4" t="s">
        <v>664</v>
      </c>
      <c r="E419" s="4" t="s">
        <v>665</v>
      </c>
      <c r="F419" s="4" t="s">
        <v>1174</v>
      </c>
      <c r="G419" s="14">
        <v>79.55</v>
      </c>
      <c r="H419" s="10">
        <v>9.9439469999999996</v>
      </c>
      <c r="I419" s="10">
        <v>21.150727</v>
      </c>
      <c r="J419" s="10">
        <v>12.725485000000001</v>
      </c>
      <c r="K419" s="15">
        <v>2.2124000000000001E-2</v>
      </c>
      <c r="L419" s="17">
        <v>27719.892767000001</v>
      </c>
      <c r="M419" s="4" t="s">
        <v>1527</v>
      </c>
      <c r="N419" s="19">
        <v>3.7610999999999999</v>
      </c>
      <c r="O419" s="19">
        <v>5.7514000000000003</v>
      </c>
      <c r="P419" s="19">
        <v>3.4455290000000001</v>
      </c>
      <c r="Q419" s="19">
        <v>5.2727899999999996</v>
      </c>
      <c r="R419" s="19">
        <v>5.5997500000000002</v>
      </c>
      <c r="S419" s="19">
        <v>4.35914</v>
      </c>
      <c r="T419" s="19">
        <v>5.5997500000000002</v>
      </c>
      <c r="U419" s="19">
        <v>3.9870299999999999</v>
      </c>
      <c r="V419" s="19">
        <v>4.1699270000000004</v>
      </c>
      <c r="W419" s="19">
        <v>4.2041700000000004</v>
      </c>
      <c r="X419" s="19">
        <v>4.1699270000000004</v>
      </c>
      <c r="Y419" s="19">
        <v>4.2041700000000004</v>
      </c>
      <c r="Z419" s="4"/>
      <c r="AA419" s="4"/>
      <c r="AB419" s="4" t="e">
        <f ca="1">_xll.ciqfunctions.udf.CIQ("^SPX", "IQ_PRICEDATE", "8/20/2015")</f>
        <v>#NAME?</v>
      </c>
      <c r="AC419" s="16">
        <v>2035.7341442458001</v>
      </c>
    </row>
    <row r="420" spans="1:29" x14ac:dyDescent="0.35">
      <c r="A420" s="2" t="s">
        <v>430</v>
      </c>
      <c r="B420" s="4" t="s">
        <v>1528</v>
      </c>
      <c r="C420" s="4" t="s">
        <v>669</v>
      </c>
      <c r="D420" s="4" t="s">
        <v>669</v>
      </c>
      <c r="E420" s="4" t="s">
        <v>730</v>
      </c>
      <c r="F420" s="4" t="s">
        <v>731</v>
      </c>
      <c r="G420" s="14">
        <v>29.75</v>
      </c>
      <c r="H420" s="10">
        <v>6.1323049999999997</v>
      </c>
      <c r="I420" s="10">
        <v>83.140270000000001</v>
      </c>
      <c r="J420" s="10">
        <v>4.9993210000000001</v>
      </c>
      <c r="K420" s="15">
        <v>1.7478E-2</v>
      </c>
      <c r="L420" s="17">
        <v>13367.502199</v>
      </c>
      <c r="M420" s="4" t="s">
        <v>1529</v>
      </c>
      <c r="N420" s="19">
        <v>0.35782900000000001</v>
      </c>
      <c r="O420" s="19">
        <v>1.4746999999999999</v>
      </c>
      <c r="P420" s="19">
        <v>0.24</v>
      </c>
      <c r="Q420" s="19">
        <v>1.4136</v>
      </c>
      <c r="R420" s="19">
        <v>3.155875</v>
      </c>
      <c r="S420" s="19">
        <v>0</v>
      </c>
      <c r="T420" s="19">
        <v>3.155875</v>
      </c>
      <c r="U420" s="19">
        <v>0</v>
      </c>
      <c r="V420" s="19">
        <v>4.4177049999999998</v>
      </c>
      <c r="W420" s="19">
        <v>0</v>
      </c>
      <c r="X420" s="19">
        <v>4.4177049999999998</v>
      </c>
      <c r="Y420" s="19">
        <v>0</v>
      </c>
      <c r="Z420" s="4"/>
      <c r="AA420" s="4"/>
      <c r="AB420" s="4" t="e">
        <f ca="1">_xll.ciqfunctions.udf.CIQ("^SPX", "IQ_PRICEDATE", "8/21/2015")</f>
        <v>#NAME?</v>
      </c>
      <c r="AC420" s="16">
        <v>1970.8890645414001</v>
      </c>
    </row>
    <row r="421" spans="1:29" x14ac:dyDescent="0.35">
      <c r="A421" s="2" t="s">
        <v>431</v>
      </c>
      <c r="B421" s="4" t="s">
        <v>1530</v>
      </c>
      <c r="C421" s="4" t="s">
        <v>543</v>
      </c>
      <c r="D421" s="4" t="s">
        <v>565</v>
      </c>
      <c r="E421" s="4" t="s">
        <v>565</v>
      </c>
      <c r="F421" s="4" t="s">
        <v>566</v>
      </c>
      <c r="G421" s="14">
        <v>101.54</v>
      </c>
      <c r="H421" s="10">
        <v>13.291926999999999</v>
      </c>
      <c r="I421" s="10">
        <v>23.360717000000001</v>
      </c>
      <c r="J421" s="10">
        <v>18.376128000000001</v>
      </c>
      <c r="K421" s="15">
        <v>3.0331999999999998E-2</v>
      </c>
      <c r="L421" s="17">
        <v>98716.687611000001</v>
      </c>
      <c r="M421" s="4" t="s">
        <v>1531</v>
      </c>
      <c r="N421" s="19">
        <v>4.3466129999999996</v>
      </c>
      <c r="O421" s="19">
        <v>5.9795999999999996</v>
      </c>
      <c r="P421" s="19">
        <v>3.605731</v>
      </c>
      <c r="Q421" s="19">
        <v>4.6287000000000003</v>
      </c>
      <c r="R421" s="19">
        <v>3.4779620000000002</v>
      </c>
      <c r="S421" s="19">
        <v>3.5226999999999999</v>
      </c>
      <c r="T421" s="19">
        <v>3.4779620000000002</v>
      </c>
      <c r="U421" s="19">
        <v>3.0630999999999999</v>
      </c>
      <c r="V421" s="19">
        <v>2.572222</v>
      </c>
      <c r="W421" s="19">
        <v>3.0369000000000002</v>
      </c>
      <c r="X421" s="19">
        <v>2.572222</v>
      </c>
      <c r="Y421" s="19">
        <v>3.0369000000000002</v>
      </c>
      <c r="Z421" s="4"/>
      <c r="AA421" s="4"/>
      <c r="AB421" s="4" t="e">
        <f ca="1">_xll.ciqfunctions.udf.CIQ("^SPX", "IQ_PRICEDATE", "8/24/2015")</f>
        <v>#NAME?</v>
      </c>
      <c r="AC421" s="16">
        <v>1893.2139388332</v>
      </c>
    </row>
    <row r="422" spans="1:29" x14ac:dyDescent="0.35">
      <c r="A422" s="2" t="s">
        <v>432</v>
      </c>
      <c r="B422" s="4" t="s">
        <v>1532</v>
      </c>
      <c r="C422" s="4" t="s">
        <v>525</v>
      </c>
      <c r="D422" s="4" t="s">
        <v>526</v>
      </c>
      <c r="E422" s="4" t="s">
        <v>703</v>
      </c>
      <c r="F422" s="4" t="s">
        <v>703</v>
      </c>
      <c r="G422" s="14">
        <v>64.78</v>
      </c>
      <c r="H422" s="10">
        <v>12.349684</v>
      </c>
      <c r="I422" s="10">
        <v>36.645721999999999</v>
      </c>
      <c r="J422" s="10">
        <v>5.110741</v>
      </c>
      <c r="K422" s="15">
        <v>1.2339999999999999E-3</v>
      </c>
      <c r="L422" s="17">
        <v>16092.053631999999</v>
      </c>
      <c r="M422" s="4" t="s">
        <v>1533</v>
      </c>
      <c r="N422" s="19">
        <v>1.7677369999999999</v>
      </c>
      <c r="O422" s="19">
        <v>3.4117999999999999</v>
      </c>
      <c r="P422" s="19">
        <v>1.1399999999999999</v>
      </c>
      <c r="Q422" s="19">
        <v>2.6858</v>
      </c>
      <c r="R422" s="19">
        <v>3.09</v>
      </c>
      <c r="S422" s="19">
        <v>2.8826999999999998</v>
      </c>
      <c r="T422" s="19">
        <v>3.09</v>
      </c>
      <c r="U422" s="19">
        <v>2.7608000000000001</v>
      </c>
      <c r="V422" s="19">
        <v>1.9911080000000001</v>
      </c>
      <c r="W422" s="19">
        <v>2.4639000000000002</v>
      </c>
      <c r="X422" s="19">
        <v>1.9911080000000001</v>
      </c>
      <c r="Y422" s="19">
        <v>2.4639000000000002</v>
      </c>
      <c r="Z422" s="4"/>
      <c r="AA422" s="4"/>
      <c r="AB422" s="4" t="e">
        <f ca="1">_xll.ciqfunctions.udf.CIQ("^SPX", "IQ_PRICEDATE", "8/25/2015")</f>
        <v>#NAME?</v>
      </c>
      <c r="AC422" s="16">
        <v>1867.6109248626999</v>
      </c>
    </row>
    <row r="423" spans="1:29" x14ac:dyDescent="0.35">
      <c r="A423" s="2" t="s">
        <v>433</v>
      </c>
      <c r="B423" s="4" t="s">
        <v>1534</v>
      </c>
      <c r="C423" s="4" t="s">
        <v>619</v>
      </c>
      <c r="D423" s="4" t="s">
        <v>619</v>
      </c>
      <c r="E423" s="4" t="s">
        <v>1354</v>
      </c>
      <c r="F423" s="4" t="s">
        <v>1355</v>
      </c>
      <c r="G423" s="14">
        <v>15.08</v>
      </c>
      <c r="H423" s="10">
        <v>8.4477840000000004</v>
      </c>
      <c r="I423" s="10">
        <v>40.654460999999998</v>
      </c>
      <c r="J423" s="10">
        <v>5.2256970000000003</v>
      </c>
      <c r="K423" s="15">
        <v>3.4481999999999999E-2</v>
      </c>
      <c r="L423" s="17">
        <v>9978.1866669999999</v>
      </c>
      <c r="M423" s="4" t="s">
        <v>1535</v>
      </c>
      <c r="N423" s="19">
        <v>0.37093100000000001</v>
      </c>
      <c r="O423" s="19">
        <v>1.3411</v>
      </c>
      <c r="P423" s="19">
        <v>-0.77</v>
      </c>
      <c r="Q423" s="19">
        <v>1.2398</v>
      </c>
      <c r="R423" s="19">
        <v>-0.04</v>
      </c>
      <c r="S423" s="19">
        <v>1.252</v>
      </c>
      <c r="T423" s="19">
        <v>-0.04</v>
      </c>
      <c r="U423" s="19">
        <v>1.2125999999999999</v>
      </c>
      <c r="V423" s="19">
        <v>0.97</v>
      </c>
      <c r="W423" s="19">
        <v>1.2941</v>
      </c>
      <c r="X423" s="19">
        <v>0.97</v>
      </c>
      <c r="Y423" s="19">
        <v>1.2941</v>
      </c>
      <c r="Z423" s="4"/>
      <c r="AA423" s="4"/>
      <c r="AB423" s="4" t="e">
        <f ca="1">_xll.ciqfunctions.udf.CIQ("^SPX", "IQ_PRICEDATE", "8/26/2015")</f>
        <v>#NAME?</v>
      </c>
      <c r="AC423" s="16">
        <v>1940.5107172512</v>
      </c>
    </row>
    <row r="424" spans="1:29" x14ac:dyDescent="0.35">
      <c r="A424" s="2" t="s">
        <v>434</v>
      </c>
      <c r="B424" s="4" t="s">
        <v>1536</v>
      </c>
      <c r="C424" s="4" t="s">
        <v>573</v>
      </c>
      <c r="D424" s="4" t="s">
        <v>579</v>
      </c>
      <c r="E424" s="4" t="s">
        <v>579</v>
      </c>
      <c r="F424" s="4" t="s">
        <v>842</v>
      </c>
      <c r="G424" s="14">
        <v>95.75</v>
      </c>
      <c r="H424" s="10">
        <v>7.9077229999999998</v>
      </c>
      <c r="I424" s="10">
        <v>10.059168</v>
      </c>
      <c r="J424" s="10">
        <v>1.8381879999999999</v>
      </c>
      <c r="K424" s="15">
        <v>1.9216E-2</v>
      </c>
      <c r="L424" s="17">
        <v>33151.747990999997</v>
      </c>
      <c r="M424" s="4" t="s">
        <v>1537</v>
      </c>
      <c r="N424" s="19">
        <v>9.5186790000000006</v>
      </c>
      <c r="O424" s="19">
        <v>8.8592999999999993</v>
      </c>
      <c r="P424" s="19">
        <v>8.36</v>
      </c>
      <c r="Q424" s="19">
        <v>6.9157000000000002</v>
      </c>
      <c r="R424" s="19">
        <v>4.67</v>
      </c>
      <c r="S424" s="19">
        <v>5.8446999999999996</v>
      </c>
      <c r="T424" s="19">
        <v>4.67</v>
      </c>
      <c r="U424" s="19">
        <v>5.1920000000000002</v>
      </c>
      <c r="V424" s="19">
        <v>6.27</v>
      </c>
      <c r="W424" s="19">
        <v>5.6212</v>
      </c>
      <c r="X424" s="19">
        <v>6.27</v>
      </c>
      <c r="Y424" s="19">
        <v>5.6212</v>
      </c>
      <c r="Z424" s="4"/>
      <c r="AA424" s="4"/>
      <c r="AB424" s="4" t="e">
        <f ca="1">_xll.ciqfunctions.udf.CIQ("^SPX", "IQ_PRICEDATE", "8/27/2015")</f>
        <v>#NAME?</v>
      </c>
      <c r="AC424" s="16">
        <v>1987.6624923115</v>
      </c>
    </row>
    <row r="425" spans="1:29" x14ac:dyDescent="0.35">
      <c r="A425" s="2" t="s">
        <v>435</v>
      </c>
      <c r="B425" s="4" t="s">
        <v>1538</v>
      </c>
      <c r="C425" s="4" t="s">
        <v>573</v>
      </c>
      <c r="D425" s="4" t="s">
        <v>574</v>
      </c>
      <c r="E425" s="4" t="s">
        <v>575</v>
      </c>
      <c r="F425" s="4" t="s">
        <v>576</v>
      </c>
      <c r="G425" s="14">
        <v>49.15</v>
      </c>
      <c r="H425" s="10">
        <v>0</v>
      </c>
      <c r="I425" s="10">
        <v>11.81385</v>
      </c>
      <c r="J425" s="10">
        <v>3.1329940000000001</v>
      </c>
      <c r="K425" s="15">
        <v>2.2787000000000002E-2</v>
      </c>
      <c r="L425" s="17">
        <v>49147.276450999998</v>
      </c>
      <c r="M425" s="4" t="s">
        <v>1539</v>
      </c>
      <c r="N425" s="19">
        <v>4.1603709999999996</v>
      </c>
      <c r="O425" s="19">
        <v>4.2137000000000002</v>
      </c>
      <c r="P425" s="19">
        <v>3.72</v>
      </c>
      <c r="Q425" s="19">
        <v>3.8774999999999999</v>
      </c>
      <c r="R425" s="19">
        <v>3.15</v>
      </c>
      <c r="S425" s="19">
        <v>3.4152</v>
      </c>
      <c r="T425" s="19">
        <v>3.15</v>
      </c>
      <c r="U425" s="19">
        <v>2.9577</v>
      </c>
      <c r="V425" s="19">
        <v>2.15</v>
      </c>
      <c r="W425" s="19">
        <v>2.5171000000000001</v>
      </c>
      <c r="X425" s="19">
        <v>2.15</v>
      </c>
      <c r="Y425" s="19">
        <v>2.5171000000000001</v>
      </c>
      <c r="Z425" s="4"/>
      <c r="AA425" s="4"/>
      <c r="AB425" s="4" t="e">
        <f ca="1">_xll.ciqfunctions.udf.CIQ("^SPX", "IQ_PRICEDATE", "8/28/2015")</f>
        <v>#NAME?</v>
      </c>
      <c r="AC425" s="16">
        <v>1988.8714072271</v>
      </c>
    </row>
    <row r="426" spans="1:29" x14ac:dyDescent="0.35">
      <c r="A426" s="2" t="s">
        <v>436</v>
      </c>
      <c r="B426" s="4" t="s">
        <v>1540</v>
      </c>
      <c r="C426" s="4" t="s">
        <v>525</v>
      </c>
      <c r="D426" s="4" t="s">
        <v>526</v>
      </c>
      <c r="E426" s="4" t="s">
        <v>703</v>
      </c>
      <c r="F426" s="4" t="s">
        <v>703</v>
      </c>
      <c r="G426" s="14">
        <v>365.5</v>
      </c>
      <c r="H426" s="10">
        <v>16.268211999999998</v>
      </c>
      <c r="I426" s="10">
        <v>22.956282999999999</v>
      </c>
      <c r="J426" s="10" t="s">
        <v>534</v>
      </c>
      <c r="K426" s="15">
        <v>1.8713999999999998E-2</v>
      </c>
      <c r="L426" s="17">
        <v>209982.78876699999</v>
      </c>
      <c r="M426" s="4" t="s">
        <v>1541</v>
      </c>
      <c r="N426" s="19">
        <v>15.921567</v>
      </c>
      <c r="O426" s="19">
        <v>15.833299999999999</v>
      </c>
      <c r="P426" s="19">
        <v>13.43</v>
      </c>
      <c r="Q426" s="19">
        <v>10.849</v>
      </c>
      <c r="R426" s="19">
        <v>7.61</v>
      </c>
      <c r="S426" s="19">
        <v>9.0985999999999994</v>
      </c>
      <c r="T426" s="19">
        <v>7.61</v>
      </c>
      <c r="U426" s="19">
        <v>9.1153999999999993</v>
      </c>
      <c r="V426" s="19">
        <v>7.38</v>
      </c>
      <c r="W426" s="19">
        <v>8.4928000000000008</v>
      </c>
      <c r="X426" s="19">
        <v>7.38</v>
      </c>
      <c r="Y426" s="19">
        <v>8.4928000000000008</v>
      </c>
      <c r="Z426" s="4"/>
      <c r="AA426" s="4"/>
      <c r="AB426" s="4" t="e">
        <f ca="1">_xll.ciqfunctions.udf.CIQ("^SPX", "IQ_PRICEDATE", "8/31/2015")</f>
        <v>#NAME?</v>
      </c>
      <c r="AC426" s="16">
        <v>1972.1846887109</v>
      </c>
    </row>
    <row r="427" spans="1:29" x14ac:dyDescent="0.35">
      <c r="A427" s="2" t="s">
        <v>437</v>
      </c>
      <c r="B427" s="4" t="s">
        <v>1542</v>
      </c>
      <c r="C427" s="4" t="s">
        <v>573</v>
      </c>
      <c r="D427" s="4" t="s">
        <v>574</v>
      </c>
      <c r="E427" s="4" t="s">
        <v>575</v>
      </c>
      <c r="F427" s="4" t="s">
        <v>963</v>
      </c>
      <c r="G427" s="14">
        <v>48.04</v>
      </c>
      <c r="H427" s="10">
        <v>0</v>
      </c>
      <c r="I427" s="10">
        <v>21.928412999999999</v>
      </c>
      <c r="J427" s="10">
        <v>3.1202899999999998</v>
      </c>
      <c r="K427" s="15">
        <v>1.0824E-2</v>
      </c>
      <c r="L427" s="17">
        <v>64905.056095</v>
      </c>
      <c r="M427" s="4" t="s">
        <v>1543</v>
      </c>
      <c r="N427" s="19">
        <v>2.1907649999999999</v>
      </c>
      <c r="O427" s="19">
        <v>2.7970000000000002</v>
      </c>
      <c r="P427" s="19">
        <v>1.61</v>
      </c>
      <c r="Q427" s="19">
        <v>1.8414999999999999</v>
      </c>
      <c r="R427" s="19">
        <v>1.31</v>
      </c>
      <c r="S427" s="19">
        <v>1.5119</v>
      </c>
      <c r="T427" s="19">
        <v>1.31</v>
      </c>
      <c r="U427" s="19">
        <v>1.2218</v>
      </c>
      <c r="V427" s="19">
        <v>0.95</v>
      </c>
      <c r="W427" s="19">
        <v>1.0673999999999999</v>
      </c>
      <c r="X427" s="19">
        <v>0.95</v>
      </c>
      <c r="Y427" s="19">
        <v>1.0673999999999999</v>
      </c>
      <c r="Z427" s="4"/>
      <c r="AA427" s="4"/>
      <c r="AB427" s="4" t="e">
        <f ca="1">_xll.ciqfunctions.udf.CIQ("^SPX", "IQ_PRICEDATE", "9/1/2015")</f>
        <v>#NAME?</v>
      </c>
      <c r="AC427" s="16">
        <v>1913.8526947388</v>
      </c>
    </row>
    <row r="428" spans="1:29" x14ac:dyDescent="0.35">
      <c r="A428" s="2" t="s">
        <v>438</v>
      </c>
      <c r="B428" s="4" t="s">
        <v>1544</v>
      </c>
      <c r="C428" s="4" t="s">
        <v>626</v>
      </c>
      <c r="D428" s="4" t="s">
        <v>845</v>
      </c>
      <c r="E428" s="4" t="s">
        <v>846</v>
      </c>
      <c r="F428" s="4" t="s">
        <v>846</v>
      </c>
      <c r="G428" s="14">
        <v>149.43</v>
      </c>
      <c r="H428" s="10">
        <v>16.537621000000001</v>
      </c>
      <c r="I428" s="10">
        <v>23.870607</v>
      </c>
      <c r="J428" s="10" t="s">
        <v>534</v>
      </c>
      <c r="K428" s="15">
        <v>2.5697000000000001E-2</v>
      </c>
      <c r="L428" s="17">
        <v>19080.757345000002</v>
      </c>
      <c r="M428" s="4" t="s">
        <v>1545</v>
      </c>
      <c r="N428" s="19">
        <v>6.26</v>
      </c>
      <c r="O428" s="19">
        <v>6.4449699999999996</v>
      </c>
      <c r="P428" s="19">
        <v>6.0693510000000002</v>
      </c>
      <c r="Q428" s="19">
        <v>5.6807999999999996</v>
      </c>
      <c r="R428" s="19">
        <v>4.9698950000000002</v>
      </c>
      <c r="S428" s="19">
        <v>5.4089999999999998</v>
      </c>
      <c r="T428" s="19">
        <v>4.9698950000000002</v>
      </c>
      <c r="U428" s="19">
        <v>4.9394</v>
      </c>
      <c r="V428" s="19">
        <v>4.5105890000000004</v>
      </c>
      <c r="W428" s="19">
        <v>4.5160999999999998</v>
      </c>
      <c r="X428" s="19">
        <v>4.5105890000000004</v>
      </c>
      <c r="Y428" s="19">
        <v>4.5160999999999998</v>
      </c>
      <c r="Z428" s="4"/>
      <c r="AA428" s="4"/>
      <c r="AB428" s="4" t="e">
        <f ca="1">_xll.ciqfunctions.udf.CIQ("^SPX", "IQ_PRICEDATE", "9/2/2015")</f>
        <v>#NAME?</v>
      </c>
      <c r="AC428" s="16">
        <v>1948.8626025962999</v>
      </c>
    </row>
    <row r="429" spans="1:29" x14ac:dyDescent="0.35">
      <c r="A429" s="2" t="s">
        <v>439</v>
      </c>
      <c r="B429" s="4" t="s">
        <v>1546</v>
      </c>
      <c r="C429" s="4" t="s">
        <v>626</v>
      </c>
      <c r="D429" s="4" t="s">
        <v>627</v>
      </c>
      <c r="E429" s="4" t="s">
        <v>775</v>
      </c>
      <c r="F429" s="4" t="s">
        <v>1298</v>
      </c>
      <c r="G429" s="14">
        <v>45.86</v>
      </c>
      <c r="H429" s="10">
        <v>18.702285</v>
      </c>
      <c r="I429" s="10">
        <v>90.363106999999999</v>
      </c>
      <c r="J429" s="10">
        <v>133.49945500000001</v>
      </c>
      <c r="K429" s="15">
        <v>3.4016000000000005E-2</v>
      </c>
      <c r="L429" s="17">
        <v>195039.023419</v>
      </c>
      <c r="M429" s="4" t="s">
        <v>1547</v>
      </c>
      <c r="N429" s="19">
        <v>0.50750799999999996</v>
      </c>
      <c r="O429" s="19">
        <v>2.1431</v>
      </c>
      <c r="P429" s="19">
        <v>0.26849200000000001</v>
      </c>
      <c r="Q429" s="19">
        <v>1.9507000000000001</v>
      </c>
      <c r="R429" s="19">
        <v>1.49</v>
      </c>
      <c r="S429" s="19">
        <v>1.9345000000000001</v>
      </c>
      <c r="T429" s="19">
        <v>1.49</v>
      </c>
      <c r="U429" s="19">
        <v>2.0082</v>
      </c>
      <c r="V429" s="19">
        <v>1.6</v>
      </c>
      <c r="W429" s="19">
        <v>2.0051000000000001</v>
      </c>
      <c r="X429" s="19">
        <v>1.6</v>
      </c>
      <c r="Y429" s="19">
        <v>2.0051000000000001</v>
      </c>
      <c r="Z429" s="4"/>
      <c r="AA429" s="4"/>
      <c r="AB429" s="4" t="e">
        <f ca="1">_xll.ciqfunctions.udf.CIQ("^SPX", "IQ_PRICEDATE", "9/3/2015")</f>
        <v>#NAME?</v>
      </c>
      <c r="AC429" s="16">
        <v>1951.1277803734999</v>
      </c>
    </row>
    <row r="430" spans="1:29" x14ac:dyDescent="0.35">
      <c r="A430" s="2" t="s">
        <v>440</v>
      </c>
      <c r="B430" s="4" t="s">
        <v>1548</v>
      </c>
      <c r="C430" s="4" t="s">
        <v>530</v>
      </c>
      <c r="D430" s="4" t="s">
        <v>531</v>
      </c>
      <c r="E430" s="4" t="s">
        <v>532</v>
      </c>
      <c r="F430" s="4" t="s">
        <v>608</v>
      </c>
      <c r="G430" s="14">
        <v>264.27999999999997</v>
      </c>
      <c r="H430" s="10">
        <v>19.112124000000001</v>
      </c>
      <c r="I430" s="10">
        <v>102.52654099999999</v>
      </c>
      <c r="J430" s="10" t="s">
        <v>534</v>
      </c>
      <c r="K430" s="15">
        <v>2.2700000000000002E-4</v>
      </c>
      <c r="L430" s="17">
        <v>12986.635158999999</v>
      </c>
      <c r="M430" s="4" t="s">
        <v>1549</v>
      </c>
      <c r="N430" s="19">
        <v>2.577674</v>
      </c>
      <c r="O430" s="19">
        <v>11.926</v>
      </c>
      <c r="P430" s="19">
        <v>7.52</v>
      </c>
      <c r="Q430" s="19">
        <v>11.5067</v>
      </c>
      <c r="R430" s="19">
        <v>5.59</v>
      </c>
      <c r="S430" s="19">
        <v>9.1911199999999997</v>
      </c>
      <c r="T430" s="19">
        <v>5.59</v>
      </c>
      <c r="U430" s="19">
        <v>7.7448600000000001</v>
      </c>
      <c r="V430" s="19">
        <v>5.51</v>
      </c>
      <c r="W430" s="19">
        <v>7.5372700000000004</v>
      </c>
      <c r="X430" s="19">
        <v>5.51</v>
      </c>
      <c r="Y430" s="19">
        <v>7.5372700000000004</v>
      </c>
      <c r="Z430" s="4"/>
      <c r="AA430" s="4"/>
      <c r="AB430" s="4" t="e">
        <f ca="1">_xll.ciqfunctions.udf.CIQ("^SPX", "IQ_PRICEDATE", "9/4/2015")</f>
        <v>#NAME?</v>
      </c>
      <c r="AC430" s="16">
        <v>1921.2244033136001</v>
      </c>
    </row>
    <row r="431" spans="1:29" x14ac:dyDescent="0.35">
      <c r="A431" s="2" t="s">
        <v>441</v>
      </c>
      <c r="B431" s="4" t="s">
        <v>1550</v>
      </c>
      <c r="C431" s="4" t="s">
        <v>626</v>
      </c>
      <c r="D431" s="4" t="s">
        <v>845</v>
      </c>
      <c r="E431" s="4" t="s">
        <v>898</v>
      </c>
      <c r="F431" s="4" t="s">
        <v>898</v>
      </c>
      <c r="G431" s="14">
        <v>128.82</v>
      </c>
      <c r="H431" s="10">
        <v>17.230432</v>
      </c>
      <c r="I431" s="10">
        <v>43.667796000000003</v>
      </c>
      <c r="J431" s="10">
        <v>31.827508999999999</v>
      </c>
      <c r="K431" s="15">
        <v>1.1798999999999999E-2</v>
      </c>
      <c r="L431" s="17">
        <v>47204.676488999998</v>
      </c>
      <c r="M431" s="4" t="s">
        <v>1551</v>
      </c>
      <c r="N431" s="19">
        <v>2.95</v>
      </c>
      <c r="O431" s="19">
        <v>4.7648099999999998</v>
      </c>
      <c r="P431" s="19">
        <v>2.8703150000000002</v>
      </c>
      <c r="Q431" s="19">
        <v>4.2493999999999996</v>
      </c>
      <c r="R431" s="19">
        <v>2.8938329999999999</v>
      </c>
      <c r="S431" s="19">
        <v>3.4948000000000001</v>
      </c>
      <c r="T431" s="19">
        <v>2.8938329999999999</v>
      </c>
      <c r="U431" s="19">
        <v>3.2808000000000002</v>
      </c>
      <c r="V431" s="19">
        <v>2.9039860000000002</v>
      </c>
      <c r="W431" s="19">
        <v>3.0964</v>
      </c>
      <c r="X431" s="19">
        <v>2.9039860000000002</v>
      </c>
      <c r="Y431" s="19">
        <v>3.0964</v>
      </c>
      <c r="Z431" s="4"/>
      <c r="AA431" s="4"/>
      <c r="AB431" s="4" t="e">
        <f ca="1">_xll.ciqfunctions.udf.CIQ("^SPX", "IQ_PRICEDATE", "9/8/2015")</f>
        <v>#NAME?</v>
      </c>
      <c r="AC431" s="16">
        <v>1969.4145121332001</v>
      </c>
    </row>
    <row r="432" spans="1:29" x14ac:dyDescent="0.35">
      <c r="A432" s="2" t="s">
        <v>442</v>
      </c>
      <c r="B432" s="4" t="s">
        <v>1552</v>
      </c>
      <c r="C432" s="4" t="s">
        <v>559</v>
      </c>
      <c r="D432" s="4" t="s">
        <v>560</v>
      </c>
      <c r="E432" s="4" t="s">
        <v>561</v>
      </c>
      <c r="F432" s="4" t="s">
        <v>1051</v>
      </c>
      <c r="G432" s="14">
        <v>27.13</v>
      </c>
      <c r="H432" s="10">
        <v>5.1922379999999997</v>
      </c>
      <c r="I432" s="10">
        <v>11.899122</v>
      </c>
      <c r="J432" s="10">
        <v>3.1272600000000002</v>
      </c>
      <c r="K432" s="15">
        <v>3.5753E-2</v>
      </c>
      <c r="L432" s="17">
        <v>10437.135745</v>
      </c>
      <c r="M432" s="4" t="s">
        <v>1553</v>
      </c>
      <c r="N432" s="19">
        <v>2.2799999999999998</v>
      </c>
      <c r="O432" s="19">
        <v>2.6046999999999998</v>
      </c>
      <c r="P432" s="19">
        <v>2.1695669999999998</v>
      </c>
      <c r="Q432" s="19">
        <v>2.1579000000000002</v>
      </c>
      <c r="R432" s="19">
        <v>1.6796</v>
      </c>
      <c r="S432" s="19">
        <v>2.0004</v>
      </c>
      <c r="T432" s="19">
        <v>1.6796</v>
      </c>
      <c r="U432" s="19">
        <v>2.3855</v>
      </c>
      <c r="V432" s="19">
        <v>2.7887849999999998</v>
      </c>
      <c r="W432" s="19">
        <v>2.9359999999999999</v>
      </c>
      <c r="X432" s="19">
        <v>2.7887849999999998</v>
      </c>
      <c r="Y432" s="19">
        <v>2.9359999999999999</v>
      </c>
      <c r="Z432" s="4"/>
      <c r="AA432" s="4"/>
      <c r="AB432" s="4" t="e">
        <f ca="1">_xll.ciqfunctions.udf.CIQ("^SPX", "IQ_PRICEDATE", "9/9/2015")</f>
        <v>#NAME?</v>
      </c>
      <c r="AC432" s="16">
        <v>1942.0378135220001</v>
      </c>
    </row>
    <row r="433" spans="1:29" x14ac:dyDescent="0.35">
      <c r="A433" s="2" t="s">
        <v>443</v>
      </c>
      <c r="B433" s="4" t="s">
        <v>1554</v>
      </c>
      <c r="C433" s="4" t="s">
        <v>573</v>
      </c>
      <c r="D433" s="4" t="s">
        <v>574</v>
      </c>
      <c r="E433" s="4" t="s">
        <v>575</v>
      </c>
      <c r="F433" s="4" t="s">
        <v>963</v>
      </c>
      <c r="G433" s="14">
        <v>228.28</v>
      </c>
      <c r="H433" s="10">
        <v>0</v>
      </c>
      <c r="I433" s="10">
        <v>16.653438999999999</v>
      </c>
      <c r="J433" s="10">
        <v>1.16072</v>
      </c>
      <c r="K433" s="15">
        <v>1.4017E-2</v>
      </c>
      <c r="L433" s="17">
        <v>86188.535271000001</v>
      </c>
      <c r="M433" s="4" t="s">
        <v>1555</v>
      </c>
      <c r="N433" s="19">
        <v>13.707679000000001</v>
      </c>
      <c r="O433" s="19">
        <v>24.1952</v>
      </c>
      <c r="P433" s="19">
        <v>9.0075769999999995</v>
      </c>
      <c r="Q433" s="19">
        <v>19.676500000000001</v>
      </c>
      <c r="R433" s="19">
        <v>16.288208999999998</v>
      </c>
      <c r="S433" s="19">
        <v>17.8263</v>
      </c>
      <c r="T433" s="19">
        <v>16.288208999999998</v>
      </c>
      <c r="U433" s="19">
        <v>18.084700000000002</v>
      </c>
      <c r="V433" s="19">
        <v>17.068892000000002</v>
      </c>
      <c r="W433" s="19">
        <v>16.5594</v>
      </c>
      <c r="X433" s="19">
        <v>17.068892000000002</v>
      </c>
      <c r="Y433" s="19">
        <v>16.5594</v>
      </c>
      <c r="Z433" s="4"/>
      <c r="AA433" s="4"/>
      <c r="AB433" s="4" t="e">
        <f ca="1">_xll.ciqfunctions.udf.CIQ("^SPX", "IQ_PRICEDATE", "9/10/2015")</f>
        <v>#NAME?</v>
      </c>
      <c r="AC433" s="16">
        <v>1952.2868084032</v>
      </c>
    </row>
    <row r="434" spans="1:29" x14ac:dyDescent="0.35">
      <c r="A434" s="2" t="s">
        <v>444</v>
      </c>
      <c r="B434" s="4" t="s">
        <v>1556</v>
      </c>
      <c r="C434" s="4" t="s">
        <v>559</v>
      </c>
      <c r="D434" s="4" t="s">
        <v>694</v>
      </c>
      <c r="E434" s="4" t="s">
        <v>695</v>
      </c>
      <c r="F434" s="4" t="s">
        <v>1557</v>
      </c>
      <c r="G434" s="14">
        <v>21.45</v>
      </c>
      <c r="H434" s="10">
        <v>5.3609790000000004</v>
      </c>
      <c r="I434" s="10">
        <v>19.983733000000001</v>
      </c>
      <c r="J434" s="10">
        <v>1.2959430000000001</v>
      </c>
      <c r="K434" s="15">
        <v>2.9836000000000001E-2</v>
      </c>
      <c r="L434" s="17">
        <v>5083.9877299999998</v>
      </c>
      <c r="M434" s="4" t="s">
        <v>1558</v>
      </c>
      <c r="N434" s="19">
        <v>1.0733729999999999</v>
      </c>
      <c r="O434" s="19">
        <v>3.2141000000000002</v>
      </c>
      <c r="P434" s="19">
        <v>1.37</v>
      </c>
      <c r="Q434" s="19">
        <v>3.4752999999999998</v>
      </c>
      <c r="R434" s="19">
        <v>4.74</v>
      </c>
      <c r="S434" s="19">
        <v>4.1307</v>
      </c>
      <c r="T434" s="19">
        <v>4.74</v>
      </c>
      <c r="U434" s="19">
        <v>3.7967</v>
      </c>
      <c r="V434" s="19">
        <v>8.7885299999999997</v>
      </c>
      <c r="W434" s="19">
        <v>3.0832999999999999</v>
      </c>
      <c r="X434" s="19">
        <v>8.7885299999999997</v>
      </c>
      <c r="Y434" s="19">
        <v>3.0832999999999999</v>
      </c>
      <c r="Z434" s="4"/>
      <c r="AA434" s="4"/>
      <c r="AB434" s="4" t="e">
        <f ca="1">_xll.ciqfunctions.udf.CIQ("^SPX", "IQ_PRICEDATE", "9/11/2015")</f>
        <v>#NAME?</v>
      </c>
      <c r="AC434" s="16">
        <v>1961.0456719107001</v>
      </c>
    </row>
    <row r="435" spans="1:29" x14ac:dyDescent="0.35">
      <c r="A435" s="2" t="s">
        <v>445</v>
      </c>
      <c r="B435" s="4" t="s">
        <v>1559</v>
      </c>
      <c r="C435" s="4" t="s">
        <v>573</v>
      </c>
      <c r="D435" s="4" t="s">
        <v>579</v>
      </c>
      <c r="E435" s="4" t="s">
        <v>579</v>
      </c>
      <c r="F435" s="4" t="s">
        <v>644</v>
      </c>
      <c r="G435" s="14">
        <v>46.76</v>
      </c>
      <c r="H435" s="10">
        <v>8.8489000000000004</v>
      </c>
      <c r="I435" s="10">
        <v>37.314295999999999</v>
      </c>
      <c r="J435" s="10">
        <v>1.582778</v>
      </c>
      <c r="K435" s="15">
        <v>2.5661999999999997E-2</v>
      </c>
      <c r="L435" s="17">
        <v>16759.677958</v>
      </c>
      <c r="M435" s="4" t="s">
        <v>1560</v>
      </c>
      <c r="N435" s="19">
        <v>1.253139</v>
      </c>
      <c r="O435" s="19">
        <v>4.7042999999999999</v>
      </c>
      <c r="P435" s="19">
        <v>-0.72037300000000004</v>
      </c>
      <c r="Q435" s="19">
        <v>3.7298</v>
      </c>
      <c r="R435" s="19">
        <v>1.55</v>
      </c>
      <c r="S435" s="19">
        <v>3.8207</v>
      </c>
      <c r="T435" s="19">
        <v>1.55</v>
      </c>
      <c r="U435" s="19">
        <v>3.8062</v>
      </c>
      <c r="V435" s="19">
        <v>2.93</v>
      </c>
      <c r="W435" s="19">
        <v>3.6341999999999999</v>
      </c>
      <c r="X435" s="19">
        <v>2.93</v>
      </c>
      <c r="Y435" s="19">
        <v>3.6341999999999999</v>
      </c>
      <c r="Z435" s="4"/>
      <c r="AA435" s="4"/>
      <c r="AB435" s="4" t="e">
        <f ca="1">_xll.ciqfunctions.udf.CIQ("^SPX", "IQ_PRICEDATE", "9/14/2015")</f>
        <v>#NAME?</v>
      </c>
      <c r="AC435" s="16">
        <v>1953.0260841301999</v>
      </c>
    </row>
    <row r="436" spans="1:29" x14ac:dyDescent="0.35">
      <c r="A436" s="2" t="s">
        <v>446</v>
      </c>
      <c r="B436" s="4" t="s">
        <v>1561</v>
      </c>
      <c r="C436" s="4" t="s">
        <v>626</v>
      </c>
      <c r="D436" s="4" t="s">
        <v>627</v>
      </c>
      <c r="E436" s="4" t="s">
        <v>699</v>
      </c>
      <c r="F436" s="4" t="s">
        <v>789</v>
      </c>
      <c r="G436" s="14">
        <v>105.19</v>
      </c>
      <c r="H436" s="10">
        <v>13.619052</v>
      </c>
      <c r="I436" s="10">
        <v>21.644304000000002</v>
      </c>
      <c r="J436" s="10" t="s">
        <v>534</v>
      </c>
      <c r="K436" s="15">
        <v>2.7454999999999997E-2</v>
      </c>
      <c r="L436" s="17">
        <v>22017.604175</v>
      </c>
      <c r="M436" s="4" t="s">
        <v>1562</v>
      </c>
      <c r="N436" s="19">
        <v>4.8599389999999998</v>
      </c>
      <c r="O436" s="19">
        <v>5.5034000000000001</v>
      </c>
      <c r="P436" s="19">
        <v>3.66</v>
      </c>
      <c r="Q436" s="19">
        <v>5.0721999999999996</v>
      </c>
      <c r="R436" s="19">
        <v>3.34</v>
      </c>
      <c r="S436" s="19">
        <v>4.5460000000000003</v>
      </c>
      <c r="T436" s="19">
        <v>3.34</v>
      </c>
      <c r="U436" s="19">
        <v>4.2995999999999999</v>
      </c>
      <c r="V436" s="19">
        <v>3.77</v>
      </c>
      <c r="W436" s="19">
        <v>4.3806000000000003</v>
      </c>
      <c r="X436" s="19">
        <v>3.77</v>
      </c>
      <c r="Y436" s="19">
        <v>4.3806000000000003</v>
      </c>
      <c r="Z436" s="4"/>
      <c r="AA436" s="4"/>
      <c r="AB436" s="4" t="e">
        <f ca="1">_xll.ciqfunctions.udf.CIQ("^SPX", "IQ_PRICEDATE", "9/15/2015")</f>
        <v>#NAME?</v>
      </c>
      <c r="AC436" s="16">
        <v>1978.0866505581</v>
      </c>
    </row>
    <row r="437" spans="1:29" x14ac:dyDescent="0.35">
      <c r="A437" s="2" t="s">
        <v>447</v>
      </c>
      <c r="B437" s="4" t="s">
        <v>1563</v>
      </c>
      <c r="C437" s="4" t="s">
        <v>559</v>
      </c>
      <c r="D437" s="4" t="s">
        <v>560</v>
      </c>
      <c r="E437" s="4" t="s">
        <v>561</v>
      </c>
      <c r="F437" s="4" t="s">
        <v>1235</v>
      </c>
      <c r="G437" s="14">
        <v>185.17</v>
      </c>
      <c r="H437" s="10">
        <v>13.549714</v>
      </c>
      <c r="I437" s="10">
        <v>21.832609000000001</v>
      </c>
      <c r="J437" s="10" t="s">
        <v>534</v>
      </c>
      <c r="K437" s="15">
        <v>2.2248999999999998E-2</v>
      </c>
      <c r="L437" s="17">
        <v>211860.06771599999</v>
      </c>
      <c r="M437" s="4" t="s">
        <v>1564</v>
      </c>
      <c r="N437" s="19">
        <v>8.4813500000000008</v>
      </c>
      <c r="O437" s="19">
        <v>9.9509000000000007</v>
      </c>
      <c r="P437" s="19">
        <v>7.1997479999999996</v>
      </c>
      <c r="Q437" s="19">
        <v>8.0988000000000007</v>
      </c>
      <c r="R437" s="19">
        <v>6.1596469999999997</v>
      </c>
      <c r="S437" s="19">
        <v>6.9504999999999999</v>
      </c>
      <c r="T437" s="19">
        <v>6.1596469999999997</v>
      </c>
      <c r="U437" s="19">
        <v>5.9935999999999998</v>
      </c>
      <c r="V437" s="19">
        <v>4.3822999999999999</v>
      </c>
      <c r="W437" s="19">
        <v>5.0602999999999998</v>
      </c>
      <c r="X437" s="19">
        <v>4.3822999999999999</v>
      </c>
      <c r="Y437" s="19">
        <v>5.0602999999999998</v>
      </c>
      <c r="Z437" s="4"/>
      <c r="AA437" s="4"/>
      <c r="AB437" s="4" t="e">
        <f ca="1">_xll.ciqfunctions.udf.CIQ("^SPX", "IQ_PRICEDATE", "9/16/2015")</f>
        <v>#NAME?</v>
      </c>
      <c r="AC437" s="16">
        <v>1995.3107086494999</v>
      </c>
    </row>
    <row r="438" spans="1:29" x14ac:dyDescent="0.35">
      <c r="A438" s="2" t="s">
        <v>448</v>
      </c>
      <c r="B438" s="4" t="s">
        <v>1565</v>
      </c>
      <c r="C438" s="4" t="s">
        <v>549</v>
      </c>
      <c r="D438" s="4" t="s">
        <v>550</v>
      </c>
      <c r="E438" s="4" t="s">
        <v>814</v>
      </c>
      <c r="F438" s="4" t="s">
        <v>1367</v>
      </c>
      <c r="G438" s="14">
        <v>22.2</v>
      </c>
      <c r="H438" s="10">
        <v>8.8184699999999996</v>
      </c>
      <c r="I438" s="10">
        <v>14.991481</v>
      </c>
      <c r="J438" s="10" t="s">
        <v>534</v>
      </c>
      <c r="K438" s="15">
        <v>3.7837000000000003E-2</v>
      </c>
      <c r="L438" s="17">
        <v>8520.0363240000006</v>
      </c>
      <c r="M438" s="4" t="s">
        <v>1566</v>
      </c>
      <c r="N438" s="19">
        <v>1.4808410000000001</v>
      </c>
      <c r="O438" s="19">
        <v>1.7865</v>
      </c>
      <c r="P438" s="19">
        <v>1.46</v>
      </c>
      <c r="Q438" s="19">
        <v>1.5042</v>
      </c>
      <c r="R438" s="19">
        <v>1.49</v>
      </c>
      <c r="S438" s="19">
        <v>1.3581000000000001</v>
      </c>
      <c r="T438" s="19">
        <v>1.49</v>
      </c>
      <c r="U438" s="19">
        <v>1.2754000000000001</v>
      </c>
      <c r="V438" s="19">
        <v>1.1200000000000001</v>
      </c>
      <c r="W438" s="19">
        <v>1.111</v>
      </c>
      <c r="X438" s="19">
        <v>1.1200000000000001</v>
      </c>
      <c r="Y438" s="19">
        <v>1.111</v>
      </c>
      <c r="Z438" s="4"/>
      <c r="AA438" s="4"/>
      <c r="AB438" s="4" t="e">
        <f ca="1">_xll.ciqfunctions.udf.CIQ("^SPX", "IQ_PRICEDATE", "9/17/2015")</f>
        <v>#NAME?</v>
      </c>
      <c r="AC438" s="16">
        <v>1990.2042737638001</v>
      </c>
    </row>
    <row r="439" spans="1:29" x14ac:dyDescent="0.35">
      <c r="A439" s="2" t="s">
        <v>449</v>
      </c>
      <c r="B439" s="4" t="s">
        <v>1567</v>
      </c>
      <c r="C439" s="4" t="s">
        <v>626</v>
      </c>
      <c r="D439" s="4" t="s">
        <v>627</v>
      </c>
      <c r="E439" s="4" t="s">
        <v>699</v>
      </c>
      <c r="F439" s="4" t="s">
        <v>789</v>
      </c>
      <c r="G439" s="14">
        <v>103.8</v>
      </c>
      <c r="H439" s="10">
        <v>11.016263</v>
      </c>
      <c r="I439" s="10">
        <v>8.7798149999999993</v>
      </c>
      <c r="J439" s="10" t="s">
        <v>534</v>
      </c>
      <c r="K439" s="15">
        <v>3.2754999999999999E-2</v>
      </c>
      <c r="L439" s="17">
        <v>11805.958728</v>
      </c>
      <c r="M439" s="4" t="s">
        <v>1568</v>
      </c>
      <c r="N439" s="19">
        <v>11.822571999999999</v>
      </c>
      <c r="O439" s="19">
        <v>8.4360999999999997</v>
      </c>
      <c r="P439" s="19">
        <v>4.9415750000000003</v>
      </c>
      <c r="Q439" s="19">
        <v>8.1940000000000008</v>
      </c>
      <c r="R439" s="19">
        <v>6.1326689999999999</v>
      </c>
      <c r="S439" s="19">
        <v>7.8440000000000003</v>
      </c>
      <c r="T439" s="19">
        <v>6.1326689999999999</v>
      </c>
      <c r="U439" s="19">
        <v>6.1154999999999999</v>
      </c>
      <c r="V439" s="19">
        <v>5.4619790000000004</v>
      </c>
      <c r="W439" s="19">
        <v>5.7008000000000001</v>
      </c>
      <c r="X439" s="19">
        <v>5.4619790000000004</v>
      </c>
      <c r="Y439" s="19">
        <v>5.7008000000000001</v>
      </c>
      <c r="Z439" s="4"/>
      <c r="AA439" s="4"/>
      <c r="AB439" s="4" t="e">
        <f ca="1">_xll.ciqfunctions.udf.CIQ("^SPX", "IQ_PRICEDATE", "9/18/2015")</f>
        <v>#NAME?</v>
      </c>
      <c r="AC439" s="16">
        <v>1958.0328294343999</v>
      </c>
    </row>
    <row r="440" spans="1:29" x14ac:dyDescent="0.35">
      <c r="A440" s="2" t="s">
        <v>450</v>
      </c>
      <c r="B440" s="4" t="s">
        <v>1569</v>
      </c>
      <c r="C440" s="4" t="s">
        <v>626</v>
      </c>
      <c r="D440" s="4" t="s">
        <v>627</v>
      </c>
      <c r="E440" s="4" t="s">
        <v>699</v>
      </c>
      <c r="F440" s="4" t="s">
        <v>789</v>
      </c>
      <c r="G440" s="14">
        <v>56.4</v>
      </c>
      <c r="H440" s="10">
        <v>12.288691</v>
      </c>
      <c r="I440" s="10">
        <v>6.4719179999999996</v>
      </c>
      <c r="J440" s="10" t="s">
        <v>534</v>
      </c>
      <c r="K440" s="15">
        <v>4.4325999999999997E-2</v>
      </c>
      <c r="L440" s="17">
        <v>68765.600227999996</v>
      </c>
      <c r="M440" s="4" t="s">
        <v>1570</v>
      </c>
      <c r="N440" s="19">
        <v>8.7145720000000004</v>
      </c>
      <c r="O440" s="19">
        <v>3.7258</v>
      </c>
      <c r="P440" s="19">
        <v>8.9499999999999993</v>
      </c>
      <c r="Q440" s="19">
        <v>3.8</v>
      </c>
      <c r="R440" s="19">
        <v>2.81</v>
      </c>
      <c r="S440" s="19">
        <v>3.7938999999999998</v>
      </c>
      <c r="T440" s="19">
        <v>2.81</v>
      </c>
      <c r="U440" s="19">
        <v>2.6663000000000001</v>
      </c>
      <c r="V440" s="19">
        <v>-0.17</v>
      </c>
      <c r="W440" s="19">
        <v>0</v>
      </c>
      <c r="X440" s="19">
        <v>-0.17</v>
      </c>
      <c r="Y440" s="19">
        <v>0</v>
      </c>
      <c r="Z440" s="4"/>
      <c r="AA440" s="4"/>
      <c r="AB440" s="4" t="e">
        <f ca="1">_xll.ciqfunctions.udf.CIQ("^SPX", "IQ_PRICEDATE", "9/21/2015")</f>
        <v>#NAME?</v>
      </c>
      <c r="AC440" s="16">
        <v>1966.9702715327001</v>
      </c>
    </row>
    <row r="441" spans="1:29" x14ac:dyDescent="0.35">
      <c r="A441" s="2" t="s">
        <v>451</v>
      </c>
      <c r="B441" s="4" t="s">
        <v>1571</v>
      </c>
      <c r="C441" s="4" t="s">
        <v>626</v>
      </c>
      <c r="D441" s="4" t="s">
        <v>894</v>
      </c>
      <c r="E441" s="4" t="s">
        <v>894</v>
      </c>
      <c r="F441" s="4" t="s">
        <v>1572</v>
      </c>
      <c r="G441" s="14">
        <v>27.29</v>
      </c>
      <c r="H441" s="10">
        <v>7.1209189999999998</v>
      </c>
      <c r="I441" s="10">
        <v>6.2582389999999997</v>
      </c>
      <c r="J441" s="10">
        <v>7.0870410000000001</v>
      </c>
      <c r="K441" s="15">
        <v>2.052E-2</v>
      </c>
      <c r="L441" s="17">
        <v>21761.557087000001</v>
      </c>
      <c r="M441" s="4" t="s">
        <v>1573</v>
      </c>
      <c r="N441" s="19">
        <v>4.3606509999999998</v>
      </c>
      <c r="O441" s="19">
        <v>2.1631</v>
      </c>
      <c r="P441" s="19">
        <v>1.6846129999999999</v>
      </c>
      <c r="Q441" s="19">
        <v>2.0297000000000001</v>
      </c>
      <c r="R441" s="19">
        <v>2.0807440000000001</v>
      </c>
      <c r="S441" s="19">
        <v>2.1358000000000001</v>
      </c>
      <c r="T441" s="19">
        <v>2.0807440000000001</v>
      </c>
      <c r="U441" s="19">
        <v>2.1724999999999999</v>
      </c>
      <c r="V441" s="19">
        <v>1.605483</v>
      </c>
      <c r="W441" s="19">
        <v>1.7989999999999999</v>
      </c>
      <c r="X441" s="19">
        <v>1.605483</v>
      </c>
      <c r="Y441" s="19">
        <v>1.7989999999999999</v>
      </c>
      <c r="Z441" s="4"/>
      <c r="AA441" s="4"/>
      <c r="AB441" s="4" t="e">
        <f ca="1">_xll.ciqfunctions.udf.CIQ("^SPX", "IQ_PRICEDATE", "9/22/2015")</f>
        <v>#NAME?</v>
      </c>
      <c r="AC441" s="16">
        <v>1942.7441268069999</v>
      </c>
    </row>
    <row r="442" spans="1:29" x14ac:dyDescent="0.35">
      <c r="A442" s="2" t="s">
        <v>452</v>
      </c>
      <c r="B442" s="4" t="s">
        <v>1574</v>
      </c>
      <c r="C442" s="4" t="s">
        <v>586</v>
      </c>
      <c r="D442" s="4" t="s">
        <v>586</v>
      </c>
      <c r="E442" s="4" t="s">
        <v>587</v>
      </c>
      <c r="F442" s="4" t="s">
        <v>830</v>
      </c>
      <c r="G442" s="14">
        <v>33.049999999999997</v>
      </c>
      <c r="H442" s="10">
        <v>11.300969</v>
      </c>
      <c r="I442" s="10" t="s">
        <v>534</v>
      </c>
      <c r="J442" s="10">
        <v>1.506122</v>
      </c>
      <c r="K442" s="15">
        <v>3.0249999999999999E-3</v>
      </c>
      <c r="L442" s="17">
        <v>12739.383</v>
      </c>
      <c r="M442" s="4" t="s">
        <v>1575</v>
      </c>
      <c r="N442" s="19">
        <v>-0.25414900000000001</v>
      </c>
      <c r="O442" s="19">
        <v>2.2004999999999999</v>
      </c>
      <c r="P442" s="19">
        <v>-0.31</v>
      </c>
      <c r="Q442" s="19">
        <v>1.0253000000000001</v>
      </c>
      <c r="R442" s="19">
        <v>0.849885</v>
      </c>
      <c r="S442" s="19">
        <v>0.85129999999999995</v>
      </c>
      <c r="T442" s="19">
        <v>0.849885</v>
      </c>
      <c r="U442" s="19">
        <v>2.5206</v>
      </c>
      <c r="V442" s="19">
        <v>2.68</v>
      </c>
      <c r="W442" s="19">
        <v>2.9106000000000001</v>
      </c>
      <c r="X442" s="19">
        <v>2.68</v>
      </c>
      <c r="Y442" s="19">
        <v>2.9106000000000001</v>
      </c>
      <c r="Z442" s="4"/>
      <c r="AA442" s="4"/>
      <c r="AB442" s="4" t="e">
        <f ca="1">_xll.ciqfunctions.udf.CIQ("^SPX", "IQ_PRICEDATE", "9/23/2015")</f>
        <v>#NAME?</v>
      </c>
      <c r="AC442" s="16">
        <v>1938.7592864579999</v>
      </c>
    </row>
    <row r="443" spans="1:29" x14ac:dyDescent="0.35">
      <c r="A443" s="2" t="s">
        <v>453</v>
      </c>
      <c r="B443" s="4" t="s">
        <v>1576</v>
      </c>
      <c r="C443" s="4" t="s">
        <v>573</v>
      </c>
      <c r="D443" s="4" t="s">
        <v>737</v>
      </c>
      <c r="E443" s="4" t="s">
        <v>737</v>
      </c>
      <c r="F443" s="4" t="s">
        <v>743</v>
      </c>
      <c r="G443" s="14">
        <v>127.33</v>
      </c>
      <c r="H443" s="10">
        <v>0</v>
      </c>
      <c r="I443" s="10">
        <v>10.470926</v>
      </c>
      <c r="J443" s="10">
        <v>1.55461</v>
      </c>
      <c r="K443" s="15">
        <v>2.9843000000000001E-2</v>
      </c>
      <c r="L443" s="17">
        <v>58826.46</v>
      </c>
      <c r="M443" s="4" t="s">
        <v>1577</v>
      </c>
      <c r="N443" s="19">
        <v>12.160337</v>
      </c>
      <c r="O443" s="19">
        <v>11.237299999999999</v>
      </c>
      <c r="P443" s="19">
        <v>10.364197000000001</v>
      </c>
      <c r="Q443" s="19">
        <v>9.1697000000000006</v>
      </c>
      <c r="R443" s="19">
        <v>7.3</v>
      </c>
      <c r="S443" s="19">
        <v>7.4806999999999997</v>
      </c>
      <c r="T443" s="19">
        <v>7.3</v>
      </c>
      <c r="U443" s="19">
        <v>7.1966000000000001</v>
      </c>
      <c r="V443" s="19">
        <v>7.2960890000000003</v>
      </c>
      <c r="W443" s="19">
        <v>7.0872000000000002</v>
      </c>
      <c r="X443" s="19">
        <v>7.2960890000000003</v>
      </c>
      <c r="Y443" s="19">
        <v>7.0872000000000002</v>
      </c>
      <c r="Z443" s="4"/>
      <c r="AA443" s="4"/>
      <c r="AB443" s="4" t="e">
        <f ca="1">_xll.ciqfunctions.udf.CIQ("^SPX", "IQ_PRICEDATE", "9/24/2015")</f>
        <v>#NAME?</v>
      </c>
      <c r="AC443" s="16">
        <v>1932.2411739508</v>
      </c>
    </row>
    <row r="444" spans="1:29" x14ac:dyDescent="0.35">
      <c r="A444" s="2" t="s">
        <v>454</v>
      </c>
      <c r="B444" s="4" t="s">
        <v>1578</v>
      </c>
      <c r="C444" s="4" t="s">
        <v>626</v>
      </c>
      <c r="D444" s="4" t="s">
        <v>845</v>
      </c>
      <c r="E444" s="4" t="s">
        <v>846</v>
      </c>
      <c r="F444" s="4" t="s">
        <v>846</v>
      </c>
      <c r="G444" s="14">
        <v>81.142799999999994</v>
      </c>
      <c r="H444" s="10">
        <v>12.759328</v>
      </c>
      <c r="I444" s="10">
        <v>22.305382999999999</v>
      </c>
      <c r="J444" s="10" t="s">
        <v>534</v>
      </c>
      <c r="K444" s="15">
        <v>3.5045E-2</v>
      </c>
      <c r="L444" s="17">
        <v>203762.57595900001</v>
      </c>
      <c r="M444" s="4" t="s">
        <v>1579</v>
      </c>
      <c r="N444" s="19">
        <v>3.6699660000000001</v>
      </c>
      <c r="O444" s="19">
        <v>4.3838400000000002</v>
      </c>
      <c r="P444" s="19">
        <v>3.7485819999999999</v>
      </c>
      <c r="Q444" s="19">
        <v>4.2313000000000001</v>
      </c>
      <c r="R444" s="19">
        <v>3.454097</v>
      </c>
      <c r="S444" s="19">
        <v>3.9472999999999998</v>
      </c>
      <c r="T444" s="19">
        <v>3.454097</v>
      </c>
      <c r="U444" s="19">
        <v>3.8786</v>
      </c>
      <c r="V444" s="19">
        <v>3.5824760000000002</v>
      </c>
      <c r="W444" s="19">
        <v>4.4438000000000004</v>
      </c>
      <c r="X444" s="19">
        <v>3.5824760000000002</v>
      </c>
      <c r="Y444" s="19">
        <v>4.4438000000000004</v>
      </c>
      <c r="Z444" s="4"/>
      <c r="AA444" s="4"/>
      <c r="AB444" s="4" t="e">
        <f ca="1">_xll.ciqfunctions.udf.CIQ("^SPX", "IQ_PRICEDATE", "9/25/2015")</f>
        <v>#NAME?</v>
      </c>
      <c r="AC444" s="16">
        <v>1931.3399031875999</v>
      </c>
    </row>
    <row r="445" spans="1:29" x14ac:dyDescent="0.35">
      <c r="A445" s="2" t="s">
        <v>455</v>
      </c>
      <c r="B445" s="4" t="s">
        <v>1580</v>
      </c>
      <c r="C445" s="4" t="s">
        <v>573</v>
      </c>
      <c r="D445" s="4" t="s">
        <v>579</v>
      </c>
      <c r="E445" s="4" t="s">
        <v>579</v>
      </c>
      <c r="F445" s="4" t="s">
        <v>842</v>
      </c>
      <c r="G445" s="14">
        <v>70.63</v>
      </c>
      <c r="H445" s="10">
        <v>11.252679000000001</v>
      </c>
      <c r="I445" s="10">
        <v>14.210038000000001</v>
      </c>
      <c r="J445" s="10">
        <v>3.7124760000000001</v>
      </c>
      <c r="K445" s="15">
        <v>1.5923E-2</v>
      </c>
      <c r="L445" s="17">
        <v>41184.353000000003</v>
      </c>
      <c r="M445" s="4" t="s">
        <v>1581</v>
      </c>
      <c r="N445" s="19">
        <v>4.9704300000000003</v>
      </c>
      <c r="O445" s="19">
        <v>4.5716999999999999</v>
      </c>
      <c r="P445" s="19">
        <v>2.72</v>
      </c>
      <c r="Q445" s="19">
        <v>2.8906999999999998</v>
      </c>
      <c r="R445" s="19">
        <v>1.76</v>
      </c>
      <c r="S445" s="19">
        <v>1.9379</v>
      </c>
      <c r="T445" s="19">
        <v>1.76</v>
      </c>
      <c r="U445" s="19">
        <v>1.9179999999999999</v>
      </c>
      <c r="V445" s="19">
        <v>2.15</v>
      </c>
      <c r="W445" s="19">
        <v>1.7692000000000001</v>
      </c>
      <c r="X445" s="19">
        <v>2.15</v>
      </c>
      <c r="Y445" s="19">
        <v>1.7692000000000001</v>
      </c>
      <c r="Z445" s="4"/>
      <c r="AA445" s="4"/>
      <c r="AB445" s="4" t="e">
        <f ca="1">_xll.ciqfunctions.udf.CIQ("^SPX", "IQ_PRICEDATE", "9/28/2015")</f>
        <v>#NAME?</v>
      </c>
      <c r="AC445" s="16">
        <v>1881.7689706629001</v>
      </c>
    </row>
    <row r="446" spans="1:29" x14ac:dyDescent="0.35">
      <c r="A446" s="2" t="s">
        <v>456</v>
      </c>
      <c r="B446" s="4" t="s">
        <v>1582</v>
      </c>
      <c r="C446" s="4" t="s">
        <v>586</v>
      </c>
      <c r="D446" s="4" t="s">
        <v>586</v>
      </c>
      <c r="E446" s="4" t="s">
        <v>587</v>
      </c>
      <c r="F446" s="4" t="s">
        <v>598</v>
      </c>
      <c r="G446" s="14">
        <v>410.67</v>
      </c>
      <c r="H446" s="10">
        <v>17.408747999999999</v>
      </c>
      <c r="I446" s="10">
        <v>20.940460999999999</v>
      </c>
      <c r="J446" s="10" t="s">
        <v>534</v>
      </c>
      <c r="K446" s="15">
        <v>8.3759999999999998E-3</v>
      </c>
      <c r="L446" s="17">
        <v>38147.440196000003</v>
      </c>
      <c r="M446" s="4" t="s">
        <v>1583</v>
      </c>
      <c r="N446" s="19">
        <v>19.611315999999999</v>
      </c>
      <c r="O446" s="19">
        <v>20.756699999999999</v>
      </c>
      <c r="P446" s="19">
        <v>19.109998999999998</v>
      </c>
      <c r="Q446" s="19">
        <v>17.8202</v>
      </c>
      <c r="R446" s="19">
        <v>11.989998999999999</v>
      </c>
      <c r="S446" s="19">
        <v>13.2418</v>
      </c>
      <c r="T446" s="19">
        <v>11.989998999999999</v>
      </c>
      <c r="U446" s="19">
        <v>12.311400000000001</v>
      </c>
      <c r="V446" s="19">
        <v>8.7699990000000003</v>
      </c>
      <c r="W446" s="19">
        <v>10.5313</v>
      </c>
      <c r="X446" s="19">
        <v>8.7699990000000003</v>
      </c>
      <c r="Y446" s="19">
        <v>10.5313</v>
      </c>
      <c r="Z446" s="4"/>
      <c r="AA446" s="4"/>
      <c r="AB446" s="4" t="e">
        <f ca="1">_xll.ciqfunctions.udf.CIQ("^SPX", "IQ_PRICEDATE", "9/29/2015")</f>
        <v>#NAME?</v>
      </c>
      <c r="AC446" s="16">
        <v>1884.0851818742001</v>
      </c>
    </row>
    <row r="447" spans="1:29" x14ac:dyDescent="0.35">
      <c r="A447" s="2" t="s">
        <v>457</v>
      </c>
      <c r="B447" s="4" t="s">
        <v>1584</v>
      </c>
      <c r="C447" s="4" t="s">
        <v>619</v>
      </c>
      <c r="D447" s="4" t="s">
        <v>619</v>
      </c>
      <c r="E447" s="4" t="s">
        <v>620</v>
      </c>
      <c r="F447" s="4" t="s">
        <v>620</v>
      </c>
      <c r="G447" s="14">
        <v>44.31</v>
      </c>
      <c r="H447" s="10">
        <v>11.736205</v>
      </c>
      <c r="I447" s="10">
        <v>19.181211999999999</v>
      </c>
      <c r="J447" s="10">
        <v>2.550449</v>
      </c>
      <c r="K447" s="15">
        <v>5.4162999999999996E-2</v>
      </c>
      <c r="L447" s="17">
        <v>44936.369837999999</v>
      </c>
      <c r="M447" s="4" t="s">
        <v>1585</v>
      </c>
      <c r="N447" s="19">
        <v>2.310073</v>
      </c>
      <c r="O447" s="19">
        <v>2.8071999999999999</v>
      </c>
      <c r="P447" s="19">
        <v>0.84</v>
      </c>
      <c r="Q447" s="19">
        <v>3.0775999999999999</v>
      </c>
      <c r="R447" s="19">
        <v>2.5499999999999998</v>
      </c>
      <c r="S447" s="19">
        <v>3.0072000000000001</v>
      </c>
      <c r="T447" s="19">
        <v>2.5499999999999998</v>
      </c>
      <c r="U447" s="19">
        <v>2.9157999999999999</v>
      </c>
      <c r="V447" s="19">
        <v>2.1800000000000002</v>
      </c>
      <c r="W447" s="19">
        <v>2.7951000000000001</v>
      </c>
      <c r="X447" s="19">
        <v>2.1800000000000002</v>
      </c>
      <c r="Y447" s="19">
        <v>2.7951000000000001</v>
      </c>
      <c r="Z447" s="4"/>
      <c r="AA447" s="4"/>
      <c r="AB447" s="4" t="e">
        <f ca="1">_xll.ciqfunctions.udf.CIQ("^SPX", "IQ_PRICEDATE", "9/30/2015")</f>
        <v>#NAME?</v>
      </c>
      <c r="AC447" s="16">
        <v>1920.0265516397001</v>
      </c>
    </row>
    <row r="448" spans="1:29" x14ac:dyDescent="0.35">
      <c r="A448" s="2" t="s">
        <v>458</v>
      </c>
      <c r="B448" s="4" t="s">
        <v>1586</v>
      </c>
      <c r="C448" s="4" t="s">
        <v>559</v>
      </c>
      <c r="D448" s="4" t="s">
        <v>560</v>
      </c>
      <c r="E448" s="4" t="s">
        <v>561</v>
      </c>
      <c r="F448" s="4" t="s">
        <v>1051</v>
      </c>
      <c r="G448" s="14">
        <v>110.8</v>
      </c>
      <c r="H448" s="10">
        <v>13.657080000000001</v>
      </c>
      <c r="I448" s="10">
        <v>23.691801999999999</v>
      </c>
      <c r="J448" s="10">
        <v>13.410314</v>
      </c>
      <c r="K448" s="15">
        <v>1.4079E-2</v>
      </c>
      <c r="L448" s="17">
        <v>68559.096296000003</v>
      </c>
      <c r="M448" s="4" t="s">
        <v>1587</v>
      </c>
      <c r="N448" s="19">
        <v>4.676723</v>
      </c>
      <c r="O448" s="19">
        <v>5.1369999999999996</v>
      </c>
      <c r="P448" s="19">
        <v>3.7037079999999998</v>
      </c>
      <c r="Q448" s="19">
        <v>4.1898999999999997</v>
      </c>
      <c r="R448" s="19">
        <v>3.4140440000000001</v>
      </c>
      <c r="S448" s="19">
        <v>3.7023999999999999</v>
      </c>
      <c r="T448" s="19">
        <v>3.4140440000000001</v>
      </c>
      <c r="U448" s="19">
        <v>3.5104000000000002</v>
      </c>
      <c r="V448" s="19">
        <v>3.02162</v>
      </c>
      <c r="W448" s="19">
        <v>3.4154</v>
      </c>
      <c r="X448" s="19">
        <v>3.02162</v>
      </c>
      <c r="Y448" s="19">
        <v>3.4154</v>
      </c>
      <c r="Z448" s="4"/>
      <c r="AA448" s="4"/>
      <c r="AB448" s="4" t="e">
        <f ca="1">_xll.ciqfunctions.udf.CIQ("^SPX", "IQ_PRICEDATE", "10/1/2015")</f>
        <v>#NAME?</v>
      </c>
      <c r="AC448" s="16">
        <v>1923.8200536917</v>
      </c>
    </row>
    <row r="449" spans="1:29" x14ac:dyDescent="0.35">
      <c r="A449" s="2" t="s">
        <v>459</v>
      </c>
      <c r="B449" s="4" t="s">
        <v>1588</v>
      </c>
      <c r="C449" s="4" t="s">
        <v>573</v>
      </c>
      <c r="D449" s="4" t="s">
        <v>579</v>
      </c>
      <c r="E449" s="4" t="s">
        <v>579</v>
      </c>
      <c r="F449" s="4" t="s">
        <v>842</v>
      </c>
      <c r="G449" s="14">
        <v>126.44</v>
      </c>
      <c r="H449" s="10">
        <v>10.579386</v>
      </c>
      <c r="I449" s="10">
        <v>17.132691000000001</v>
      </c>
      <c r="J449" s="10">
        <v>1.845985</v>
      </c>
      <c r="K449" s="15">
        <v>2.4359000000000002E-2</v>
      </c>
      <c r="L449" s="17">
        <v>33845.867727999997</v>
      </c>
      <c r="M449" s="4" t="s">
        <v>1589</v>
      </c>
      <c r="N449" s="19">
        <v>7.3800429999999997</v>
      </c>
      <c r="O449" s="19">
        <v>10.9533</v>
      </c>
      <c r="P449" s="19">
        <v>7.33</v>
      </c>
      <c r="Q449" s="19">
        <v>8.6235999999999997</v>
      </c>
      <c r="R449" s="19">
        <v>10.28</v>
      </c>
      <c r="S449" s="19">
        <v>9.4224999999999994</v>
      </c>
      <c r="T449" s="19">
        <v>10.28</v>
      </c>
      <c r="U449" s="19">
        <v>9.6561000000000003</v>
      </c>
      <c r="V449" s="19">
        <v>10.7</v>
      </c>
      <c r="W449" s="19">
        <v>9.0736000000000008</v>
      </c>
      <c r="X449" s="19">
        <v>10.7</v>
      </c>
      <c r="Y449" s="19">
        <v>9.0736000000000008</v>
      </c>
      <c r="Z449" s="4"/>
      <c r="AA449" s="4"/>
      <c r="AB449" s="4" t="e">
        <f ca="1">_xll.ciqfunctions.udf.CIQ("^SPX", "IQ_PRICEDATE", "10/2/2015")</f>
        <v>#NAME?</v>
      </c>
      <c r="AC449" s="16">
        <v>1951.3598314296</v>
      </c>
    </row>
    <row r="450" spans="1:29" x14ac:dyDescent="0.35">
      <c r="A450" s="2" t="s">
        <v>460</v>
      </c>
      <c r="B450" s="4" t="s">
        <v>1590</v>
      </c>
      <c r="C450" s="4" t="s">
        <v>549</v>
      </c>
      <c r="D450" s="4" t="s">
        <v>550</v>
      </c>
      <c r="E450" s="4" t="s">
        <v>551</v>
      </c>
      <c r="F450" s="4" t="s">
        <v>1319</v>
      </c>
      <c r="G450" s="14">
        <v>117.13</v>
      </c>
      <c r="H450" s="10">
        <v>11.327843</v>
      </c>
      <c r="I450" s="10">
        <v>14.786587000000001</v>
      </c>
      <c r="J450" s="10">
        <v>22.268059999999998</v>
      </c>
      <c r="K450" s="15">
        <v>1.4343E-2</v>
      </c>
      <c r="L450" s="17">
        <v>174200.72526899999</v>
      </c>
      <c r="M450" s="4" t="s">
        <v>1591</v>
      </c>
      <c r="N450" s="19">
        <v>7.9213680000000002</v>
      </c>
      <c r="O450" s="19">
        <v>7.3235000000000001</v>
      </c>
      <c r="P450" s="19">
        <v>7.0114150000000004</v>
      </c>
      <c r="Q450" s="19">
        <v>6.2363600000000003</v>
      </c>
      <c r="R450" s="19">
        <v>5.5402740000000001</v>
      </c>
      <c r="S450" s="19">
        <v>5.9319699999999997</v>
      </c>
      <c r="T450" s="19">
        <v>5.5402740000000001</v>
      </c>
      <c r="U450" s="19">
        <v>5.6629300000000002</v>
      </c>
      <c r="V450" s="19">
        <v>4.4978670000000003</v>
      </c>
      <c r="W450" s="19">
        <v>4.6808100000000001</v>
      </c>
      <c r="X450" s="19">
        <v>4.4978670000000003</v>
      </c>
      <c r="Y450" s="19">
        <v>4.6808100000000001</v>
      </c>
      <c r="Z450" s="4"/>
      <c r="AA450" s="4"/>
      <c r="AB450" s="4" t="e">
        <f ca="1">_xll.ciqfunctions.udf.CIQ("^SPX", "IQ_PRICEDATE", "10/5/2015")</f>
        <v>#NAME?</v>
      </c>
      <c r="AC450" s="16">
        <v>1987.0541437813999</v>
      </c>
    </row>
    <row r="451" spans="1:29" x14ac:dyDescent="0.35">
      <c r="A451" s="2" t="s">
        <v>461</v>
      </c>
      <c r="B451" s="4" t="s">
        <v>1592</v>
      </c>
      <c r="C451" s="4" t="s">
        <v>543</v>
      </c>
      <c r="D451" s="4" t="s">
        <v>544</v>
      </c>
      <c r="E451" s="4" t="s">
        <v>545</v>
      </c>
      <c r="F451" s="4" t="s">
        <v>616</v>
      </c>
      <c r="G451" s="14">
        <v>18.420000000000002</v>
      </c>
      <c r="H451" s="10">
        <v>7.8900360000000003</v>
      </c>
      <c r="I451" s="10" t="s">
        <v>534</v>
      </c>
      <c r="J451" s="10" t="s">
        <v>534</v>
      </c>
      <c r="K451" s="15">
        <v>4.1258999999999997E-2</v>
      </c>
      <c r="L451" s="17">
        <v>8238.3570099999997</v>
      </c>
      <c r="M451" s="4" t="s">
        <v>1593</v>
      </c>
      <c r="N451" s="19">
        <v>-0.99375199999999997</v>
      </c>
      <c r="O451" s="19">
        <v>1.8697999999999999</v>
      </c>
      <c r="P451" s="19">
        <v>-1.190639</v>
      </c>
      <c r="Q451" s="19">
        <v>1.8042</v>
      </c>
      <c r="R451" s="19">
        <v>0.51</v>
      </c>
      <c r="S451" s="19">
        <v>1.7021999999999999</v>
      </c>
      <c r="T451" s="19">
        <v>0.51</v>
      </c>
      <c r="U451" s="19">
        <v>1.722</v>
      </c>
      <c r="V451" s="19">
        <v>1.59</v>
      </c>
      <c r="W451" s="19">
        <v>1.5556000000000001</v>
      </c>
      <c r="X451" s="19">
        <v>1.59</v>
      </c>
      <c r="Y451" s="19">
        <v>1.5556000000000001</v>
      </c>
      <c r="Z451" s="4"/>
      <c r="AA451" s="4"/>
      <c r="AB451" s="4" t="e">
        <f ca="1">_xll.ciqfunctions.udf.CIQ("^SPX", "IQ_PRICEDATE", "10/6/2015")</f>
        <v>#NAME?</v>
      </c>
      <c r="AC451" s="16">
        <v>1979.9150477426001</v>
      </c>
    </row>
    <row r="452" spans="1:29" x14ac:dyDescent="0.35">
      <c r="A452" s="2" t="s">
        <v>462</v>
      </c>
      <c r="B452" s="4" t="s">
        <v>1594</v>
      </c>
      <c r="C452" s="4" t="s">
        <v>669</v>
      </c>
      <c r="D452" s="4" t="s">
        <v>669</v>
      </c>
      <c r="E452" s="4" t="s">
        <v>670</v>
      </c>
      <c r="F452" s="4" t="s">
        <v>1206</v>
      </c>
      <c r="G452" s="14">
        <v>26.88</v>
      </c>
      <c r="H452" s="10">
        <v>15.143402999999999</v>
      </c>
      <c r="I452" s="10">
        <v>11.118823000000001</v>
      </c>
      <c r="J452" s="10">
        <v>23.673870999999998</v>
      </c>
      <c r="K452" s="15">
        <v>5.0595000000000001E-2</v>
      </c>
      <c r="L452" s="17">
        <v>32507.865600000001</v>
      </c>
      <c r="M452" s="4" t="s">
        <v>1595</v>
      </c>
      <c r="N452" s="19">
        <v>2.4175219999999999</v>
      </c>
      <c r="O452" s="19">
        <v>1.0054000000000001</v>
      </c>
      <c r="P452" s="19">
        <v>2.62</v>
      </c>
      <c r="Q452" s="19">
        <v>0.88419999999999999</v>
      </c>
      <c r="R452" s="19">
        <v>-0.56999999999999995</v>
      </c>
      <c r="S452" s="19">
        <v>0.78600000000000003</v>
      </c>
      <c r="T452" s="19">
        <v>-0.56999999999999995</v>
      </c>
      <c r="U452" s="19">
        <v>1.3778999999999999</v>
      </c>
      <c r="V452" s="19">
        <v>2.91</v>
      </c>
      <c r="W452" s="19">
        <v>1.2786999999999999</v>
      </c>
      <c r="X452" s="19">
        <v>2.91</v>
      </c>
      <c r="Y452" s="19">
        <v>1.2786999999999999</v>
      </c>
      <c r="Z452" s="4"/>
      <c r="AA452" s="4"/>
      <c r="AB452" s="4" t="e">
        <f ca="1">_xll.ciqfunctions.udf.CIQ("^SPX", "IQ_PRICEDATE", "10/7/2015")</f>
        <v>#NAME?</v>
      </c>
      <c r="AC452" s="16">
        <v>1995.8264815445</v>
      </c>
    </row>
    <row r="453" spans="1:29" x14ac:dyDescent="0.35">
      <c r="A453" s="2" t="s">
        <v>463</v>
      </c>
      <c r="B453" s="4" t="s">
        <v>1596</v>
      </c>
      <c r="C453" s="4" t="s">
        <v>530</v>
      </c>
      <c r="D453" s="4" t="s">
        <v>537</v>
      </c>
      <c r="E453" s="4" t="s">
        <v>583</v>
      </c>
      <c r="F453" s="4" t="s">
        <v>583</v>
      </c>
      <c r="G453" s="14">
        <v>234.65</v>
      </c>
      <c r="H453" s="10">
        <v>19.576395000000002</v>
      </c>
      <c r="I453" s="10">
        <v>39.594447000000002</v>
      </c>
      <c r="J453" s="10" t="s">
        <v>534</v>
      </c>
      <c r="K453" s="15">
        <v>2.8970000000000003E-3</v>
      </c>
      <c r="L453" s="17">
        <v>94516.140297000005</v>
      </c>
      <c r="M453" s="4" t="s">
        <v>1597</v>
      </c>
      <c r="N453" s="19">
        <v>5.926336</v>
      </c>
      <c r="O453" s="19">
        <v>11.6022</v>
      </c>
      <c r="P453" s="19">
        <v>5.6</v>
      </c>
      <c r="Q453" s="19">
        <v>10.3156</v>
      </c>
      <c r="R453" s="19">
        <v>5.0999999999999996</v>
      </c>
      <c r="S453" s="19">
        <v>8.9893999999999998</v>
      </c>
      <c r="T453" s="19">
        <v>5.0999999999999996</v>
      </c>
      <c r="U453" s="19">
        <v>7.9717000000000002</v>
      </c>
      <c r="V453" s="19">
        <v>4.71</v>
      </c>
      <c r="W453" s="19">
        <v>7.5541999999999998</v>
      </c>
      <c r="X453" s="19">
        <v>4.71</v>
      </c>
      <c r="Y453" s="19">
        <v>7.5541999999999998</v>
      </c>
      <c r="Z453" s="4"/>
      <c r="AA453" s="4"/>
      <c r="AB453" s="4" t="e">
        <f ca="1">_xll.ciqfunctions.udf.CIQ("^SPX", "IQ_PRICEDATE", "10/8/2015")</f>
        <v>#NAME?</v>
      </c>
      <c r="AC453" s="16">
        <v>2013.4308976294001</v>
      </c>
    </row>
    <row r="454" spans="1:29" x14ac:dyDescent="0.35">
      <c r="A454" s="2" t="s">
        <v>464</v>
      </c>
      <c r="B454" s="4" t="s">
        <v>1598</v>
      </c>
      <c r="C454" s="4" t="s">
        <v>559</v>
      </c>
      <c r="D454" s="4" t="s">
        <v>560</v>
      </c>
      <c r="E454" s="4" t="s">
        <v>561</v>
      </c>
      <c r="F454" s="4" t="s">
        <v>1599</v>
      </c>
      <c r="G454" s="14">
        <v>112</v>
      </c>
      <c r="H454" s="10">
        <v>12.95468</v>
      </c>
      <c r="I454" s="10">
        <v>31.044820999999999</v>
      </c>
      <c r="J454" s="10">
        <v>4.484947</v>
      </c>
      <c r="K454" s="15">
        <v>1.9642E-2</v>
      </c>
      <c r="L454" s="17">
        <v>13710.03592</v>
      </c>
      <c r="M454" s="4" t="s">
        <v>1600</v>
      </c>
      <c r="N454" s="19">
        <v>3.6076869999999999</v>
      </c>
      <c r="O454" s="19">
        <v>5.0213999999999999</v>
      </c>
      <c r="P454" s="19">
        <v>3.7218010000000001</v>
      </c>
      <c r="Q454" s="19">
        <v>4.1689999999999996</v>
      </c>
      <c r="R454" s="19">
        <v>3.571342</v>
      </c>
      <c r="S454" s="19">
        <v>3.8713000000000002</v>
      </c>
      <c r="T454" s="19">
        <v>3.571342</v>
      </c>
      <c r="U454" s="19">
        <v>4.1371000000000002</v>
      </c>
      <c r="V454" s="19">
        <v>1.4300409999999999</v>
      </c>
      <c r="W454" s="19">
        <v>4.6894999999999998</v>
      </c>
      <c r="X454" s="19">
        <v>1.4300409999999999</v>
      </c>
      <c r="Y454" s="19">
        <v>4.6894999999999998</v>
      </c>
      <c r="Z454" s="4"/>
      <c r="AA454" s="4"/>
      <c r="AB454" s="4" t="e">
        <f ca="1">_xll.ciqfunctions.udf.CIQ("^SPX", "IQ_PRICEDATE", "10/9/2015")</f>
        <v>#NAME?</v>
      </c>
      <c r="AC454" s="16">
        <v>2014.8926461318999</v>
      </c>
    </row>
    <row r="455" spans="1:29" x14ac:dyDescent="0.35">
      <c r="A455" s="2" t="s">
        <v>465</v>
      </c>
      <c r="B455" s="4" t="s">
        <v>1601</v>
      </c>
      <c r="C455" s="4" t="s">
        <v>573</v>
      </c>
      <c r="D455" s="4" t="s">
        <v>579</v>
      </c>
      <c r="E455" s="4" t="s">
        <v>579</v>
      </c>
      <c r="F455" s="4" t="s">
        <v>580</v>
      </c>
      <c r="G455" s="14">
        <v>85.83</v>
      </c>
      <c r="H455" s="10">
        <v>11.337294999999999</v>
      </c>
      <c r="I455" s="10">
        <v>6.5372880000000002</v>
      </c>
      <c r="J455" s="10">
        <v>1.8893150000000001</v>
      </c>
      <c r="K455" s="15">
        <v>7.4560000000000008E-3</v>
      </c>
      <c r="L455" s="17">
        <v>9638.416577</v>
      </c>
      <c r="M455" s="4" t="s">
        <v>1602</v>
      </c>
      <c r="N455" s="19">
        <v>13.129296</v>
      </c>
      <c r="O455" s="19">
        <v>6.2961999999999998</v>
      </c>
      <c r="P455" s="19">
        <v>12.259999000000001</v>
      </c>
      <c r="Q455" s="19">
        <v>5.0377000000000001</v>
      </c>
      <c r="R455" s="19">
        <v>4.41</v>
      </c>
      <c r="S455" s="19">
        <v>4.6266999999999996</v>
      </c>
      <c r="T455" s="19">
        <v>4.41</v>
      </c>
      <c r="U455" s="19">
        <v>4.3547000000000002</v>
      </c>
      <c r="V455" s="19">
        <v>3.9799989999999998</v>
      </c>
      <c r="W455" s="19">
        <v>4.2285000000000004</v>
      </c>
      <c r="X455" s="19">
        <v>3.9799989999999998</v>
      </c>
      <c r="Y455" s="19">
        <v>4.2285000000000004</v>
      </c>
      <c r="Z455" s="4"/>
      <c r="AA455" s="4"/>
      <c r="AB455" s="4" t="e">
        <f ca="1">_xll.ciqfunctions.udf.CIQ("^SPX", "IQ_PRICEDATE", "10/12/2015")</f>
        <v>#NAME?</v>
      </c>
      <c r="AC455" s="16">
        <v>2017.4562247174999</v>
      </c>
    </row>
    <row r="456" spans="1:29" x14ac:dyDescent="0.35">
      <c r="A456" s="2" t="s">
        <v>466</v>
      </c>
      <c r="B456" s="4" t="s">
        <v>1603</v>
      </c>
      <c r="C456" s="4" t="s">
        <v>543</v>
      </c>
      <c r="D456" s="4" t="s">
        <v>544</v>
      </c>
      <c r="E456" s="4" t="s">
        <v>545</v>
      </c>
      <c r="F456" s="4" t="s">
        <v>616</v>
      </c>
      <c r="G456" s="14">
        <v>95.35</v>
      </c>
      <c r="H456" s="10">
        <v>19.469083999999999</v>
      </c>
      <c r="I456" s="10">
        <v>27.096589000000002</v>
      </c>
      <c r="J456" s="10" t="s">
        <v>534</v>
      </c>
      <c r="K456" s="15">
        <v>5.4530000000000004E-3</v>
      </c>
      <c r="L456" s="17">
        <v>17393.559923000001</v>
      </c>
      <c r="M456" s="4" t="s">
        <v>1604</v>
      </c>
      <c r="N456" s="19">
        <v>3.5188929999999998</v>
      </c>
      <c r="O456" s="19">
        <v>4.5712000000000002</v>
      </c>
      <c r="P456" s="19">
        <v>3.161219</v>
      </c>
      <c r="Q456" s="19">
        <v>3.6002000000000001</v>
      </c>
      <c r="R456" s="19">
        <v>1.7329429999999999</v>
      </c>
      <c r="S456" s="19">
        <v>3.0804999999999998</v>
      </c>
      <c r="T456" s="19">
        <v>1.7329429999999999</v>
      </c>
      <c r="U456" s="19">
        <v>2.5766</v>
      </c>
      <c r="V456" s="19">
        <v>1.45852</v>
      </c>
      <c r="W456" s="19">
        <v>2.1427999999999998</v>
      </c>
      <c r="X456" s="19">
        <v>1.45852</v>
      </c>
      <c r="Y456" s="19">
        <v>2.1427999999999998</v>
      </c>
      <c r="Z456" s="4"/>
      <c r="AA456" s="4"/>
      <c r="AB456" s="4" t="e">
        <f ca="1">_xll.ciqfunctions.udf.CIQ("^SPX", "IQ_PRICEDATE", "10/13/2015")</f>
        <v>#NAME?</v>
      </c>
      <c r="AC456" s="16">
        <v>2003.6902857436</v>
      </c>
    </row>
    <row r="457" spans="1:29" x14ac:dyDescent="0.35">
      <c r="A457" s="2" t="s">
        <v>467</v>
      </c>
      <c r="B457" s="4" t="s">
        <v>1605</v>
      </c>
      <c r="C457" s="4" t="s">
        <v>559</v>
      </c>
      <c r="D457" s="4" t="s">
        <v>560</v>
      </c>
      <c r="E457" s="4" t="s">
        <v>561</v>
      </c>
      <c r="F457" s="4" t="s">
        <v>1599</v>
      </c>
      <c r="G457" s="14">
        <v>88.06</v>
      </c>
      <c r="H457" s="10">
        <v>12.881307</v>
      </c>
      <c r="I457" s="10">
        <v>22.919858000000001</v>
      </c>
      <c r="J457" s="10">
        <v>8.3700810000000008</v>
      </c>
      <c r="K457" s="15">
        <v>1.4081E-2</v>
      </c>
      <c r="L457" s="17">
        <v>10726.119857</v>
      </c>
      <c r="M457" s="4" t="s">
        <v>1606</v>
      </c>
      <c r="N457" s="19">
        <v>3.8420830000000001</v>
      </c>
      <c r="O457" s="19">
        <v>4.3891999999999998</v>
      </c>
      <c r="P457" s="19">
        <v>3.3</v>
      </c>
      <c r="Q457" s="19">
        <v>3.4685000000000001</v>
      </c>
      <c r="R457" s="19">
        <v>3.27</v>
      </c>
      <c r="S457" s="19">
        <v>3.4594999999999998</v>
      </c>
      <c r="T457" s="19">
        <v>3.27</v>
      </c>
      <c r="U457" s="19">
        <v>3.4003999999999999</v>
      </c>
      <c r="V457" s="19">
        <v>2.66</v>
      </c>
      <c r="W457" s="19">
        <v>2.9098999999999999</v>
      </c>
      <c r="X457" s="19">
        <v>2.66</v>
      </c>
      <c r="Y457" s="19">
        <v>2.9098999999999999</v>
      </c>
      <c r="Z457" s="4"/>
      <c r="AA457" s="4"/>
      <c r="AB457" s="4" t="e">
        <f ca="1">_xll.ciqfunctions.udf.CIQ("^SPX", "IQ_PRICEDATE", "10/14/2015")</f>
        <v>#NAME?</v>
      </c>
      <c r="AC457" s="16">
        <v>1994.2423705799999</v>
      </c>
    </row>
    <row r="458" spans="1:29" x14ac:dyDescent="0.35">
      <c r="A458" s="2" t="s">
        <v>468</v>
      </c>
      <c r="B458" s="4" t="s">
        <v>1607</v>
      </c>
      <c r="C458" s="4" t="s">
        <v>525</v>
      </c>
      <c r="D458" s="4" t="s">
        <v>526</v>
      </c>
      <c r="E458" s="4" t="s">
        <v>703</v>
      </c>
      <c r="F458" s="4" t="s">
        <v>703</v>
      </c>
      <c r="G458" s="14">
        <v>347.78</v>
      </c>
      <c r="H458" s="10">
        <v>16.753229999999999</v>
      </c>
      <c r="I458" s="10">
        <v>24.205611999999999</v>
      </c>
      <c r="J458" s="10" t="s">
        <v>534</v>
      </c>
      <c r="K458" s="15">
        <v>0</v>
      </c>
      <c r="L458" s="17">
        <v>18303.207199</v>
      </c>
      <c r="M458" s="4" t="s">
        <v>1608</v>
      </c>
      <c r="N458" s="19">
        <v>14.367742</v>
      </c>
      <c r="O458" s="19">
        <v>16.288699999999999</v>
      </c>
      <c r="P458" s="19">
        <v>12.69909</v>
      </c>
      <c r="Q458" s="19">
        <v>13.372640000000001</v>
      </c>
      <c r="R458" s="19">
        <v>8.5559060000000002</v>
      </c>
      <c r="S458" s="19">
        <v>12.1408</v>
      </c>
      <c r="T458" s="19">
        <v>8.5559060000000002</v>
      </c>
      <c r="U458" s="19">
        <v>10.626720000000001</v>
      </c>
      <c r="V458" s="19">
        <v>3.3478279999999998</v>
      </c>
      <c r="W458" s="19">
        <v>8.3816699999999997</v>
      </c>
      <c r="X458" s="19">
        <v>3.3478279999999998</v>
      </c>
      <c r="Y458" s="19">
        <v>8.3816699999999997</v>
      </c>
      <c r="Z458" s="4"/>
      <c r="AA458" s="4"/>
      <c r="AB458" s="4" t="e">
        <f ca="1">_xll.ciqfunctions.udf.CIQ("^SPX", "IQ_PRICEDATE", "10/15/2015")</f>
        <v>#NAME?</v>
      </c>
      <c r="AC458" s="16">
        <v>2023.8617836236999</v>
      </c>
    </row>
    <row r="459" spans="1:29" x14ac:dyDescent="0.35">
      <c r="A459" s="2" t="s">
        <v>469</v>
      </c>
      <c r="B459" s="4" t="s">
        <v>1609</v>
      </c>
      <c r="C459" s="4" t="s">
        <v>549</v>
      </c>
      <c r="D459" s="4" t="s">
        <v>550</v>
      </c>
      <c r="E459" s="4" t="s">
        <v>623</v>
      </c>
      <c r="F459" s="4" t="s">
        <v>623</v>
      </c>
      <c r="G459" s="14">
        <v>47.16</v>
      </c>
      <c r="H459" s="10">
        <v>34.371181999999997</v>
      </c>
      <c r="I459" s="10" t="s">
        <v>534</v>
      </c>
      <c r="J459" s="10">
        <v>14.541498000000001</v>
      </c>
      <c r="K459" s="15">
        <v>0</v>
      </c>
      <c r="L459" s="17">
        <v>6486.7297719999997</v>
      </c>
      <c r="M459" s="4" t="s">
        <v>1610</v>
      </c>
      <c r="N459" s="19">
        <v>-0.16770399999999999</v>
      </c>
      <c r="O459" s="19">
        <v>1.4690000000000001</v>
      </c>
      <c r="P459" s="19">
        <v>-0.14000000000000001</v>
      </c>
      <c r="Q459" s="19">
        <v>1.0461</v>
      </c>
      <c r="R459" s="19">
        <v>0.82</v>
      </c>
      <c r="S459" s="19">
        <v>1.5522</v>
      </c>
      <c r="T459" s="19">
        <v>0.82</v>
      </c>
      <c r="U459" s="19">
        <v>2.157</v>
      </c>
      <c r="V459" s="19">
        <v>1.55</v>
      </c>
      <c r="W459" s="19">
        <v>2.4192999999999998</v>
      </c>
      <c r="X459" s="19">
        <v>1.55</v>
      </c>
      <c r="Y459" s="19">
        <v>2.4192999999999998</v>
      </c>
      <c r="Z459" s="4"/>
      <c r="AA459" s="4"/>
      <c r="AB459" s="4" t="e">
        <f ca="1">_xll.ciqfunctions.udf.CIQ("^SPX", "IQ_PRICEDATE", "10/16/2015")</f>
        <v>#NAME?</v>
      </c>
      <c r="AC459" s="16">
        <v>2033.1103965692</v>
      </c>
    </row>
    <row r="460" spans="1:29" x14ac:dyDescent="0.35">
      <c r="A460" s="2" t="s">
        <v>470</v>
      </c>
      <c r="B460" s="4" t="s">
        <v>1611</v>
      </c>
      <c r="C460" s="4" t="s">
        <v>549</v>
      </c>
      <c r="D460" s="4" t="s">
        <v>550</v>
      </c>
      <c r="E460" s="4" t="s">
        <v>551</v>
      </c>
      <c r="F460" s="4" t="s">
        <v>1319</v>
      </c>
      <c r="G460" s="14">
        <v>45.46</v>
      </c>
      <c r="H460" s="10">
        <v>14.55697</v>
      </c>
      <c r="I460" s="10">
        <v>0</v>
      </c>
      <c r="J460" s="10">
        <v>0</v>
      </c>
      <c r="K460" s="15">
        <v>0</v>
      </c>
      <c r="L460" s="17">
        <v>84608.020678999994</v>
      </c>
      <c r="M460" s="4" t="s">
        <v>1331</v>
      </c>
      <c r="N460" s="19">
        <v>2.41</v>
      </c>
      <c r="O460" s="19">
        <v>2.0968399999999998</v>
      </c>
      <c r="P460" s="19">
        <v>2.1397729999999999</v>
      </c>
      <c r="Q460" s="19">
        <v>2.0568</v>
      </c>
      <c r="R460" s="19">
        <v>1.6462760000000001</v>
      </c>
      <c r="S460" s="19">
        <v>1.929</v>
      </c>
      <c r="T460" s="19">
        <v>1.6462760000000001</v>
      </c>
      <c r="U460" s="19">
        <v>1.9152</v>
      </c>
      <c r="V460" s="19">
        <v>4.213857</v>
      </c>
      <c r="W460" s="19">
        <v>1.78</v>
      </c>
      <c r="X460" s="19">
        <v>4.213857</v>
      </c>
      <c r="Y460" s="19">
        <v>1.78</v>
      </c>
      <c r="Z460" s="4"/>
      <c r="AA460" s="4"/>
      <c r="AB460" s="4" t="e">
        <f ca="1">_xll.ciqfunctions.udf.CIQ("^SPX", "IQ_PRICEDATE", "10/19/2015")</f>
        <v>#NAME?</v>
      </c>
      <c r="AC460" s="16">
        <v>2033.6644048101</v>
      </c>
    </row>
    <row r="461" spans="1:29" x14ac:dyDescent="0.35">
      <c r="A461" s="2" t="s">
        <v>471</v>
      </c>
      <c r="B461" s="4" t="s">
        <v>1611</v>
      </c>
      <c r="C461" s="4" t="s">
        <v>549</v>
      </c>
      <c r="D461" s="4" t="s">
        <v>550</v>
      </c>
      <c r="E461" s="4" t="s">
        <v>551</v>
      </c>
      <c r="F461" s="4" t="s">
        <v>1319</v>
      </c>
      <c r="G461" s="14">
        <v>45.83</v>
      </c>
      <c r="H461" s="10">
        <v>14.55697</v>
      </c>
      <c r="I461" s="10">
        <v>19.016597000000001</v>
      </c>
      <c r="J461" s="10" t="s">
        <v>534</v>
      </c>
      <c r="K461" s="15">
        <v>7.8549999999999991E-3</v>
      </c>
      <c r="L461" s="17">
        <v>84608.020678999994</v>
      </c>
      <c r="M461" s="4" t="s">
        <v>1331</v>
      </c>
      <c r="N461" s="19">
        <v>2.41</v>
      </c>
      <c r="O461" s="19">
        <v>2.0968399999999998</v>
      </c>
      <c r="P461" s="19">
        <v>2.1397729999999999</v>
      </c>
      <c r="Q461" s="19">
        <v>2.0568</v>
      </c>
      <c r="R461" s="19">
        <v>1.6462760000000001</v>
      </c>
      <c r="S461" s="19">
        <v>1.929</v>
      </c>
      <c r="T461" s="19">
        <v>1.6462760000000001</v>
      </c>
      <c r="U461" s="19">
        <v>1.9152</v>
      </c>
      <c r="V461" s="19">
        <v>4.213857</v>
      </c>
      <c r="W461" s="19">
        <v>1.7846</v>
      </c>
      <c r="X461" s="19">
        <v>4.213857</v>
      </c>
      <c r="Y461" s="19">
        <v>1.7846</v>
      </c>
      <c r="Z461" s="4"/>
      <c r="AA461" s="4"/>
      <c r="AB461" s="4" t="e">
        <f ca="1">_xll.ciqfunctions.udf.CIQ("^SPX", "IQ_PRICEDATE", "10/20/2015")</f>
        <v>#NAME?</v>
      </c>
      <c r="AC461" s="16">
        <v>2030.7671635219001</v>
      </c>
    </row>
    <row r="462" spans="1:29" x14ac:dyDescent="0.35">
      <c r="A462" s="2" t="s">
        <v>472</v>
      </c>
      <c r="B462" s="4" t="s">
        <v>1612</v>
      </c>
      <c r="C462" s="4" t="s">
        <v>549</v>
      </c>
      <c r="D462" s="4" t="s">
        <v>550</v>
      </c>
      <c r="E462" s="4" t="s">
        <v>623</v>
      </c>
      <c r="F462" s="4" t="s">
        <v>623</v>
      </c>
      <c r="G462" s="14">
        <v>29.55</v>
      </c>
      <c r="H462" s="10">
        <v>33.006252000000003</v>
      </c>
      <c r="I462" s="10">
        <v>95.597655000000003</v>
      </c>
      <c r="J462" s="10">
        <v>5.1907290000000001</v>
      </c>
      <c r="K462" s="15">
        <v>0</v>
      </c>
      <c r="L462" s="17">
        <v>22308.772499999999</v>
      </c>
      <c r="M462" s="4" t="s">
        <v>1613</v>
      </c>
      <c r="N462" s="19">
        <v>0.30910799999999999</v>
      </c>
      <c r="O462" s="19">
        <v>0.6915</v>
      </c>
      <c r="P462" s="19">
        <v>-0.15</v>
      </c>
      <c r="Q462" s="19">
        <v>0.42959999999999998</v>
      </c>
      <c r="R462" s="19">
        <v>-0.65069100000000002</v>
      </c>
      <c r="S462" s="19">
        <v>0.55520000000000003</v>
      </c>
      <c r="T462" s="19">
        <v>-0.65069100000000002</v>
      </c>
      <c r="U462" s="19">
        <v>0.43809999999999999</v>
      </c>
      <c r="V462" s="19">
        <v>-0.96</v>
      </c>
      <c r="W462" s="19">
        <v>0.24909999999999999</v>
      </c>
      <c r="X462" s="19">
        <v>-0.96</v>
      </c>
      <c r="Y462" s="19">
        <v>0.24909999999999999</v>
      </c>
      <c r="Z462" s="4"/>
      <c r="AA462" s="4"/>
      <c r="AB462" s="4" t="e">
        <f ca="1">_xll.ciqfunctions.udf.CIQ("^SPX", "IQ_PRICEDATE", "10/21/2015")</f>
        <v>#NAME?</v>
      </c>
      <c r="AC462" s="16">
        <v>2018.941033007</v>
      </c>
    </row>
    <row r="463" spans="1:29" x14ac:dyDescent="0.35">
      <c r="A463" s="2" t="s">
        <v>473</v>
      </c>
      <c r="B463" s="4" t="s">
        <v>1614</v>
      </c>
      <c r="C463" s="4" t="s">
        <v>626</v>
      </c>
      <c r="D463" s="4" t="s">
        <v>627</v>
      </c>
      <c r="E463" s="4" t="s">
        <v>699</v>
      </c>
      <c r="F463" s="4" t="s">
        <v>789</v>
      </c>
      <c r="G463" s="14">
        <v>61.97</v>
      </c>
      <c r="H463" s="10">
        <v>7.8864830000000001</v>
      </c>
      <c r="I463" s="10">
        <v>7.9492050000000001</v>
      </c>
      <c r="J463" s="10" t="s">
        <v>534</v>
      </c>
      <c r="K463" s="15">
        <v>1.9363999999999999E-2</v>
      </c>
      <c r="L463" s="17">
        <v>22676.699452000001</v>
      </c>
      <c r="M463" s="4" t="s">
        <v>1615</v>
      </c>
      <c r="N463" s="19">
        <v>7.7957479999999997</v>
      </c>
      <c r="O463" s="19">
        <v>5.7884000000000002</v>
      </c>
      <c r="P463" s="19">
        <v>7.6092820000000003</v>
      </c>
      <c r="Q463" s="19">
        <v>5.8586299999999998</v>
      </c>
      <c r="R463" s="19">
        <v>4.9569989999999997</v>
      </c>
      <c r="S463" s="19">
        <v>4.8356599999999998</v>
      </c>
      <c r="T463" s="19">
        <v>4.9569989999999997</v>
      </c>
      <c r="U463" s="19">
        <v>3.6011600000000001</v>
      </c>
      <c r="V463" s="19">
        <v>2.4127529999999999</v>
      </c>
      <c r="W463" s="19">
        <v>3.4053800000000001</v>
      </c>
      <c r="X463" s="19">
        <v>2.4127529999999999</v>
      </c>
      <c r="Y463" s="19">
        <v>3.4053800000000001</v>
      </c>
      <c r="Z463" s="4"/>
      <c r="AA463" s="4"/>
      <c r="AB463" s="4" t="e">
        <f ca="1">_xll.ciqfunctions.udf.CIQ("^SPX", "IQ_PRICEDATE", "10/22/2015")</f>
        <v>#NAME?</v>
      </c>
      <c r="AC463" s="16">
        <v>2052.5088261477999</v>
      </c>
    </row>
    <row r="464" spans="1:29" x14ac:dyDescent="0.35">
      <c r="A464" s="2" t="s">
        <v>474</v>
      </c>
      <c r="B464" s="4" t="s">
        <v>1616</v>
      </c>
      <c r="C464" s="4" t="s">
        <v>573</v>
      </c>
      <c r="D464" s="4" t="s">
        <v>737</v>
      </c>
      <c r="E464" s="4" t="s">
        <v>737</v>
      </c>
      <c r="F464" s="4" t="s">
        <v>738</v>
      </c>
      <c r="G464" s="14">
        <v>52.9</v>
      </c>
      <c r="H464" s="10">
        <v>0</v>
      </c>
      <c r="I464" s="10">
        <v>13.809882999999999</v>
      </c>
      <c r="J464" s="10">
        <v>2.529703</v>
      </c>
      <c r="K464" s="15">
        <v>2.7976999999999998E-2</v>
      </c>
      <c r="L464" s="17">
        <v>85856.7</v>
      </c>
      <c r="M464" s="4" t="s">
        <v>1617</v>
      </c>
      <c r="N464" s="19">
        <v>4.0007149999999996</v>
      </c>
      <c r="O464" s="19">
        <v>4.1962000000000002</v>
      </c>
      <c r="P464" s="19">
        <v>3.51</v>
      </c>
      <c r="Q464" s="19">
        <v>3.6615000000000002</v>
      </c>
      <c r="R464" s="19">
        <v>3.24</v>
      </c>
      <c r="S464" s="19">
        <v>3.3683000000000001</v>
      </c>
      <c r="T464" s="19">
        <v>3.24</v>
      </c>
      <c r="U464" s="19">
        <v>3.3271000000000002</v>
      </c>
      <c r="V464" s="19">
        <v>3.08</v>
      </c>
      <c r="W464" s="19">
        <v>3.2099000000000002</v>
      </c>
      <c r="X464" s="19">
        <v>3.08</v>
      </c>
      <c r="Y464" s="19">
        <v>3.2099000000000002</v>
      </c>
      <c r="Z464" s="4"/>
      <c r="AA464" s="4"/>
      <c r="AB464" s="4" t="e">
        <f ca="1">_xll.ciqfunctions.udf.CIQ("^SPX", "IQ_PRICEDATE", "10/23/2015")</f>
        <v>#NAME?</v>
      </c>
      <c r="AC464" s="16">
        <v>2075.1512780694002</v>
      </c>
    </row>
    <row r="465" spans="1:29" x14ac:dyDescent="0.35">
      <c r="A465" s="2" t="s">
        <v>475</v>
      </c>
      <c r="B465" s="4" t="s">
        <v>1618</v>
      </c>
      <c r="C465" s="4" t="s">
        <v>601</v>
      </c>
      <c r="D465" s="4" t="s">
        <v>601</v>
      </c>
      <c r="E465" s="4" t="s">
        <v>602</v>
      </c>
      <c r="F465" s="4" t="s">
        <v>685</v>
      </c>
      <c r="G465" s="14">
        <v>39.049999999999997</v>
      </c>
      <c r="H465" s="10">
        <v>23.943628</v>
      </c>
      <c r="I465" s="10">
        <v>57.430692999999998</v>
      </c>
      <c r="J465" s="10">
        <v>3.8551389999999999</v>
      </c>
      <c r="K465" s="15">
        <v>3.3034000000000001E-2</v>
      </c>
      <c r="L465" s="17">
        <v>10452.861161999999</v>
      </c>
      <c r="M465" s="4" t="s">
        <v>1619</v>
      </c>
      <c r="N465" s="19">
        <v>0.67995000000000005</v>
      </c>
      <c r="O465" s="19">
        <v>0.30149999999999999</v>
      </c>
      <c r="P465" s="19">
        <v>0.44</v>
      </c>
      <c r="Q465" s="19">
        <v>0.30809999999999998</v>
      </c>
      <c r="R465" s="19">
        <v>1.08</v>
      </c>
      <c r="S465" s="19">
        <v>0.23449999999999999</v>
      </c>
      <c r="T465" s="19">
        <v>1.08</v>
      </c>
      <c r="U465" s="19">
        <v>0.32969999999999999</v>
      </c>
      <c r="V465" s="19">
        <v>0.59</v>
      </c>
      <c r="W465" s="19">
        <v>0.14799999999999999</v>
      </c>
      <c r="X465" s="19">
        <v>0.59</v>
      </c>
      <c r="Y465" s="19">
        <v>0.14799999999999999</v>
      </c>
      <c r="Z465" s="4"/>
      <c r="AA465" s="4"/>
      <c r="AB465" s="4" t="e">
        <f ca="1">_xll.ciqfunctions.udf.CIQ("^SPX", "IQ_PRICEDATE", "10/26/2015")</f>
        <v>#NAME?</v>
      </c>
      <c r="AC465" s="16">
        <v>2071.1815203360002</v>
      </c>
    </row>
    <row r="466" spans="1:29" x14ac:dyDescent="0.35">
      <c r="A466" s="2" t="s">
        <v>476</v>
      </c>
      <c r="B466" s="4" t="s">
        <v>1620</v>
      </c>
      <c r="C466" s="4" t="s">
        <v>559</v>
      </c>
      <c r="D466" s="4" t="s">
        <v>560</v>
      </c>
      <c r="E466" s="4" t="s">
        <v>561</v>
      </c>
      <c r="F466" s="4" t="s">
        <v>1599</v>
      </c>
      <c r="G466" s="14">
        <v>281.92</v>
      </c>
      <c r="H466" s="10">
        <v>15.164898000000001</v>
      </c>
      <c r="I466" s="10">
        <v>27.505901000000001</v>
      </c>
      <c r="J466" s="10">
        <v>9.3127270000000006</v>
      </c>
      <c r="K466" s="15">
        <v>0</v>
      </c>
      <c r="L466" s="17">
        <v>16850.470885999999</v>
      </c>
      <c r="M466" s="4" t="s">
        <v>1621</v>
      </c>
      <c r="N466" s="19">
        <v>10.249437</v>
      </c>
      <c r="O466" s="19">
        <v>11.7638</v>
      </c>
      <c r="P466" s="19">
        <v>7.8250469999999996</v>
      </c>
      <c r="Q466" s="19">
        <v>9.4501000000000008</v>
      </c>
      <c r="R466" s="19">
        <v>5.9660380000000002</v>
      </c>
      <c r="S466" s="19">
        <v>7.4290000000000003</v>
      </c>
      <c r="T466" s="19">
        <v>5.9660380000000002</v>
      </c>
      <c r="U466" s="19">
        <v>5.4147999999999996</v>
      </c>
      <c r="V466" s="19">
        <v>3.729069</v>
      </c>
      <c r="W466" s="19">
        <v>4.3217999999999996</v>
      </c>
      <c r="X466" s="19">
        <v>3.729069</v>
      </c>
      <c r="Y466" s="19">
        <v>4.3217999999999996</v>
      </c>
      <c r="Z466" s="4"/>
      <c r="AA466" s="4"/>
      <c r="AB466" s="4" t="e">
        <f ca="1">_xll.ciqfunctions.udf.CIQ("^SPX", "IQ_PRICEDATE", "10/27/2015")</f>
        <v>#NAME?</v>
      </c>
      <c r="AC466" s="16">
        <v>2065.8922884034</v>
      </c>
    </row>
    <row r="467" spans="1:29" x14ac:dyDescent="0.35">
      <c r="A467" s="2" t="s">
        <v>477</v>
      </c>
      <c r="B467" s="4" t="s">
        <v>1622</v>
      </c>
      <c r="C467" s="4" t="s">
        <v>559</v>
      </c>
      <c r="D467" s="4" t="s">
        <v>912</v>
      </c>
      <c r="E467" s="4" t="s">
        <v>1097</v>
      </c>
      <c r="F467" s="4" t="s">
        <v>1098</v>
      </c>
      <c r="G467" s="14">
        <v>17.559999999999999</v>
      </c>
      <c r="H467" s="10">
        <v>26.577881000000001</v>
      </c>
      <c r="I467" s="10">
        <v>0</v>
      </c>
      <c r="J467" s="10">
        <v>0</v>
      </c>
      <c r="K467" s="15">
        <v>0</v>
      </c>
      <c r="L467" s="17">
        <v>8157.1402959999996</v>
      </c>
      <c r="M467" s="4" t="s">
        <v>1623</v>
      </c>
      <c r="N467" s="19">
        <v>-0.36042000000000002</v>
      </c>
      <c r="O467" s="19">
        <v>0.27500000000000002</v>
      </c>
      <c r="P467" s="19">
        <v>-0.11</v>
      </c>
      <c r="Q467" s="19">
        <v>0.15</v>
      </c>
      <c r="R467" s="19">
        <v>0.45</v>
      </c>
      <c r="S467" s="19">
        <v>0.65780000000000005</v>
      </c>
      <c r="T467" s="19">
        <v>0.45</v>
      </c>
      <c r="U467" s="19">
        <v>0</v>
      </c>
      <c r="V467" s="19">
        <v>0.47</v>
      </c>
      <c r="W467" s="19">
        <v>0</v>
      </c>
      <c r="X467" s="19">
        <v>0.47</v>
      </c>
      <c r="Y467" s="19">
        <v>0</v>
      </c>
      <c r="Z467" s="4"/>
      <c r="AA467" s="4"/>
      <c r="AB467" s="4" t="e">
        <f ca="1">_xll.ciqfunctions.udf.CIQ("^SPX", "IQ_PRICEDATE", "10/28/2015")</f>
        <v>#NAME?</v>
      </c>
      <c r="AC467" s="16">
        <v>2090.3538814400999</v>
      </c>
    </row>
    <row r="468" spans="1:29" x14ac:dyDescent="0.35">
      <c r="A468" s="2" t="s">
        <v>478</v>
      </c>
      <c r="B468" s="4" t="s">
        <v>1622</v>
      </c>
      <c r="C468" s="4" t="s">
        <v>559</v>
      </c>
      <c r="D468" s="4" t="s">
        <v>912</v>
      </c>
      <c r="E468" s="4" t="s">
        <v>1097</v>
      </c>
      <c r="F468" s="4" t="s">
        <v>1098</v>
      </c>
      <c r="G468" s="14">
        <v>19.12</v>
      </c>
      <c r="H468" s="10">
        <v>26.577881000000001</v>
      </c>
      <c r="I468" s="10" t="s">
        <v>534</v>
      </c>
      <c r="J468" s="10">
        <v>6.4106880000000004</v>
      </c>
      <c r="K468" s="15">
        <v>0</v>
      </c>
      <c r="L468" s="17">
        <v>8157.1402959999996</v>
      </c>
      <c r="M468" s="4" t="s">
        <v>1623</v>
      </c>
      <c r="N468" s="19">
        <v>-0.36042000000000002</v>
      </c>
      <c r="O468" s="19">
        <v>0.2432</v>
      </c>
      <c r="P468" s="19">
        <v>-0.11</v>
      </c>
      <c r="Q468" s="19">
        <v>0.14019999999999999</v>
      </c>
      <c r="R468" s="19">
        <v>0.45</v>
      </c>
      <c r="S468" s="19">
        <v>0.63149999999999995</v>
      </c>
      <c r="T468" s="19">
        <v>0.45</v>
      </c>
      <c r="U468" s="19">
        <v>0.60629999999999995</v>
      </c>
      <c r="V468" s="19">
        <v>0.47</v>
      </c>
      <c r="W468" s="19">
        <v>0.55289999999999995</v>
      </c>
      <c r="X468" s="19">
        <v>0.47</v>
      </c>
      <c r="Y468" s="19">
        <v>0.55289999999999995</v>
      </c>
      <c r="Z468" s="4"/>
      <c r="AA468" s="4"/>
      <c r="AB468" s="4" t="e">
        <f ca="1">_xll.ciqfunctions.udf.CIQ("^SPX", "IQ_PRICEDATE", "10/29/2015")</f>
        <v>#NAME?</v>
      </c>
      <c r="AC468" s="16">
        <v>2089.4074019073</v>
      </c>
    </row>
    <row r="469" spans="1:29" x14ac:dyDescent="0.35">
      <c r="A469" s="2" t="s">
        <v>479</v>
      </c>
      <c r="B469" s="4" t="s">
        <v>1624</v>
      </c>
      <c r="C469" s="4" t="s">
        <v>525</v>
      </c>
      <c r="D469" s="4" t="s">
        <v>594</v>
      </c>
      <c r="E469" s="4" t="s">
        <v>903</v>
      </c>
      <c r="F469" s="4" t="s">
        <v>904</v>
      </c>
      <c r="G469" s="14">
        <v>149.88999999999999</v>
      </c>
      <c r="H469" s="10">
        <v>12.510600999999999</v>
      </c>
      <c r="I469" s="10">
        <v>10.383309000000001</v>
      </c>
      <c r="J469" s="10">
        <v>5.7536160000000001</v>
      </c>
      <c r="K469" s="15">
        <v>2.1347999999999999E-2</v>
      </c>
      <c r="L469" s="17">
        <v>110842.822961</v>
      </c>
      <c r="M469" s="4" t="s">
        <v>1625</v>
      </c>
      <c r="N469" s="19">
        <v>14.435667</v>
      </c>
      <c r="O469" s="19">
        <v>8.2949999999999999</v>
      </c>
      <c r="P469" s="19">
        <v>13.36</v>
      </c>
      <c r="Q469" s="19">
        <v>6.2483000000000004</v>
      </c>
      <c r="R469" s="19">
        <v>5.07</v>
      </c>
      <c r="S469" s="19">
        <v>5.4150999999999998</v>
      </c>
      <c r="T469" s="19">
        <v>5.07</v>
      </c>
      <c r="U469" s="19">
        <v>5.8707000000000003</v>
      </c>
      <c r="V469" s="19">
        <v>5.75</v>
      </c>
      <c r="W469" s="19">
        <v>6.2869999999999999</v>
      </c>
      <c r="X469" s="19">
        <v>5.75</v>
      </c>
      <c r="Y469" s="19">
        <v>6.2869999999999999</v>
      </c>
      <c r="Z469" s="4"/>
      <c r="AA469" s="4"/>
      <c r="AB469" s="4" t="e">
        <f ca="1">_xll.ciqfunctions.udf.CIQ("^SPX", "IQ_PRICEDATE", "10/30/2015")</f>
        <v>#NAME?</v>
      </c>
      <c r="AC469" s="16">
        <v>2079.3598374672001</v>
      </c>
    </row>
    <row r="470" spans="1:29" x14ac:dyDescent="0.35">
      <c r="A470" s="2" t="s">
        <v>480</v>
      </c>
      <c r="B470" s="4" t="s">
        <v>1626</v>
      </c>
      <c r="C470" s="4" t="s">
        <v>525</v>
      </c>
      <c r="D470" s="4" t="s">
        <v>594</v>
      </c>
      <c r="E470" s="4" t="s">
        <v>595</v>
      </c>
      <c r="F470" s="4" t="s">
        <v>595</v>
      </c>
      <c r="G470" s="14">
        <v>88.49</v>
      </c>
      <c r="H470" s="10">
        <v>6.0404059999999999</v>
      </c>
      <c r="I470" s="10">
        <v>11.162362</v>
      </c>
      <c r="J470" s="10">
        <v>33.695047000000002</v>
      </c>
      <c r="K470" s="15">
        <v>0</v>
      </c>
      <c r="L470" s="17">
        <v>24110.375818</v>
      </c>
      <c r="M470" s="4" t="s">
        <v>1627</v>
      </c>
      <c r="N470" s="19">
        <v>7.9275330000000004</v>
      </c>
      <c r="O470" s="19">
        <v>8.7324000000000002</v>
      </c>
      <c r="P470" s="19">
        <v>7.02</v>
      </c>
      <c r="Q470" s="19">
        <v>6.2331000000000003</v>
      </c>
      <c r="R470" s="19">
        <v>6.85</v>
      </c>
      <c r="S470" s="19">
        <v>6.5766</v>
      </c>
      <c r="T470" s="19">
        <v>6.85</v>
      </c>
      <c r="U470" s="19">
        <v>9.4006000000000007</v>
      </c>
      <c r="V470" s="19">
        <v>2.9330250000000002</v>
      </c>
      <c r="W470" s="19">
        <v>7.9301000000000004</v>
      </c>
      <c r="X470" s="19">
        <v>2.9330250000000002</v>
      </c>
      <c r="Y470" s="19">
        <v>7.9301000000000004</v>
      </c>
      <c r="Z470" s="4"/>
      <c r="AA470" s="4"/>
      <c r="AB470" s="4" t="e">
        <f ca="1">_xll.ciqfunctions.udf.CIQ("^SPX", "IQ_PRICEDATE", "11/2/2015")</f>
        <v>#NAME?</v>
      </c>
      <c r="AC470" s="16">
        <v>2104.0490473793998</v>
      </c>
    </row>
    <row r="471" spans="1:29" x14ac:dyDescent="0.35">
      <c r="A471" s="2" t="s">
        <v>481</v>
      </c>
      <c r="B471" s="4" t="s">
        <v>1628</v>
      </c>
      <c r="C471" s="4" t="s">
        <v>525</v>
      </c>
      <c r="D471" s="4" t="s">
        <v>594</v>
      </c>
      <c r="E471" s="4" t="s">
        <v>779</v>
      </c>
      <c r="F471" s="4" t="s">
        <v>779</v>
      </c>
      <c r="G471" s="14">
        <v>118.01</v>
      </c>
      <c r="H471" s="10">
        <v>12.263819</v>
      </c>
      <c r="I471" s="10">
        <v>19.838377000000001</v>
      </c>
      <c r="J471" s="10" t="s">
        <v>534</v>
      </c>
      <c r="K471" s="15">
        <v>3.0844E-2</v>
      </c>
      <c r="L471" s="17">
        <v>101529.280289</v>
      </c>
      <c r="M471" s="4" t="s">
        <v>1629</v>
      </c>
      <c r="N471" s="19">
        <v>5.9485710000000003</v>
      </c>
      <c r="O471" s="19">
        <v>7.4805000000000001</v>
      </c>
      <c r="P471" s="19">
        <v>5.61</v>
      </c>
      <c r="Q471" s="19">
        <v>6.3202999999999996</v>
      </c>
      <c r="R471" s="19">
        <v>3.87</v>
      </c>
      <c r="S471" s="19">
        <v>6.0423999999999998</v>
      </c>
      <c r="T471" s="19">
        <v>3.87</v>
      </c>
      <c r="U471" s="19">
        <v>5.5875000000000004</v>
      </c>
      <c r="V471" s="19">
        <v>3.28</v>
      </c>
      <c r="W471" s="19">
        <v>5.4767000000000001</v>
      </c>
      <c r="X471" s="19">
        <v>3.28</v>
      </c>
      <c r="Y471" s="19">
        <v>5.4767000000000001</v>
      </c>
      <c r="Z471" s="4"/>
      <c r="AA471" s="4"/>
      <c r="AB471" s="4" t="e">
        <f ca="1">_xll.ciqfunctions.udf.CIQ("^SPX", "IQ_PRICEDATE", "11/3/2015")</f>
        <v>#NAME?</v>
      </c>
      <c r="AC471" s="16">
        <v>2109.7875229148999</v>
      </c>
    </row>
    <row r="472" spans="1:29" x14ac:dyDescent="0.35">
      <c r="A472" s="2" t="s">
        <v>482</v>
      </c>
      <c r="B472" s="4" t="s">
        <v>1630</v>
      </c>
      <c r="C472" s="4" t="s">
        <v>525</v>
      </c>
      <c r="D472" s="4" t="s">
        <v>526</v>
      </c>
      <c r="E472" s="4" t="s">
        <v>1023</v>
      </c>
      <c r="F472" s="4" t="s">
        <v>1023</v>
      </c>
      <c r="G472" s="14">
        <v>139.04</v>
      </c>
      <c r="H472" s="10">
        <v>8.6262190000000007</v>
      </c>
      <c r="I472" s="10">
        <v>6.98733</v>
      </c>
      <c r="J472" s="10" t="s">
        <v>534</v>
      </c>
      <c r="K472" s="15">
        <v>0</v>
      </c>
      <c r="L472" s="17">
        <v>11276.508562999999</v>
      </c>
      <c r="M472" s="4" t="s">
        <v>1631</v>
      </c>
      <c r="N472" s="19">
        <v>19.898873999999999</v>
      </c>
      <c r="O472" s="19">
        <v>16.346900000000002</v>
      </c>
      <c r="P472" s="19">
        <v>15.73</v>
      </c>
      <c r="Q472" s="19">
        <v>12.0929</v>
      </c>
      <c r="R472" s="19">
        <v>6.45</v>
      </c>
      <c r="S472" s="19">
        <v>8.5184999999999995</v>
      </c>
      <c r="T472" s="19">
        <v>6.45</v>
      </c>
      <c r="U472" s="19">
        <v>8.6806000000000001</v>
      </c>
      <c r="V472" s="19">
        <v>5.15</v>
      </c>
      <c r="W472" s="19">
        <v>7.9267000000000003</v>
      </c>
      <c r="X472" s="19">
        <v>5.15</v>
      </c>
      <c r="Y472" s="19">
        <v>7.9267000000000003</v>
      </c>
      <c r="Z472" s="4"/>
      <c r="AA472" s="4"/>
      <c r="AB472" s="4" t="e">
        <f ca="1">_xll.ciqfunctions.udf.CIQ("^SPX", "IQ_PRICEDATE", "11/4/2015")</f>
        <v>#NAME?</v>
      </c>
      <c r="AC472" s="16">
        <v>2102.3136815055</v>
      </c>
    </row>
    <row r="473" spans="1:29" x14ac:dyDescent="0.35">
      <c r="A473" s="2" t="s">
        <v>483</v>
      </c>
      <c r="B473" s="4" t="s">
        <v>1632</v>
      </c>
      <c r="C473" s="4" t="s">
        <v>525</v>
      </c>
      <c r="D473" s="4" t="s">
        <v>526</v>
      </c>
      <c r="E473" s="4" t="s">
        <v>703</v>
      </c>
      <c r="F473" s="4" t="s">
        <v>703</v>
      </c>
      <c r="G473" s="14">
        <v>130.07</v>
      </c>
      <c r="H473" s="10">
        <v>11.715342</v>
      </c>
      <c r="I473" s="10">
        <v>20.481677000000001</v>
      </c>
      <c r="J473" s="10" t="s">
        <v>534</v>
      </c>
      <c r="K473" s="15">
        <v>2.1526E-2</v>
      </c>
      <c r="L473" s="17">
        <v>104068.13357999999</v>
      </c>
      <c r="M473" s="4" t="s">
        <v>1633</v>
      </c>
      <c r="N473" s="19">
        <v>6.3505539999999998</v>
      </c>
      <c r="O473" s="19">
        <v>7.3339999999999996</v>
      </c>
      <c r="P473" s="19">
        <v>5.7</v>
      </c>
      <c r="Q473" s="19">
        <v>6.6734</v>
      </c>
      <c r="R473" s="19">
        <v>6.13</v>
      </c>
      <c r="S473" s="19">
        <v>6.4573</v>
      </c>
      <c r="T473" s="19">
        <v>6.13</v>
      </c>
      <c r="U473" s="19">
        <v>6.3377999999999997</v>
      </c>
      <c r="V473" s="19">
        <v>6.65</v>
      </c>
      <c r="W473" s="19">
        <v>6.8353000000000002</v>
      </c>
      <c r="X473" s="19">
        <v>6.65</v>
      </c>
      <c r="Y473" s="19">
        <v>6.8353000000000002</v>
      </c>
      <c r="Z473" s="4"/>
      <c r="AA473" s="4"/>
      <c r="AB473" s="4" t="e">
        <f ca="1">_xll.ciqfunctions.udf.CIQ("^SPX", "IQ_PRICEDATE", "11/5/2015")</f>
        <v>#NAME?</v>
      </c>
      <c r="AC473" s="16">
        <v>2099.9291454118002</v>
      </c>
    </row>
    <row r="474" spans="1:29" x14ac:dyDescent="0.35">
      <c r="A474" s="2" t="s">
        <v>484</v>
      </c>
      <c r="B474" s="4" t="s">
        <v>1634</v>
      </c>
      <c r="C474" s="4" t="s">
        <v>530</v>
      </c>
      <c r="D474" s="4" t="s">
        <v>531</v>
      </c>
      <c r="E474" s="4" t="s">
        <v>569</v>
      </c>
      <c r="F474" s="4" t="s">
        <v>570</v>
      </c>
      <c r="G474" s="14">
        <v>267.3</v>
      </c>
      <c r="H474" s="10">
        <v>15.143921000000001</v>
      </c>
      <c r="I474" s="10">
        <v>20.972270000000002</v>
      </c>
      <c r="J474" s="10">
        <v>4.9957390000000004</v>
      </c>
      <c r="K474" s="15">
        <v>1.3468000000000001E-2</v>
      </c>
      <c r="L474" s="17">
        <v>257269.12993</v>
      </c>
      <c r="M474" s="4" t="s">
        <v>1635</v>
      </c>
      <c r="N474" s="19">
        <v>12.745400999999999</v>
      </c>
      <c r="O474" s="19">
        <v>13.480700000000001</v>
      </c>
      <c r="P474" s="19">
        <v>10.72</v>
      </c>
      <c r="Q474" s="19">
        <v>10.5776</v>
      </c>
      <c r="R474" s="19">
        <v>7.25</v>
      </c>
      <c r="S474" s="19">
        <v>9.1264000000000003</v>
      </c>
      <c r="T474" s="19">
        <v>7.25</v>
      </c>
      <c r="U474" s="19">
        <v>7.1228999999999996</v>
      </c>
      <c r="V474" s="19">
        <v>5.7</v>
      </c>
      <c r="W474" s="19">
        <v>6.0094000000000003</v>
      </c>
      <c r="X474" s="19">
        <v>5.7</v>
      </c>
      <c r="Y474" s="19">
        <v>6.0094000000000003</v>
      </c>
      <c r="Z474" s="4"/>
      <c r="AA474" s="4"/>
      <c r="AB474" s="4" t="e">
        <f ca="1">_xll.ciqfunctions.udf.CIQ("^SPX", "IQ_PRICEDATE", "11/6/2015")</f>
        <v>#NAME?</v>
      </c>
      <c r="AC474" s="16">
        <v>2099.2034899273999</v>
      </c>
    </row>
    <row r="475" spans="1:29" x14ac:dyDescent="0.35">
      <c r="A475" s="2" t="s">
        <v>485</v>
      </c>
      <c r="B475" s="4" t="s">
        <v>1636</v>
      </c>
      <c r="C475" s="4" t="s">
        <v>530</v>
      </c>
      <c r="D475" s="4" t="s">
        <v>531</v>
      </c>
      <c r="E475" s="4" t="s">
        <v>569</v>
      </c>
      <c r="F475" s="4" t="s">
        <v>1109</v>
      </c>
      <c r="G475" s="14">
        <v>125.64</v>
      </c>
      <c r="H475" s="10">
        <v>9.2370059999999992</v>
      </c>
      <c r="I475" s="10">
        <v>14.724497</v>
      </c>
      <c r="J475" s="10">
        <v>7.8062399999999998</v>
      </c>
      <c r="K475" s="15">
        <v>3.1830000000000001E-3</v>
      </c>
      <c r="L475" s="17">
        <v>11727.777281999999</v>
      </c>
      <c r="M475" s="4" t="s">
        <v>1637</v>
      </c>
      <c r="N475" s="19">
        <v>8.5327190000000002</v>
      </c>
      <c r="O475" s="19">
        <v>9.8560999999999996</v>
      </c>
      <c r="P475" s="19">
        <v>7.81</v>
      </c>
      <c r="Q475" s="19">
        <v>7.7785000000000002</v>
      </c>
      <c r="R475" s="19">
        <v>7.14</v>
      </c>
      <c r="S475" s="19">
        <v>7.8731999999999998</v>
      </c>
      <c r="T475" s="19">
        <v>7.14</v>
      </c>
      <c r="U475" s="19">
        <v>7.2564000000000002</v>
      </c>
      <c r="V475" s="19">
        <v>5.42</v>
      </c>
      <c r="W475" s="19">
        <v>6.2946999999999997</v>
      </c>
      <c r="X475" s="19">
        <v>5.42</v>
      </c>
      <c r="Y475" s="19">
        <v>6.2946999999999997</v>
      </c>
      <c r="Z475" s="4"/>
      <c r="AA475" s="4"/>
      <c r="AB475" s="4" t="e">
        <f ca="1">_xll.ciqfunctions.udf.CIQ("^SPX", "IQ_PRICEDATE", "11/9/2015")</f>
        <v>#NAME?</v>
      </c>
      <c r="AC475" s="16">
        <v>2078.5799955810999</v>
      </c>
    </row>
    <row r="476" spans="1:29" x14ac:dyDescent="0.35">
      <c r="A476" s="2" t="s">
        <v>486</v>
      </c>
      <c r="B476" s="4" t="s">
        <v>1638</v>
      </c>
      <c r="C476" s="4" t="s">
        <v>573</v>
      </c>
      <c r="D476" s="4" t="s">
        <v>579</v>
      </c>
      <c r="E476" s="4" t="s">
        <v>579</v>
      </c>
      <c r="F476" s="4" t="s">
        <v>580</v>
      </c>
      <c r="G476" s="14">
        <v>37.99</v>
      </c>
      <c r="H476" s="10">
        <v>6.8335710000000001</v>
      </c>
      <c r="I476" s="10">
        <v>7.8813599999999999</v>
      </c>
      <c r="J476" s="10">
        <v>0.91294699999999995</v>
      </c>
      <c r="K476" s="15">
        <v>2.7374999999999997E-2</v>
      </c>
      <c r="L476" s="17">
        <v>8308.6141950000001</v>
      </c>
      <c r="M476" s="4" t="s">
        <v>1639</v>
      </c>
      <c r="N476" s="19">
        <v>4.8202340000000001</v>
      </c>
      <c r="O476" s="19">
        <v>5.2515000000000001</v>
      </c>
      <c r="P476" s="19">
        <v>4.37</v>
      </c>
      <c r="Q476" s="19">
        <v>4.3682999999999996</v>
      </c>
      <c r="R476" s="19">
        <v>3.95</v>
      </c>
      <c r="S476" s="19">
        <v>4.0128000000000004</v>
      </c>
      <c r="T476" s="19">
        <v>3.95</v>
      </c>
      <c r="U476" s="19">
        <v>3.7507999999999999</v>
      </c>
      <c r="V476" s="19">
        <v>1.57</v>
      </c>
      <c r="W476" s="19">
        <v>3.5983999999999998</v>
      </c>
      <c r="X476" s="19">
        <v>1.57</v>
      </c>
      <c r="Y476" s="19">
        <v>3.5983999999999998</v>
      </c>
      <c r="Z476" s="4"/>
      <c r="AA476" s="4"/>
      <c r="AB476" s="4" t="e">
        <f ca="1">_xll.ciqfunctions.udf.CIQ("^SPX", "IQ_PRICEDATE", "11/10/2015")</f>
        <v>#NAME?</v>
      </c>
      <c r="AC476" s="16">
        <v>2081.7171869949998</v>
      </c>
    </row>
    <row r="477" spans="1:29" x14ac:dyDescent="0.35">
      <c r="A477" s="2" t="s">
        <v>487</v>
      </c>
      <c r="B477" s="4" t="s">
        <v>1640</v>
      </c>
      <c r="C477" s="4" t="s">
        <v>559</v>
      </c>
      <c r="D477" s="4" t="s">
        <v>912</v>
      </c>
      <c r="E477" s="4" t="s">
        <v>1097</v>
      </c>
      <c r="F477" s="4" t="s">
        <v>1098</v>
      </c>
      <c r="G477" s="14">
        <v>89.28</v>
      </c>
      <c r="H477" s="10">
        <v>22.716733000000001</v>
      </c>
      <c r="I477" s="10">
        <v>32.698134000000003</v>
      </c>
      <c r="J477" s="10" t="s">
        <v>534</v>
      </c>
      <c r="K477" s="15">
        <v>2.0609000000000002E-2</v>
      </c>
      <c r="L477" s="17">
        <v>35396.040044000001</v>
      </c>
      <c r="M477" s="4" t="s">
        <v>1641</v>
      </c>
      <c r="N477" s="19">
        <v>2.7304309999999998</v>
      </c>
      <c r="O477" s="19">
        <v>3.7210999999999999</v>
      </c>
      <c r="P477" s="19">
        <v>1.79</v>
      </c>
      <c r="Q477" s="19">
        <v>0</v>
      </c>
      <c r="R477" s="19">
        <v>2.56</v>
      </c>
      <c r="S477" s="19">
        <v>3.3176000000000001</v>
      </c>
      <c r="T477" s="19">
        <v>2.56</v>
      </c>
      <c r="U477" s="19">
        <v>3.3953000000000002</v>
      </c>
      <c r="V477" s="19">
        <v>2.9210950000000002</v>
      </c>
      <c r="W477" s="19">
        <v>3.3620999999999999</v>
      </c>
      <c r="X477" s="19">
        <v>2.9210950000000002</v>
      </c>
      <c r="Y477" s="19">
        <v>3.3620999999999999</v>
      </c>
      <c r="Z477" s="4"/>
      <c r="AA477" s="4"/>
      <c r="AB477" s="4" t="e">
        <f ca="1">_xll.ciqfunctions.udf.CIQ("^SPX", "IQ_PRICEDATE", "11/11/2015")</f>
        <v>#NAME?</v>
      </c>
      <c r="AC477" s="16">
        <v>2075.0031674296001</v>
      </c>
    </row>
    <row r="478" spans="1:29" x14ac:dyDescent="0.35">
      <c r="A478" s="2" t="s">
        <v>488</v>
      </c>
      <c r="B478" s="4" t="s">
        <v>1642</v>
      </c>
      <c r="C478" s="4" t="s">
        <v>669</v>
      </c>
      <c r="D478" s="4" t="s">
        <v>669</v>
      </c>
      <c r="E478" s="4" t="s">
        <v>670</v>
      </c>
      <c r="F478" s="4" t="s">
        <v>1126</v>
      </c>
      <c r="G478" s="14">
        <v>103.74</v>
      </c>
      <c r="H478" s="10">
        <v>7.8735460000000002</v>
      </c>
      <c r="I478" s="10">
        <v>9.9935130000000001</v>
      </c>
      <c r="J478" s="10">
        <v>2.0416460000000001</v>
      </c>
      <c r="K478" s="15">
        <v>3.0845999999999998E-2</v>
      </c>
      <c r="L478" s="17">
        <v>44338.271321</v>
      </c>
      <c r="M478" s="4" t="s">
        <v>1643</v>
      </c>
      <c r="N478" s="19">
        <v>10.380732999999999</v>
      </c>
      <c r="O478" s="19">
        <v>7.9870000000000001</v>
      </c>
      <c r="P478" s="19">
        <v>9.155405</v>
      </c>
      <c r="Q478" s="19">
        <v>6.4138000000000002</v>
      </c>
      <c r="R478" s="19">
        <v>4.9331889999999996</v>
      </c>
      <c r="S478" s="19">
        <v>5.3204000000000002</v>
      </c>
      <c r="T478" s="19">
        <v>4.9331889999999996</v>
      </c>
      <c r="U478" s="19">
        <v>7.7972999999999999</v>
      </c>
      <c r="V478" s="19">
        <v>6.969811</v>
      </c>
      <c r="W478" s="19">
        <v>5.5865</v>
      </c>
      <c r="X478" s="19">
        <v>6.969811</v>
      </c>
      <c r="Y478" s="19">
        <v>5.5865</v>
      </c>
      <c r="Z478" s="4"/>
      <c r="AA478" s="4"/>
      <c r="AB478" s="4" t="e">
        <f ca="1">_xll.ciqfunctions.udf.CIQ("^SPX", "IQ_PRICEDATE", "11/12/2015")</f>
        <v>#NAME?</v>
      </c>
      <c r="AC478" s="16">
        <v>2045.9655657082999</v>
      </c>
    </row>
    <row r="479" spans="1:29" x14ac:dyDescent="0.35">
      <c r="A479" s="2" t="s">
        <v>489</v>
      </c>
      <c r="B479" s="4" t="s">
        <v>1644</v>
      </c>
      <c r="C479" s="4" t="s">
        <v>530</v>
      </c>
      <c r="D479" s="4" t="s">
        <v>531</v>
      </c>
      <c r="E479" s="4" t="s">
        <v>532</v>
      </c>
      <c r="F479" s="4" t="s">
        <v>533</v>
      </c>
      <c r="G479" s="14">
        <v>108.65</v>
      </c>
      <c r="H479" s="10">
        <v>15.774485</v>
      </c>
      <c r="I479" s="10">
        <v>70.377876999999998</v>
      </c>
      <c r="J479" s="10">
        <v>8.4399990000000003</v>
      </c>
      <c r="K479" s="15">
        <v>0</v>
      </c>
      <c r="L479" s="17">
        <v>9946.6328329999997</v>
      </c>
      <c r="M479" s="4" t="s">
        <v>1645</v>
      </c>
      <c r="N479" s="19">
        <v>1.543809</v>
      </c>
      <c r="O479" s="19">
        <v>4.6231</v>
      </c>
      <c r="P479" s="19">
        <v>1.4744889999999999</v>
      </c>
      <c r="Q479" s="19">
        <v>4.3349200000000003</v>
      </c>
      <c r="R479" s="19">
        <v>2.7396310000000001</v>
      </c>
      <c r="S479" s="19">
        <v>4.9473099999999999</v>
      </c>
      <c r="T479" s="19">
        <v>2.7396310000000001</v>
      </c>
      <c r="U479" s="19">
        <v>4.4569799999999997</v>
      </c>
      <c r="V479" s="19">
        <v>3.83</v>
      </c>
      <c r="W479" s="19">
        <v>4.28667</v>
      </c>
      <c r="X479" s="19">
        <v>3.83</v>
      </c>
      <c r="Y479" s="19">
        <v>4.28667</v>
      </c>
      <c r="Z479" s="4"/>
      <c r="AA479" s="4"/>
      <c r="AB479" s="4" t="e">
        <f ca="1">_xll.ciqfunctions.udf.CIQ("^SPX", "IQ_PRICEDATE", "11/13/2015")</f>
        <v>#NAME?</v>
      </c>
      <c r="AC479" s="16">
        <v>2023.0394329712001</v>
      </c>
    </row>
    <row r="480" spans="1:29" x14ac:dyDescent="0.35">
      <c r="A480" s="2" t="s">
        <v>490</v>
      </c>
      <c r="B480" s="4" t="s">
        <v>1646</v>
      </c>
      <c r="C480" s="4" t="s">
        <v>601</v>
      </c>
      <c r="D480" s="4" t="s">
        <v>601</v>
      </c>
      <c r="E480" s="4" t="s">
        <v>602</v>
      </c>
      <c r="F480" s="4" t="s">
        <v>1112</v>
      </c>
      <c r="G480" s="14">
        <v>55.34</v>
      </c>
      <c r="H480" s="10">
        <v>16.212135</v>
      </c>
      <c r="I480" s="10">
        <v>15.912929999999999</v>
      </c>
      <c r="J480" s="10">
        <v>2.210531</v>
      </c>
      <c r="K480" s="15">
        <v>5.7100999999999999E-2</v>
      </c>
      <c r="L480" s="17">
        <v>19725.335310999999</v>
      </c>
      <c r="M480" s="4" t="s">
        <v>1647</v>
      </c>
      <c r="N480" s="19">
        <v>3.4776750000000001</v>
      </c>
      <c r="O480" s="19">
        <v>1.458</v>
      </c>
      <c r="P480" s="19">
        <v>3.7803059999999999</v>
      </c>
      <c r="Q480" s="19">
        <v>2.1423999999999999</v>
      </c>
      <c r="R480" s="19">
        <v>1.862646</v>
      </c>
      <c r="S480" s="19">
        <v>1.7329000000000001</v>
      </c>
      <c r="T480" s="19">
        <v>1.862646</v>
      </c>
      <c r="U480" s="19">
        <v>2.2925</v>
      </c>
      <c r="V480" s="19">
        <v>1.26</v>
      </c>
      <c r="W480" s="19">
        <v>1.7635000000000001</v>
      </c>
      <c r="X480" s="19">
        <v>1.26</v>
      </c>
      <c r="Y480" s="19">
        <v>1.7635000000000001</v>
      </c>
      <c r="Z480" s="4"/>
      <c r="AA480" s="4"/>
      <c r="AB480" s="4" t="e">
        <f ca="1">_xll.ciqfunctions.udf.CIQ("^SPX", "IQ_PRICEDATE", "11/16/2015")</f>
        <v>#NAME?</v>
      </c>
      <c r="AC480" s="16">
        <v>2053.1850023665002</v>
      </c>
    </row>
    <row r="481" spans="1:29" x14ac:dyDescent="0.35">
      <c r="A481" s="2" t="s">
        <v>491</v>
      </c>
      <c r="B481" s="4" t="s">
        <v>1648</v>
      </c>
      <c r="C481" s="4" t="s">
        <v>543</v>
      </c>
      <c r="D481" s="4" t="s">
        <v>544</v>
      </c>
      <c r="E481" s="4" t="s">
        <v>545</v>
      </c>
      <c r="F481" s="4" t="s">
        <v>591</v>
      </c>
      <c r="G481" s="14">
        <v>145.88999999999999</v>
      </c>
      <c r="H481" s="10">
        <v>23.443836000000001</v>
      </c>
      <c r="I481" s="10">
        <v>37.612108999999997</v>
      </c>
      <c r="J481" s="10" t="s">
        <v>534</v>
      </c>
      <c r="K481" s="15">
        <v>0</v>
      </c>
      <c r="L481" s="17">
        <v>17786.702219999999</v>
      </c>
      <c r="M481" s="4" t="s">
        <v>1649</v>
      </c>
      <c r="N481" s="19">
        <v>3.8788040000000001</v>
      </c>
      <c r="O481" s="19">
        <v>4.9401999999999999</v>
      </c>
      <c r="P481" s="19">
        <v>3.68</v>
      </c>
      <c r="Q481" s="19">
        <v>4.1257000000000001</v>
      </c>
      <c r="R481" s="19">
        <v>3.42</v>
      </c>
      <c r="S481" s="19">
        <v>3.7134999999999998</v>
      </c>
      <c r="T481" s="19">
        <v>3.42</v>
      </c>
      <c r="U481" s="19">
        <v>3.3492999999999999</v>
      </c>
      <c r="V481" s="19">
        <v>2.52</v>
      </c>
      <c r="W481" s="19">
        <v>2.9845999999999999</v>
      </c>
      <c r="X481" s="19">
        <v>2.52</v>
      </c>
      <c r="Y481" s="19">
        <v>2.9845999999999999</v>
      </c>
      <c r="Z481" s="4"/>
      <c r="AA481" s="4"/>
      <c r="AB481" s="4" t="e">
        <f ca="1">_xll.ciqfunctions.udf.CIQ("^SPX", "IQ_PRICEDATE", "11/17/2015")</f>
        <v>#NAME?</v>
      </c>
      <c r="AC481" s="16">
        <v>2050.4358729730002</v>
      </c>
    </row>
    <row r="482" spans="1:29" x14ac:dyDescent="0.35">
      <c r="A482" s="2" t="s">
        <v>492</v>
      </c>
      <c r="B482" s="4" t="s">
        <v>1650</v>
      </c>
      <c r="C482" s="4" t="s">
        <v>525</v>
      </c>
      <c r="D482" s="4" t="s">
        <v>855</v>
      </c>
      <c r="E482" s="4" t="s">
        <v>990</v>
      </c>
      <c r="F482" s="4" t="s">
        <v>991</v>
      </c>
      <c r="G482" s="14">
        <v>117.08</v>
      </c>
      <c r="H482" s="10">
        <v>20.977004000000001</v>
      </c>
      <c r="I482" s="10">
        <v>32.241213000000002</v>
      </c>
      <c r="J482" s="10" t="s">
        <v>534</v>
      </c>
      <c r="K482" s="15">
        <v>0</v>
      </c>
      <c r="L482" s="17">
        <v>19284.06076</v>
      </c>
      <c r="M482" s="4" t="s">
        <v>1651</v>
      </c>
      <c r="N482" s="19">
        <v>3.6313770000000001</v>
      </c>
      <c r="O482" s="19">
        <v>4.3449</v>
      </c>
      <c r="P482" s="19">
        <v>3.29</v>
      </c>
      <c r="Q482" s="19">
        <v>3.4033000000000002</v>
      </c>
      <c r="R482" s="19">
        <v>2.639999</v>
      </c>
      <c r="S482" s="19">
        <v>3.2696999999999998</v>
      </c>
      <c r="T482" s="19">
        <v>2.639999</v>
      </c>
      <c r="U482" s="19">
        <v>3.1248</v>
      </c>
      <c r="V482" s="19">
        <v>2.0999989999999999</v>
      </c>
      <c r="W482" s="19">
        <v>2.6181999999999999</v>
      </c>
      <c r="X482" s="19">
        <v>2.0999989999999999</v>
      </c>
      <c r="Y482" s="19">
        <v>2.6181999999999999</v>
      </c>
      <c r="Z482" s="4"/>
      <c r="AA482" s="4"/>
      <c r="AB482" s="4" t="e">
        <f ca="1">_xll.ciqfunctions.udf.CIQ("^SPX", "IQ_PRICEDATE", "11/18/2015")</f>
        <v>#NAME?</v>
      </c>
      <c r="AC482" s="16">
        <v>2083.5810116775001</v>
      </c>
    </row>
    <row r="483" spans="1:29" x14ac:dyDescent="0.35">
      <c r="A483" s="2" t="s">
        <v>493</v>
      </c>
      <c r="B483" s="4" t="s">
        <v>1652</v>
      </c>
      <c r="C483" s="4" t="s">
        <v>549</v>
      </c>
      <c r="D483" s="4" t="s">
        <v>713</v>
      </c>
      <c r="E483" s="4" t="s">
        <v>714</v>
      </c>
      <c r="F483" s="4" t="s">
        <v>715</v>
      </c>
      <c r="G483" s="14">
        <v>53.96</v>
      </c>
      <c r="H483" s="10">
        <v>7.2628959999999996</v>
      </c>
      <c r="I483" s="10">
        <v>7.1606040000000002</v>
      </c>
      <c r="J483" s="10" t="s">
        <v>534</v>
      </c>
      <c r="K483" s="15">
        <v>4.4662E-2</v>
      </c>
      <c r="L483" s="17">
        <v>222959.24530000001</v>
      </c>
      <c r="M483" s="4" t="s">
        <v>1653</v>
      </c>
      <c r="N483" s="19">
        <v>7.5356769999999997</v>
      </c>
      <c r="O483" s="19">
        <v>4.6574999999999998</v>
      </c>
      <c r="P483" s="19">
        <v>7.36</v>
      </c>
      <c r="Q483" s="19">
        <v>3.8620000000000001</v>
      </c>
      <c r="R483" s="19">
        <v>3.21</v>
      </c>
      <c r="S483" s="19">
        <v>3.9784000000000002</v>
      </c>
      <c r="T483" s="19">
        <v>3.21</v>
      </c>
      <c r="U483" s="19">
        <v>3.9689999999999999</v>
      </c>
      <c r="V483" s="19">
        <v>2.42</v>
      </c>
      <c r="W483" s="19">
        <v>3.6232000000000002</v>
      </c>
      <c r="X483" s="19">
        <v>2.42</v>
      </c>
      <c r="Y483" s="19">
        <v>3.6232000000000002</v>
      </c>
      <c r="Z483" s="4"/>
      <c r="AA483" s="4"/>
      <c r="AB483" s="4" t="e">
        <f ca="1">_xll.ciqfunctions.udf.CIQ("^SPX", "IQ_PRICEDATE", "11/19/2015")</f>
        <v>#NAME?</v>
      </c>
      <c r="AC483" s="16">
        <v>2081.2376959506</v>
      </c>
    </row>
    <row r="484" spans="1:29" x14ac:dyDescent="0.35">
      <c r="A484" s="2" t="s">
        <v>494</v>
      </c>
      <c r="B484" s="4" t="s">
        <v>1654</v>
      </c>
      <c r="C484" s="4" t="s">
        <v>530</v>
      </c>
      <c r="D484" s="4" t="s">
        <v>537</v>
      </c>
      <c r="E484" s="4" t="s">
        <v>538</v>
      </c>
      <c r="F484" s="4" t="s">
        <v>538</v>
      </c>
      <c r="G484" s="14">
        <v>185.48</v>
      </c>
      <c r="H484" s="10">
        <v>77.546757999999997</v>
      </c>
      <c r="I484" s="10">
        <v>114.964044</v>
      </c>
      <c r="J484" s="10">
        <v>18.135213</v>
      </c>
      <c r="K484" s="15">
        <v>0</v>
      </c>
      <c r="L484" s="17">
        <v>47401.257486000002</v>
      </c>
      <c r="M484" s="4" t="s">
        <v>1655</v>
      </c>
      <c r="N484" s="19">
        <v>1.6133740000000001</v>
      </c>
      <c r="O484" s="19">
        <v>4.2511000000000001</v>
      </c>
      <c r="P484" s="19">
        <v>1.0393760000000001</v>
      </c>
      <c r="Q484" s="19">
        <v>2.4992999999999999</v>
      </c>
      <c r="R484" s="19">
        <v>-0.46</v>
      </c>
      <c r="S484" s="19">
        <v>1.4767999999999999</v>
      </c>
      <c r="T484" s="19">
        <v>-0.46</v>
      </c>
      <c r="U484" s="19">
        <v>2.0221</v>
      </c>
      <c r="V484" s="19">
        <v>-3.14</v>
      </c>
      <c r="W484" s="19">
        <v>-1.1392</v>
      </c>
      <c r="X484" s="19">
        <v>-3.14</v>
      </c>
      <c r="Y484" s="19">
        <v>-1.1392</v>
      </c>
      <c r="Z484" s="4"/>
      <c r="AA484" s="4"/>
      <c r="AB484" s="4" t="e">
        <f ca="1">_xll.ciqfunctions.udf.CIQ("^SPX", "IQ_PRICEDATE", "11/20/2015")</f>
        <v>#NAME?</v>
      </c>
      <c r="AC484" s="16">
        <v>2089.1662231912001</v>
      </c>
    </row>
    <row r="485" spans="1:29" x14ac:dyDescent="0.35">
      <c r="A485" s="2" t="s">
        <v>495</v>
      </c>
      <c r="B485" s="4" t="s">
        <v>1656</v>
      </c>
      <c r="C485" s="4" t="s">
        <v>549</v>
      </c>
      <c r="D485" s="4" t="s">
        <v>550</v>
      </c>
      <c r="E485" s="4" t="s">
        <v>551</v>
      </c>
      <c r="F485" s="4" t="s">
        <v>1319</v>
      </c>
      <c r="G485" s="14">
        <v>33.409999999999997</v>
      </c>
      <c r="H485" s="10">
        <v>7.8846720000000001</v>
      </c>
      <c r="I485" s="10">
        <v>6.8094950000000001</v>
      </c>
      <c r="J485" s="10" t="s">
        <v>534</v>
      </c>
      <c r="K485" s="15">
        <v>2.3944E-2</v>
      </c>
      <c r="L485" s="17">
        <v>13601.552202000001</v>
      </c>
      <c r="M485" s="4" t="s">
        <v>1657</v>
      </c>
      <c r="N485" s="19">
        <v>4.9063840000000001</v>
      </c>
      <c r="O485" s="19">
        <v>4.2169999999999996</v>
      </c>
      <c r="P485" s="19">
        <v>4.9987180000000002</v>
      </c>
      <c r="Q485" s="19">
        <v>3.71123</v>
      </c>
      <c r="R485" s="19">
        <v>3.479705</v>
      </c>
      <c r="S485" s="19">
        <v>3.8408199999999999</v>
      </c>
      <c r="T485" s="19">
        <v>3.479705</v>
      </c>
      <c r="U485" s="19">
        <v>5.8085000000000004</v>
      </c>
      <c r="V485" s="19">
        <v>5.4438579999999996</v>
      </c>
      <c r="W485" s="19">
        <v>5.9686500000000002</v>
      </c>
      <c r="X485" s="19">
        <v>5.4438579999999996</v>
      </c>
      <c r="Y485" s="19">
        <v>5.9686500000000002</v>
      </c>
      <c r="Z485" s="4"/>
      <c r="AA485" s="4"/>
      <c r="AB485" s="4" t="e">
        <f ca="1">_xll.ciqfunctions.udf.CIQ("^SPX", "IQ_PRICEDATE", "11/23/2015")</f>
        <v>#NAME?</v>
      </c>
      <c r="AC485" s="16">
        <v>2086.5899735126</v>
      </c>
    </row>
    <row r="486" spans="1:29" x14ac:dyDescent="0.35">
      <c r="A486" s="2" t="s">
        <v>496</v>
      </c>
      <c r="B486" s="4" t="s">
        <v>1658</v>
      </c>
      <c r="C486" s="4" t="s">
        <v>543</v>
      </c>
      <c r="D486" s="4" t="s">
        <v>544</v>
      </c>
      <c r="E486" s="4" t="s">
        <v>545</v>
      </c>
      <c r="F486" s="4" t="s">
        <v>616</v>
      </c>
      <c r="G486" s="14">
        <v>142.44999999999999</v>
      </c>
      <c r="H486" s="10">
        <v>23.925962999999999</v>
      </c>
      <c r="I486" s="10">
        <v>34.781806000000003</v>
      </c>
      <c r="J486" s="10" t="s">
        <v>534</v>
      </c>
      <c r="K486" s="15">
        <v>5.8960000000000002E-3</v>
      </c>
      <c r="L486" s="17">
        <v>316967.62491200003</v>
      </c>
      <c r="M486" s="4" t="s">
        <v>1659</v>
      </c>
      <c r="N486" s="19">
        <v>4.0955320000000004</v>
      </c>
      <c r="O486" s="19">
        <v>5.0887000000000002</v>
      </c>
      <c r="P486" s="19">
        <v>3.0100920000000002</v>
      </c>
      <c r="Q486" s="19">
        <v>4.0919999999999996</v>
      </c>
      <c r="R486" s="19">
        <v>2.534287</v>
      </c>
      <c r="S486" s="19">
        <v>3.2856100000000001</v>
      </c>
      <c r="T486" s="19">
        <v>2.534287</v>
      </c>
      <c r="U486" s="19">
        <v>2.86551</v>
      </c>
      <c r="V486" s="19">
        <v>2.2663869999999999</v>
      </c>
      <c r="W486" s="19">
        <v>2.6007699999999998</v>
      </c>
      <c r="X486" s="19">
        <v>2.2663869999999999</v>
      </c>
      <c r="Y486" s="19">
        <v>2.6007699999999998</v>
      </c>
      <c r="Z486" s="4"/>
      <c r="AA486" s="4"/>
      <c r="AB486" s="4" t="e">
        <f ca="1">_xll.ciqfunctions.udf.CIQ("^SPX", "IQ_PRICEDATE", "11/24/2015")</f>
        <v>#NAME?</v>
      </c>
      <c r="AC486" s="16">
        <v>2089.1399159965999</v>
      </c>
    </row>
    <row r="487" spans="1:29" x14ac:dyDescent="0.35">
      <c r="A487" s="2" t="s">
        <v>497</v>
      </c>
      <c r="B487" s="4" t="s">
        <v>1660</v>
      </c>
      <c r="C487" s="4" t="s">
        <v>601</v>
      </c>
      <c r="D487" s="4" t="s">
        <v>601</v>
      </c>
      <c r="E487" s="4" t="s">
        <v>602</v>
      </c>
      <c r="F487" s="4" t="s">
        <v>603</v>
      </c>
      <c r="G487" s="14">
        <v>68.349999999999994</v>
      </c>
      <c r="H487" s="10">
        <v>24.936315</v>
      </c>
      <c r="I487" s="10">
        <v>94.639275999999995</v>
      </c>
      <c r="J487" s="10">
        <v>4.0080280000000004</v>
      </c>
      <c r="K487" s="15">
        <v>3.6868999999999999E-2</v>
      </c>
      <c r="L487" s="17">
        <v>13002.764361</v>
      </c>
      <c r="M487" s="4" t="s">
        <v>1661</v>
      </c>
      <c r="N487" s="19">
        <v>0.72221599999999997</v>
      </c>
      <c r="O487" s="19">
        <v>1.8225</v>
      </c>
      <c r="P487" s="19">
        <v>0.91723699999999997</v>
      </c>
      <c r="Q487" s="19">
        <v>0.87250000000000005</v>
      </c>
      <c r="R487" s="19">
        <v>2.2058330000000002</v>
      </c>
      <c r="S487" s="19">
        <v>1.9</v>
      </c>
      <c r="T487" s="19">
        <v>2.2058330000000002</v>
      </c>
      <c r="U487" s="19">
        <v>1.8129</v>
      </c>
      <c r="V487" s="19">
        <v>1.0476650000000001</v>
      </c>
      <c r="W487" s="19">
        <v>2.3056000000000001</v>
      </c>
      <c r="X487" s="19">
        <v>1.0476650000000001</v>
      </c>
      <c r="Y487" s="19">
        <v>2.3056000000000001</v>
      </c>
      <c r="Z487" s="4"/>
      <c r="AA487" s="4"/>
      <c r="AB487" s="4" t="e">
        <f ca="1">_xll.ciqfunctions.udf.CIQ("^SPX", "IQ_PRICEDATE", "11/25/2015")</f>
        <v>#NAME?</v>
      </c>
      <c r="AC487" s="16">
        <v>2088.8725782168999</v>
      </c>
    </row>
    <row r="488" spans="1:29" x14ac:dyDescent="0.35">
      <c r="A488" s="2" t="s">
        <v>498</v>
      </c>
      <c r="B488" s="4" t="s">
        <v>1662</v>
      </c>
      <c r="C488" s="4" t="s">
        <v>586</v>
      </c>
      <c r="D488" s="4" t="s">
        <v>586</v>
      </c>
      <c r="E488" s="4" t="s">
        <v>1255</v>
      </c>
      <c r="F488" s="4" t="s">
        <v>1255</v>
      </c>
      <c r="G488" s="14">
        <v>96.23</v>
      </c>
      <c r="H488" s="10">
        <v>15.757125</v>
      </c>
      <c r="I488" s="10">
        <v>19.865272000000001</v>
      </c>
      <c r="J488" s="10">
        <v>18.188842000000001</v>
      </c>
      <c r="K488" s="15">
        <v>1.1637999999999999E-2</v>
      </c>
      <c r="L488" s="17">
        <v>12728.167826999999</v>
      </c>
      <c r="M488" s="4" t="s">
        <v>1663</v>
      </c>
      <c r="N488" s="19">
        <v>4.8441320000000001</v>
      </c>
      <c r="O488" s="19">
        <v>4.5279999999999996</v>
      </c>
      <c r="P488" s="19">
        <v>4.4000000000000004</v>
      </c>
      <c r="Q488" s="19">
        <v>3.6493000000000002</v>
      </c>
      <c r="R488" s="19">
        <v>3.11</v>
      </c>
      <c r="S488" s="19">
        <v>3.8281000000000001</v>
      </c>
      <c r="T488" s="19">
        <v>3.11</v>
      </c>
      <c r="U488" s="19">
        <v>3.0171999999999999</v>
      </c>
      <c r="V488" s="19">
        <v>1.56</v>
      </c>
      <c r="W488" s="19">
        <v>1.6067</v>
      </c>
      <c r="X488" s="19">
        <v>1.56</v>
      </c>
      <c r="Y488" s="19">
        <v>1.6067</v>
      </c>
      <c r="Z488" s="4"/>
      <c r="AA488" s="4"/>
      <c r="AB488" s="4" t="e">
        <f ca="1">_xll.ciqfunctions.udf.CIQ("^SPX", "IQ_PRICEDATE", "11/27/2015")</f>
        <v>#NAME?</v>
      </c>
      <c r="AC488" s="16">
        <v>2090.1067763177998</v>
      </c>
    </row>
    <row r="489" spans="1:29" x14ac:dyDescent="0.35">
      <c r="A489" s="2" t="s">
        <v>499</v>
      </c>
      <c r="B489" s="4" t="s">
        <v>1664</v>
      </c>
      <c r="C489" s="4" t="s">
        <v>525</v>
      </c>
      <c r="D489" s="4" t="s">
        <v>526</v>
      </c>
      <c r="E489" s="4" t="s">
        <v>1023</v>
      </c>
      <c r="F489" s="4" t="s">
        <v>1023</v>
      </c>
      <c r="G489" s="14">
        <v>279.33999999999997</v>
      </c>
      <c r="H489" s="10">
        <v>11.163596</v>
      </c>
      <c r="I489" s="10">
        <v>22.046399999999998</v>
      </c>
      <c r="J489" s="10">
        <v>13.212698</v>
      </c>
      <c r="K489" s="15">
        <v>1.9474000000000002E-2</v>
      </c>
      <c r="L489" s="17">
        <v>15732.558134000001</v>
      </c>
      <c r="M489" s="4" t="s">
        <v>1665</v>
      </c>
      <c r="N489" s="19">
        <v>12.670548999999999</v>
      </c>
      <c r="O489" s="19">
        <v>16.826599999999999</v>
      </c>
      <c r="P489" s="19">
        <v>10.021217999999999</v>
      </c>
      <c r="Q489" s="19">
        <v>10.725300000000001</v>
      </c>
      <c r="R489" s="19">
        <v>9.8705239999999996</v>
      </c>
      <c r="S489" s="19">
        <v>11.629099999999999</v>
      </c>
      <c r="T489" s="19">
        <v>9.8705239999999996</v>
      </c>
      <c r="U489" s="19">
        <v>11.494400000000001</v>
      </c>
      <c r="V489" s="19">
        <v>11.448254</v>
      </c>
      <c r="W489" s="19">
        <v>13.0946</v>
      </c>
      <c r="X489" s="19">
        <v>11.448254</v>
      </c>
      <c r="Y489" s="19">
        <v>13.0946</v>
      </c>
      <c r="Z489" s="4"/>
      <c r="AA489" s="4"/>
      <c r="AB489" s="4" t="e">
        <f ca="1">_xll.ciqfunctions.udf.CIQ("^SPX", "IQ_PRICEDATE", "11/30/2015")</f>
        <v>#NAME?</v>
      </c>
      <c r="AC489" s="16">
        <v>2080.4068286182001</v>
      </c>
    </row>
    <row r="490" spans="1:29" x14ac:dyDescent="0.35">
      <c r="A490" s="2" t="s">
        <v>500</v>
      </c>
      <c r="B490" s="4" t="s">
        <v>1666</v>
      </c>
      <c r="C490" s="4" t="s">
        <v>626</v>
      </c>
      <c r="D490" s="4" t="s">
        <v>894</v>
      </c>
      <c r="E490" s="4" t="s">
        <v>894</v>
      </c>
      <c r="F490" s="4" t="s">
        <v>1667</v>
      </c>
      <c r="G490" s="14">
        <v>76.98</v>
      </c>
      <c r="H490" s="10">
        <v>10.75353</v>
      </c>
      <c r="I490" s="10">
        <v>15.243563999999999</v>
      </c>
      <c r="J490" s="10" t="s">
        <v>534</v>
      </c>
      <c r="K490" s="15">
        <v>2.2863000000000001E-2</v>
      </c>
      <c r="L490" s="17">
        <v>73066.684288000004</v>
      </c>
      <c r="M490" s="4" t="s">
        <v>1668</v>
      </c>
      <c r="N490" s="19">
        <v>5.05</v>
      </c>
      <c r="O490" s="19">
        <v>6.4755200000000004</v>
      </c>
      <c r="P490" s="19">
        <v>3.6254430000000002</v>
      </c>
      <c r="Q490" s="19">
        <v>5.5603199999999999</v>
      </c>
      <c r="R490" s="19">
        <v>3.779487</v>
      </c>
      <c r="S490" s="19">
        <v>5.0083799999999998</v>
      </c>
      <c r="T490" s="19">
        <v>3.779487</v>
      </c>
      <c r="U490" s="19">
        <v>4.43675</v>
      </c>
      <c r="V490" s="19">
        <v>2.1374249999999999</v>
      </c>
      <c r="W490" s="19">
        <v>3.7660999999999998</v>
      </c>
      <c r="X490" s="19">
        <v>2.1374249999999999</v>
      </c>
      <c r="Y490" s="19">
        <v>3.7660999999999998</v>
      </c>
      <c r="Z490" s="4"/>
      <c r="AA490" s="4"/>
      <c r="AB490" s="4" t="e">
        <f ca="1">_xll.ciqfunctions.udf.CIQ("^SPX", "IQ_PRICEDATE", "12/1/2015")</f>
        <v>#NAME?</v>
      </c>
      <c r="AC490" s="16">
        <v>2102.6326700487998</v>
      </c>
    </row>
    <row r="491" spans="1:29" x14ac:dyDescent="0.35">
      <c r="A491" s="2" t="s">
        <v>501</v>
      </c>
      <c r="B491" s="4" t="s">
        <v>1669</v>
      </c>
      <c r="C491" s="4" t="s">
        <v>626</v>
      </c>
      <c r="D491" s="4" t="s">
        <v>894</v>
      </c>
      <c r="E491" s="4" t="s">
        <v>894</v>
      </c>
      <c r="F491" s="4" t="s">
        <v>895</v>
      </c>
      <c r="G491" s="14">
        <v>96.56</v>
      </c>
      <c r="H491" s="10">
        <v>9.9191029999999998</v>
      </c>
      <c r="I491" s="10">
        <v>55.231521999999998</v>
      </c>
      <c r="J491" s="10">
        <v>5.3126550000000003</v>
      </c>
      <c r="K491" s="15">
        <v>2.1541000000000001E-2</v>
      </c>
      <c r="L491" s="17">
        <v>282798.610659</v>
      </c>
      <c r="M491" s="4" t="s">
        <v>1670</v>
      </c>
      <c r="N491" s="19">
        <v>1.7482770000000001</v>
      </c>
      <c r="O491" s="19">
        <v>4.6669999999999998</v>
      </c>
      <c r="P491" s="19">
        <v>3.7670509999999999</v>
      </c>
      <c r="Q491" s="19">
        <v>4.6426999999999996</v>
      </c>
      <c r="R491" s="19">
        <v>4.6100260000000004</v>
      </c>
      <c r="S491" s="19">
        <v>4.2832999999999997</v>
      </c>
      <c r="T491" s="19">
        <v>4.6100260000000004</v>
      </c>
      <c r="U491" s="19">
        <v>4.2538999999999998</v>
      </c>
      <c r="V491" s="19">
        <v>4.750127</v>
      </c>
      <c r="W491" s="19">
        <v>5.1368999999999998</v>
      </c>
      <c r="X491" s="19">
        <v>4.750127</v>
      </c>
      <c r="Y491" s="19">
        <v>5.1368999999999998</v>
      </c>
      <c r="Z491" s="4"/>
      <c r="AA491" s="4"/>
      <c r="AB491" s="4" t="e">
        <f ca="1">_xll.ciqfunctions.udf.CIQ("^SPX", "IQ_PRICEDATE", "12/2/2015")</f>
        <v>#NAME?</v>
      </c>
      <c r="AC491" s="16">
        <v>2079.5062206969001</v>
      </c>
    </row>
    <row r="492" spans="1:29" x14ac:dyDescent="0.35">
      <c r="A492" s="2" t="s">
        <v>502</v>
      </c>
      <c r="B492" s="4" t="s">
        <v>1671</v>
      </c>
      <c r="C492" s="4" t="s">
        <v>525</v>
      </c>
      <c r="D492" s="4" t="s">
        <v>855</v>
      </c>
      <c r="E492" s="4" t="s">
        <v>856</v>
      </c>
      <c r="F492" s="4" t="s">
        <v>1450</v>
      </c>
      <c r="G492" s="14">
        <v>90.14</v>
      </c>
      <c r="H492" s="10">
        <v>11.949517</v>
      </c>
      <c r="I492" s="10">
        <v>18.051817</v>
      </c>
      <c r="J492" s="10" t="s">
        <v>534</v>
      </c>
      <c r="K492" s="15">
        <v>2.0634E-2</v>
      </c>
      <c r="L492" s="17">
        <v>38644.546774000002</v>
      </c>
      <c r="M492" s="4" t="s">
        <v>1672</v>
      </c>
      <c r="N492" s="19">
        <v>4.9934029999999998</v>
      </c>
      <c r="O492" s="19">
        <v>4.2054999999999998</v>
      </c>
      <c r="P492" s="19">
        <v>4.41</v>
      </c>
      <c r="Q492" s="19">
        <v>3.4104999999999999</v>
      </c>
      <c r="R492" s="19">
        <v>2.65</v>
      </c>
      <c r="S492" s="19">
        <v>3.0979000000000001</v>
      </c>
      <c r="T492" s="19">
        <v>2.65</v>
      </c>
      <c r="U492" s="19">
        <v>2.7223999999999999</v>
      </c>
      <c r="V492" s="19">
        <v>2.79</v>
      </c>
      <c r="W492" s="19">
        <v>2.4539</v>
      </c>
      <c r="X492" s="19">
        <v>2.79</v>
      </c>
      <c r="Y492" s="19">
        <v>2.4539</v>
      </c>
      <c r="Z492" s="4"/>
      <c r="AA492" s="4"/>
      <c r="AB492" s="4" t="e">
        <f ca="1">_xll.ciqfunctions.udf.CIQ("^SPX", "IQ_PRICEDATE", "12/3/2015")</f>
        <v>#NAME?</v>
      </c>
      <c r="AC492" s="16">
        <v>2049.6156274238001</v>
      </c>
    </row>
    <row r="493" spans="1:29" x14ac:dyDescent="0.35">
      <c r="A493" s="2" t="s">
        <v>503</v>
      </c>
      <c r="B493" s="4" t="s">
        <v>1673</v>
      </c>
      <c r="C493" s="4" t="s">
        <v>530</v>
      </c>
      <c r="D493" s="4" t="s">
        <v>537</v>
      </c>
      <c r="E493" s="4" t="s">
        <v>583</v>
      </c>
      <c r="F493" s="4" t="s">
        <v>583</v>
      </c>
      <c r="G493" s="14">
        <v>188.98</v>
      </c>
      <c r="H493" s="10">
        <v>16.346229999999998</v>
      </c>
      <c r="I493" s="10">
        <v>297.58146099999999</v>
      </c>
      <c r="J493" s="10">
        <v>10.402588</v>
      </c>
      <c r="K493" s="15">
        <v>0</v>
      </c>
      <c r="L493" s="17">
        <v>14564.122227</v>
      </c>
      <c r="M493" s="4" t="s">
        <v>1674</v>
      </c>
      <c r="N493" s="19">
        <v>0.63505299999999998</v>
      </c>
      <c r="O493" s="19">
        <v>8.4959000000000007</v>
      </c>
      <c r="P493" s="19">
        <v>0.25</v>
      </c>
      <c r="Q493" s="19">
        <v>7.8643000000000001</v>
      </c>
      <c r="R493" s="19">
        <v>6.41</v>
      </c>
      <c r="S493" s="19">
        <v>6.9462000000000002</v>
      </c>
      <c r="T493" s="19">
        <v>6.41</v>
      </c>
      <c r="U493" s="19">
        <v>6.2279999999999998</v>
      </c>
      <c r="V493" s="19">
        <v>5.07</v>
      </c>
      <c r="W493" s="19">
        <v>5.7339000000000002</v>
      </c>
      <c r="X493" s="19">
        <v>5.07</v>
      </c>
      <c r="Y493" s="19">
        <v>5.7339000000000002</v>
      </c>
      <c r="Z493" s="4"/>
      <c r="AA493" s="4"/>
      <c r="AB493" s="4" t="e">
        <f ca="1">_xll.ciqfunctions.udf.CIQ("^SPX", "IQ_PRICEDATE", "12/4/2015")</f>
        <v>#NAME?</v>
      </c>
      <c r="AC493" s="16">
        <v>2091.6874238329001</v>
      </c>
    </row>
    <row r="494" spans="1:29" x14ac:dyDescent="0.35">
      <c r="A494" s="2" t="s">
        <v>504</v>
      </c>
      <c r="B494" s="4" t="s">
        <v>1675</v>
      </c>
      <c r="C494" s="4" t="s">
        <v>619</v>
      </c>
      <c r="D494" s="4" t="s">
        <v>619</v>
      </c>
      <c r="E494" s="4" t="s">
        <v>634</v>
      </c>
      <c r="F494" s="4" t="s">
        <v>634</v>
      </c>
      <c r="G494" s="14">
        <v>69.260000000000005</v>
      </c>
      <c r="H494" s="10">
        <v>12.406553000000001</v>
      </c>
      <c r="I494" s="10">
        <v>17.314155</v>
      </c>
      <c r="J494" s="10">
        <v>3.2749649999999999</v>
      </c>
      <c r="K494" s="15">
        <v>3.1907999999999999E-2</v>
      </c>
      <c r="L494" s="17">
        <v>21853.846608</v>
      </c>
      <c r="M494" s="4" t="s">
        <v>1676</v>
      </c>
      <c r="N494" s="19">
        <v>4.0001949999999997</v>
      </c>
      <c r="O494" s="19">
        <v>3.1867000000000001</v>
      </c>
      <c r="P494" s="19">
        <v>3.79</v>
      </c>
      <c r="Q494" s="19">
        <v>2.8016999999999999</v>
      </c>
      <c r="R494" s="19">
        <v>2.96</v>
      </c>
      <c r="S494" s="19">
        <v>3.0007999999999999</v>
      </c>
      <c r="T494" s="19">
        <v>2.96</v>
      </c>
      <c r="U494" s="19">
        <v>2.9009999999999998</v>
      </c>
      <c r="V494" s="19">
        <v>2.59</v>
      </c>
      <c r="W494" s="19">
        <v>2.6379999999999999</v>
      </c>
      <c r="X494" s="19">
        <v>2.59</v>
      </c>
      <c r="Y494" s="19">
        <v>2.6379999999999999</v>
      </c>
      <c r="Z494" s="4"/>
      <c r="AA494" s="4"/>
      <c r="AB494" s="4" t="e">
        <f ca="1">_xll.ciqfunctions.udf.CIQ("^SPX", "IQ_PRICEDATE", "12/7/2015")</f>
        <v>#NAME?</v>
      </c>
      <c r="AC494" s="16">
        <v>2077.0715971645</v>
      </c>
    </row>
    <row r="495" spans="1:29" x14ac:dyDescent="0.35">
      <c r="A495" s="2" t="s">
        <v>505</v>
      </c>
      <c r="B495" s="4" t="s">
        <v>1677</v>
      </c>
      <c r="C495" s="4" t="s">
        <v>530</v>
      </c>
      <c r="D495" s="4" t="s">
        <v>531</v>
      </c>
      <c r="E495" s="4" t="s">
        <v>569</v>
      </c>
      <c r="F495" s="4" t="s">
        <v>570</v>
      </c>
      <c r="G495" s="14">
        <v>316.22000000000003</v>
      </c>
      <c r="H495" s="10">
        <v>14.804938999999999</v>
      </c>
      <c r="I495" s="10">
        <v>29.396553999999998</v>
      </c>
      <c r="J495" s="10">
        <v>8.5905140000000006</v>
      </c>
      <c r="K495" s="15">
        <v>0</v>
      </c>
      <c r="L495" s="17">
        <v>15803.066355999999</v>
      </c>
      <c r="M495" s="4" t="s">
        <v>1678</v>
      </c>
      <c r="N495" s="19">
        <v>10.757042999999999</v>
      </c>
      <c r="O495" s="19">
        <v>11.8165</v>
      </c>
      <c r="P495" s="19">
        <v>8.31</v>
      </c>
      <c r="Q495" s="19">
        <v>7.1138000000000003</v>
      </c>
      <c r="R495" s="19">
        <v>5.4299989999999996</v>
      </c>
      <c r="S495" s="19">
        <v>5.7760999999999996</v>
      </c>
      <c r="T495" s="19">
        <v>5.4299989999999996</v>
      </c>
      <c r="U495" s="19">
        <v>4.1718000000000002</v>
      </c>
      <c r="V495" s="19">
        <v>1.439999</v>
      </c>
      <c r="W495" s="19">
        <v>3.2279</v>
      </c>
      <c r="X495" s="19">
        <v>1.439999</v>
      </c>
      <c r="Y495" s="19">
        <v>3.2279</v>
      </c>
      <c r="Z495" s="4"/>
      <c r="AA495" s="4"/>
      <c r="AB495" s="4" t="e">
        <f ca="1">_xll.ciqfunctions.udf.CIQ("^SPX", "IQ_PRICEDATE", "12/8/2015")</f>
        <v>#NAME?</v>
      </c>
      <c r="AC495" s="16">
        <v>2063.5936443579999</v>
      </c>
    </row>
    <row r="496" spans="1:29" x14ac:dyDescent="0.35">
      <c r="A496" s="2" t="s">
        <v>506</v>
      </c>
      <c r="B496" s="4" t="s">
        <v>1679</v>
      </c>
      <c r="C496" s="4" t="s">
        <v>573</v>
      </c>
      <c r="D496" s="4" t="s">
        <v>737</v>
      </c>
      <c r="E496" s="4" t="s">
        <v>737</v>
      </c>
      <c r="F496" s="4" t="s">
        <v>738</v>
      </c>
      <c r="G496" s="14">
        <v>54.46</v>
      </c>
      <c r="H496" s="10">
        <v>0</v>
      </c>
      <c r="I496" s="10">
        <v>12.863689000000001</v>
      </c>
      <c r="J496" s="10">
        <v>1.7036370000000001</v>
      </c>
      <c r="K496" s="15">
        <v>3.1581999999999999E-2</v>
      </c>
      <c r="L496" s="17">
        <v>256591.614565</v>
      </c>
      <c r="M496" s="4" t="s">
        <v>1680</v>
      </c>
      <c r="N496" s="19">
        <v>4.2336220000000004</v>
      </c>
      <c r="O496" s="19">
        <v>4.9833999999999996</v>
      </c>
      <c r="P496" s="19">
        <v>4.0999999999999996</v>
      </c>
      <c r="Q496" s="19">
        <v>4.21</v>
      </c>
      <c r="R496" s="19">
        <v>3.99</v>
      </c>
      <c r="S496" s="19">
        <v>4.0696000000000003</v>
      </c>
      <c r="T496" s="19">
        <v>3.99</v>
      </c>
      <c r="U496" s="19">
        <v>4.3079999999999998</v>
      </c>
      <c r="V496" s="19">
        <v>4.0999999999999996</v>
      </c>
      <c r="W496" s="19">
        <v>4.1635999999999997</v>
      </c>
      <c r="X496" s="19">
        <v>4.0999999999999996</v>
      </c>
      <c r="Y496" s="19">
        <v>4.1635999999999997</v>
      </c>
      <c r="Z496" s="4"/>
      <c r="AA496" s="4"/>
      <c r="AB496" s="4" t="e">
        <f ca="1">_xll.ciqfunctions.udf.CIQ("^SPX", "IQ_PRICEDATE", "12/9/2015")</f>
        <v>#NAME?</v>
      </c>
      <c r="AC496" s="16">
        <v>2047.6231907509</v>
      </c>
    </row>
    <row r="497" spans="1:29" x14ac:dyDescent="0.35">
      <c r="A497" s="2" t="s">
        <v>507</v>
      </c>
      <c r="B497" s="4" t="s">
        <v>1681</v>
      </c>
      <c r="C497" s="4" t="s">
        <v>601</v>
      </c>
      <c r="D497" s="4" t="s">
        <v>601</v>
      </c>
      <c r="E497" s="4" t="s">
        <v>602</v>
      </c>
      <c r="F497" s="4" t="s">
        <v>1112</v>
      </c>
      <c r="G497" s="14">
        <v>63.39</v>
      </c>
      <c r="H497" s="10">
        <v>18.80396</v>
      </c>
      <c r="I497" s="10">
        <v>42.432161000000001</v>
      </c>
      <c r="J497" s="10">
        <v>1.790556</v>
      </c>
      <c r="K497" s="15">
        <v>5.4897999999999995E-2</v>
      </c>
      <c r="L497" s="17">
        <v>23582.841228000001</v>
      </c>
      <c r="M497" s="4" t="s">
        <v>1682</v>
      </c>
      <c r="N497" s="19">
        <v>1.493914</v>
      </c>
      <c r="O497" s="19">
        <v>1.7748999999999999</v>
      </c>
      <c r="P497" s="19">
        <v>1.26</v>
      </c>
      <c r="Q497" s="19">
        <v>1.9384999999999999</v>
      </c>
      <c r="R497" s="19">
        <v>2.81</v>
      </c>
      <c r="S497" s="19">
        <v>2.0253999999999999</v>
      </c>
      <c r="T497" s="19">
        <v>2.81</v>
      </c>
      <c r="U497" s="19">
        <v>2.0743999999999998</v>
      </c>
      <c r="V497" s="19">
        <v>1.43</v>
      </c>
      <c r="W497" s="19">
        <v>1.7971999999999999</v>
      </c>
      <c r="X497" s="19">
        <v>1.43</v>
      </c>
      <c r="Y497" s="19">
        <v>1.7971999999999999</v>
      </c>
      <c r="Z497" s="4"/>
      <c r="AA497" s="4"/>
      <c r="AB497" s="4" t="e">
        <f ca="1">_xll.ciqfunctions.udf.CIQ("^SPX", "IQ_PRICEDATE", "12/10/2015")</f>
        <v>#NAME?</v>
      </c>
      <c r="AC497" s="16">
        <v>2052.2323464843998</v>
      </c>
    </row>
    <row r="498" spans="1:29" x14ac:dyDescent="0.35">
      <c r="A498" s="2" t="s">
        <v>508</v>
      </c>
      <c r="B498" s="4" t="s">
        <v>1683</v>
      </c>
      <c r="C498" s="4" t="s">
        <v>543</v>
      </c>
      <c r="D498" s="4" t="s">
        <v>664</v>
      </c>
      <c r="E498" s="4" t="s">
        <v>688</v>
      </c>
      <c r="F498" s="4" t="s">
        <v>688</v>
      </c>
      <c r="G498" s="14">
        <v>55.76</v>
      </c>
      <c r="H498" s="10">
        <v>3.789034</v>
      </c>
      <c r="I498" s="10">
        <v>25.345454</v>
      </c>
      <c r="J498" s="10" t="s">
        <v>534</v>
      </c>
      <c r="K498" s="15">
        <v>3.5868000000000004E-2</v>
      </c>
      <c r="L498" s="17">
        <v>16181.834591999999</v>
      </c>
      <c r="M498" s="4" t="s">
        <v>1684</v>
      </c>
      <c r="N498" s="19">
        <v>2.2000000000000002</v>
      </c>
      <c r="O498" s="19">
        <v>11.08517</v>
      </c>
      <c r="P498" s="19">
        <v>1.2828569999999999</v>
      </c>
      <c r="Q498" s="19">
        <v>13.1929</v>
      </c>
      <c r="R498" s="19">
        <v>-1.590225</v>
      </c>
      <c r="S498" s="19">
        <v>7.5510000000000002</v>
      </c>
      <c r="T498" s="19">
        <v>-1.590225</v>
      </c>
      <c r="U498" s="19">
        <v>6.4825999999999997</v>
      </c>
      <c r="V498" s="19">
        <v>6.3886539999999998</v>
      </c>
      <c r="W498" s="19">
        <v>8.3619000000000003</v>
      </c>
      <c r="X498" s="19">
        <v>6.3886539999999998</v>
      </c>
      <c r="Y498" s="19">
        <v>8.3619000000000003</v>
      </c>
      <c r="Z498" s="4"/>
      <c r="AA498" s="4"/>
      <c r="AB498" s="4" t="e">
        <f ca="1">_xll.ciqfunctions.udf.CIQ("^SPX", "IQ_PRICEDATE", "12/11/2015")</f>
        <v>#NAME?</v>
      </c>
      <c r="AC498" s="16">
        <v>2012.3736975981999</v>
      </c>
    </row>
    <row r="499" spans="1:29" x14ac:dyDescent="0.35">
      <c r="A499" s="2" t="s">
        <v>509</v>
      </c>
      <c r="B499" s="4" t="s">
        <v>1685</v>
      </c>
      <c r="C499" s="4" t="s">
        <v>586</v>
      </c>
      <c r="D499" s="4" t="s">
        <v>586</v>
      </c>
      <c r="E499" s="4" t="s">
        <v>726</v>
      </c>
      <c r="F499" s="4" t="s">
        <v>727</v>
      </c>
      <c r="G499" s="14">
        <v>43.15</v>
      </c>
      <c r="H499" s="10">
        <v>6.2156349999999998</v>
      </c>
      <c r="I499" s="10">
        <v>6.1487489999999996</v>
      </c>
      <c r="J499" s="10">
        <v>4.1790700000000003</v>
      </c>
      <c r="K499" s="15">
        <v>3.986E-2</v>
      </c>
      <c r="L499" s="17">
        <v>10880.396556</v>
      </c>
      <c r="M499" s="4" t="s">
        <v>1686</v>
      </c>
      <c r="N499" s="19">
        <v>7.0176869999999996</v>
      </c>
      <c r="O499" s="19">
        <v>4.5194000000000001</v>
      </c>
      <c r="P499" s="19">
        <v>6.8642789999999998</v>
      </c>
      <c r="Q499" s="19">
        <v>3.69842</v>
      </c>
      <c r="R499" s="19">
        <v>0.78283700000000001</v>
      </c>
      <c r="S499" s="19">
        <v>2.8839299999999999</v>
      </c>
      <c r="T499" s="19">
        <v>0.78283700000000001</v>
      </c>
      <c r="U499" s="19">
        <v>3.4999799999999999</v>
      </c>
      <c r="V499" s="19">
        <v>3.4198819999999999</v>
      </c>
      <c r="W499" s="19">
        <v>0</v>
      </c>
      <c r="X499" s="19">
        <v>3.4198819999999999</v>
      </c>
      <c r="Y499" s="19">
        <v>0</v>
      </c>
      <c r="Z499" s="4"/>
      <c r="AA499" s="4"/>
      <c r="AB499" s="4" t="e">
        <f ca="1">_xll.ciqfunctions.udf.CIQ("^SPX", "IQ_PRICEDATE", "12/14/2015")</f>
        <v>#NAME?</v>
      </c>
      <c r="AC499" s="16">
        <v>2021.9395528923001</v>
      </c>
    </row>
    <row r="500" spans="1:29" x14ac:dyDescent="0.35">
      <c r="A500" s="2" t="s">
        <v>510</v>
      </c>
      <c r="B500" s="4" t="s">
        <v>1687</v>
      </c>
      <c r="C500" s="4" t="s">
        <v>601</v>
      </c>
      <c r="D500" s="4" t="s">
        <v>601</v>
      </c>
      <c r="E500" s="4" t="s">
        <v>602</v>
      </c>
      <c r="F500" s="4" t="s">
        <v>647</v>
      </c>
      <c r="G500" s="14">
        <v>28.31</v>
      </c>
      <c r="H500" s="10">
        <v>12.434979999999999</v>
      </c>
      <c r="I500" s="10">
        <v>21.777542</v>
      </c>
      <c r="J500" s="10">
        <v>2.3210649999999999</v>
      </c>
      <c r="K500" s="15">
        <v>4.8038999999999998E-2</v>
      </c>
      <c r="L500" s="17">
        <v>21449.908372000002</v>
      </c>
      <c r="M500" s="4" t="s">
        <v>1688</v>
      </c>
      <c r="N500" s="19">
        <v>1.299963</v>
      </c>
      <c r="O500" s="19">
        <v>1.4287000000000001</v>
      </c>
      <c r="P500" s="19">
        <v>0.77</v>
      </c>
      <c r="Q500" s="19">
        <v>1.3319000000000001</v>
      </c>
      <c r="R500" s="19">
        <v>0.54692700000000005</v>
      </c>
      <c r="S500" s="19">
        <v>0.95009999999999994</v>
      </c>
      <c r="T500" s="19">
        <v>0.54692700000000005</v>
      </c>
      <c r="U500" s="19">
        <v>1.3554999999999999</v>
      </c>
      <c r="V500" s="19">
        <v>1.02</v>
      </c>
      <c r="W500" s="19">
        <v>1.5382</v>
      </c>
      <c r="X500" s="19">
        <v>1.02</v>
      </c>
      <c r="Y500" s="19">
        <v>1.5382</v>
      </c>
      <c r="Z500" s="4"/>
      <c r="AA500" s="4"/>
      <c r="AB500" s="4" t="e">
        <f ca="1">_xll.ciqfunctions.udf.CIQ("^SPX", "IQ_PRICEDATE", "12/15/2015")</f>
        <v>#NAME?</v>
      </c>
      <c r="AC500" s="16">
        <v>2043.4090355479</v>
      </c>
    </row>
    <row r="501" spans="1:29" x14ac:dyDescent="0.35">
      <c r="A501" s="2" t="s">
        <v>511</v>
      </c>
      <c r="B501" s="4" t="s">
        <v>1689</v>
      </c>
      <c r="C501" s="4" t="s">
        <v>559</v>
      </c>
      <c r="D501" s="4" t="s">
        <v>912</v>
      </c>
      <c r="E501" s="4" t="s">
        <v>913</v>
      </c>
      <c r="F501" s="4" t="s">
        <v>1690</v>
      </c>
      <c r="G501" s="14">
        <v>108.34</v>
      </c>
      <c r="H501" s="10">
        <v>6.8716980000000003</v>
      </c>
      <c r="I501" s="10" t="s">
        <v>534</v>
      </c>
      <c r="J501" s="10" t="s">
        <v>534</v>
      </c>
      <c r="K501" s="15">
        <v>4.2458000000000003E-2</v>
      </c>
      <c r="L501" s="17">
        <v>6994.7823969999999</v>
      </c>
      <c r="M501" s="4" t="s">
        <v>1691</v>
      </c>
      <c r="N501" s="19">
        <v>-7.8101330000000004</v>
      </c>
      <c r="O501" s="19">
        <v>15.3749</v>
      </c>
      <c r="P501" s="19">
        <v>4.7</v>
      </c>
      <c r="Q501" s="19">
        <v>15.2408</v>
      </c>
      <c r="R501" s="19">
        <v>11.5</v>
      </c>
      <c r="S501" s="19">
        <v>15.3256</v>
      </c>
      <c r="T501" s="19">
        <v>11.5</v>
      </c>
      <c r="U501" s="19">
        <v>13.565</v>
      </c>
      <c r="V501" s="19">
        <v>8.17</v>
      </c>
      <c r="W501" s="19">
        <v>13.270799999999999</v>
      </c>
      <c r="X501" s="19">
        <v>8.17</v>
      </c>
      <c r="Y501" s="19">
        <v>13.270799999999999</v>
      </c>
      <c r="Z501" s="4"/>
      <c r="AA501" s="4"/>
      <c r="AB501" s="4" t="e">
        <f ca="1">_xll.ciqfunctions.udf.CIQ("^SPX", "IQ_PRICEDATE", "12/16/2015")</f>
        <v>#NAME?</v>
      </c>
      <c r="AC501" s="16">
        <v>2073.0661474443</v>
      </c>
    </row>
    <row r="502" spans="1:29" x14ac:dyDescent="0.35">
      <c r="A502" s="2" t="s">
        <v>512</v>
      </c>
      <c r="B502" s="4" t="s">
        <v>1692</v>
      </c>
      <c r="C502" s="4" t="s">
        <v>573</v>
      </c>
      <c r="D502" s="4" t="s">
        <v>579</v>
      </c>
      <c r="E502" s="4" t="s">
        <v>579</v>
      </c>
      <c r="F502" s="4" t="s">
        <v>680</v>
      </c>
      <c r="G502" s="14">
        <v>139.83000000000001</v>
      </c>
      <c r="H502" s="10">
        <v>15.80805</v>
      </c>
      <c r="I502" s="10">
        <v>40.348899000000003</v>
      </c>
      <c r="J502" s="10" t="s">
        <v>534</v>
      </c>
      <c r="K502" s="15">
        <v>1.7162999999999998E-2</v>
      </c>
      <c r="L502" s="17">
        <v>18285.502261000001</v>
      </c>
      <c r="M502" s="4" t="s">
        <v>1693</v>
      </c>
      <c r="N502" s="19">
        <v>3.465522</v>
      </c>
      <c r="O502" s="19">
        <v>9.9396000000000004</v>
      </c>
      <c r="P502" s="19">
        <v>4.18</v>
      </c>
      <c r="Q502" s="19">
        <v>9.4406999999999996</v>
      </c>
      <c r="R502" s="19">
        <v>3.26</v>
      </c>
      <c r="S502" s="19">
        <v>8.0762</v>
      </c>
      <c r="T502" s="19">
        <v>3.26</v>
      </c>
      <c r="U502" s="19">
        <v>0</v>
      </c>
      <c r="V502" s="19">
        <v>5.32</v>
      </c>
      <c r="W502" s="19">
        <v>0</v>
      </c>
      <c r="X502" s="19">
        <v>5.32</v>
      </c>
      <c r="Y502" s="19">
        <v>0</v>
      </c>
      <c r="Z502" s="4"/>
      <c r="AA502" s="4"/>
      <c r="AB502" s="4" t="e">
        <f ca="1">_xll.ciqfunctions.udf.CIQ("^SPX", "IQ_PRICEDATE", "12/17/2015")</f>
        <v>#NAME?</v>
      </c>
      <c r="AC502" s="16">
        <v>2041.887884854</v>
      </c>
    </row>
    <row r="503" spans="1:29" x14ac:dyDescent="0.35">
      <c r="A503" s="2" t="s">
        <v>513</v>
      </c>
      <c r="B503" s="4" t="s">
        <v>1694</v>
      </c>
      <c r="C503" s="4" t="s">
        <v>559</v>
      </c>
      <c r="D503" s="4" t="s">
        <v>798</v>
      </c>
      <c r="E503" s="4" t="s">
        <v>799</v>
      </c>
      <c r="F503" s="4" t="s">
        <v>1278</v>
      </c>
      <c r="G503" s="14">
        <v>118.29</v>
      </c>
      <c r="H503" s="10">
        <v>11.048524</v>
      </c>
      <c r="I503" s="10">
        <v>23.552980999999999</v>
      </c>
      <c r="J503" s="10">
        <v>8.5634069999999998</v>
      </c>
      <c r="K503" s="15">
        <v>2.5360999999999998E-2</v>
      </c>
      <c r="L503" s="17">
        <v>12851.025600000001</v>
      </c>
      <c r="M503" s="4" t="s">
        <v>1695</v>
      </c>
      <c r="N503" s="19">
        <v>5.0222939999999996</v>
      </c>
      <c r="O503" s="19">
        <v>7.5259999999999998</v>
      </c>
      <c r="P503" s="19">
        <v>7.28</v>
      </c>
      <c r="Q503" s="19">
        <v>6.2252000000000001</v>
      </c>
      <c r="R503" s="19">
        <v>2.38</v>
      </c>
      <c r="S503" s="19">
        <v>3.8769999999999998</v>
      </c>
      <c r="T503" s="19">
        <v>2.38</v>
      </c>
      <c r="U503" s="19">
        <v>3.3106</v>
      </c>
      <c r="V503" s="19">
        <v>7.18</v>
      </c>
      <c r="W503" s="19">
        <v>7.8071000000000002</v>
      </c>
      <c r="X503" s="19">
        <v>7.18</v>
      </c>
      <c r="Y503" s="19">
        <v>7.8071000000000002</v>
      </c>
      <c r="Z503" s="4"/>
      <c r="AA503" s="4"/>
      <c r="AB503" s="4" t="e">
        <f ca="1">_xll.ciqfunctions.udf.CIQ("^SPX", "IQ_PRICEDATE", "12/18/2015")</f>
        <v>#NAME?</v>
      </c>
      <c r="AC503" s="16">
        <v>2005.5497169122</v>
      </c>
    </row>
    <row r="504" spans="1:29" x14ac:dyDescent="0.35">
      <c r="A504" s="2" t="s">
        <v>514</v>
      </c>
      <c r="B504" s="4" t="s">
        <v>1696</v>
      </c>
      <c r="C504" s="4" t="s">
        <v>619</v>
      </c>
      <c r="D504" s="4" t="s">
        <v>619</v>
      </c>
      <c r="E504" s="4" t="s">
        <v>620</v>
      </c>
      <c r="F504" s="4" t="s">
        <v>620</v>
      </c>
      <c r="G504" s="14">
        <v>48.24</v>
      </c>
      <c r="H504" s="10">
        <v>10.704734</v>
      </c>
      <c r="I504" s="10">
        <v>19.935523</v>
      </c>
      <c r="J504" s="10">
        <v>2.1072320000000002</v>
      </c>
      <c r="K504" s="15">
        <v>3.1509000000000002E-2</v>
      </c>
      <c r="L504" s="17">
        <v>24558.362042000001</v>
      </c>
      <c r="M504" s="4" t="s">
        <v>1697</v>
      </c>
      <c r="N504" s="19">
        <v>2.4198010000000001</v>
      </c>
      <c r="O504" s="19">
        <v>2.4657</v>
      </c>
      <c r="P504" s="19">
        <v>2.25</v>
      </c>
      <c r="Q504" s="19">
        <v>2.3925000000000001</v>
      </c>
      <c r="R504" s="19">
        <v>2.2071540000000001</v>
      </c>
      <c r="S504" s="19">
        <v>2.3207</v>
      </c>
      <c r="T504" s="19">
        <v>2.2071540000000001</v>
      </c>
      <c r="U504" s="19">
        <v>2.1543999999999999</v>
      </c>
      <c r="V504" s="19">
        <v>2.0270160000000002</v>
      </c>
      <c r="W504" s="19">
        <v>2.1198000000000001</v>
      </c>
      <c r="X504" s="19">
        <v>2.0270160000000002</v>
      </c>
      <c r="Y504" s="19">
        <v>2.1198000000000001</v>
      </c>
      <c r="Z504" s="4"/>
      <c r="AA504" s="4"/>
      <c r="AB504" s="4" t="e">
        <f ca="1">_xll.ciqfunctions.udf.CIQ("^SPX", "IQ_PRICEDATE", "12/21/2015")</f>
        <v>#NAME?</v>
      </c>
      <c r="AC504" s="16">
        <v>2021.149974271</v>
      </c>
    </row>
    <row r="505" spans="1:29" x14ac:dyDescent="0.35">
      <c r="A505" s="2" t="s">
        <v>515</v>
      </c>
      <c r="B505" s="4" t="s">
        <v>1698</v>
      </c>
      <c r="C505" s="4" t="s">
        <v>543</v>
      </c>
      <c r="D505" s="4" t="s">
        <v>664</v>
      </c>
      <c r="E505" s="4" t="s">
        <v>688</v>
      </c>
      <c r="F505" s="4" t="s">
        <v>688</v>
      </c>
      <c r="G505" s="14">
        <v>26.74</v>
      </c>
      <c r="H505" s="10">
        <v>7.9548810000000003</v>
      </c>
      <c r="I505" s="10">
        <v>67.428026000000003</v>
      </c>
      <c r="J505" s="10">
        <v>5.5189490000000001</v>
      </c>
      <c r="K505" s="15">
        <v>3.7397E-2</v>
      </c>
      <c r="L505" s="17">
        <v>6821.4203399999997</v>
      </c>
      <c r="M505" s="4" t="s">
        <v>1699</v>
      </c>
      <c r="N505" s="19">
        <v>0.39657100000000001</v>
      </c>
      <c r="O505" s="19">
        <v>3.3176999999999999</v>
      </c>
      <c r="P505" s="19">
        <v>0.699847</v>
      </c>
      <c r="Q505" s="19">
        <v>3.4445999999999999</v>
      </c>
      <c r="R505" s="19">
        <v>2.33</v>
      </c>
      <c r="S505" s="19">
        <v>4.4778000000000002</v>
      </c>
      <c r="T505" s="19">
        <v>2.33</v>
      </c>
      <c r="U505" s="19">
        <v>3.9329999999999998</v>
      </c>
      <c r="V505" s="19">
        <v>3.44</v>
      </c>
      <c r="W505" s="19">
        <v>4.3785999999999996</v>
      </c>
      <c r="X505" s="19">
        <v>3.44</v>
      </c>
      <c r="Y505" s="19">
        <v>4.3785999999999996</v>
      </c>
      <c r="Z505" s="4"/>
      <c r="AA505" s="4"/>
      <c r="AB505" s="4" t="e">
        <f ca="1">_xll.ciqfunctions.udf.CIQ("^SPX", "IQ_PRICEDATE", "12/22/2015")</f>
        <v>#NAME?</v>
      </c>
      <c r="AC505" s="16">
        <v>2038.9675363017</v>
      </c>
    </row>
    <row r="506" spans="1:29" x14ac:dyDescent="0.35">
      <c r="A506" s="2" t="s">
        <v>516</v>
      </c>
      <c r="B506" s="4" t="s">
        <v>1700</v>
      </c>
      <c r="C506" s="4" t="s">
        <v>543</v>
      </c>
      <c r="D506" s="4" t="s">
        <v>565</v>
      </c>
      <c r="E506" s="4" t="s">
        <v>565</v>
      </c>
      <c r="F506" s="4" t="s">
        <v>566</v>
      </c>
      <c r="G506" s="14">
        <v>77.72</v>
      </c>
      <c r="H506" s="10">
        <v>19.407254999999999</v>
      </c>
      <c r="I506" s="10">
        <v>36.374051000000001</v>
      </c>
      <c r="J506" s="10">
        <v>8.9510799999999993</v>
      </c>
      <c r="K506" s="15">
        <v>1.8527999999999999E-2</v>
      </c>
      <c r="L506" s="17">
        <v>19656.441650000001</v>
      </c>
      <c r="M506" s="4" t="s">
        <v>1701</v>
      </c>
      <c r="N506" s="19">
        <v>2.1366879999999999</v>
      </c>
      <c r="O506" s="19">
        <v>3.0413999999999999</v>
      </c>
      <c r="P506" s="19">
        <v>1.87778</v>
      </c>
      <c r="Q506" s="19">
        <v>2.7130999999999998</v>
      </c>
      <c r="R506" s="19">
        <v>2.2800929999999999</v>
      </c>
      <c r="S506" s="19">
        <v>2.2185000000000001</v>
      </c>
      <c r="T506" s="19">
        <v>2.2800929999999999</v>
      </c>
      <c r="U506" s="19">
        <v>2.0966999999999998</v>
      </c>
      <c r="V506" s="19">
        <v>2.3768690000000001</v>
      </c>
      <c r="W506" s="19">
        <v>2.5421</v>
      </c>
      <c r="X506" s="19">
        <v>2.3768690000000001</v>
      </c>
      <c r="Y506" s="19">
        <v>2.5421</v>
      </c>
      <c r="Z506" s="4"/>
      <c r="AA506" s="4"/>
      <c r="AB506" s="4" t="e">
        <f ca="1">_xll.ciqfunctions.udf.CIQ("^SPX", "IQ_PRICEDATE", "12/23/2015")</f>
        <v>#NAME?</v>
      </c>
      <c r="AC506" s="16">
        <v>2064.2920493832999</v>
      </c>
    </row>
    <row r="507" spans="1:29" x14ac:dyDescent="0.35">
      <c r="A507" s="2" t="s">
        <v>517</v>
      </c>
      <c r="B507" s="4" t="s">
        <v>1702</v>
      </c>
      <c r="C507" s="4" t="s">
        <v>525</v>
      </c>
      <c r="D507" s="4" t="s">
        <v>526</v>
      </c>
      <c r="E507" s="4" t="s">
        <v>803</v>
      </c>
      <c r="F507" s="4" t="s">
        <v>948</v>
      </c>
      <c r="G507" s="14">
        <v>71.34</v>
      </c>
      <c r="H507" s="10">
        <v>17.062275</v>
      </c>
      <c r="I507" s="10">
        <v>34.972456000000001</v>
      </c>
      <c r="J507" s="10" t="s">
        <v>534</v>
      </c>
      <c r="K507" s="15">
        <v>1.1774E-2</v>
      </c>
      <c r="L507" s="17">
        <v>12813.926788999999</v>
      </c>
      <c r="M507" s="4" t="s">
        <v>1703</v>
      </c>
      <c r="N507" s="19">
        <v>2.0398909999999999</v>
      </c>
      <c r="O507" s="19">
        <v>3.1448</v>
      </c>
      <c r="P507" s="19">
        <v>1.83</v>
      </c>
      <c r="Q507" s="19">
        <v>2.7027000000000001</v>
      </c>
      <c r="R507" s="19">
        <v>1.45</v>
      </c>
      <c r="S507" s="19">
        <v>2.2791999999999999</v>
      </c>
      <c r="T507" s="19">
        <v>1.45</v>
      </c>
      <c r="U507" s="19">
        <v>1.9641999999999999</v>
      </c>
      <c r="V507" s="19">
        <v>1.83</v>
      </c>
      <c r="W507" s="19">
        <v>2.0855999999999999</v>
      </c>
      <c r="X507" s="19">
        <v>1.83</v>
      </c>
      <c r="Y507" s="19">
        <v>2.0855999999999999</v>
      </c>
      <c r="Z507" s="4"/>
      <c r="AA507" s="4"/>
      <c r="AB507" s="4" t="e">
        <f ca="1">_xll.ciqfunctions.udf.CIQ("^SPX", "IQ_PRICEDATE", "12/24/2015")</f>
        <v>#NAME?</v>
      </c>
      <c r="AC507" s="16">
        <v>2060.9882998510998</v>
      </c>
    </row>
    <row r="508" spans="1:29" x14ac:dyDescent="0.35">
      <c r="A508" s="2" t="s">
        <v>518</v>
      </c>
      <c r="B508" s="4" t="s">
        <v>1704</v>
      </c>
      <c r="C508" s="4" t="s">
        <v>559</v>
      </c>
      <c r="D508" s="4" t="s">
        <v>798</v>
      </c>
      <c r="E508" s="4" t="s">
        <v>799</v>
      </c>
      <c r="F508" s="4" t="s">
        <v>839</v>
      </c>
      <c r="G508" s="14">
        <v>91.36</v>
      </c>
      <c r="H508" s="10">
        <v>19.761140999999999</v>
      </c>
      <c r="I508" s="10">
        <v>19.427921999999999</v>
      </c>
      <c r="J508" s="10" t="s">
        <v>534</v>
      </c>
      <c r="K508" s="15">
        <v>1.5761000000000001E-2</v>
      </c>
      <c r="L508" s="17">
        <v>28993.615290000002</v>
      </c>
      <c r="M508" s="4" t="s">
        <v>1705</v>
      </c>
      <c r="N508" s="19">
        <v>4.7025100000000002</v>
      </c>
      <c r="O508" s="19">
        <v>3.4847999999999999</v>
      </c>
      <c r="P508" s="19">
        <v>3.77</v>
      </c>
      <c r="Q508" s="19">
        <v>3.0038999999999998</v>
      </c>
      <c r="R508" s="19">
        <v>2.54</v>
      </c>
      <c r="S508" s="19">
        <v>2.6415000000000002</v>
      </c>
      <c r="T508" s="19">
        <v>2.54</v>
      </c>
      <c r="U508" s="19">
        <v>3.3469000000000002</v>
      </c>
      <c r="V508" s="19">
        <v>2.2200000000000002</v>
      </c>
      <c r="W508" s="19">
        <v>3.2593000000000001</v>
      </c>
      <c r="X508" s="19">
        <v>2.2200000000000002</v>
      </c>
      <c r="Y508" s="19">
        <v>3.2593000000000001</v>
      </c>
      <c r="Z508" s="4"/>
      <c r="AA508" s="4"/>
      <c r="AB508" s="4" t="e">
        <f ca="1">_xll.ciqfunctions.udf.CIQ("^SPX", "IQ_PRICEDATE", "12/28/2015")</f>
        <v>#NAME?</v>
      </c>
      <c r="AC508" s="16">
        <v>2056.5007436105002</v>
      </c>
    </row>
    <row r="509" spans="1:29" x14ac:dyDescent="0.35">
      <c r="A509" s="2" t="s">
        <v>519</v>
      </c>
      <c r="B509" s="4" t="s">
        <v>1706</v>
      </c>
      <c r="C509" s="4" t="s">
        <v>530</v>
      </c>
      <c r="D509" s="4" t="s">
        <v>531</v>
      </c>
      <c r="E509" s="4" t="s">
        <v>532</v>
      </c>
      <c r="F509" s="4" t="s">
        <v>533</v>
      </c>
      <c r="G509" s="14">
        <v>128.32</v>
      </c>
      <c r="H509" s="10">
        <v>12.999884</v>
      </c>
      <c r="I509" s="10">
        <v>15.522086</v>
      </c>
      <c r="J509" s="10" t="s">
        <v>534</v>
      </c>
      <c r="K509" s="15">
        <v>7.4809999999999998E-3</v>
      </c>
      <c r="L509" s="17">
        <v>26111.287462</v>
      </c>
      <c r="M509" s="4" t="s">
        <v>1707</v>
      </c>
      <c r="N509" s="19">
        <v>8.2669300000000003</v>
      </c>
      <c r="O509" s="19">
        <v>7.7969999999999997</v>
      </c>
      <c r="P509" s="19">
        <v>8.9</v>
      </c>
      <c r="Q509" s="19">
        <v>8.0152000000000001</v>
      </c>
      <c r="R509" s="19">
        <v>1.51</v>
      </c>
      <c r="S509" s="19">
        <v>8.4641000000000002</v>
      </c>
      <c r="T509" s="19">
        <v>1.51</v>
      </c>
      <c r="U509" s="19">
        <v>7.7148000000000003</v>
      </c>
      <c r="V509" s="19">
        <v>4.2</v>
      </c>
      <c r="W509" s="19">
        <v>6.2442000000000002</v>
      </c>
      <c r="X509" s="19">
        <v>4.2</v>
      </c>
      <c r="Y509" s="19">
        <v>6.2442000000000002</v>
      </c>
      <c r="Z509" s="4"/>
      <c r="AA509" s="4"/>
      <c r="AB509" s="4" t="e">
        <f ca="1">_xll.ciqfunctions.udf.CIQ("^SPX", "IQ_PRICEDATE", "12/29/2015")</f>
        <v>#NAME?</v>
      </c>
      <c r="AC509" s="16">
        <v>2078.3618660811999</v>
      </c>
    </row>
    <row r="510" spans="1:29" x14ac:dyDescent="0.35">
      <c r="A510" s="2" t="s">
        <v>520</v>
      </c>
      <c r="B510" s="4" t="s">
        <v>1708</v>
      </c>
      <c r="C510" s="4" t="s">
        <v>573</v>
      </c>
      <c r="D510" s="4" t="s">
        <v>737</v>
      </c>
      <c r="E510" s="4" t="s">
        <v>737</v>
      </c>
      <c r="F510" s="4" t="s">
        <v>743</v>
      </c>
      <c r="G510" s="14">
        <v>48.44</v>
      </c>
      <c r="H510" s="10">
        <v>0</v>
      </c>
      <c r="I510" s="10">
        <v>14.997112</v>
      </c>
      <c r="J510" s="10">
        <v>1.5670170000000001</v>
      </c>
      <c r="K510" s="15">
        <v>2.4771999999999999E-2</v>
      </c>
      <c r="L510" s="17">
        <v>9416.8721650000007</v>
      </c>
      <c r="M510" s="4" t="s">
        <v>1709</v>
      </c>
      <c r="N510" s="19">
        <v>3.2299549999999999</v>
      </c>
      <c r="O510" s="19">
        <v>3.9287000000000001</v>
      </c>
      <c r="P510" s="19">
        <v>2.6</v>
      </c>
      <c r="Q510" s="19">
        <v>3.0489000000000002</v>
      </c>
      <c r="R510" s="19">
        <v>1.99</v>
      </c>
      <c r="S510" s="19">
        <v>2.2408000000000001</v>
      </c>
      <c r="T510" s="19">
        <v>1.99</v>
      </c>
      <c r="U510" s="19">
        <v>1.8608</v>
      </c>
      <c r="V510" s="19">
        <v>1.68</v>
      </c>
      <c r="W510" s="19">
        <v>1.6911</v>
      </c>
      <c r="X510" s="19">
        <v>1.68</v>
      </c>
      <c r="Y510" s="19">
        <v>1.6911</v>
      </c>
      <c r="Z510" s="4"/>
      <c r="AA510" s="4"/>
      <c r="AB510" s="4" t="e">
        <f ca="1">_xll.ciqfunctions.udf.CIQ("^SPX", "IQ_PRICEDATE", "12/30/2015")</f>
        <v>#NAME?</v>
      </c>
      <c r="AC510" s="16">
        <v>2063.3552153075002</v>
      </c>
    </row>
    <row r="511" spans="1:29" x14ac:dyDescent="0.35">
      <c r="A511" s="2" t="s">
        <v>521</v>
      </c>
      <c r="B511" s="4" t="s">
        <v>1710</v>
      </c>
      <c r="C511" s="4" t="s">
        <v>530</v>
      </c>
      <c r="D511" s="4" t="s">
        <v>537</v>
      </c>
      <c r="E511" s="4" t="s">
        <v>613</v>
      </c>
      <c r="F511" s="4" t="s">
        <v>613</v>
      </c>
      <c r="G511" s="14">
        <v>92.79</v>
      </c>
      <c r="H511" s="10">
        <v>22.173931</v>
      </c>
      <c r="I511" s="10">
        <v>40.750521999999997</v>
      </c>
      <c r="J511" s="10" t="s">
        <v>534</v>
      </c>
      <c r="K511" s="15">
        <v>5.4310000000000001E-3</v>
      </c>
      <c r="L511" s="17">
        <v>44708.430679999998</v>
      </c>
      <c r="M511" s="4" t="s">
        <v>1711</v>
      </c>
      <c r="N511" s="19">
        <v>2.2770260000000002</v>
      </c>
      <c r="O511" s="19">
        <v>3.2164999999999999</v>
      </c>
      <c r="P511" s="19">
        <v>1.75</v>
      </c>
      <c r="Q511" s="19">
        <v>2.6215999999999999</v>
      </c>
      <c r="R511" s="19">
        <v>1.65</v>
      </c>
      <c r="S511" s="19">
        <v>2.1951999999999998</v>
      </c>
      <c r="T511" s="19">
        <v>1.65</v>
      </c>
      <c r="U511" s="19">
        <v>1.8044</v>
      </c>
      <c r="V511" s="19">
        <v>1.1599999999999999</v>
      </c>
      <c r="W511" s="19">
        <v>1.5689</v>
      </c>
      <c r="X511" s="19">
        <v>1.1599999999999999</v>
      </c>
      <c r="Y511" s="19">
        <v>1.5689</v>
      </c>
      <c r="Z511" s="4"/>
      <c r="AA511" s="4"/>
      <c r="AB511" s="4" t="e">
        <f ca="1">_xll.ciqfunctions.udf.CIQ("^SPX", "IQ_PRICEDATE", "12/31/2015")</f>
        <v>#NAME?</v>
      </c>
      <c r="AC511" s="16">
        <v>2043.9368626606999</v>
      </c>
    </row>
    <row r="512" spans="1:29" x14ac:dyDescent="0.35">
      <c r="Z512" s="4"/>
      <c r="AA512" s="4"/>
      <c r="AB512" s="4" t="e">
        <f ca="1">_xll.ciqfunctions.udf.CIQ("^SPX", "IQ_PRICEDATE", "1/4/2016")</f>
        <v>#NAME?</v>
      </c>
      <c r="AC512" s="16">
        <v>2012.6593712480001</v>
      </c>
    </row>
    <row r="513" spans="26:29" x14ac:dyDescent="0.35">
      <c r="Z513" s="4"/>
      <c r="AA513" s="4"/>
      <c r="AB513" s="4" t="e">
        <f ca="1">_xll.ciqfunctions.udf.CIQ("^SPX", "IQ_PRICEDATE", "1/5/2016")</f>
        <v>#NAME?</v>
      </c>
      <c r="AC513" s="16">
        <v>2016.7144265541999</v>
      </c>
    </row>
    <row r="514" spans="26:29" x14ac:dyDescent="0.35">
      <c r="Z514" s="4"/>
      <c r="AA514" s="4"/>
      <c r="AB514" s="4" t="e">
        <f ca="1">_xll.ciqfunctions.udf.CIQ("^SPX", "IQ_PRICEDATE", "1/6/2016")</f>
        <v>#NAME?</v>
      </c>
      <c r="AC514" s="16">
        <v>1990.2622927555001</v>
      </c>
    </row>
    <row r="515" spans="26:29" x14ac:dyDescent="0.35">
      <c r="Z515" s="4"/>
      <c r="AA515" s="4"/>
      <c r="AB515" s="4" t="e">
        <f ca="1">_xll.ciqfunctions.udf.CIQ("^SPX", "IQ_PRICEDATE", "1/7/2016")</f>
        <v>#NAME?</v>
      </c>
      <c r="AC515" s="16">
        <v>1943.0937024861</v>
      </c>
    </row>
    <row r="516" spans="26:29" x14ac:dyDescent="0.35">
      <c r="Z516" s="4"/>
      <c r="AA516" s="4"/>
      <c r="AB516" s="4" t="e">
        <f ca="1">_xll.ciqfunctions.udf.CIQ("^SPX", "IQ_PRICEDATE", "1/8/2016")</f>
        <v>#NAME?</v>
      </c>
      <c r="AC516" s="16">
        <v>1922.0347926740001</v>
      </c>
    </row>
    <row r="517" spans="26:29" x14ac:dyDescent="0.35">
      <c r="Z517" s="4"/>
      <c r="AA517" s="4"/>
      <c r="AB517" s="4" t="e">
        <f ca="1">_xll.ciqfunctions.udf.CIQ("^SPX", "IQ_PRICEDATE", "1/11/2016")</f>
        <v>#NAME?</v>
      </c>
      <c r="AC517" s="16">
        <v>1923.6748213450001</v>
      </c>
    </row>
    <row r="518" spans="26:29" x14ac:dyDescent="0.35">
      <c r="Z518" s="4"/>
      <c r="AA518" s="4"/>
      <c r="AB518" s="4" t="e">
        <f ca="1">_xll.ciqfunctions.udf.CIQ("^SPX", "IQ_PRICEDATE", "1/12/2016")</f>
        <v>#NAME?</v>
      </c>
      <c r="AC518" s="16">
        <v>1938.6789320655</v>
      </c>
    </row>
    <row r="519" spans="26:29" x14ac:dyDescent="0.35">
      <c r="Z519" s="4"/>
      <c r="AA519" s="4"/>
      <c r="AB519" s="4" t="e">
        <f ca="1">_xll.ciqfunctions.udf.CIQ("^SPX", "IQ_PRICEDATE", "1/13/2016")</f>
        <v>#NAME?</v>
      </c>
      <c r="AC519" s="16">
        <v>1890.2789148177999</v>
      </c>
    </row>
    <row r="520" spans="26:29" x14ac:dyDescent="0.35">
      <c r="Z520" s="4"/>
      <c r="AA520" s="4"/>
      <c r="AB520" s="4" t="e">
        <f ca="1">_xll.ciqfunctions.udf.CIQ("^SPX", "IQ_PRICEDATE", "1/14/2016")</f>
        <v>#NAME?</v>
      </c>
      <c r="AC520" s="16">
        <v>1921.8357608706001</v>
      </c>
    </row>
    <row r="521" spans="26:29" x14ac:dyDescent="0.35">
      <c r="Z521" s="4"/>
      <c r="AA521" s="4"/>
      <c r="AB521" s="4" t="e">
        <f ca="1">_xll.ciqfunctions.udf.CIQ("^SPX", "IQ_PRICEDATE", "1/15/2016")</f>
        <v>#NAME?</v>
      </c>
      <c r="AC521" s="16">
        <v>1880.3277963866999</v>
      </c>
    </row>
    <row r="522" spans="26:29" x14ac:dyDescent="0.35">
      <c r="Z522" s="4"/>
      <c r="AA522" s="4"/>
      <c r="AB522" s="4" t="e">
        <f ca="1">_xll.ciqfunctions.udf.CIQ("^SPX", "IQ_PRICEDATE", "1/19/2016")</f>
        <v>#NAME?</v>
      </c>
      <c r="AC522" s="16">
        <v>1881.3332441622999</v>
      </c>
    </row>
    <row r="523" spans="26:29" x14ac:dyDescent="0.35">
      <c r="Z523" s="4"/>
      <c r="AA523" s="4"/>
      <c r="AB523" s="4" t="e">
        <f ca="1">_xll.ciqfunctions.udf.CIQ("^SPX", "IQ_PRICEDATE", "1/20/2016")</f>
        <v>#NAME?</v>
      </c>
      <c r="AC523" s="16">
        <v>1859.3284619461999</v>
      </c>
    </row>
    <row r="524" spans="26:29" x14ac:dyDescent="0.35">
      <c r="Z524" s="4"/>
      <c r="AA524" s="4"/>
      <c r="AB524" s="4" t="e">
        <f ca="1">_xll.ciqfunctions.udf.CIQ("^SPX", "IQ_PRICEDATE", "1/21/2016")</f>
        <v>#NAME?</v>
      </c>
      <c r="AC524" s="16">
        <v>1868.9863167763001</v>
      </c>
    </row>
    <row r="525" spans="26:29" x14ac:dyDescent="0.35">
      <c r="Z525" s="4"/>
      <c r="AA525" s="4"/>
      <c r="AB525" s="4" t="e">
        <f ca="1">_xll.ciqfunctions.udf.CIQ("^SPX", "IQ_PRICEDATE", "1/22/2016")</f>
        <v>#NAME?</v>
      </c>
      <c r="AC525" s="16">
        <v>1906.9040755857</v>
      </c>
    </row>
    <row r="526" spans="26:29" x14ac:dyDescent="0.35">
      <c r="Z526" s="4"/>
      <c r="AA526" s="4"/>
      <c r="AB526" s="4" t="e">
        <f ca="1">_xll.ciqfunctions.udf.CIQ("^SPX", "IQ_PRICEDATE", "1/25/2016")</f>
        <v>#NAME?</v>
      </c>
      <c r="AC526" s="16">
        <v>1877.0775714959</v>
      </c>
    </row>
    <row r="527" spans="26:29" x14ac:dyDescent="0.35">
      <c r="Z527" s="4"/>
      <c r="AA527" s="4"/>
      <c r="AB527" s="4" t="e">
        <f ca="1">_xll.ciqfunctions.udf.CIQ("^SPX", "IQ_PRICEDATE", "1/26/2016")</f>
        <v>#NAME?</v>
      </c>
      <c r="AC527" s="16">
        <v>1903.6306483067999</v>
      </c>
    </row>
    <row r="528" spans="26:29" x14ac:dyDescent="0.35">
      <c r="Z528" s="4"/>
      <c r="AA528" s="4"/>
      <c r="AB528" s="4" t="e">
        <f ca="1">_xll.ciqfunctions.udf.CIQ("^SPX", "IQ_PRICEDATE", "1/27/2016")</f>
        <v>#NAME?</v>
      </c>
      <c r="AC528" s="16">
        <v>1882.9462651834001</v>
      </c>
    </row>
    <row r="529" spans="26:29" x14ac:dyDescent="0.35">
      <c r="Z529" s="4"/>
      <c r="AA529" s="4"/>
      <c r="AB529" s="4" t="e">
        <f ca="1">_xll.ciqfunctions.udf.CIQ("^SPX", "IQ_PRICEDATE", "1/28/2016")</f>
        <v>#NAME?</v>
      </c>
      <c r="AC529" s="16">
        <v>1893.3567082853999</v>
      </c>
    </row>
    <row r="530" spans="26:29" x14ac:dyDescent="0.35">
      <c r="Z530" s="4"/>
      <c r="AA530" s="4"/>
      <c r="AB530" s="4" t="e">
        <f ca="1">_xll.ciqfunctions.udf.CIQ("^SPX", "IQ_PRICEDATE", "1/29/2016")</f>
        <v>#NAME?</v>
      </c>
      <c r="AC530" s="16">
        <v>1940.2396778185</v>
      </c>
    </row>
    <row r="531" spans="26:29" x14ac:dyDescent="0.35">
      <c r="Z531" s="4"/>
      <c r="AA531" s="4"/>
      <c r="AB531" s="4" t="e">
        <f ca="1">_xll.ciqfunctions.udf.CIQ("^SPX", "IQ_PRICEDATE", "2/1/2016")</f>
        <v>#NAME?</v>
      </c>
      <c r="AC531" s="16">
        <v>1939.3793162679001</v>
      </c>
    </row>
    <row r="532" spans="26:29" x14ac:dyDescent="0.35">
      <c r="Z532" s="4"/>
      <c r="AA532" s="4"/>
      <c r="AB532" s="4" t="e">
        <f ca="1">_xll.ciqfunctions.udf.CIQ("^SPX", "IQ_PRICEDATE", "2/2/2016")</f>
        <v>#NAME?</v>
      </c>
      <c r="AC532" s="16">
        <v>1903.0315127425999</v>
      </c>
    </row>
    <row r="533" spans="26:29" x14ac:dyDescent="0.35">
      <c r="Z533" s="4"/>
      <c r="AA533" s="4"/>
      <c r="AB533" s="4" t="e">
        <f ca="1">_xll.ciqfunctions.udf.CIQ("^SPX", "IQ_PRICEDATE", "2/3/2016")</f>
        <v>#NAME?</v>
      </c>
      <c r="AC533" s="16">
        <v>1912.5336076968999</v>
      </c>
    </row>
    <row r="534" spans="26:29" x14ac:dyDescent="0.35">
      <c r="Z534" s="4"/>
      <c r="AA534" s="4"/>
      <c r="AB534" s="4" t="e">
        <f ca="1">_xll.ciqfunctions.udf.CIQ("^SPX", "IQ_PRICEDATE", "2/4/2016")</f>
        <v>#NAME?</v>
      </c>
      <c r="AC534" s="16">
        <v>1915.4467916985</v>
      </c>
    </row>
    <row r="535" spans="26:29" x14ac:dyDescent="0.35">
      <c r="Z535" s="4"/>
      <c r="AA535" s="4"/>
      <c r="AB535" s="4" t="e">
        <f ca="1">_xll.ciqfunctions.udf.CIQ("^SPX", "IQ_PRICEDATE", "2/5/2016")</f>
        <v>#NAME?</v>
      </c>
      <c r="AC535" s="16">
        <v>1880.0539328839</v>
      </c>
    </row>
    <row r="536" spans="26:29" x14ac:dyDescent="0.35">
      <c r="Z536" s="4"/>
      <c r="AA536" s="4"/>
      <c r="AB536" s="4" t="e">
        <f ca="1">_xll.ciqfunctions.udf.CIQ("^SPX", "IQ_PRICEDATE", "2/8/2016")</f>
        <v>#NAME?</v>
      </c>
      <c r="AC536" s="16">
        <v>1853.4350189577001</v>
      </c>
    </row>
    <row r="537" spans="26:29" x14ac:dyDescent="0.35">
      <c r="Z537" s="4"/>
      <c r="AA537" s="4"/>
      <c r="AB537" s="4" t="e">
        <f ca="1">_xll.ciqfunctions.udf.CIQ("^SPX", "IQ_PRICEDATE", "2/9/2016")</f>
        <v>#NAME?</v>
      </c>
      <c r="AC537" s="16">
        <v>1852.209817315</v>
      </c>
    </row>
    <row r="538" spans="26:29" x14ac:dyDescent="0.35">
      <c r="Z538" s="4"/>
      <c r="AA538" s="4"/>
      <c r="AB538" s="4" t="e">
        <f ca="1">_xll.ciqfunctions.udf.CIQ("^SPX", "IQ_PRICEDATE", "2/10/2016")</f>
        <v>#NAME?</v>
      </c>
      <c r="AC538" s="16">
        <v>1851.8630459234</v>
      </c>
    </row>
    <row r="539" spans="26:29" x14ac:dyDescent="0.35">
      <c r="Z539" s="4"/>
      <c r="AA539" s="4"/>
      <c r="AB539" s="4" t="e">
        <f ca="1">_xll.ciqfunctions.udf.CIQ("^SPX", "IQ_PRICEDATE", "2/11/2016")</f>
        <v>#NAME?</v>
      </c>
      <c r="AC539" s="16">
        <v>1829.078345807</v>
      </c>
    </row>
    <row r="540" spans="26:29" x14ac:dyDescent="0.35">
      <c r="Z540" s="4"/>
      <c r="AA540" s="4"/>
      <c r="AB540" s="4" t="e">
        <f ca="1">_xll.ciqfunctions.udf.CIQ("^SPX", "IQ_PRICEDATE", "2/12/2016")</f>
        <v>#NAME?</v>
      </c>
      <c r="AC540" s="16">
        <v>1864.7753300898</v>
      </c>
    </row>
    <row r="541" spans="26:29" x14ac:dyDescent="0.35">
      <c r="Z541" s="4"/>
      <c r="AA541" s="4"/>
      <c r="AB541" s="4" t="e">
        <f ca="1">_xll.ciqfunctions.udf.CIQ("^SPX", "IQ_PRICEDATE", "2/16/2016")</f>
        <v>#NAME?</v>
      </c>
      <c r="AC541" s="16">
        <v>1895.5773700755999</v>
      </c>
    </row>
    <row r="542" spans="26:29" x14ac:dyDescent="0.35">
      <c r="Z542" s="4"/>
      <c r="AA542" s="4"/>
      <c r="AB542" s="4" t="e">
        <f ca="1">_xll.ciqfunctions.udf.CIQ("^SPX", "IQ_PRICEDATE", "2/17/2016")</f>
        <v>#NAME?</v>
      </c>
      <c r="AC542" s="16">
        <v>1926.8249996812001</v>
      </c>
    </row>
    <row r="543" spans="26:29" x14ac:dyDescent="0.35">
      <c r="Z543" s="4"/>
      <c r="AA543" s="4"/>
      <c r="AB543" s="4" t="e">
        <f ca="1">_xll.ciqfunctions.udf.CIQ("^SPX", "IQ_PRICEDATE", "2/18/2016")</f>
        <v>#NAME?</v>
      </c>
      <c r="AC543" s="16">
        <v>1917.8338001633999</v>
      </c>
    </row>
    <row r="544" spans="26:29" x14ac:dyDescent="0.35">
      <c r="Z544" s="4"/>
      <c r="AA544" s="4"/>
      <c r="AB544" s="4" t="e">
        <f ca="1">_xll.ciqfunctions.udf.CIQ("^SPX", "IQ_PRICEDATE", "2/19/2016")</f>
        <v>#NAME?</v>
      </c>
      <c r="AC544" s="16">
        <v>1917.7836117449999</v>
      </c>
    </row>
    <row r="545" spans="26:29" x14ac:dyDescent="0.35">
      <c r="Z545" s="4"/>
      <c r="AA545" s="4"/>
      <c r="AB545" s="4" t="e">
        <f ca="1">_xll.ciqfunctions.udf.CIQ("^SPX", "IQ_PRICEDATE", "2/22/2016")</f>
        <v>#NAME?</v>
      </c>
      <c r="AC545" s="16">
        <v>1945.5000398876</v>
      </c>
    </row>
    <row r="546" spans="26:29" x14ac:dyDescent="0.35">
      <c r="Z546" s="4"/>
      <c r="AA546" s="4"/>
      <c r="AB546" s="4" t="e">
        <f ca="1">_xll.ciqfunctions.udf.CIQ("^SPX", "IQ_PRICEDATE", "2/23/2016")</f>
        <v>#NAME?</v>
      </c>
      <c r="AC546" s="16">
        <v>1921.2684413203999</v>
      </c>
    </row>
    <row r="547" spans="26:29" x14ac:dyDescent="0.35">
      <c r="Z547" s="4"/>
      <c r="AA547" s="4"/>
      <c r="AB547" s="4" t="e">
        <f ca="1">_xll.ciqfunctions.udf.CIQ("^SPX", "IQ_PRICEDATE", "2/24/2016")</f>
        <v>#NAME?</v>
      </c>
      <c r="AC547" s="16">
        <v>1929.7976752719001</v>
      </c>
    </row>
    <row r="548" spans="26:29" x14ac:dyDescent="0.35">
      <c r="Z548" s="4"/>
      <c r="AA548" s="4"/>
      <c r="AB548" s="4" t="e">
        <f ca="1">_xll.ciqfunctions.udf.CIQ("^SPX", "IQ_PRICEDATE", "2/25/2016")</f>
        <v>#NAME?</v>
      </c>
      <c r="AC548" s="16">
        <v>1951.7006648710001</v>
      </c>
    </row>
    <row r="549" spans="26:29" x14ac:dyDescent="0.35">
      <c r="Z549" s="4"/>
      <c r="AA549" s="4"/>
      <c r="AB549" s="4" t="e">
        <f ca="1">_xll.ciqfunctions.udf.CIQ("^SPX", "IQ_PRICEDATE", "2/26/2016")</f>
        <v>#NAME?</v>
      </c>
      <c r="AC549" s="16">
        <v>1948.0538513040001</v>
      </c>
    </row>
    <row r="550" spans="26:29" x14ac:dyDescent="0.35">
      <c r="Z550" s="4"/>
      <c r="AA550" s="4"/>
      <c r="AB550" s="4" t="e">
        <f ca="1">_xll.ciqfunctions.udf.CIQ("^SPX", "IQ_PRICEDATE", "2/29/2016")</f>
        <v>#NAME?</v>
      </c>
      <c r="AC550" s="16">
        <v>1932.2263947971001</v>
      </c>
    </row>
    <row r="551" spans="26:29" x14ac:dyDescent="0.35">
      <c r="Z551" s="4"/>
      <c r="AA551" s="4"/>
      <c r="AB551" s="4" t="e">
        <f ca="1">_xll.ciqfunctions.udf.CIQ("^SPX", "IQ_PRICEDATE", "3/1/2016")</f>
        <v>#NAME?</v>
      </c>
      <c r="AC551" s="16">
        <v>1978.3481163757999</v>
      </c>
    </row>
    <row r="552" spans="26:29" x14ac:dyDescent="0.35">
      <c r="Z552" s="4"/>
      <c r="AA552" s="4"/>
      <c r="AB552" s="4" t="e">
        <f ca="1">_xll.ciqfunctions.udf.CIQ("^SPX", "IQ_PRICEDATE", "3/2/2016")</f>
        <v>#NAME?</v>
      </c>
      <c r="AC552" s="16">
        <v>1986.4547864171</v>
      </c>
    </row>
    <row r="553" spans="26:29" x14ac:dyDescent="0.35">
      <c r="Z553" s="4"/>
      <c r="AA553" s="4"/>
      <c r="AB553" s="4" t="e">
        <f ca="1">_xll.ciqfunctions.udf.CIQ("^SPX", "IQ_PRICEDATE", "3/3/2016")</f>
        <v>#NAME?</v>
      </c>
      <c r="AC553" s="16">
        <v>1993.4021399067999</v>
      </c>
    </row>
    <row r="554" spans="26:29" x14ac:dyDescent="0.35">
      <c r="Z554" s="4"/>
      <c r="AA554" s="4"/>
      <c r="AB554" s="4" t="e">
        <f ca="1">_xll.ciqfunctions.udf.CIQ("^SPX", "IQ_PRICEDATE", "3/4/2016")</f>
        <v>#NAME?</v>
      </c>
      <c r="AC554" s="16">
        <v>1999.9872258588</v>
      </c>
    </row>
    <row r="555" spans="26:29" x14ac:dyDescent="0.35">
      <c r="Z555" s="4"/>
      <c r="AA555" s="4"/>
      <c r="AB555" s="4" t="e">
        <f ca="1">_xll.ciqfunctions.udf.CIQ("^SPX", "IQ_PRICEDATE", "3/7/2016")</f>
        <v>#NAME?</v>
      </c>
      <c r="AC555" s="16">
        <v>2001.7588480310999</v>
      </c>
    </row>
    <row r="556" spans="26:29" x14ac:dyDescent="0.35">
      <c r="Z556" s="4"/>
      <c r="AA556" s="4"/>
      <c r="AB556" s="4" t="e">
        <f ca="1">_xll.ciqfunctions.udf.CIQ("^SPX", "IQ_PRICEDATE", "3/8/2016")</f>
        <v>#NAME?</v>
      </c>
      <c r="AC556" s="16">
        <v>1979.2607182705001</v>
      </c>
    </row>
    <row r="557" spans="26:29" x14ac:dyDescent="0.35">
      <c r="Z557" s="4"/>
      <c r="AA557" s="4"/>
      <c r="AB557" s="4" t="e">
        <f ca="1">_xll.ciqfunctions.udf.CIQ("^SPX", "IQ_PRICEDATE", "3/9/2016")</f>
        <v>#NAME?</v>
      </c>
      <c r="AC557" s="16">
        <v>1989.2649945042999</v>
      </c>
    </row>
    <row r="558" spans="26:29" x14ac:dyDescent="0.35">
      <c r="Z558" s="4"/>
      <c r="AA558" s="4"/>
      <c r="AB558" s="4" t="e">
        <f ca="1">_xll.ciqfunctions.udf.CIQ("^SPX", "IQ_PRICEDATE", "3/10/2016")</f>
        <v>#NAME?</v>
      </c>
      <c r="AC558" s="16">
        <v>1989.5682879162</v>
      </c>
    </row>
    <row r="559" spans="26:29" x14ac:dyDescent="0.35">
      <c r="Z559" s="4"/>
      <c r="AA559" s="4"/>
      <c r="AB559" s="4" t="e">
        <f ca="1">_xll.ciqfunctions.udf.CIQ("^SPX", "IQ_PRICEDATE", "3/11/2016")</f>
        <v>#NAME?</v>
      </c>
      <c r="AC559" s="16">
        <v>2022.1895722387001</v>
      </c>
    </row>
    <row r="560" spans="26:29" x14ac:dyDescent="0.35">
      <c r="Z560" s="4"/>
      <c r="AA560" s="4"/>
      <c r="AB560" s="4" t="e">
        <f ca="1">_xll.ciqfunctions.udf.CIQ("^SPX", "IQ_PRICEDATE", "3/14/2016")</f>
        <v>#NAME?</v>
      </c>
      <c r="AC560" s="16">
        <v>2019.6401297292</v>
      </c>
    </row>
    <row r="561" spans="26:29" x14ac:dyDescent="0.35">
      <c r="Z561" s="4"/>
      <c r="AA561" s="4"/>
      <c r="AB561" s="4" t="e">
        <f ca="1">_xll.ciqfunctions.udf.CIQ("^SPX", "IQ_PRICEDATE", "3/15/2016")</f>
        <v>#NAME?</v>
      </c>
      <c r="AC561" s="16">
        <v>2015.9279249064</v>
      </c>
    </row>
    <row r="562" spans="26:29" x14ac:dyDescent="0.35">
      <c r="Z562" s="4"/>
      <c r="AA562" s="4"/>
      <c r="AB562" s="4" t="e">
        <f ca="1">_xll.ciqfunctions.udf.CIQ("^SPX", "IQ_PRICEDATE", "3/16/2016")</f>
        <v>#NAME?</v>
      </c>
      <c r="AC562" s="16">
        <v>2027.2173933161</v>
      </c>
    </row>
    <row r="563" spans="26:29" x14ac:dyDescent="0.35">
      <c r="Z563" s="4"/>
      <c r="AA563" s="4"/>
      <c r="AB563" s="4" t="e">
        <f ca="1">_xll.ciqfunctions.udf.CIQ("^SPX", "IQ_PRICEDATE", "3/17/2016")</f>
        <v>#NAME?</v>
      </c>
      <c r="AC563" s="16">
        <v>2040.5911529636001</v>
      </c>
    </row>
    <row r="564" spans="26:29" x14ac:dyDescent="0.35">
      <c r="Z564" s="4"/>
      <c r="AA564" s="4"/>
      <c r="AB564" s="4" t="e">
        <f ca="1">_xll.ciqfunctions.udf.CIQ("^SPX", "IQ_PRICEDATE", "3/18/2016")</f>
        <v>#NAME?</v>
      </c>
      <c r="AC564" s="16">
        <v>2049.5767766017998</v>
      </c>
    </row>
    <row r="565" spans="26:29" x14ac:dyDescent="0.35">
      <c r="Z565" s="4"/>
      <c r="AA565" s="4"/>
      <c r="AB565" s="4" t="e">
        <f ca="1">_xll.ciqfunctions.udf.CIQ("^SPX", "IQ_PRICEDATE", "3/21/2016")</f>
        <v>#NAME?</v>
      </c>
      <c r="AC565" s="16">
        <v>2051.6002316302001</v>
      </c>
    </row>
    <row r="566" spans="26:29" x14ac:dyDescent="0.35">
      <c r="Z566" s="4"/>
      <c r="AA566" s="4"/>
      <c r="AB566" s="4" t="e">
        <f ca="1">_xll.ciqfunctions.udf.CIQ("^SPX", "IQ_PRICEDATE", "3/22/2016")</f>
        <v>#NAME?</v>
      </c>
      <c r="AC566" s="16">
        <v>2049.8035026558</v>
      </c>
    </row>
    <row r="567" spans="26:29" x14ac:dyDescent="0.35">
      <c r="Z567" s="4"/>
      <c r="AA567" s="4"/>
      <c r="AB567" s="4" t="e">
        <f ca="1">_xll.ciqfunctions.udf.CIQ("^SPX", "IQ_PRICEDATE", "3/23/2016")</f>
        <v>#NAME?</v>
      </c>
      <c r="AC567" s="16">
        <v>2036.7127614671999</v>
      </c>
    </row>
    <row r="568" spans="26:29" x14ac:dyDescent="0.35">
      <c r="Z568" s="4"/>
      <c r="AA568" s="4"/>
      <c r="AB568" s="4" t="e">
        <f ca="1">_xll.ciqfunctions.udf.CIQ("^SPX", "IQ_PRICEDATE", "3/24/2016")</f>
        <v>#NAME?</v>
      </c>
      <c r="AC568" s="16">
        <v>2035.9359056955</v>
      </c>
    </row>
    <row r="569" spans="26:29" x14ac:dyDescent="0.35">
      <c r="Z569" s="4"/>
      <c r="AA569" s="4"/>
      <c r="AB569" s="4" t="e">
        <f ca="1">_xll.ciqfunctions.udf.CIQ("^SPX", "IQ_PRICEDATE", "3/28/2016")</f>
        <v>#NAME?</v>
      </c>
      <c r="AC569" s="16">
        <v>2037.0494688776</v>
      </c>
    </row>
    <row r="570" spans="26:29" x14ac:dyDescent="0.35">
      <c r="Z570" s="4"/>
      <c r="AA570" s="4"/>
      <c r="AB570" s="4" t="e">
        <f ca="1">_xll.ciqfunctions.udf.CIQ("^SPX", "IQ_PRICEDATE", "3/29/2016")</f>
        <v>#NAME?</v>
      </c>
      <c r="AC570" s="16">
        <v>2055.0136334985</v>
      </c>
    </row>
    <row r="571" spans="26:29" x14ac:dyDescent="0.35">
      <c r="Z571" s="4"/>
      <c r="AA571" s="4"/>
      <c r="AB571" s="4" t="e">
        <f ca="1">_xll.ciqfunctions.udf.CIQ("^SPX", "IQ_PRICEDATE", "3/30/2016")</f>
        <v>#NAME?</v>
      </c>
      <c r="AC571" s="16">
        <v>2063.9455731809999</v>
      </c>
    </row>
    <row r="572" spans="26:29" x14ac:dyDescent="0.35">
      <c r="Z572" s="4"/>
      <c r="AA572" s="4"/>
      <c r="AB572" s="4" t="e">
        <f ca="1">_xll.ciqfunctions.udf.CIQ("^SPX", "IQ_PRICEDATE", "3/31/2016")</f>
        <v>#NAME?</v>
      </c>
      <c r="AC572" s="16">
        <v>2059.7411766012001</v>
      </c>
    </row>
    <row r="573" spans="26:29" x14ac:dyDescent="0.35">
      <c r="Z573" s="4"/>
      <c r="AA573" s="4"/>
      <c r="AB573" s="4" t="e">
        <f ca="1">_xll.ciqfunctions.udf.CIQ("^SPX", "IQ_PRICEDATE", "4/1/2016")</f>
        <v>#NAME?</v>
      </c>
      <c r="AC573" s="16">
        <v>2072.7790722503</v>
      </c>
    </row>
    <row r="574" spans="26:29" x14ac:dyDescent="0.35">
      <c r="Z574" s="4"/>
      <c r="AA574" s="4"/>
      <c r="AB574" s="4" t="e">
        <f ca="1">_xll.ciqfunctions.udf.CIQ("^SPX", "IQ_PRICEDATE", "4/4/2016")</f>
        <v>#NAME?</v>
      </c>
      <c r="AC574" s="16">
        <v>2066.1294033761001</v>
      </c>
    </row>
    <row r="575" spans="26:29" x14ac:dyDescent="0.35">
      <c r="Z575" s="4"/>
      <c r="AA575" s="4"/>
      <c r="AB575" s="4" t="e">
        <f ca="1">_xll.ciqfunctions.udf.CIQ("^SPX", "IQ_PRICEDATE", "4/5/2016")</f>
        <v>#NAME?</v>
      </c>
      <c r="AC575" s="16">
        <v>2045.1667952564001</v>
      </c>
    </row>
    <row r="576" spans="26:29" x14ac:dyDescent="0.35">
      <c r="Z576" s="4"/>
      <c r="AA576" s="4"/>
      <c r="AB576" s="4" t="e">
        <f ca="1">_xll.ciqfunctions.udf.CIQ("^SPX", "IQ_PRICEDATE", "4/6/2016")</f>
        <v>#NAME?</v>
      </c>
      <c r="AC576" s="16">
        <v>2066.6648189460998</v>
      </c>
    </row>
    <row r="577" spans="26:29" x14ac:dyDescent="0.35">
      <c r="Z577" s="4"/>
      <c r="AA577" s="4"/>
      <c r="AB577" s="4" t="e">
        <f ca="1">_xll.ciqfunctions.udf.CIQ("^SPX", "IQ_PRICEDATE", "4/7/2016")</f>
        <v>#NAME?</v>
      </c>
      <c r="AC577" s="16">
        <v>2041.9119416724</v>
      </c>
    </row>
    <row r="578" spans="26:29" x14ac:dyDescent="0.35">
      <c r="Z578" s="4"/>
      <c r="AA578" s="4"/>
      <c r="AB578" s="4" t="e">
        <f ca="1">_xll.ciqfunctions.udf.CIQ("^SPX", "IQ_PRICEDATE", "4/8/2016")</f>
        <v>#NAME?</v>
      </c>
      <c r="AC578" s="16">
        <v>2047.5971324052</v>
      </c>
    </row>
    <row r="579" spans="26:29" x14ac:dyDescent="0.35">
      <c r="Z579" s="4"/>
      <c r="AA579" s="4"/>
      <c r="AB579" s="4" t="e">
        <f ca="1">_xll.ciqfunctions.udf.CIQ("^SPX", "IQ_PRICEDATE", "4/11/2016")</f>
        <v>#NAME?</v>
      </c>
      <c r="AC579" s="16">
        <v>2041.9860446721</v>
      </c>
    </row>
    <row r="580" spans="26:29" x14ac:dyDescent="0.35">
      <c r="Z580" s="4"/>
      <c r="AA580" s="4"/>
      <c r="AB580" s="4" t="e">
        <f ca="1">_xll.ciqfunctions.udf.CIQ("^SPX", "IQ_PRICEDATE", "4/12/2016")</f>
        <v>#NAME?</v>
      </c>
      <c r="AC580" s="16">
        <v>2061.7184466693002</v>
      </c>
    </row>
    <row r="581" spans="26:29" x14ac:dyDescent="0.35">
      <c r="Z581" s="4"/>
      <c r="AA581" s="4"/>
      <c r="AB581" s="4" t="e">
        <f ca="1">_xll.ciqfunctions.udf.CIQ("^SPX", "IQ_PRICEDATE", "4/13/2016")</f>
        <v>#NAME?</v>
      </c>
      <c r="AC581" s="16">
        <v>2082.4206422921998</v>
      </c>
    </row>
    <row r="582" spans="26:29" x14ac:dyDescent="0.35">
      <c r="Z582" s="4"/>
      <c r="AA582" s="4"/>
      <c r="AB582" s="4" t="e">
        <f ca="1">_xll.ciqfunctions.udf.CIQ("^SPX", "IQ_PRICEDATE", "4/14/2016")</f>
        <v>#NAME?</v>
      </c>
      <c r="AC582" s="16">
        <v>2082.7830910424</v>
      </c>
    </row>
    <row r="583" spans="26:29" x14ac:dyDescent="0.35">
      <c r="Z583" s="4"/>
      <c r="AA583" s="4"/>
      <c r="AB583" s="4" t="e">
        <f ca="1">_xll.ciqfunctions.udf.CIQ("^SPX", "IQ_PRICEDATE", "4/15/2016")</f>
        <v>#NAME?</v>
      </c>
      <c r="AC583" s="16">
        <v>2080.7329648233999</v>
      </c>
    </row>
    <row r="584" spans="26:29" x14ac:dyDescent="0.35">
      <c r="Z584" s="4"/>
      <c r="AA584" s="4"/>
      <c r="AB584" s="4" t="e">
        <f ca="1">_xll.ciqfunctions.udf.CIQ("^SPX", "IQ_PRICEDATE", "4/18/2016")</f>
        <v>#NAME?</v>
      </c>
      <c r="AC584" s="16">
        <v>2094.3403310812</v>
      </c>
    </row>
    <row r="585" spans="26:29" x14ac:dyDescent="0.35">
      <c r="Z585" s="4"/>
      <c r="AA585" s="4"/>
      <c r="AB585" s="4" t="e">
        <f ca="1">_xll.ciqfunctions.udf.CIQ("^SPX", "IQ_PRICEDATE", "4/19/2016")</f>
        <v>#NAME?</v>
      </c>
      <c r="AC585" s="16">
        <v>2100.7987332940002</v>
      </c>
    </row>
    <row r="586" spans="26:29" x14ac:dyDescent="0.35">
      <c r="Z586" s="4"/>
      <c r="AA586" s="4"/>
      <c r="AB586" s="4" t="e">
        <f ca="1">_xll.ciqfunctions.udf.CIQ("^SPX", "IQ_PRICEDATE", "4/20/2016")</f>
        <v>#NAME?</v>
      </c>
      <c r="AC586" s="16">
        <v>2102.3966553845999</v>
      </c>
    </row>
    <row r="587" spans="26:29" x14ac:dyDescent="0.35">
      <c r="Z587" s="4"/>
      <c r="AA587" s="4"/>
      <c r="AB587" s="4" t="e">
        <f ca="1">_xll.ciqfunctions.udf.CIQ("^SPX", "IQ_PRICEDATE", "4/21/2016")</f>
        <v>#NAME?</v>
      </c>
      <c r="AC587" s="16">
        <v>2091.4836606396002</v>
      </c>
    </row>
    <row r="588" spans="26:29" x14ac:dyDescent="0.35">
      <c r="Z588" s="4"/>
      <c r="AA588" s="4"/>
      <c r="AB588" s="4" t="e">
        <f ca="1">_xll.ciqfunctions.udf.CIQ("^SPX", "IQ_PRICEDATE", "4/22/2016")</f>
        <v>#NAME?</v>
      </c>
      <c r="AC588" s="16">
        <v>2091.5801018706002</v>
      </c>
    </row>
    <row r="589" spans="26:29" x14ac:dyDescent="0.35">
      <c r="Z589" s="4"/>
      <c r="AA589" s="4"/>
      <c r="AB589" s="4" t="e">
        <f ca="1">_xll.ciqfunctions.udf.CIQ("^SPX", "IQ_PRICEDATE", "4/25/2016")</f>
        <v>#NAME?</v>
      </c>
      <c r="AC589" s="16">
        <v>2087.7944702435002</v>
      </c>
    </row>
    <row r="590" spans="26:29" x14ac:dyDescent="0.35">
      <c r="Z590" s="4"/>
      <c r="AA590" s="4"/>
      <c r="AB590" s="4" t="e">
        <f ca="1">_xll.ciqfunctions.udf.CIQ("^SPX", "IQ_PRICEDATE", "4/26/2016")</f>
        <v>#NAME?</v>
      </c>
      <c r="AC590" s="16">
        <v>2091.6985448183</v>
      </c>
    </row>
    <row r="591" spans="26:29" x14ac:dyDescent="0.35">
      <c r="Z591" s="4"/>
      <c r="AA591" s="4"/>
      <c r="AB591" s="4" t="e">
        <f ca="1">_xll.ciqfunctions.udf.CIQ("^SPX", "IQ_PRICEDATE", "4/27/2016")</f>
        <v>#NAME?</v>
      </c>
      <c r="AC591" s="16">
        <v>2095.1543936148</v>
      </c>
    </row>
    <row r="592" spans="26:29" x14ac:dyDescent="0.35">
      <c r="Z592" s="4"/>
      <c r="AA592" s="4"/>
      <c r="AB592" s="4" t="e">
        <f ca="1">_xll.ciqfunctions.udf.CIQ("^SPX", "IQ_PRICEDATE", "4/28/2016")</f>
        <v>#NAME?</v>
      </c>
      <c r="AC592" s="16">
        <v>2075.8106634737001</v>
      </c>
    </row>
    <row r="593" spans="26:29" x14ac:dyDescent="0.35">
      <c r="Z593" s="4"/>
      <c r="AA593" s="4"/>
      <c r="AB593" s="4" t="e">
        <f ca="1">_xll.ciqfunctions.udf.CIQ("^SPX", "IQ_PRICEDATE", "4/29/2016")</f>
        <v>#NAME?</v>
      </c>
      <c r="AC593" s="16">
        <v>2065.2963010051999</v>
      </c>
    </row>
    <row r="594" spans="26:29" x14ac:dyDescent="0.35">
      <c r="Z594" s="4"/>
      <c r="AA594" s="4"/>
      <c r="AB594" s="4" t="e">
        <f ca="1">_xll.ciqfunctions.udf.CIQ("^SPX", "IQ_PRICEDATE", "5/2/2016")</f>
        <v>#NAME?</v>
      </c>
      <c r="AC594" s="16">
        <v>2081.4302172006001</v>
      </c>
    </row>
    <row r="595" spans="26:29" x14ac:dyDescent="0.35">
      <c r="Z595" s="4"/>
      <c r="AA595" s="4"/>
      <c r="AB595" s="4" t="e">
        <f ca="1">_xll.ciqfunctions.udf.CIQ("^SPX", "IQ_PRICEDATE", "5/3/2016")</f>
        <v>#NAME?</v>
      </c>
      <c r="AC595" s="16">
        <v>2063.3668538899001</v>
      </c>
    </row>
    <row r="596" spans="26:29" x14ac:dyDescent="0.35">
      <c r="Z596" s="4"/>
      <c r="AA596" s="4"/>
      <c r="AB596" s="4" t="e">
        <f ca="1">_xll.ciqfunctions.udf.CIQ("^SPX", "IQ_PRICEDATE", "5/4/2016")</f>
        <v>#NAME?</v>
      </c>
      <c r="AC596" s="16">
        <v>2051.1212619793</v>
      </c>
    </row>
    <row r="597" spans="26:29" x14ac:dyDescent="0.35">
      <c r="Z597" s="4"/>
      <c r="AA597" s="4"/>
      <c r="AB597" s="4" t="e">
        <f ca="1">_xll.ciqfunctions.udf.CIQ("^SPX", "IQ_PRICEDATE", "5/5/2016")</f>
        <v>#NAME?</v>
      </c>
      <c r="AC597" s="16">
        <v>2050.6287420499002</v>
      </c>
    </row>
    <row r="598" spans="26:29" x14ac:dyDescent="0.35">
      <c r="Z598" s="4"/>
      <c r="AA598" s="4"/>
      <c r="AB598" s="4" t="e">
        <f ca="1">_xll.ciqfunctions.udf.CIQ("^SPX", "IQ_PRICEDATE", "5/6/2016")</f>
        <v>#NAME?</v>
      </c>
      <c r="AC598" s="16">
        <v>2057.1424213606001</v>
      </c>
    </row>
    <row r="599" spans="26:29" x14ac:dyDescent="0.35">
      <c r="Z599" s="4"/>
      <c r="AA599" s="4"/>
      <c r="AB599" s="4" t="e">
        <f ca="1">_xll.ciqfunctions.udf.CIQ("^SPX", "IQ_PRICEDATE", "5/9/2016")</f>
        <v>#NAME?</v>
      </c>
      <c r="AC599" s="16">
        <v>2058.6910661584002</v>
      </c>
    </row>
    <row r="600" spans="26:29" x14ac:dyDescent="0.35">
      <c r="Z600" s="4"/>
      <c r="AA600" s="4"/>
      <c r="AB600" s="4" t="e">
        <f ca="1">_xll.ciqfunctions.udf.CIQ("^SPX", "IQ_PRICEDATE", "5/10/2016")</f>
        <v>#NAME?</v>
      </c>
      <c r="AC600" s="16">
        <v>2084.3861226132999</v>
      </c>
    </row>
    <row r="601" spans="26:29" x14ac:dyDescent="0.35">
      <c r="Z601" s="4"/>
      <c r="AA601" s="4"/>
      <c r="AB601" s="4" t="e">
        <f ca="1">_xll.ciqfunctions.udf.CIQ("^SPX", "IQ_PRICEDATE", "5/11/2016")</f>
        <v>#NAME?</v>
      </c>
      <c r="AC601" s="16">
        <v>2064.4619029935998</v>
      </c>
    </row>
    <row r="602" spans="26:29" x14ac:dyDescent="0.35">
      <c r="Z602" s="4"/>
      <c r="AA602" s="4"/>
      <c r="AB602" s="4" t="e">
        <f ca="1">_xll.ciqfunctions.udf.CIQ("^SPX", "IQ_PRICEDATE", "5/12/2016")</f>
        <v>#NAME?</v>
      </c>
      <c r="AC602" s="16">
        <v>2064.1074656146002</v>
      </c>
    </row>
    <row r="603" spans="26:29" x14ac:dyDescent="0.35">
      <c r="Z603" s="4"/>
      <c r="AA603" s="4"/>
      <c r="AB603" s="4" t="e">
        <f ca="1">_xll.ciqfunctions.udf.CIQ("^SPX", "IQ_PRICEDATE", "5/13/2016")</f>
        <v>#NAME?</v>
      </c>
      <c r="AC603" s="16">
        <v>2046.6129226142</v>
      </c>
    </row>
    <row r="604" spans="26:29" x14ac:dyDescent="0.35">
      <c r="Z604" s="4"/>
      <c r="AA604" s="4"/>
      <c r="AB604" s="4" t="e">
        <f ca="1">_xll.ciqfunctions.udf.CIQ("^SPX", "IQ_PRICEDATE", "5/16/2016")</f>
        <v>#NAME?</v>
      </c>
      <c r="AC604" s="16">
        <v>2066.6571610419001</v>
      </c>
    </row>
    <row r="605" spans="26:29" x14ac:dyDescent="0.35">
      <c r="Z605" s="4"/>
      <c r="AA605" s="4"/>
      <c r="AB605" s="4" t="e">
        <f ca="1">_xll.ciqfunctions.udf.CIQ("^SPX", "IQ_PRICEDATE", "5/17/2016")</f>
        <v>#NAME?</v>
      </c>
      <c r="AC605" s="16">
        <v>2047.2058127273999</v>
      </c>
    </row>
    <row r="606" spans="26:29" x14ac:dyDescent="0.35">
      <c r="Z606" s="4"/>
      <c r="AA606" s="4"/>
      <c r="AB606" s="4" t="e">
        <f ca="1">_xll.ciqfunctions.udf.CIQ("^SPX", "IQ_PRICEDATE", "5/18/2016")</f>
        <v>#NAME?</v>
      </c>
      <c r="AC606" s="16">
        <v>2047.6272305970001</v>
      </c>
    </row>
    <row r="607" spans="26:29" x14ac:dyDescent="0.35">
      <c r="Z607" s="4"/>
      <c r="AA607" s="4"/>
      <c r="AB607" s="4" t="e">
        <f ca="1">_xll.ciqfunctions.udf.CIQ("^SPX", "IQ_PRICEDATE", "5/19/2016")</f>
        <v>#NAME?</v>
      </c>
      <c r="AC607" s="16">
        <v>2040.0398896362001</v>
      </c>
    </row>
    <row r="608" spans="26:29" x14ac:dyDescent="0.35">
      <c r="Z608" s="4"/>
      <c r="AA608" s="4"/>
      <c r="AB608" s="4" t="e">
        <f ca="1">_xll.ciqfunctions.udf.CIQ("^SPX", "IQ_PRICEDATE", "5/20/2016")</f>
        <v>#NAME?</v>
      </c>
      <c r="AC608" s="16">
        <v>2052.3180528978</v>
      </c>
    </row>
    <row r="609" spans="26:29" x14ac:dyDescent="0.35">
      <c r="Z609" s="4"/>
      <c r="AA609" s="4"/>
      <c r="AB609" s="4" t="e">
        <f ca="1">_xll.ciqfunctions.udf.CIQ("^SPX", "IQ_PRICEDATE", "5/23/2016")</f>
        <v>#NAME?</v>
      </c>
      <c r="AC609" s="16">
        <v>2048.0432790190998</v>
      </c>
    </row>
    <row r="610" spans="26:29" x14ac:dyDescent="0.35">
      <c r="Z610" s="4"/>
      <c r="AA610" s="4"/>
      <c r="AB610" s="4" t="e">
        <f ca="1">_xll.ciqfunctions.udf.CIQ("^SPX", "IQ_PRICEDATE", "5/24/2016")</f>
        <v>#NAME?</v>
      </c>
      <c r="AC610" s="16">
        <v>2076.0578170170002</v>
      </c>
    </row>
    <row r="611" spans="26:29" x14ac:dyDescent="0.35">
      <c r="Z611" s="4"/>
      <c r="AA611" s="4"/>
      <c r="AB611" s="4" t="e">
        <f ca="1">_xll.ciqfunctions.udf.CIQ("^SPX", "IQ_PRICEDATE", "5/25/2016")</f>
        <v>#NAME?</v>
      </c>
      <c r="AC611" s="16">
        <v>2090.5430039206999</v>
      </c>
    </row>
    <row r="612" spans="26:29" x14ac:dyDescent="0.35">
      <c r="Z612" s="4"/>
      <c r="AA612" s="4"/>
      <c r="AB612" s="4" t="e">
        <f ca="1">_xll.ciqfunctions.udf.CIQ("^SPX", "IQ_PRICEDATE", "5/26/2016")</f>
        <v>#NAME?</v>
      </c>
      <c r="AC612" s="16">
        <v>2090.1009750070002</v>
      </c>
    </row>
    <row r="613" spans="26:29" x14ac:dyDescent="0.35">
      <c r="Z613" s="4"/>
      <c r="AA613" s="4"/>
      <c r="AB613" s="4" t="e">
        <f ca="1">_xll.ciqfunctions.udf.CIQ("^SPX", "IQ_PRICEDATE", "5/27/2016")</f>
        <v>#NAME?</v>
      </c>
      <c r="AC613" s="16">
        <v>2099.0604609477</v>
      </c>
    </row>
    <row r="614" spans="26:29" x14ac:dyDescent="0.35">
      <c r="Z614" s="4"/>
      <c r="AA614" s="4"/>
      <c r="AB614" s="4" t="e">
        <f ca="1">_xll.ciqfunctions.udf.CIQ("^SPX", "IQ_PRICEDATE", "5/31/2016")</f>
        <v>#NAME?</v>
      </c>
      <c r="AC614" s="16">
        <v>2096.9641950705</v>
      </c>
    </row>
    <row r="615" spans="26:29" x14ac:dyDescent="0.35">
      <c r="Z615" s="4"/>
      <c r="AA615" s="4"/>
      <c r="AB615" s="4" t="e">
        <f ca="1">_xll.ciqfunctions.udf.CIQ("^SPX", "IQ_PRICEDATE", "6/1/2016")</f>
        <v>#NAME?</v>
      </c>
      <c r="AC615" s="16">
        <v>2099.3299950290998</v>
      </c>
    </row>
    <row r="616" spans="26:29" x14ac:dyDescent="0.35">
      <c r="Z616" s="4"/>
      <c r="AA616" s="4"/>
      <c r="AB616" s="4" t="e">
        <f ca="1">_xll.ciqfunctions.udf.CIQ("^SPX", "IQ_PRICEDATE", "6/2/2016")</f>
        <v>#NAME?</v>
      </c>
      <c r="AC616" s="16">
        <v>2105.2643409194998</v>
      </c>
    </row>
    <row r="617" spans="26:29" x14ac:dyDescent="0.35">
      <c r="Z617" s="4"/>
      <c r="AA617" s="4"/>
      <c r="AB617" s="4" t="e">
        <f ca="1">_xll.ciqfunctions.udf.CIQ("^SPX", "IQ_PRICEDATE", "6/3/2016")</f>
        <v>#NAME?</v>
      </c>
      <c r="AC617" s="16">
        <v>2099.1285740266999</v>
      </c>
    </row>
    <row r="618" spans="26:29" x14ac:dyDescent="0.35">
      <c r="Z618" s="4"/>
      <c r="AA618" s="4"/>
      <c r="AB618" s="4" t="e">
        <f ca="1">_xll.ciqfunctions.udf.CIQ("^SPX", "IQ_PRICEDATE", "6/6/2016")</f>
        <v>#NAME?</v>
      </c>
      <c r="AC618" s="16">
        <v>2109.4068447715999</v>
      </c>
    </row>
    <row r="619" spans="26:29" x14ac:dyDescent="0.35">
      <c r="Z619" s="4"/>
      <c r="AA619" s="4"/>
      <c r="AB619" s="4" t="e">
        <f ca="1">_xll.ciqfunctions.udf.CIQ("^SPX", "IQ_PRICEDATE", "6/7/2016")</f>
        <v>#NAME?</v>
      </c>
      <c r="AC619" s="16">
        <v>2112.1270716708</v>
      </c>
    </row>
    <row r="620" spans="26:29" x14ac:dyDescent="0.35">
      <c r="Z620" s="4"/>
      <c r="AA620" s="4"/>
      <c r="AB620" s="4" t="e">
        <f ca="1">_xll.ciqfunctions.udf.CIQ("^SPX", "IQ_PRICEDATE", "6/8/2016")</f>
        <v>#NAME?</v>
      </c>
      <c r="AC620" s="16">
        <v>2119.1182685772001</v>
      </c>
    </row>
    <row r="621" spans="26:29" x14ac:dyDescent="0.35">
      <c r="Z621" s="4"/>
      <c r="AA621" s="4"/>
      <c r="AB621" s="4" t="e">
        <f ca="1">_xll.ciqfunctions.udf.CIQ("^SPX", "IQ_PRICEDATE", "6/9/2016")</f>
        <v>#NAME?</v>
      </c>
      <c r="AC621" s="16">
        <v>2115.4777557885</v>
      </c>
    </row>
    <row r="622" spans="26:29" x14ac:dyDescent="0.35">
      <c r="Z622" s="4"/>
      <c r="AA622" s="4"/>
      <c r="AB622" s="4" t="e">
        <f ca="1">_xll.ciqfunctions.udf.CIQ("^SPX", "IQ_PRICEDATE", "6/10/2016")</f>
        <v>#NAME?</v>
      </c>
      <c r="AC622" s="16">
        <v>2096.0710133092002</v>
      </c>
    </row>
    <row r="623" spans="26:29" x14ac:dyDescent="0.35">
      <c r="Z623" s="4"/>
      <c r="AA623" s="4"/>
      <c r="AB623" s="4" t="e">
        <f ca="1">_xll.ciqfunctions.udf.CIQ("^SPX", "IQ_PRICEDATE", "6/13/2016")</f>
        <v>#NAME?</v>
      </c>
      <c r="AC623" s="16">
        <v>2079.0589804432002</v>
      </c>
    </row>
    <row r="624" spans="26:29" x14ac:dyDescent="0.35">
      <c r="Z624" s="4"/>
      <c r="AA624" s="4"/>
      <c r="AB624" s="4" t="e">
        <f ca="1">_xll.ciqfunctions.udf.CIQ("^SPX", "IQ_PRICEDATE", "6/14/2016")</f>
        <v>#NAME?</v>
      </c>
      <c r="AC624" s="16">
        <v>2075.3159582056001</v>
      </c>
    </row>
    <row r="625" spans="26:29" x14ac:dyDescent="0.35">
      <c r="Z625" s="4"/>
      <c r="AA625" s="4"/>
      <c r="AB625" s="4" t="e">
        <f ca="1">_xll.ciqfunctions.udf.CIQ("^SPX", "IQ_PRICEDATE", "6/15/2016")</f>
        <v>#NAME?</v>
      </c>
      <c r="AC625" s="16">
        <v>2071.5022827118</v>
      </c>
    </row>
    <row r="626" spans="26:29" x14ac:dyDescent="0.35">
      <c r="Z626" s="4"/>
      <c r="AA626" s="4"/>
      <c r="AB626" s="4" t="e">
        <f ca="1">_xll.ciqfunctions.udf.CIQ("^SPX", "IQ_PRICEDATE", "6/16/2016")</f>
        <v>#NAME?</v>
      </c>
      <c r="AC626" s="16">
        <v>2077.9938893249</v>
      </c>
    </row>
    <row r="627" spans="26:29" x14ac:dyDescent="0.35">
      <c r="Z627" s="4"/>
      <c r="AA627" s="4"/>
      <c r="AB627" s="4" t="e">
        <f ca="1">_xll.ciqfunctions.udf.CIQ("^SPX", "IQ_PRICEDATE", "6/17/2016")</f>
        <v>#NAME?</v>
      </c>
      <c r="AC627" s="16">
        <v>2071.2196945688002</v>
      </c>
    </row>
    <row r="628" spans="26:29" x14ac:dyDescent="0.35">
      <c r="Z628" s="4"/>
      <c r="AA628" s="4"/>
      <c r="AB628" s="4" t="e">
        <f ca="1">_xll.ciqfunctions.udf.CIQ("^SPX", "IQ_PRICEDATE", "6/20/2016")</f>
        <v>#NAME?</v>
      </c>
      <c r="AC628" s="16">
        <v>2083.2490307027001</v>
      </c>
    </row>
    <row r="629" spans="26:29" x14ac:dyDescent="0.35">
      <c r="Z629" s="4"/>
      <c r="AA629" s="4"/>
      <c r="AB629" s="4" t="e">
        <f ca="1">_xll.ciqfunctions.udf.CIQ("^SPX", "IQ_PRICEDATE", "6/21/2016")</f>
        <v>#NAME?</v>
      </c>
      <c r="AC629" s="16">
        <v>2088.8995479027999</v>
      </c>
    </row>
    <row r="630" spans="26:29" x14ac:dyDescent="0.35">
      <c r="Z630" s="4"/>
      <c r="AA630" s="4"/>
      <c r="AB630" s="4" t="e">
        <f ca="1">_xll.ciqfunctions.udf.CIQ("^SPX", "IQ_PRICEDATE", "6/22/2016")</f>
        <v>#NAME?</v>
      </c>
      <c r="AC630" s="16">
        <v>2085.4497233948</v>
      </c>
    </row>
    <row r="631" spans="26:29" x14ac:dyDescent="0.35">
      <c r="Z631" s="4"/>
      <c r="AA631" s="4"/>
      <c r="AB631" s="4" t="e">
        <f ca="1">_xll.ciqfunctions.udf.CIQ("^SPX", "IQ_PRICEDATE", "6/23/2016")</f>
        <v>#NAME?</v>
      </c>
      <c r="AC631" s="16">
        <v>2113.3206788011998</v>
      </c>
    </row>
    <row r="632" spans="26:29" x14ac:dyDescent="0.35">
      <c r="Z632" s="4"/>
      <c r="AA632" s="4"/>
      <c r="AB632" s="4" t="e">
        <f ca="1">_xll.ciqfunctions.udf.CIQ("^SPX", "IQ_PRICEDATE", "6/24/2016")</f>
        <v>#NAME?</v>
      </c>
      <c r="AC632" s="16">
        <v>2037.4051843633999</v>
      </c>
    </row>
    <row r="633" spans="26:29" x14ac:dyDescent="0.35">
      <c r="Z633" s="4"/>
      <c r="AA633" s="4"/>
      <c r="AB633" s="4" t="e">
        <f ca="1">_xll.ciqfunctions.udf.CIQ("^SPX", "IQ_PRICEDATE", "6/27/2016")</f>
        <v>#NAME?</v>
      </c>
      <c r="AC633" s="16">
        <v>2000.5352536809</v>
      </c>
    </row>
    <row r="634" spans="26:29" x14ac:dyDescent="0.35">
      <c r="Z634" s="4"/>
      <c r="AA634" s="4"/>
      <c r="AB634" s="4" t="e">
        <f ca="1">_xll.ciqfunctions.udf.CIQ("^SPX", "IQ_PRICEDATE", "6/28/2016")</f>
        <v>#NAME?</v>
      </c>
      <c r="AC634" s="16">
        <v>2036.0912294648001</v>
      </c>
    </row>
    <row r="635" spans="26:29" x14ac:dyDescent="0.35">
      <c r="Z635" s="4"/>
      <c r="AA635" s="4"/>
      <c r="AB635" s="4" t="e">
        <f ca="1">_xll.ciqfunctions.udf.CIQ("^SPX", "IQ_PRICEDATE", "6/29/2016")</f>
        <v>#NAME?</v>
      </c>
      <c r="AC635" s="16">
        <v>2070.7713064509999</v>
      </c>
    </row>
    <row r="636" spans="26:29" x14ac:dyDescent="0.35">
      <c r="Z636" s="4"/>
      <c r="AA636" s="4"/>
      <c r="AB636" s="4" t="e">
        <f ca="1">_xll.ciqfunctions.udf.CIQ("^SPX", "IQ_PRICEDATE", "6/30/2016")</f>
        <v>#NAME?</v>
      </c>
      <c r="AC636" s="16">
        <v>2098.8552265056001</v>
      </c>
    </row>
    <row r="637" spans="26:29" x14ac:dyDescent="0.35">
      <c r="Z637" s="4"/>
      <c r="AA637" s="4"/>
      <c r="AB637" s="4" t="e">
        <f ca="1">_xll.ciqfunctions.udf.CIQ("^SPX", "IQ_PRICEDATE", "7/1/2016")</f>
        <v>#NAME?</v>
      </c>
      <c r="AC637" s="16">
        <v>2102.9534922367002</v>
      </c>
    </row>
    <row r="638" spans="26:29" x14ac:dyDescent="0.35">
      <c r="Z638" s="4"/>
      <c r="AA638" s="4"/>
      <c r="AB638" s="4" t="e">
        <f ca="1">_xll.ciqfunctions.udf.CIQ("^SPX", "IQ_PRICEDATE", "7/5/2016")</f>
        <v>#NAME?</v>
      </c>
      <c r="AC638" s="16">
        <v>2088.5460361504001</v>
      </c>
    </row>
    <row r="639" spans="26:29" x14ac:dyDescent="0.35">
      <c r="Z639" s="4"/>
      <c r="AA639" s="4"/>
      <c r="AB639" s="4" t="e">
        <f ca="1">_xll.ciqfunctions.udf.CIQ("^SPX", "IQ_PRICEDATE", "7/6/2016")</f>
        <v>#NAME?</v>
      </c>
      <c r="AC639" s="16">
        <v>2099.7342908189999</v>
      </c>
    </row>
    <row r="640" spans="26:29" x14ac:dyDescent="0.35">
      <c r="Z640" s="4"/>
      <c r="AA640" s="4"/>
      <c r="AB640" s="4" t="e">
        <f ca="1">_xll.ciqfunctions.udf.CIQ("^SPX", "IQ_PRICEDATE", "7/7/2016")</f>
        <v>#NAME?</v>
      </c>
      <c r="AC640" s="16">
        <v>2097.8997750080998</v>
      </c>
    </row>
    <row r="641" spans="26:29" x14ac:dyDescent="0.35">
      <c r="Z641" s="4"/>
      <c r="AA641" s="4"/>
      <c r="AB641" s="4" t="e">
        <f ca="1">_xll.ciqfunctions.udf.CIQ("^SPX", "IQ_PRICEDATE", "7/8/2016")</f>
        <v>#NAME?</v>
      </c>
      <c r="AC641" s="16">
        <v>2129.8979817799</v>
      </c>
    </row>
    <row r="642" spans="26:29" x14ac:dyDescent="0.35">
      <c r="Z642" s="4"/>
      <c r="AA642" s="4"/>
      <c r="AB642" s="4" t="e">
        <f ca="1">_xll.ciqfunctions.udf.CIQ("^SPX", "IQ_PRICEDATE", "7/11/2016")</f>
        <v>#NAME?</v>
      </c>
      <c r="AC642" s="16">
        <v>2137.1597218421002</v>
      </c>
    </row>
    <row r="643" spans="26:29" x14ac:dyDescent="0.35">
      <c r="Z643" s="4"/>
      <c r="AA643" s="4"/>
      <c r="AB643" s="4" t="e">
        <f ca="1">_xll.ciqfunctions.udf.CIQ("^SPX", "IQ_PRICEDATE", "7/12/2016")</f>
        <v>#NAME?</v>
      </c>
      <c r="AC643" s="16">
        <v>2152.1413985821</v>
      </c>
    </row>
    <row r="644" spans="26:29" x14ac:dyDescent="0.35">
      <c r="Z644" s="4"/>
      <c r="AA644" s="4"/>
      <c r="AB644" s="4" t="e">
        <f ca="1">_xll.ciqfunctions.udf.CIQ("^SPX", "IQ_PRICEDATE", "7/13/2016")</f>
        <v>#NAME?</v>
      </c>
      <c r="AC644" s="16">
        <v>2152.4256572170998</v>
      </c>
    </row>
    <row r="645" spans="26:29" x14ac:dyDescent="0.35">
      <c r="Z645" s="4"/>
      <c r="AA645" s="4"/>
      <c r="AB645" s="4" t="e">
        <f ca="1">_xll.ciqfunctions.udf.CIQ("^SPX", "IQ_PRICEDATE", "7/14/2016")</f>
        <v>#NAME?</v>
      </c>
      <c r="AC645" s="16">
        <v>2163.7475359771001</v>
      </c>
    </row>
    <row r="646" spans="26:29" x14ac:dyDescent="0.35">
      <c r="Z646" s="4"/>
      <c r="AA646" s="4"/>
      <c r="AB646" s="4" t="e">
        <f ca="1">_xll.ciqfunctions.udf.CIQ("^SPX", "IQ_PRICEDATE", "7/15/2016")</f>
        <v>#NAME?</v>
      </c>
      <c r="AC646" s="16">
        <v>2161.7413340346002</v>
      </c>
    </row>
    <row r="647" spans="26:29" x14ac:dyDescent="0.35">
      <c r="Z647" s="4"/>
      <c r="AA647" s="4"/>
      <c r="AB647" s="4" t="e">
        <f ca="1">_xll.ciqfunctions.udf.CIQ("^SPX", "IQ_PRICEDATE", "7/18/2016")</f>
        <v>#NAME?</v>
      </c>
      <c r="AC647" s="16">
        <v>2166.8905245819001</v>
      </c>
    </row>
    <row r="648" spans="26:29" x14ac:dyDescent="0.35">
      <c r="Z648" s="4"/>
      <c r="AA648" s="4"/>
      <c r="AB648" s="4" t="e">
        <f ca="1">_xll.ciqfunctions.udf.CIQ("^SPX", "IQ_PRICEDATE", "7/19/2016")</f>
        <v>#NAME?</v>
      </c>
      <c r="AC648" s="16">
        <v>2163.7810993285998</v>
      </c>
    </row>
    <row r="649" spans="26:29" x14ac:dyDescent="0.35">
      <c r="Z649" s="4"/>
      <c r="AA649" s="4"/>
      <c r="AB649" s="4" t="e">
        <f ca="1">_xll.ciqfunctions.udf.CIQ("^SPX", "IQ_PRICEDATE", "7/20/2016")</f>
        <v>#NAME?</v>
      </c>
      <c r="AC649" s="16">
        <v>2173.0172120746001</v>
      </c>
    </row>
    <row r="650" spans="26:29" x14ac:dyDescent="0.35">
      <c r="Z650" s="4"/>
      <c r="AA650" s="4"/>
      <c r="AB650" s="4" t="e">
        <f ca="1">_xll.ciqfunctions.udf.CIQ("^SPX", "IQ_PRICEDATE", "7/21/2016")</f>
        <v>#NAME?</v>
      </c>
      <c r="AC650" s="16">
        <v>2165.1682977928999</v>
      </c>
    </row>
    <row r="651" spans="26:29" x14ac:dyDescent="0.35">
      <c r="Z651" s="4"/>
      <c r="AA651" s="4"/>
      <c r="AB651" s="4" t="e">
        <f ca="1">_xll.ciqfunctions.udf.CIQ("^SPX", "IQ_PRICEDATE", "7/22/2016")</f>
        <v>#NAME?</v>
      </c>
      <c r="AC651" s="16">
        <v>2175.0290623578999</v>
      </c>
    </row>
    <row r="652" spans="26:29" x14ac:dyDescent="0.35">
      <c r="Z652" s="4"/>
      <c r="AA652" s="4"/>
      <c r="AB652" s="4" t="e">
        <f ca="1">_xll.ciqfunctions.udf.CIQ("^SPX", "IQ_PRICEDATE", "7/25/2016")</f>
        <v>#NAME?</v>
      </c>
      <c r="AC652" s="16">
        <v>2168.4790742916002</v>
      </c>
    </row>
    <row r="653" spans="26:29" x14ac:dyDescent="0.35">
      <c r="Z653" s="4"/>
      <c r="AA653" s="4"/>
      <c r="AB653" s="4" t="e">
        <f ca="1">_xll.ciqfunctions.udf.CIQ("^SPX", "IQ_PRICEDATE", "7/26/2016")</f>
        <v>#NAME?</v>
      </c>
      <c r="AC653" s="16">
        <v>2169.1751918772002</v>
      </c>
    </row>
    <row r="654" spans="26:29" x14ac:dyDescent="0.35">
      <c r="Z654" s="4"/>
      <c r="AA654" s="4"/>
      <c r="AB654" s="4" t="e">
        <f ca="1">_xll.ciqfunctions.udf.CIQ("^SPX", "IQ_PRICEDATE", "7/27/2016")</f>
        <v>#NAME?</v>
      </c>
      <c r="AC654" s="16">
        <v>2166.5804205416998</v>
      </c>
    </row>
    <row r="655" spans="26:29" x14ac:dyDescent="0.35">
      <c r="Z655" s="4"/>
      <c r="AA655" s="4"/>
      <c r="AB655" s="4" t="e">
        <f ca="1">_xll.ciqfunctions.udf.CIQ("^SPX", "IQ_PRICEDATE", "7/28/2016")</f>
        <v>#NAME?</v>
      </c>
      <c r="AC655" s="16">
        <v>2170.0562602812001</v>
      </c>
    </row>
    <row r="656" spans="26:29" x14ac:dyDescent="0.35">
      <c r="Z656" s="4"/>
      <c r="AA656" s="4"/>
      <c r="AB656" s="4" t="e">
        <f ca="1">_xll.ciqfunctions.udf.CIQ("^SPX", "IQ_PRICEDATE", "7/29/2016")</f>
        <v>#NAME?</v>
      </c>
      <c r="AC656" s="16">
        <v>2173.6038598884002</v>
      </c>
    </row>
    <row r="657" spans="26:29" x14ac:dyDescent="0.35">
      <c r="Z657" s="4"/>
      <c r="AA657" s="4"/>
      <c r="AB657" s="4" t="e">
        <f ca="1">_xll.ciqfunctions.udf.CIQ("^SPX", "IQ_PRICEDATE", "8/1/2016")</f>
        <v>#NAME?</v>
      </c>
      <c r="AC657" s="16">
        <v>2170.8363912995001</v>
      </c>
    </row>
    <row r="658" spans="26:29" x14ac:dyDescent="0.35">
      <c r="Z658" s="4"/>
      <c r="AA658" s="4"/>
      <c r="AB658" s="4" t="e">
        <f ca="1">_xll.ciqfunctions.udf.CIQ("^SPX", "IQ_PRICEDATE", "8/2/2016")</f>
        <v>#NAME?</v>
      </c>
      <c r="AC658" s="16">
        <v>2157.0286485708002</v>
      </c>
    </row>
    <row r="659" spans="26:29" x14ac:dyDescent="0.35">
      <c r="Z659" s="4"/>
      <c r="AA659" s="4"/>
      <c r="AB659" s="4" t="e">
        <f ca="1">_xll.ciqfunctions.udf.CIQ("^SPX", "IQ_PRICEDATE", "8/3/2016")</f>
        <v>#NAME?</v>
      </c>
      <c r="AC659" s="16">
        <v>2163.7936743816999</v>
      </c>
    </row>
    <row r="660" spans="26:29" x14ac:dyDescent="0.35">
      <c r="Z660" s="4"/>
      <c r="AA660" s="4"/>
      <c r="AB660" s="4" t="e">
        <f ca="1">_xll.ciqfunctions.udf.CIQ("^SPX", "IQ_PRICEDATE", "8/4/2016")</f>
        <v>#NAME?</v>
      </c>
      <c r="AC660" s="16">
        <v>2164.2521154255001</v>
      </c>
    </row>
    <row r="661" spans="26:29" x14ac:dyDescent="0.35">
      <c r="Z661" s="4"/>
      <c r="AA661" s="4"/>
      <c r="AB661" s="4" t="e">
        <f ca="1">_xll.ciqfunctions.udf.CIQ("^SPX", "IQ_PRICEDATE", "8/5/2016")</f>
        <v>#NAME?</v>
      </c>
      <c r="AC661" s="16">
        <v>2182.8683748860999</v>
      </c>
    </row>
    <row r="662" spans="26:29" x14ac:dyDescent="0.35">
      <c r="Z662" s="4"/>
      <c r="AA662" s="4"/>
      <c r="AB662" s="4" t="e">
        <f ca="1">_xll.ciqfunctions.udf.CIQ("^SPX", "IQ_PRICEDATE", "8/8/2016")</f>
        <v>#NAME?</v>
      </c>
      <c r="AC662" s="16">
        <v>2180.8851510447998</v>
      </c>
    </row>
    <row r="663" spans="26:29" x14ac:dyDescent="0.35">
      <c r="Z663" s="4"/>
      <c r="AA663" s="4"/>
      <c r="AB663" s="4" t="e">
        <f ca="1">_xll.ciqfunctions.udf.CIQ("^SPX", "IQ_PRICEDATE", "8/9/2016")</f>
        <v>#NAME?</v>
      </c>
      <c r="AC663" s="16">
        <v>2181.7356761885999</v>
      </c>
    </row>
    <row r="664" spans="26:29" x14ac:dyDescent="0.35">
      <c r="Z664" s="4"/>
      <c r="AA664" s="4"/>
      <c r="AB664" s="4" t="e">
        <f ca="1">_xll.ciqfunctions.udf.CIQ("^SPX", "IQ_PRICEDATE", "8/10/2016")</f>
        <v>#NAME?</v>
      </c>
      <c r="AC664" s="16">
        <v>2175.4865235992002</v>
      </c>
    </row>
    <row r="665" spans="26:29" x14ac:dyDescent="0.35">
      <c r="Z665" s="4"/>
      <c r="AA665" s="4"/>
      <c r="AB665" s="4" t="e">
        <f ca="1">_xll.ciqfunctions.udf.CIQ("^SPX", "IQ_PRICEDATE", "8/11/2016")</f>
        <v>#NAME?</v>
      </c>
      <c r="AC665" s="16">
        <v>2185.7930995977999</v>
      </c>
    </row>
    <row r="666" spans="26:29" x14ac:dyDescent="0.35">
      <c r="Z666" s="4"/>
      <c r="AA666" s="4"/>
      <c r="AB666" s="4" t="e">
        <f ca="1">_xll.ciqfunctions.udf.CIQ("^SPX", "IQ_PRICEDATE", "8/12/2016")</f>
        <v>#NAME?</v>
      </c>
      <c r="AC666" s="16">
        <v>2184.0509398489999</v>
      </c>
    </row>
    <row r="667" spans="26:29" x14ac:dyDescent="0.35">
      <c r="Z667" s="4"/>
      <c r="AA667" s="4"/>
      <c r="AB667" s="4" t="e">
        <f ca="1">_xll.ciqfunctions.udf.CIQ("^SPX", "IQ_PRICEDATE", "8/15/2016")</f>
        <v>#NAME?</v>
      </c>
      <c r="AC667" s="16">
        <v>2190.1494156013</v>
      </c>
    </row>
    <row r="668" spans="26:29" x14ac:dyDescent="0.35">
      <c r="Z668" s="4"/>
      <c r="AA668" s="4"/>
      <c r="AB668" s="4" t="e">
        <f ca="1">_xll.ciqfunctions.udf.CIQ("^SPX", "IQ_PRICEDATE", "8/16/2016")</f>
        <v>#NAME?</v>
      </c>
      <c r="AC668" s="16">
        <v>2178.1494548590999</v>
      </c>
    </row>
    <row r="669" spans="26:29" x14ac:dyDescent="0.35">
      <c r="Z669" s="4"/>
      <c r="AA669" s="4"/>
      <c r="AB669" s="4" t="e">
        <f ca="1">_xll.ciqfunctions.udf.CIQ("^SPX", "IQ_PRICEDATE", "8/17/2016")</f>
        <v>#NAME?</v>
      </c>
      <c r="AC669" s="16">
        <v>2182.2188888493001</v>
      </c>
    </row>
    <row r="670" spans="26:29" x14ac:dyDescent="0.35">
      <c r="Z670" s="4"/>
      <c r="AA670" s="4"/>
      <c r="AB670" s="4" t="e">
        <f ca="1">_xll.ciqfunctions.udf.CIQ("^SPX", "IQ_PRICEDATE", "8/18/2016")</f>
        <v>#NAME?</v>
      </c>
      <c r="AC670" s="16">
        <v>2187.0248849494001</v>
      </c>
    </row>
    <row r="671" spans="26:29" x14ac:dyDescent="0.35">
      <c r="Z671" s="4"/>
      <c r="AA671" s="4"/>
      <c r="AB671" s="4" t="e">
        <f ca="1">_xll.ciqfunctions.udf.CIQ("^SPX", "IQ_PRICEDATE", "8/19/2016")</f>
        <v>#NAME?</v>
      </c>
      <c r="AC671" s="16">
        <v>2183.8681547889</v>
      </c>
    </row>
    <row r="672" spans="26:29" x14ac:dyDescent="0.35">
      <c r="Z672" s="4"/>
      <c r="AA672" s="4"/>
      <c r="AB672" s="4" t="e">
        <f ca="1">_xll.ciqfunctions.udf.CIQ("^SPX", "IQ_PRICEDATE", "8/22/2016")</f>
        <v>#NAME?</v>
      </c>
      <c r="AC672" s="16">
        <v>2182.6395481375998</v>
      </c>
    </row>
    <row r="673" spans="26:29" x14ac:dyDescent="0.35">
      <c r="Z673" s="4"/>
      <c r="AA673" s="4"/>
      <c r="AB673" s="4" t="e">
        <f ca="1">_xll.ciqfunctions.udf.CIQ("^SPX", "IQ_PRICEDATE", "8/23/2016")</f>
        <v>#NAME?</v>
      </c>
      <c r="AC673" s="16">
        <v>2186.9017991116002</v>
      </c>
    </row>
    <row r="674" spans="26:29" x14ac:dyDescent="0.35">
      <c r="Z674" s="4"/>
      <c r="AA674" s="4"/>
      <c r="AB674" s="4" t="e">
        <f ca="1">_xll.ciqfunctions.udf.CIQ("^SPX", "IQ_PRICEDATE", "8/24/2016")</f>
        <v>#NAME?</v>
      </c>
      <c r="AC674" s="16">
        <v>2175.4370105135999</v>
      </c>
    </row>
    <row r="675" spans="26:29" x14ac:dyDescent="0.35">
      <c r="Z675" s="4"/>
      <c r="AA675" s="4"/>
      <c r="AB675" s="4" t="e">
        <f ca="1">_xll.ciqfunctions.udf.CIQ("^SPX", "IQ_PRICEDATE", "8/25/2016")</f>
        <v>#NAME?</v>
      </c>
      <c r="AC675" s="16">
        <v>2172.4656323201002</v>
      </c>
    </row>
    <row r="676" spans="26:29" x14ac:dyDescent="0.35">
      <c r="Z676" s="4"/>
      <c r="AA676" s="4"/>
      <c r="AB676" s="4" t="e">
        <f ca="1">_xll.ciqfunctions.udf.CIQ("^SPX", "IQ_PRICEDATE", "8/26/2016")</f>
        <v>#NAME?</v>
      </c>
      <c r="AC676" s="16">
        <v>2169.0402322675</v>
      </c>
    </row>
    <row r="677" spans="26:29" x14ac:dyDescent="0.35">
      <c r="Z677" s="4"/>
      <c r="AA677" s="4"/>
      <c r="AB677" s="4" t="e">
        <f ca="1">_xll.ciqfunctions.udf.CIQ("^SPX", "IQ_PRICEDATE", "8/29/2016")</f>
        <v>#NAME?</v>
      </c>
      <c r="AC677" s="16">
        <v>2180.3774091741002</v>
      </c>
    </row>
    <row r="678" spans="26:29" x14ac:dyDescent="0.35">
      <c r="Z678" s="4"/>
      <c r="AA678" s="4"/>
      <c r="AB678" s="4" t="e">
        <f ca="1">_xll.ciqfunctions.udf.CIQ("^SPX", "IQ_PRICEDATE", "8/30/2016")</f>
        <v>#NAME?</v>
      </c>
      <c r="AC678" s="16">
        <v>2176.1226464445999</v>
      </c>
    </row>
    <row r="679" spans="26:29" x14ac:dyDescent="0.35">
      <c r="Z679" s="4"/>
      <c r="AA679" s="4"/>
      <c r="AB679" s="4" t="e">
        <f ca="1">_xll.ciqfunctions.udf.CIQ("^SPX", "IQ_PRICEDATE", "8/31/2016")</f>
        <v>#NAME?</v>
      </c>
      <c r="AC679" s="16">
        <v>2170.9469576924998</v>
      </c>
    </row>
    <row r="680" spans="26:29" x14ac:dyDescent="0.35">
      <c r="Z680" s="4"/>
      <c r="AA680" s="4"/>
      <c r="AB680" s="4" t="e">
        <f ca="1">_xll.ciqfunctions.udf.CIQ("^SPX", "IQ_PRICEDATE", "9/1/2016")</f>
        <v>#NAME?</v>
      </c>
      <c r="AC680" s="16">
        <v>2170.8632592590002</v>
      </c>
    </row>
    <row r="681" spans="26:29" x14ac:dyDescent="0.35">
      <c r="Z681" s="4"/>
      <c r="AA681" s="4"/>
      <c r="AB681" s="4" t="e">
        <f ca="1">_xll.ciqfunctions.udf.CIQ("^SPX", "IQ_PRICEDATE", "9/2/2016")</f>
        <v>#NAME?</v>
      </c>
      <c r="AC681" s="16">
        <v>2179.9842025792</v>
      </c>
    </row>
    <row r="682" spans="26:29" x14ac:dyDescent="0.35">
      <c r="Z682" s="4"/>
      <c r="AA682" s="4"/>
      <c r="AB682" s="4" t="e">
        <f ca="1">_xll.ciqfunctions.udf.CIQ("^SPX", "IQ_PRICEDATE", "9/6/2016")</f>
        <v>#NAME?</v>
      </c>
      <c r="AC682" s="16">
        <v>2186.4767390838001</v>
      </c>
    </row>
    <row r="683" spans="26:29" x14ac:dyDescent="0.35">
      <c r="Z683" s="4"/>
      <c r="AA683" s="4"/>
      <c r="AB683" s="4" t="e">
        <f ca="1">_xll.ciqfunctions.udf.CIQ("^SPX", "IQ_PRICEDATE", "9/7/2016")</f>
        <v>#NAME?</v>
      </c>
      <c r="AC683" s="16">
        <v>2186.1587276337</v>
      </c>
    </row>
    <row r="684" spans="26:29" x14ac:dyDescent="0.35">
      <c r="Z684" s="4"/>
      <c r="AA684" s="4"/>
      <c r="AB684" s="4" t="e">
        <f ca="1">_xll.ciqfunctions.udf.CIQ("^SPX", "IQ_PRICEDATE", "9/8/2016")</f>
        <v>#NAME?</v>
      </c>
      <c r="AC684" s="16">
        <v>2181.2995503214001</v>
      </c>
    </row>
    <row r="685" spans="26:29" x14ac:dyDescent="0.35">
      <c r="Z685" s="4"/>
      <c r="AA685" s="4"/>
      <c r="AB685" s="4" t="e">
        <f ca="1">_xll.ciqfunctions.udf.CIQ("^SPX", "IQ_PRICEDATE", "9/9/2016")</f>
        <v>#NAME?</v>
      </c>
      <c r="AC685" s="16">
        <v>2127.8055738488001</v>
      </c>
    </row>
    <row r="686" spans="26:29" x14ac:dyDescent="0.35">
      <c r="Z686" s="4"/>
      <c r="AA686" s="4"/>
      <c r="AB686" s="4" t="e">
        <f ca="1">_xll.ciqfunctions.udf.CIQ("^SPX", "IQ_PRICEDATE", "9/12/2016")</f>
        <v>#NAME?</v>
      </c>
      <c r="AC686" s="16">
        <v>2159.0397160826001</v>
      </c>
    </row>
    <row r="687" spans="26:29" x14ac:dyDescent="0.35">
      <c r="Z687" s="4"/>
      <c r="AA687" s="4"/>
      <c r="AB687" s="4" t="e">
        <f ca="1">_xll.ciqfunctions.udf.CIQ("^SPX", "IQ_PRICEDATE", "9/13/2016")</f>
        <v>#NAME?</v>
      </c>
      <c r="AC687" s="16">
        <v>2127.0203746730999</v>
      </c>
    </row>
    <row r="688" spans="26:29" x14ac:dyDescent="0.35">
      <c r="Z688" s="4"/>
      <c r="AA688" s="4"/>
      <c r="AB688" s="4" t="e">
        <f ca="1">_xll.ciqfunctions.udf.CIQ("^SPX", "IQ_PRICEDATE", "9/14/2016")</f>
        <v>#NAME?</v>
      </c>
      <c r="AC688" s="16">
        <v>2125.7695405924001</v>
      </c>
    </row>
    <row r="689" spans="26:29" x14ac:dyDescent="0.35">
      <c r="Z689" s="4"/>
      <c r="AA689" s="4"/>
      <c r="AB689" s="4" t="e">
        <f ca="1">_xll.ciqfunctions.udf.CIQ("^SPX", "IQ_PRICEDATE", "9/15/2016")</f>
        <v>#NAME?</v>
      </c>
      <c r="AC689" s="16">
        <v>2147.2620362114999</v>
      </c>
    </row>
    <row r="690" spans="26:29" x14ac:dyDescent="0.35">
      <c r="Z690" s="4"/>
      <c r="AA690" s="4"/>
      <c r="AB690" s="4" t="e">
        <f ca="1">_xll.ciqfunctions.udf.CIQ("^SPX", "IQ_PRICEDATE", "9/16/2016")</f>
        <v>#NAME?</v>
      </c>
      <c r="AC690" s="16">
        <v>2139.1646030154002</v>
      </c>
    </row>
    <row r="691" spans="26:29" x14ac:dyDescent="0.35">
      <c r="Z691" s="4"/>
      <c r="AA691" s="4"/>
      <c r="AB691" s="4" t="e">
        <f ca="1">_xll.ciqfunctions.udf.CIQ("^SPX", "IQ_PRICEDATE", "9/19/2016")</f>
        <v>#NAME?</v>
      </c>
      <c r="AC691" s="16">
        <v>2139.1153606972998</v>
      </c>
    </row>
    <row r="692" spans="26:29" x14ac:dyDescent="0.35">
      <c r="Z692" s="4"/>
      <c r="AA692" s="4"/>
      <c r="AB692" s="4" t="e">
        <f ca="1">_xll.ciqfunctions.udf.CIQ("^SPX", "IQ_PRICEDATE", "9/20/2016")</f>
        <v>#NAME?</v>
      </c>
      <c r="AC692" s="16">
        <v>2139.7568144288998</v>
      </c>
    </row>
    <row r="693" spans="26:29" x14ac:dyDescent="0.35">
      <c r="Z693" s="4"/>
      <c r="AA693" s="4"/>
      <c r="AB693" s="4" t="e">
        <f ca="1">_xll.ciqfunctions.udf.CIQ("^SPX", "IQ_PRICEDATE", "9/21/2016")</f>
        <v>#NAME?</v>
      </c>
      <c r="AC693" s="16">
        <v>2163.1175907881998</v>
      </c>
    </row>
    <row r="694" spans="26:29" x14ac:dyDescent="0.35">
      <c r="Z694" s="4"/>
      <c r="AA694" s="4"/>
      <c r="AB694" s="4" t="e">
        <f ca="1">_xll.ciqfunctions.udf.CIQ("^SPX", "IQ_PRICEDATE", "9/22/2016")</f>
        <v>#NAME?</v>
      </c>
      <c r="AC694" s="16">
        <v>2177.1822491823</v>
      </c>
    </row>
    <row r="695" spans="26:29" x14ac:dyDescent="0.35">
      <c r="Z695" s="4"/>
      <c r="AA695" s="4"/>
      <c r="AB695" s="4" t="e">
        <f ca="1">_xll.ciqfunctions.udf.CIQ("^SPX", "IQ_PRICEDATE", "9/23/2016")</f>
        <v>#NAME?</v>
      </c>
      <c r="AC695" s="16">
        <v>2164.6948076179001</v>
      </c>
    </row>
    <row r="696" spans="26:29" x14ac:dyDescent="0.35">
      <c r="Z696" s="4"/>
      <c r="AA696" s="4"/>
      <c r="AB696" s="4" t="e">
        <f ca="1">_xll.ciqfunctions.udf.CIQ("^SPX", "IQ_PRICEDATE", "9/26/2016")</f>
        <v>#NAME?</v>
      </c>
      <c r="AC696" s="16">
        <v>2146.0973667349999</v>
      </c>
    </row>
    <row r="697" spans="26:29" x14ac:dyDescent="0.35">
      <c r="Z697" s="4"/>
      <c r="AA697" s="4"/>
      <c r="AB697" s="4" t="e">
        <f ca="1">_xll.ciqfunctions.udf.CIQ("^SPX", "IQ_PRICEDATE", "9/27/2016")</f>
        <v>#NAME?</v>
      </c>
      <c r="AC697" s="16">
        <v>2159.9280234305002</v>
      </c>
    </row>
    <row r="698" spans="26:29" x14ac:dyDescent="0.35">
      <c r="Z698" s="4"/>
      <c r="AA698" s="4"/>
      <c r="AB698" s="4" t="e">
        <f ca="1">_xll.ciqfunctions.udf.CIQ("^SPX", "IQ_PRICEDATE", "9/28/2016")</f>
        <v>#NAME?</v>
      </c>
      <c r="AC698" s="16">
        <v>2171.3693316110998</v>
      </c>
    </row>
    <row r="699" spans="26:29" x14ac:dyDescent="0.35">
      <c r="Z699" s="4"/>
      <c r="AA699" s="4"/>
      <c r="AB699" s="4" t="e">
        <f ca="1">_xll.ciqfunctions.udf.CIQ("^SPX", "IQ_PRICEDATE", "9/29/2016")</f>
        <v>#NAME?</v>
      </c>
      <c r="AC699" s="16">
        <v>2151.1314851124998</v>
      </c>
    </row>
    <row r="700" spans="26:29" x14ac:dyDescent="0.35">
      <c r="Z700" s="4"/>
      <c r="AA700" s="4"/>
      <c r="AB700" s="4" t="e">
        <f ca="1">_xll.ciqfunctions.udf.CIQ("^SPX", "IQ_PRICEDATE", "9/30/2016")</f>
        <v>#NAME?</v>
      </c>
      <c r="AC700" s="16">
        <v>2168.2720896372998</v>
      </c>
    </row>
    <row r="701" spans="26:29" x14ac:dyDescent="0.35">
      <c r="Z701" s="4"/>
      <c r="AA701" s="4"/>
      <c r="AB701" s="4" t="e">
        <f ca="1">_xll.ciqfunctions.udf.CIQ("^SPX", "IQ_PRICEDATE", "10/3/2016")</f>
        <v>#NAME?</v>
      </c>
      <c r="AC701" s="16">
        <v>2161.1966867189999</v>
      </c>
    </row>
    <row r="702" spans="26:29" x14ac:dyDescent="0.35">
      <c r="Z702" s="4"/>
      <c r="AA702" s="4"/>
      <c r="AB702" s="4" t="e">
        <f ca="1">_xll.ciqfunctions.udf.CIQ("^SPX", "IQ_PRICEDATE", "10/4/2016")</f>
        <v>#NAME?</v>
      </c>
      <c r="AC702" s="16">
        <v>2150.4896004998</v>
      </c>
    </row>
    <row r="703" spans="26:29" x14ac:dyDescent="0.35">
      <c r="Z703" s="4"/>
      <c r="AA703" s="4"/>
      <c r="AB703" s="4" t="e">
        <f ca="1">_xll.ciqfunctions.udf.CIQ("^SPX", "IQ_PRICEDATE", "10/5/2016")</f>
        <v>#NAME?</v>
      </c>
      <c r="AC703" s="16">
        <v>2159.7279982</v>
      </c>
    </row>
    <row r="704" spans="26:29" x14ac:dyDescent="0.35">
      <c r="Z704" s="4"/>
      <c r="AA704" s="4"/>
      <c r="AB704" s="4" t="e">
        <f ca="1">_xll.ciqfunctions.udf.CIQ("^SPX", "IQ_PRICEDATE", "10/6/2016")</f>
        <v>#NAME?</v>
      </c>
      <c r="AC704" s="16">
        <v>2160.7718256122998</v>
      </c>
    </row>
    <row r="705" spans="26:29" x14ac:dyDescent="0.35">
      <c r="Z705" s="4"/>
      <c r="AA705" s="4"/>
      <c r="AB705" s="4" t="e">
        <f ca="1">_xll.ciqfunctions.udf.CIQ("^SPX", "IQ_PRICEDATE", "10/7/2016")</f>
        <v>#NAME?</v>
      </c>
      <c r="AC705" s="16">
        <v>2153.7393634283999</v>
      </c>
    </row>
    <row r="706" spans="26:29" x14ac:dyDescent="0.35">
      <c r="Z706" s="4"/>
      <c r="AA706" s="4"/>
      <c r="AB706" s="4" t="e">
        <f ca="1">_xll.ciqfunctions.udf.CIQ("^SPX", "IQ_PRICEDATE", "10/10/2016")</f>
        <v>#NAME?</v>
      </c>
      <c r="AC706" s="16">
        <v>2163.6606952522998</v>
      </c>
    </row>
    <row r="707" spans="26:29" x14ac:dyDescent="0.35">
      <c r="Z707" s="4"/>
      <c r="AA707" s="4"/>
      <c r="AB707" s="4" t="e">
        <f ca="1">_xll.ciqfunctions.udf.CIQ("^SPX", "IQ_PRICEDATE", "10/11/2016")</f>
        <v>#NAME?</v>
      </c>
      <c r="AC707" s="16">
        <v>2136.7261901291999</v>
      </c>
    </row>
    <row r="708" spans="26:29" x14ac:dyDescent="0.35">
      <c r="Z708" s="4"/>
      <c r="AA708" s="4"/>
      <c r="AB708" s="4" t="e">
        <f ca="1">_xll.ciqfunctions.udf.CIQ("^SPX", "IQ_PRICEDATE", "10/12/2016")</f>
        <v>#NAME?</v>
      </c>
      <c r="AC708" s="16">
        <v>2139.1764014525002</v>
      </c>
    </row>
    <row r="709" spans="26:29" x14ac:dyDescent="0.35">
      <c r="Z709" s="4"/>
      <c r="AA709" s="4"/>
      <c r="AB709" s="4" t="e">
        <f ca="1">_xll.ciqfunctions.udf.CIQ("^SPX", "IQ_PRICEDATE", "10/13/2016")</f>
        <v>#NAME?</v>
      </c>
      <c r="AC709" s="16">
        <v>2132.5464922646001</v>
      </c>
    </row>
    <row r="710" spans="26:29" x14ac:dyDescent="0.35">
      <c r="Z710" s="4"/>
      <c r="AA710" s="4"/>
      <c r="AB710" s="4" t="e">
        <f ca="1">_xll.ciqfunctions.udf.CIQ("^SPX", "IQ_PRICEDATE", "10/14/2016")</f>
        <v>#NAME?</v>
      </c>
      <c r="AC710" s="16">
        <v>2132.9784650791999</v>
      </c>
    </row>
    <row r="711" spans="26:29" x14ac:dyDescent="0.35">
      <c r="Z711" s="4"/>
      <c r="AA711" s="4"/>
      <c r="AB711" s="4" t="e">
        <f ca="1">_xll.ciqfunctions.udf.CIQ("^SPX", "IQ_PRICEDATE", "10/17/2016")</f>
        <v>#NAME?</v>
      </c>
      <c r="AC711" s="16">
        <v>2126.5033388248999</v>
      </c>
    </row>
    <row r="712" spans="26:29" x14ac:dyDescent="0.35">
      <c r="Z712" s="4"/>
      <c r="AA712" s="4"/>
      <c r="AB712" s="4" t="e">
        <f ca="1">_xll.ciqfunctions.udf.CIQ("^SPX", "IQ_PRICEDATE", "10/18/2016")</f>
        <v>#NAME?</v>
      </c>
      <c r="AC712" s="16">
        <v>2139.6040838805998</v>
      </c>
    </row>
    <row r="713" spans="26:29" x14ac:dyDescent="0.35">
      <c r="Z713" s="4"/>
      <c r="AA713" s="4"/>
      <c r="AB713" s="4" t="e">
        <f ca="1">_xll.ciqfunctions.udf.CIQ("^SPX", "IQ_PRICEDATE", "10/19/2016")</f>
        <v>#NAME?</v>
      </c>
      <c r="AC713" s="16">
        <v>2144.29028913</v>
      </c>
    </row>
    <row r="714" spans="26:29" x14ac:dyDescent="0.35">
      <c r="Z714" s="4"/>
      <c r="AA714" s="4"/>
      <c r="AB714" s="4" t="e">
        <f ca="1">_xll.ciqfunctions.udf.CIQ("^SPX", "IQ_PRICEDATE", "10/20/2016")</f>
        <v>#NAME?</v>
      </c>
      <c r="AC714" s="16">
        <v>2141.3439113742002</v>
      </c>
    </row>
    <row r="715" spans="26:29" x14ac:dyDescent="0.35">
      <c r="Z715" s="4"/>
      <c r="AA715" s="4"/>
      <c r="AB715" s="4" t="e">
        <f ca="1">_xll.ciqfunctions.udf.CIQ("^SPX", "IQ_PRICEDATE", "10/21/2016")</f>
        <v>#NAME?</v>
      </c>
      <c r="AC715" s="16">
        <v>2141.1619114369</v>
      </c>
    </row>
    <row r="716" spans="26:29" x14ac:dyDescent="0.35">
      <c r="Z716" s="4"/>
      <c r="AA716" s="4"/>
      <c r="AB716" s="4" t="e">
        <f ca="1">_xll.ciqfunctions.udf.CIQ("^SPX", "IQ_PRICEDATE", "10/24/2016")</f>
        <v>#NAME?</v>
      </c>
      <c r="AC716" s="16">
        <v>2151.3326381175002</v>
      </c>
    </row>
    <row r="717" spans="26:29" x14ac:dyDescent="0.35">
      <c r="Z717" s="4"/>
      <c r="AA717" s="4"/>
      <c r="AB717" s="4" t="e">
        <f ca="1">_xll.ciqfunctions.udf.CIQ("^SPX", "IQ_PRICEDATE", "10/25/2016")</f>
        <v>#NAME?</v>
      </c>
      <c r="AC717" s="16">
        <v>2143.1597105159999</v>
      </c>
    </row>
    <row r="718" spans="26:29" x14ac:dyDescent="0.35">
      <c r="Z718" s="4"/>
      <c r="AA718" s="4"/>
      <c r="AB718" s="4" t="e">
        <f ca="1">_xll.ciqfunctions.udf.CIQ("^SPX", "IQ_PRICEDATE", "10/26/2016")</f>
        <v>#NAME?</v>
      </c>
      <c r="AC718" s="16">
        <v>2139.4269739450001</v>
      </c>
    </row>
    <row r="719" spans="26:29" x14ac:dyDescent="0.35">
      <c r="Z719" s="4"/>
      <c r="AA719" s="4"/>
      <c r="AB719" s="4" t="e">
        <f ca="1">_xll.ciqfunctions.udf.CIQ("^SPX", "IQ_PRICEDATE", "10/27/2016")</f>
        <v>#NAME?</v>
      </c>
      <c r="AC719" s="16">
        <v>2133.0354951606</v>
      </c>
    </row>
    <row r="720" spans="26:29" x14ac:dyDescent="0.35">
      <c r="Z720" s="4"/>
      <c r="AA720" s="4"/>
      <c r="AB720" s="4" t="e">
        <f ca="1">_xll.ciqfunctions.udf.CIQ("^SPX", "IQ_PRICEDATE", "10/28/2016")</f>
        <v>#NAME?</v>
      </c>
      <c r="AC720" s="16">
        <v>2126.4075651100002</v>
      </c>
    </row>
    <row r="721" spans="26:29" x14ac:dyDescent="0.35">
      <c r="Z721" s="4"/>
      <c r="AA721" s="4"/>
      <c r="AB721" s="4" t="e">
        <f ca="1">_xll.ciqfunctions.udf.CIQ("^SPX", "IQ_PRICEDATE", "10/31/2016")</f>
        <v>#NAME?</v>
      </c>
      <c r="AC721" s="16">
        <v>2126.1532970297999</v>
      </c>
    </row>
    <row r="722" spans="26:29" x14ac:dyDescent="0.35">
      <c r="Z722" s="4"/>
      <c r="AA722" s="4"/>
      <c r="AB722" s="4" t="e">
        <f ca="1">_xll.ciqfunctions.udf.CIQ("^SPX", "IQ_PRICEDATE", "11/1/2016")</f>
        <v>#NAME?</v>
      </c>
      <c r="AC722" s="16">
        <v>2111.7225883933002</v>
      </c>
    </row>
    <row r="723" spans="26:29" x14ac:dyDescent="0.35">
      <c r="Z723" s="4"/>
      <c r="AA723" s="4"/>
      <c r="AB723" s="4" t="e">
        <f ca="1">_xll.ciqfunctions.udf.CIQ("^SPX", "IQ_PRICEDATE", "11/2/2016")</f>
        <v>#NAME?</v>
      </c>
      <c r="AC723" s="16">
        <v>2097.9437710837001</v>
      </c>
    </row>
    <row r="724" spans="26:29" x14ac:dyDescent="0.35">
      <c r="Z724" s="4"/>
      <c r="AA724" s="4"/>
      <c r="AB724" s="4" t="e">
        <f ca="1">_xll.ciqfunctions.udf.CIQ("^SPX", "IQ_PRICEDATE", "11/3/2016")</f>
        <v>#NAME?</v>
      </c>
      <c r="AC724" s="16">
        <v>2088.6635939239</v>
      </c>
    </row>
    <row r="725" spans="26:29" x14ac:dyDescent="0.35">
      <c r="Z725" s="4"/>
      <c r="AA725" s="4"/>
      <c r="AB725" s="4" t="e">
        <f ca="1">_xll.ciqfunctions.udf.CIQ("^SPX", "IQ_PRICEDATE", "11/4/2016")</f>
        <v>#NAME?</v>
      </c>
      <c r="AC725" s="16">
        <v>2085.1763769763002</v>
      </c>
    </row>
    <row r="726" spans="26:29" x14ac:dyDescent="0.35">
      <c r="Z726" s="4"/>
      <c r="AA726" s="4"/>
      <c r="AB726" s="4" t="e">
        <f ca="1">_xll.ciqfunctions.udf.CIQ("^SPX", "IQ_PRICEDATE", "11/7/2016")</f>
        <v>#NAME?</v>
      </c>
      <c r="AC726" s="16">
        <v>2131.5235684473</v>
      </c>
    </row>
    <row r="727" spans="26:29" x14ac:dyDescent="0.35">
      <c r="Z727" s="4"/>
      <c r="AA727" s="4"/>
      <c r="AB727" s="4" t="e">
        <f ca="1">_xll.ciqfunctions.udf.CIQ("^SPX", "IQ_PRICEDATE", "11/8/2016")</f>
        <v>#NAME?</v>
      </c>
      <c r="AC727" s="16">
        <v>2139.5630090412001</v>
      </c>
    </row>
    <row r="728" spans="26:29" x14ac:dyDescent="0.35">
      <c r="Z728" s="4"/>
      <c r="AA728" s="4"/>
      <c r="AB728" s="4" t="e">
        <f ca="1">_xll.ciqfunctions.udf.CIQ("^SPX", "IQ_PRICEDATE", "11/9/2016")</f>
        <v>#NAME?</v>
      </c>
      <c r="AC728" s="16">
        <v>2163.2579034201999</v>
      </c>
    </row>
    <row r="729" spans="26:29" x14ac:dyDescent="0.35">
      <c r="Z729" s="4"/>
      <c r="AA729" s="4"/>
      <c r="AB729" s="4" t="e">
        <f ca="1">_xll.ciqfunctions.udf.CIQ("^SPX", "IQ_PRICEDATE", "11/10/2016")</f>
        <v>#NAME?</v>
      </c>
      <c r="AC729" s="16">
        <v>2167.4781297492</v>
      </c>
    </row>
    <row r="730" spans="26:29" x14ac:dyDescent="0.35">
      <c r="Z730" s="4"/>
      <c r="AA730" s="4"/>
      <c r="AB730" s="4" t="e">
        <f ca="1">_xll.ciqfunctions.udf.CIQ("^SPX", "IQ_PRICEDATE", "11/11/2016")</f>
        <v>#NAME?</v>
      </c>
      <c r="AC730" s="16">
        <v>2164.4507501910002</v>
      </c>
    </row>
    <row r="731" spans="26:29" x14ac:dyDescent="0.35">
      <c r="Z731" s="4"/>
      <c r="AA731" s="4"/>
      <c r="AB731" s="4" t="e">
        <f ca="1">_xll.ciqfunctions.udf.CIQ("^SPX", "IQ_PRICEDATE", "11/14/2016")</f>
        <v>#NAME?</v>
      </c>
      <c r="AC731" s="16">
        <v>2164.2033007483001</v>
      </c>
    </row>
    <row r="732" spans="26:29" x14ac:dyDescent="0.35">
      <c r="Z732" s="4"/>
      <c r="AA732" s="4"/>
      <c r="AB732" s="4" t="e">
        <f ca="1">_xll.ciqfunctions.udf.CIQ("^SPX", "IQ_PRICEDATE", "11/15/2016")</f>
        <v>#NAME?</v>
      </c>
      <c r="AC732" s="16">
        <v>2180.3888273936</v>
      </c>
    </row>
    <row r="733" spans="26:29" x14ac:dyDescent="0.35">
      <c r="Z733" s="4"/>
      <c r="AA733" s="4"/>
      <c r="AB733" s="4" t="e">
        <f ca="1">_xll.ciqfunctions.udf.CIQ("^SPX", "IQ_PRICEDATE", "11/16/2016")</f>
        <v>#NAME?</v>
      </c>
      <c r="AC733" s="16">
        <v>2176.9409032715998</v>
      </c>
    </row>
    <row r="734" spans="26:29" x14ac:dyDescent="0.35">
      <c r="Z734" s="4"/>
      <c r="AA734" s="4"/>
      <c r="AB734" s="4" t="e">
        <f ca="1">_xll.ciqfunctions.udf.CIQ("^SPX", "IQ_PRICEDATE", "11/17/2016")</f>
        <v>#NAME?</v>
      </c>
      <c r="AC734" s="16">
        <v>2187.1210897609999</v>
      </c>
    </row>
    <row r="735" spans="26:29" x14ac:dyDescent="0.35">
      <c r="Z735" s="4"/>
      <c r="AA735" s="4"/>
      <c r="AB735" s="4" t="e">
        <f ca="1">_xll.ciqfunctions.udf.CIQ("^SPX", "IQ_PRICEDATE", "11/18/2016")</f>
        <v>#NAME?</v>
      </c>
      <c r="AC735" s="16">
        <v>2181.9017869641998</v>
      </c>
    </row>
    <row r="736" spans="26:29" x14ac:dyDescent="0.35">
      <c r="Z736" s="4"/>
      <c r="AA736" s="4"/>
      <c r="AB736" s="4" t="e">
        <f ca="1">_xll.ciqfunctions.udf.CIQ("^SPX", "IQ_PRICEDATE", "11/21/2016")</f>
        <v>#NAME?</v>
      </c>
      <c r="AC736" s="16">
        <v>2198.1827069851001</v>
      </c>
    </row>
    <row r="737" spans="26:29" x14ac:dyDescent="0.35">
      <c r="Z737" s="4"/>
      <c r="AA737" s="4"/>
      <c r="AB737" s="4" t="e">
        <f ca="1">_xll.ciqfunctions.udf.CIQ("^SPX", "IQ_PRICEDATE", "11/22/2016")</f>
        <v>#NAME?</v>
      </c>
      <c r="AC737" s="16">
        <v>2202.9368195779002</v>
      </c>
    </row>
    <row r="738" spans="26:29" x14ac:dyDescent="0.35">
      <c r="Z738" s="4"/>
      <c r="AA738" s="4"/>
      <c r="AB738" s="4" t="e">
        <f ca="1">_xll.ciqfunctions.udf.CIQ("^SPX", "IQ_PRICEDATE", "11/23/2016")</f>
        <v>#NAME?</v>
      </c>
      <c r="AC738" s="16">
        <v>2204.7229400811002</v>
      </c>
    </row>
    <row r="739" spans="26:29" x14ac:dyDescent="0.35">
      <c r="Z739" s="4"/>
      <c r="AA739" s="4"/>
      <c r="AB739" s="4" t="e">
        <f ca="1">_xll.ciqfunctions.udf.CIQ("^SPX", "IQ_PRICEDATE", "11/25/2016")</f>
        <v>#NAME?</v>
      </c>
      <c r="AC739" s="16">
        <v>2213.3485684312</v>
      </c>
    </row>
    <row r="740" spans="26:29" x14ac:dyDescent="0.35">
      <c r="Z740" s="4"/>
      <c r="AA740" s="4"/>
      <c r="AB740" s="4" t="e">
        <f ca="1">_xll.ciqfunctions.udf.CIQ("^SPX", "IQ_PRICEDATE", "11/28/2016")</f>
        <v>#NAME?</v>
      </c>
      <c r="AC740" s="16">
        <v>2201.7204991551998</v>
      </c>
    </row>
    <row r="741" spans="26:29" x14ac:dyDescent="0.35">
      <c r="Z741" s="4"/>
      <c r="AA741" s="4"/>
      <c r="AB741" s="4" t="e">
        <f ca="1">_xll.ciqfunctions.udf.CIQ("^SPX", "IQ_PRICEDATE", "11/29/2016")</f>
        <v>#NAME?</v>
      </c>
      <c r="AC741" s="16">
        <v>2204.6616627014</v>
      </c>
    </row>
    <row r="742" spans="26:29" x14ac:dyDescent="0.35">
      <c r="Z742" s="4"/>
      <c r="AA742" s="4"/>
      <c r="AB742" s="4" t="e">
        <f ca="1">_xll.ciqfunctions.udf.CIQ("^SPX", "IQ_PRICEDATE", "11/30/2016")</f>
        <v>#NAME?</v>
      </c>
      <c r="AC742" s="16">
        <v>2198.810449088</v>
      </c>
    </row>
    <row r="743" spans="26:29" x14ac:dyDescent="0.35">
      <c r="Z743" s="4"/>
      <c r="AA743" s="4"/>
      <c r="AB743" s="4" t="e">
        <f ca="1">_xll.ciqfunctions.udf.CIQ("^SPX", "IQ_PRICEDATE", "12/1/2016")</f>
        <v>#NAME?</v>
      </c>
      <c r="AC743" s="16">
        <v>2191.0829567188998</v>
      </c>
    </row>
    <row r="744" spans="26:29" x14ac:dyDescent="0.35">
      <c r="Z744" s="4"/>
      <c r="AA744" s="4"/>
      <c r="AB744" s="4" t="e">
        <f ca="1">_xll.ciqfunctions.udf.CIQ("^SPX", "IQ_PRICEDATE", "12/2/2016")</f>
        <v>#NAME?</v>
      </c>
      <c r="AC744" s="16">
        <v>2191.9536671015999</v>
      </c>
    </row>
    <row r="745" spans="26:29" x14ac:dyDescent="0.35">
      <c r="Z745" s="4"/>
      <c r="AA745" s="4"/>
      <c r="AB745" s="4" t="e">
        <f ca="1">_xll.ciqfunctions.udf.CIQ("^SPX", "IQ_PRICEDATE", "12/5/2016")</f>
        <v>#NAME?</v>
      </c>
      <c r="AC745" s="16">
        <v>2204.7053873538998</v>
      </c>
    </row>
    <row r="746" spans="26:29" x14ac:dyDescent="0.35">
      <c r="Z746" s="4"/>
      <c r="AA746" s="4"/>
      <c r="AB746" s="4" t="e">
        <f ca="1">_xll.ciqfunctions.udf.CIQ("^SPX", "IQ_PRICEDATE", "12/6/2016")</f>
        <v>#NAME?</v>
      </c>
      <c r="AC746" s="16">
        <v>2212.2307766723002</v>
      </c>
    </row>
    <row r="747" spans="26:29" x14ac:dyDescent="0.35">
      <c r="Z747" s="4"/>
      <c r="AA747" s="4"/>
      <c r="AB747" s="4" t="e">
        <f ca="1">_xll.ciqfunctions.udf.CIQ("^SPX", "IQ_PRICEDATE", "12/7/2016")</f>
        <v>#NAME?</v>
      </c>
      <c r="AC747" s="16">
        <v>2241.3546435787998</v>
      </c>
    </row>
    <row r="748" spans="26:29" x14ac:dyDescent="0.35">
      <c r="Z748" s="4"/>
      <c r="AA748" s="4"/>
      <c r="AB748" s="4" t="e">
        <f ca="1">_xll.ciqfunctions.udf.CIQ("^SPX", "IQ_PRICEDATE", "12/8/2016")</f>
        <v>#NAME?</v>
      </c>
      <c r="AC748" s="16">
        <v>2246.1878043501001</v>
      </c>
    </row>
    <row r="749" spans="26:29" x14ac:dyDescent="0.35">
      <c r="Z749" s="4"/>
      <c r="AA749" s="4"/>
      <c r="AB749" s="4" t="e">
        <f ca="1">_xll.ciqfunctions.udf.CIQ("^SPX", "IQ_PRICEDATE", "12/9/2016")</f>
        <v>#NAME?</v>
      </c>
      <c r="AC749" s="16">
        <v>2259.5286768649999</v>
      </c>
    </row>
    <row r="750" spans="26:29" x14ac:dyDescent="0.35">
      <c r="Z750" s="4"/>
      <c r="AA750" s="4"/>
      <c r="AB750" s="4" t="e">
        <f ca="1">_xll.ciqfunctions.udf.CIQ("^SPX", "IQ_PRICEDATE", "12/12/2016")</f>
        <v>#NAME?</v>
      </c>
      <c r="AC750" s="16">
        <v>2256.9632050081</v>
      </c>
    </row>
    <row r="751" spans="26:29" x14ac:dyDescent="0.35">
      <c r="Z751" s="4"/>
      <c r="AA751" s="4"/>
      <c r="AB751" s="4" t="e">
        <f ca="1">_xll.ciqfunctions.udf.CIQ("^SPX", "IQ_PRICEDATE", "12/13/2016")</f>
        <v>#NAME?</v>
      </c>
      <c r="AC751" s="16">
        <v>2271.7208298142</v>
      </c>
    </row>
    <row r="752" spans="26:29" x14ac:dyDescent="0.35">
      <c r="Z752" s="4"/>
      <c r="AA752" s="4"/>
      <c r="AB752" s="4" t="e">
        <f ca="1">_xll.ciqfunctions.udf.CIQ("^SPX", "IQ_PRICEDATE", "12/14/2016")</f>
        <v>#NAME?</v>
      </c>
      <c r="AC752" s="16">
        <v>2253.2786260766002</v>
      </c>
    </row>
    <row r="753" spans="26:29" x14ac:dyDescent="0.35">
      <c r="Z753" s="4"/>
      <c r="AA753" s="4"/>
      <c r="AB753" s="4" t="e">
        <f ca="1">_xll.ciqfunctions.udf.CIQ("^SPX", "IQ_PRICEDATE", "12/15/2016")</f>
        <v>#NAME?</v>
      </c>
      <c r="AC753" s="16">
        <v>2262.0311726028999</v>
      </c>
    </row>
    <row r="754" spans="26:29" x14ac:dyDescent="0.35">
      <c r="Z754" s="4"/>
      <c r="AA754" s="4"/>
      <c r="AB754" s="4" t="e">
        <f ca="1">_xll.ciqfunctions.udf.CIQ("^SPX", "IQ_PRICEDATE", "12/16/2016")</f>
        <v>#NAME?</v>
      </c>
      <c r="AC754" s="16">
        <v>2258.0724023327998</v>
      </c>
    </row>
    <row r="755" spans="26:29" x14ac:dyDescent="0.35">
      <c r="Z755" s="4"/>
      <c r="AA755" s="4"/>
      <c r="AB755" s="4" t="e">
        <f ca="1">_xll.ciqfunctions.udf.CIQ("^SPX", "IQ_PRICEDATE", "12/19/2016")</f>
        <v>#NAME?</v>
      </c>
      <c r="AC755" s="16">
        <v>2262.5322334957</v>
      </c>
    </row>
    <row r="756" spans="26:29" x14ac:dyDescent="0.35">
      <c r="Z756" s="4"/>
      <c r="AA756" s="4"/>
      <c r="AB756" s="4" t="e">
        <f ca="1">_xll.ciqfunctions.udf.CIQ("^SPX", "IQ_PRICEDATE", "12/20/2016")</f>
        <v>#NAME?</v>
      </c>
      <c r="AC756" s="16">
        <v>2270.7616665307</v>
      </c>
    </row>
    <row r="757" spans="26:29" x14ac:dyDescent="0.35">
      <c r="Z757" s="4"/>
      <c r="AA757" s="4"/>
      <c r="AB757" s="4" t="e">
        <f ca="1">_xll.ciqfunctions.udf.CIQ("^SPX", "IQ_PRICEDATE", "12/21/2016")</f>
        <v>#NAME?</v>
      </c>
      <c r="AC757" s="16">
        <v>2265.1799185451</v>
      </c>
    </row>
    <row r="758" spans="26:29" x14ac:dyDescent="0.35">
      <c r="Z758" s="4"/>
      <c r="AA758" s="4"/>
      <c r="AB758" s="4" t="e">
        <f ca="1">_xll.ciqfunctions.udf.CIQ("^SPX", "IQ_PRICEDATE", "12/22/2016")</f>
        <v>#NAME?</v>
      </c>
      <c r="AC758" s="16">
        <v>2260.9571890423999</v>
      </c>
    </row>
    <row r="759" spans="26:29" x14ac:dyDescent="0.35">
      <c r="Z759" s="4"/>
      <c r="AA759" s="4"/>
      <c r="AB759" s="4" t="e">
        <f ca="1">_xll.ciqfunctions.udf.CIQ("^SPX", "IQ_PRICEDATE", "12/23/2016")</f>
        <v>#NAME?</v>
      </c>
      <c r="AC759" s="16">
        <v>2263.7886585509</v>
      </c>
    </row>
    <row r="760" spans="26:29" x14ac:dyDescent="0.35">
      <c r="Z760" s="4"/>
      <c r="AA760" s="4"/>
      <c r="AB760" s="4" t="e">
        <f ca="1">_xll.ciqfunctions.udf.CIQ("^SPX", "IQ_PRICEDATE", "12/27/2016")</f>
        <v>#NAME?</v>
      </c>
      <c r="AC760" s="16">
        <v>2268.8754977453</v>
      </c>
    </row>
    <row r="761" spans="26:29" x14ac:dyDescent="0.35">
      <c r="Z761" s="4"/>
      <c r="AA761" s="4"/>
      <c r="AB761" s="4" t="e">
        <f ca="1">_xll.ciqfunctions.udf.CIQ("^SPX", "IQ_PRICEDATE", "12/28/2016")</f>
        <v>#NAME?</v>
      </c>
      <c r="AC761" s="16">
        <v>2249.9226157214998</v>
      </c>
    </row>
    <row r="762" spans="26:29" x14ac:dyDescent="0.35">
      <c r="Z762" s="4"/>
      <c r="AA762" s="4"/>
      <c r="AB762" s="4" t="e">
        <f ca="1">_xll.ciqfunctions.udf.CIQ("^SPX", "IQ_PRICEDATE", "12/29/2016")</f>
        <v>#NAME?</v>
      </c>
      <c r="AC762" s="16">
        <v>2249.2567692778998</v>
      </c>
    </row>
    <row r="763" spans="26:29" x14ac:dyDescent="0.35">
      <c r="Z763" s="4"/>
      <c r="AA763" s="4"/>
      <c r="AB763" s="4" t="e">
        <f ca="1">_xll.ciqfunctions.udf.CIQ("^SPX", "IQ_PRICEDATE", "12/30/2016")</f>
        <v>#NAME?</v>
      </c>
      <c r="AC763" s="16">
        <v>2238.8266817076001</v>
      </c>
    </row>
    <row r="764" spans="26:29" x14ac:dyDescent="0.35">
      <c r="Z764" s="4"/>
      <c r="AA764" s="4"/>
      <c r="AB764" s="4" t="e">
        <f ca="1">_xll.ciqfunctions.udf.CIQ("^SPX", "IQ_PRICEDATE", "1/3/2017")</f>
        <v>#NAME?</v>
      </c>
      <c r="AC764" s="16">
        <v>2257.8280264107998</v>
      </c>
    </row>
    <row r="765" spans="26:29" x14ac:dyDescent="0.35">
      <c r="Z765" s="4"/>
      <c r="AA765" s="4"/>
      <c r="AB765" s="4" t="e">
        <f ca="1">_xll.ciqfunctions.udf.CIQ("^SPX", "IQ_PRICEDATE", "1/4/2017")</f>
        <v>#NAME?</v>
      </c>
      <c r="AC765" s="16">
        <v>2270.7525300621</v>
      </c>
    </row>
    <row r="766" spans="26:29" x14ac:dyDescent="0.35">
      <c r="Z766" s="4"/>
      <c r="AA766" s="4"/>
      <c r="AB766" s="4" t="e">
        <f ca="1">_xll.ciqfunctions.udf.CIQ("^SPX", "IQ_PRICEDATE", "1/5/2017")</f>
        <v>#NAME?</v>
      </c>
      <c r="AC766" s="16">
        <v>2268.9985049367001</v>
      </c>
    </row>
    <row r="767" spans="26:29" x14ac:dyDescent="0.35">
      <c r="Z767" s="4"/>
      <c r="AA767" s="4"/>
      <c r="AB767" s="4" t="e">
        <f ca="1">_xll.ciqfunctions.udf.CIQ("^SPX", "IQ_PRICEDATE", "1/6/2017")</f>
        <v>#NAME?</v>
      </c>
      <c r="AC767" s="16">
        <v>2276.9814445621</v>
      </c>
    </row>
    <row r="768" spans="26:29" x14ac:dyDescent="0.35">
      <c r="Z768" s="4"/>
      <c r="AA768" s="4"/>
      <c r="AB768" s="4" t="e">
        <f ca="1">_xll.ciqfunctions.udf.CIQ("^SPX", "IQ_PRICEDATE", "1/9/2017")</f>
        <v>#NAME?</v>
      </c>
      <c r="AC768" s="16">
        <v>2268.9042127008001</v>
      </c>
    </row>
    <row r="769" spans="26:29" x14ac:dyDescent="0.35">
      <c r="Z769" s="4"/>
      <c r="AA769" s="4"/>
      <c r="AB769" s="4" t="e">
        <f ca="1">_xll.ciqfunctions.udf.CIQ("^SPX", "IQ_PRICEDATE", "1/10/2017")</f>
        <v>#NAME?</v>
      </c>
      <c r="AC769" s="16">
        <v>2268.8994521366999</v>
      </c>
    </row>
    <row r="770" spans="26:29" x14ac:dyDescent="0.35">
      <c r="Z770" s="4"/>
      <c r="AA770" s="4"/>
      <c r="AB770" s="4" t="e">
        <f ca="1">_xll.ciqfunctions.udf.CIQ("^SPX", "IQ_PRICEDATE", "1/11/2017")</f>
        <v>#NAME?</v>
      </c>
      <c r="AC770" s="16">
        <v>2275.3158782679998</v>
      </c>
    </row>
    <row r="771" spans="26:29" x14ac:dyDescent="0.35">
      <c r="Z771" s="4"/>
      <c r="AA771" s="4"/>
      <c r="AB771" s="4" t="e">
        <f ca="1">_xll.ciqfunctions.udf.CIQ("^SPX", "IQ_PRICEDATE", "1/12/2017")</f>
        <v>#NAME?</v>
      </c>
      <c r="AC771" s="16">
        <v>2270.4428671565001</v>
      </c>
    </row>
    <row r="772" spans="26:29" x14ac:dyDescent="0.35">
      <c r="Z772" s="4"/>
      <c r="AA772" s="4"/>
      <c r="AB772" s="4" t="e">
        <f ca="1">_xll.ciqfunctions.udf.CIQ("^SPX", "IQ_PRICEDATE", "1/13/2017")</f>
        <v>#NAME?</v>
      </c>
      <c r="AC772" s="16">
        <v>2274.6377428952001</v>
      </c>
    </row>
    <row r="773" spans="26:29" x14ac:dyDescent="0.35">
      <c r="Z773" s="4"/>
      <c r="AA773" s="4"/>
      <c r="AB773" s="4" t="e">
        <f ca="1">_xll.ciqfunctions.udf.CIQ("^SPX", "IQ_PRICEDATE", "1/17/2017")</f>
        <v>#NAME?</v>
      </c>
      <c r="AC773" s="16">
        <v>2267.8886336767</v>
      </c>
    </row>
    <row r="774" spans="26:29" x14ac:dyDescent="0.35">
      <c r="Z774" s="4"/>
      <c r="AA774" s="4"/>
      <c r="AB774" s="4" t="e">
        <f ca="1">_xll.ciqfunctions.udf.CIQ("^SPX", "IQ_PRICEDATE", "1/18/2017")</f>
        <v>#NAME?</v>
      </c>
      <c r="AC774" s="16">
        <v>2271.889368823</v>
      </c>
    </row>
    <row r="775" spans="26:29" x14ac:dyDescent="0.35">
      <c r="Z775" s="4"/>
      <c r="AA775" s="4"/>
      <c r="AB775" s="4" t="e">
        <f ca="1">_xll.ciqfunctions.udf.CIQ("^SPX", "IQ_PRICEDATE", "1/19/2017")</f>
        <v>#NAME?</v>
      </c>
      <c r="AC775" s="16">
        <v>2263.6867803261998</v>
      </c>
    </row>
    <row r="776" spans="26:29" x14ac:dyDescent="0.35">
      <c r="Z776" s="4"/>
      <c r="AA776" s="4"/>
      <c r="AB776" s="4" t="e">
        <f ca="1">_xll.ciqfunctions.udf.CIQ("^SPX", "IQ_PRICEDATE", "1/20/2017")</f>
        <v>#NAME?</v>
      </c>
      <c r="AC776" s="16">
        <v>2271.3147292376998</v>
      </c>
    </row>
    <row r="777" spans="26:29" x14ac:dyDescent="0.35">
      <c r="Z777" s="4"/>
      <c r="AA777" s="4"/>
      <c r="AB777" s="4" t="e">
        <f ca="1">_xll.ciqfunctions.udf.CIQ("^SPX", "IQ_PRICEDATE", "1/23/2017")</f>
        <v>#NAME?</v>
      </c>
      <c r="AC777" s="16">
        <v>2265.2002060514001</v>
      </c>
    </row>
    <row r="778" spans="26:29" x14ac:dyDescent="0.35">
      <c r="Z778" s="4"/>
      <c r="AA778" s="4"/>
      <c r="AB778" s="4" t="e">
        <f ca="1">_xll.ciqfunctions.udf.CIQ("^SPX", "IQ_PRICEDATE", "1/24/2017")</f>
        <v>#NAME?</v>
      </c>
      <c r="AC778" s="16">
        <v>2280.0741724414002</v>
      </c>
    </row>
    <row r="779" spans="26:29" x14ac:dyDescent="0.35">
      <c r="Z779" s="4"/>
      <c r="AA779" s="4"/>
      <c r="AB779" s="4" t="e">
        <f ca="1">_xll.ciqfunctions.udf.CIQ("^SPX", "IQ_PRICEDATE", "1/25/2017")</f>
        <v>#NAME?</v>
      </c>
      <c r="AC779" s="16">
        <v>2298.3674030979</v>
      </c>
    </row>
    <row r="780" spans="26:29" x14ac:dyDescent="0.35">
      <c r="Z780" s="4"/>
      <c r="AA780" s="4"/>
      <c r="AB780" s="4" t="e">
        <f ca="1">_xll.ciqfunctions.udf.CIQ("^SPX", "IQ_PRICEDATE", "1/26/2017")</f>
        <v>#NAME?</v>
      </c>
      <c r="AC780" s="16">
        <v>2296.680835659</v>
      </c>
    </row>
    <row r="781" spans="26:29" x14ac:dyDescent="0.35">
      <c r="Z781" s="4"/>
      <c r="AA781" s="4"/>
      <c r="AB781" s="4" t="e">
        <f ca="1">_xll.ciqfunctions.udf.CIQ("^SPX", "IQ_PRICEDATE", "1/27/2017")</f>
        <v>#NAME?</v>
      </c>
      <c r="AC781" s="16">
        <v>2294.6897289069002</v>
      </c>
    </row>
    <row r="782" spans="26:29" x14ac:dyDescent="0.35">
      <c r="Z782" s="4"/>
      <c r="AA782" s="4"/>
      <c r="AB782" s="4" t="e">
        <f ca="1">_xll.ciqfunctions.udf.CIQ("^SPX", "IQ_PRICEDATE", "1/30/2017")</f>
        <v>#NAME?</v>
      </c>
      <c r="AC782" s="16">
        <v>2280.896292119</v>
      </c>
    </row>
    <row r="783" spans="26:29" x14ac:dyDescent="0.35">
      <c r="Z783" s="4"/>
      <c r="AA783" s="4"/>
      <c r="AB783" s="4" t="e">
        <f ca="1">_xll.ciqfunctions.udf.CIQ("^SPX", "IQ_PRICEDATE", "1/31/2017")</f>
        <v>#NAME?</v>
      </c>
      <c r="AC783" s="16">
        <v>2278.8668906139001</v>
      </c>
    </row>
    <row r="784" spans="26:29" x14ac:dyDescent="0.35">
      <c r="Z784" s="4"/>
      <c r="AA784" s="4"/>
      <c r="AB784" s="4" t="e">
        <f ca="1">_xll.ciqfunctions.udf.CIQ("^SPX", "IQ_PRICEDATE", "2/1/2017")</f>
        <v>#NAME?</v>
      </c>
      <c r="AC784" s="16">
        <v>2279.5542905152001</v>
      </c>
    </row>
    <row r="785" spans="26:29" x14ac:dyDescent="0.35">
      <c r="Z785" s="4"/>
      <c r="AA785" s="4"/>
      <c r="AB785" s="4" t="e">
        <f ca="1">_xll.ciqfunctions.udf.CIQ("^SPX", "IQ_PRICEDATE", "2/2/2017")</f>
        <v>#NAME?</v>
      </c>
      <c r="AC785" s="16">
        <v>2280.8503539918001</v>
      </c>
    </row>
    <row r="786" spans="26:29" x14ac:dyDescent="0.35">
      <c r="Z786" s="4"/>
      <c r="AA786" s="4"/>
      <c r="AB786" s="4" t="e">
        <f ca="1">_xll.ciqfunctions.udf.CIQ("^SPX", "IQ_PRICEDATE", "2/3/2017")</f>
        <v>#NAME?</v>
      </c>
      <c r="AC786" s="16">
        <v>2297.4158570560999</v>
      </c>
    </row>
    <row r="787" spans="26:29" x14ac:dyDescent="0.35">
      <c r="Z787" s="4"/>
      <c r="AA787" s="4"/>
      <c r="AB787" s="4" t="e">
        <f ca="1">_xll.ciqfunctions.udf.CIQ("^SPX", "IQ_PRICEDATE", "2/6/2017")</f>
        <v>#NAME?</v>
      </c>
      <c r="AC787" s="16">
        <v>2292.5583856443</v>
      </c>
    </row>
    <row r="788" spans="26:29" x14ac:dyDescent="0.35">
      <c r="Z788" s="4"/>
      <c r="AA788" s="4"/>
      <c r="AB788" s="4" t="e">
        <f ca="1">_xll.ciqfunctions.udf.CIQ("^SPX", "IQ_PRICEDATE", "2/7/2017")</f>
        <v>#NAME?</v>
      </c>
      <c r="AC788" s="16">
        <v>2293.0810794510999</v>
      </c>
    </row>
    <row r="789" spans="26:29" x14ac:dyDescent="0.35">
      <c r="Z789" s="4"/>
      <c r="AA789" s="4"/>
      <c r="AB789" s="4" t="e">
        <f ca="1">_xll.ciqfunctions.udf.CIQ("^SPX", "IQ_PRICEDATE", "2/8/2017")</f>
        <v>#NAME?</v>
      </c>
      <c r="AC789" s="16">
        <v>2294.6686139671001</v>
      </c>
    </row>
    <row r="790" spans="26:29" x14ac:dyDescent="0.35">
      <c r="Z790" s="4"/>
      <c r="AA790" s="4"/>
      <c r="AB790" s="4" t="e">
        <f ca="1">_xll.ciqfunctions.udf.CIQ("^SPX", "IQ_PRICEDATE", "2/9/2017")</f>
        <v>#NAME?</v>
      </c>
      <c r="AC790" s="16">
        <v>2307.8746485800002</v>
      </c>
    </row>
    <row r="791" spans="26:29" x14ac:dyDescent="0.35">
      <c r="Z791" s="4"/>
      <c r="AA791" s="4"/>
      <c r="AB791" s="4" t="e">
        <f ca="1">_xll.ciqfunctions.udf.CIQ("^SPX", "IQ_PRICEDATE", "2/10/2017")</f>
        <v>#NAME?</v>
      </c>
      <c r="AC791" s="16">
        <v>2316.0970695871001</v>
      </c>
    </row>
    <row r="792" spans="26:29" x14ac:dyDescent="0.35">
      <c r="Z792" s="4"/>
      <c r="AA792" s="4"/>
      <c r="AB792" s="4" t="e">
        <f ca="1">_xll.ciqfunctions.udf.CIQ("^SPX", "IQ_PRICEDATE", "2/13/2017")</f>
        <v>#NAME?</v>
      </c>
      <c r="AC792" s="16">
        <v>2328.2532652969999</v>
      </c>
    </row>
    <row r="793" spans="26:29" x14ac:dyDescent="0.35">
      <c r="Z793" s="4"/>
      <c r="AA793" s="4"/>
      <c r="AB793" s="4" t="e">
        <f ca="1">_xll.ciqfunctions.udf.CIQ("^SPX", "IQ_PRICEDATE", "2/14/2017")</f>
        <v>#NAME?</v>
      </c>
      <c r="AC793" s="16">
        <v>2337.5845739169999</v>
      </c>
    </row>
    <row r="794" spans="26:29" x14ac:dyDescent="0.35">
      <c r="Z794" s="4"/>
      <c r="AA794" s="4"/>
      <c r="AB794" s="4" t="e">
        <f ca="1">_xll.ciqfunctions.udf.CIQ("^SPX", "IQ_PRICEDATE", "2/15/2017")</f>
        <v>#NAME?</v>
      </c>
      <c r="AC794" s="16">
        <v>2349.2474085381</v>
      </c>
    </row>
    <row r="795" spans="26:29" x14ac:dyDescent="0.35">
      <c r="Z795" s="4"/>
      <c r="AA795" s="4"/>
      <c r="AB795" s="4" t="e">
        <f ca="1">_xll.ciqfunctions.udf.CIQ("^SPX", "IQ_PRICEDATE", "2/16/2017")</f>
        <v>#NAME?</v>
      </c>
      <c r="AC795" s="16">
        <v>2347.2235385903</v>
      </c>
    </row>
    <row r="796" spans="26:29" x14ac:dyDescent="0.35">
      <c r="Z796" s="4"/>
      <c r="AA796" s="4"/>
      <c r="AB796" s="4" t="e">
        <f ca="1">_xll.ciqfunctions.udf.CIQ("^SPX", "IQ_PRICEDATE", "2/17/2017")</f>
        <v>#NAME?</v>
      </c>
      <c r="AC796" s="16">
        <v>2351.1616992230001</v>
      </c>
    </row>
    <row r="797" spans="26:29" x14ac:dyDescent="0.35">
      <c r="Z797" s="4"/>
      <c r="AA797" s="4"/>
      <c r="AB797" s="4" t="e">
        <f ca="1">_xll.ciqfunctions.udf.CIQ("^SPX", "IQ_PRICEDATE", "2/21/2017")</f>
        <v>#NAME?</v>
      </c>
      <c r="AC797" s="16">
        <v>2365.3827239303</v>
      </c>
    </row>
    <row r="798" spans="26:29" x14ac:dyDescent="0.35">
      <c r="Z798" s="4"/>
      <c r="AA798" s="4"/>
      <c r="AB798" s="4" t="e">
        <f ca="1">_xll.ciqfunctions.udf.CIQ("^SPX", "IQ_PRICEDATE", "2/22/2017")</f>
        <v>#NAME?</v>
      </c>
      <c r="AC798" s="16">
        <v>2362.8215256018998</v>
      </c>
    </row>
    <row r="799" spans="26:29" x14ac:dyDescent="0.35">
      <c r="Z799" s="4"/>
      <c r="AA799" s="4"/>
      <c r="AB799" s="4" t="e">
        <f ca="1">_xll.ciqfunctions.udf.CIQ("^SPX", "IQ_PRICEDATE", "2/23/2017")</f>
        <v>#NAME?</v>
      </c>
      <c r="AC799" s="16">
        <v>2363.8066507957001</v>
      </c>
    </row>
    <row r="800" spans="26:29" x14ac:dyDescent="0.35">
      <c r="Z800" s="4"/>
      <c r="AA800" s="4"/>
      <c r="AB800" s="4" t="e">
        <f ca="1">_xll.ciqfunctions.udf.CIQ("^SPX", "IQ_PRICEDATE", "2/24/2017")</f>
        <v>#NAME?</v>
      </c>
      <c r="AC800" s="16">
        <v>2367.3442469725001</v>
      </c>
    </row>
    <row r="801" spans="26:29" x14ac:dyDescent="0.35">
      <c r="Z801" s="4"/>
      <c r="AA801" s="4"/>
      <c r="AB801" s="4" t="e">
        <f ca="1">_xll.ciqfunctions.udf.CIQ("^SPX", "IQ_PRICEDATE", "2/27/2017")</f>
        <v>#NAME?</v>
      </c>
      <c r="AC801" s="16">
        <v>2369.7502934271001</v>
      </c>
    </row>
    <row r="802" spans="26:29" x14ac:dyDescent="0.35">
      <c r="Z802" s="4"/>
      <c r="AA802" s="4"/>
      <c r="AB802" s="4" t="e">
        <f ca="1">_xll.ciqfunctions.udf.CIQ("^SPX", "IQ_PRICEDATE", "2/28/2017")</f>
        <v>#NAME?</v>
      </c>
      <c r="AC802" s="16">
        <v>2363.6381971289002</v>
      </c>
    </row>
    <row r="803" spans="26:29" x14ac:dyDescent="0.35">
      <c r="Z803" s="4"/>
      <c r="AA803" s="4"/>
      <c r="AB803" s="4" t="e">
        <f ca="1">_xll.ciqfunctions.udf.CIQ("^SPX", "IQ_PRICEDATE", "3/1/2017")</f>
        <v>#NAME?</v>
      </c>
      <c r="AC803" s="16">
        <v>2395.9571420635998</v>
      </c>
    </row>
    <row r="804" spans="26:29" x14ac:dyDescent="0.35">
      <c r="Z804" s="4"/>
      <c r="AA804" s="4"/>
      <c r="AB804" s="4" t="e">
        <f ca="1">_xll.ciqfunctions.udf.CIQ("^SPX", "IQ_PRICEDATE", "3/2/2017")</f>
        <v>#NAME?</v>
      </c>
      <c r="AC804" s="16">
        <v>2381.9182073411998</v>
      </c>
    </row>
    <row r="805" spans="26:29" x14ac:dyDescent="0.35">
      <c r="Z805" s="4"/>
      <c r="AA805" s="4"/>
      <c r="AB805" s="4" t="e">
        <f ca="1">_xll.ciqfunctions.udf.CIQ("^SPX", "IQ_PRICEDATE", "3/3/2017")</f>
        <v>#NAME?</v>
      </c>
      <c r="AC805" s="16">
        <v>2383.1170365799999</v>
      </c>
    </row>
    <row r="806" spans="26:29" x14ac:dyDescent="0.35">
      <c r="Z806" s="4"/>
      <c r="AA806" s="4"/>
      <c r="AB806" s="4" t="e">
        <f ca="1">_xll.ciqfunctions.udf.CIQ("^SPX", "IQ_PRICEDATE", "3/6/2017")</f>
        <v>#NAME?</v>
      </c>
      <c r="AC806" s="16">
        <v>2375.3111240962999</v>
      </c>
    </row>
    <row r="807" spans="26:29" x14ac:dyDescent="0.35">
      <c r="Z807" s="4"/>
      <c r="AA807" s="4"/>
      <c r="AB807" s="4" t="e">
        <f ca="1">_xll.ciqfunctions.udf.CIQ("^SPX", "IQ_PRICEDATE", "3/7/2017")</f>
        <v>#NAME?</v>
      </c>
      <c r="AC807" s="16">
        <v>2368.3942101840998</v>
      </c>
    </row>
    <row r="808" spans="26:29" x14ac:dyDescent="0.35">
      <c r="Z808" s="4"/>
      <c r="AA808" s="4"/>
      <c r="AB808" s="4" t="e">
        <f ca="1">_xll.ciqfunctions.udf.CIQ("^SPX", "IQ_PRICEDATE", "3/8/2017")</f>
        <v>#NAME?</v>
      </c>
      <c r="AC808" s="16">
        <v>2362.9769963468998</v>
      </c>
    </row>
    <row r="809" spans="26:29" x14ac:dyDescent="0.35">
      <c r="Z809" s="4"/>
      <c r="AA809" s="4"/>
      <c r="AB809" s="4" t="e">
        <f ca="1">_xll.ciqfunctions.udf.CIQ("^SPX", "IQ_PRICEDATE", "3/9/2017")</f>
        <v>#NAME?</v>
      </c>
      <c r="AC809" s="16">
        <v>2364.8697868442</v>
      </c>
    </row>
    <row r="810" spans="26:29" x14ac:dyDescent="0.35">
      <c r="Z810" s="4"/>
      <c r="AA810" s="4"/>
      <c r="AB810" s="4" t="e">
        <f ca="1">_xll.ciqfunctions.udf.CIQ("^SPX", "IQ_PRICEDATE", "3/10/2017")</f>
        <v>#NAME?</v>
      </c>
      <c r="AC810" s="16">
        <v>2372.5977517652</v>
      </c>
    </row>
    <row r="811" spans="26:29" x14ac:dyDescent="0.35">
      <c r="Z811" s="4"/>
      <c r="AA811" s="4"/>
      <c r="AB811" s="4" t="e">
        <f ca="1">_xll.ciqfunctions.udf.CIQ("^SPX", "IQ_PRICEDATE", "3/13/2017")</f>
        <v>#NAME?</v>
      </c>
      <c r="AC811" s="16">
        <v>2373.4729821412002</v>
      </c>
    </row>
    <row r="812" spans="26:29" x14ac:dyDescent="0.35">
      <c r="Z812" s="4"/>
      <c r="AA812" s="4"/>
      <c r="AB812" s="4" t="e">
        <f ca="1">_xll.ciqfunctions.udf.CIQ("^SPX", "IQ_PRICEDATE", "3/14/2017")</f>
        <v>#NAME?</v>
      </c>
      <c r="AC812" s="16">
        <v>2365.4548960461002</v>
      </c>
    </row>
    <row r="813" spans="26:29" x14ac:dyDescent="0.35">
      <c r="Z813" s="4"/>
      <c r="AA813" s="4"/>
      <c r="AB813" s="4" t="e">
        <f ca="1">_xll.ciqfunctions.udf.CIQ("^SPX", "IQ_PRICEDATE", "3/15/2017")</f>
        <v>#NAME?</v>
      </c>
      <c r="AC813" s="16">
        <v>2385.2644650697998</v>
      </c>
    </row>
    <row r="814" spans="26:29" x14ac:dyDescent="0.35">
      <c r="Z814" s="4"/>
      <c r="AA814" s="4"/>
      <c r="AB814" s="4" t="e">
        <f ca="1">_xll.ciqfunctions.udf.CIQ("^SPX", "IQ_PRICEDATE", "3/16/2017")</f>
        <v>#NAME?</v>
      </c>
      <c r="AC814" s="16">
        <v>2381.3822478676002</v>
      </c>
    </row>
    <row r="815" spans="26:29" x14ac:dyDescent="0.35">
      <c r="Z815" s="4"/>
      <c r="AA815" s="4"/>
      <c r="AB815" s="4" t="e">
        <f ca="1">_xll.ciqfunctions.udf.CIQ("^SPX", "IQ_PRICEDATE", "3/17/2017")</f>
        <v>#NAME?</v>
      </c>
      <c r="AC815" s="16">
        <v>2378.2530512992998</v>
      </c>
    </row>
    <row r="816" spans="26:29" x14ac:dyDescent="0.35">
      <c r="Z816" s="4"/>
      <c r="AA816" s="4"/>
      <c r="AB816" s="4" t="e">
        <f ca="1">_xll.ciqfunctions.udf.CIQ("^SPX", "IQ_PRICEDATE", "3/20/2017")</f>
        <v>#NAME?</v>
      </c>
      <c r="AC816" s="16">
        <v>2373.4716089251001</v>
      </c>
    </row>
    <row r="817" spans="26:29" x14ac:dyDescent="0.35">
      <c r="Z817" s="4"/>
      <c r="AA817" s="4"/>
      <c r="AB817" s="4" t="e">
        <f ca="1">_xll.ciqfunctions.udf.CIQ("^SPX", "IQ_PRICEDATE", "3/21/2017")</f>
        <v>#NAME?</v>
      </c>
      <c r="AC817" s="16">
        <v>2344.0171188897998</v>
      </c>
    </row>
    <row r="818" spans="26:29" x14ac:dyDescent="0.35">
      <c r="Z818" s="4"/>
      <c r="AA818" s="4"/>
      <c r="AB818" s="4" t="e">
        <f ca="1">_xll.ciqfunctions.udf.CIQ("^SPX", "IQ_PRICEDATE", "3/22/2017")</f>
        <v>#NAME?</v>
      </c>
      <c r="AC818" s="16">
        <v>2348.4488358253998</v>
      </c>
    </row>
    <row r="819" spans="26:29" x14ac:dyDescent="0.35">
      <c r="Z819" s="4"/>
      <c r="AA819" s="4"/>
      <c r="AB819" s="4" t="e">
        <f ca="1">_xll.ciqfunctions.udf.CIQ("^SPX", "IQ_PRICEDATE", "3/23/2017")</f>
        <v>#NAME?</v>
      </c>
      <c r="AC819" s="16">
        <v>2345.9621629387998</v>
      </c>
    </row>
    <row r="820" spans="26:29" x14ac:dyDescent="0.35">
      <c r="Z820" s="4"/>
      <c r="AA820" s="4"/>
      <c r="AB820" s="4" t="e">
        <f ca="1">_xll.ciqfunctions.udf.CIQ("^SPX", "IQ_PRICEDATE", "3/24/2017")</f>
        <v>#NAME?</v>
      </c>
      <c r="AC820" s="16">
        <v>2343.9781399113999</v>
      </c>
    </row>
    <row r="821" spans="26:29" x14ac:dyDescent="0.35">
      <c r="Z821" s="4"/>
      <c r="AA821" s="4"/>
      <c r="AB821" s="4" t="e">
        <f ca="1">_xll.ciqfunctions.udf.CIQ("^SPX", "IQ_PRICEDATE", "3/27/2017")</f>
        <v>#NAME?</v>
      </c>
      <c r="AC821" s="16">
        <v>2341.5905947084002</v>
      </c>
    </row>
    <row r="822" spans="26:29" x14ac:dyDescent="0.35">
      <c r="Z822" s="4"/>
      <c r="AA822" s="4"/>
      <c r="AB822" s="4" t="e">
        <f ca="1">_xll.ciqfunctions.udf.CIQ("^SPX", "IQ_PRICEDATE", "3/28/2017")</f>
        <v>#NAME?</v>
      </c>
      <c r="AC822" s="16">
        <v>2358.5664621082001</v>
      </c>
    </row>
    <row r="823" spans="26:29" x14ac:dyDescent="0.35">
      <c r="Z823" s="4"/>
      <c r="AA823" s="4"/>
      <c r="AB823" s="4" t="e">
        <f ca="1">_xll.ciqfunctions.udf.CIQ("^SPX", "IQ_PRICEDATE", "3/29/2017")</f>
        <v>#NAME?</v>
      </c>
      <c r="AC823" s="16">
        <v>2361.1329611063002</v>
      </c>
    </row>
    <row r="824" spans="26:29" x14ac:dyDescent="0.35">
      <c r="Z824" s="4"/>
      <c r="AA824" s="4"/>
      <c r="AB824" s="4" t="e">
        <f ca="1">_xll.ciqfunctions.udf.CIQ("^SPX", "IQ_PRICEDATE", "3/30/2017")</f>
        <v>#NAME?</v>
      </c>
      <c r="AC824" s="16">
        <v>2368.0605682130999</v>
      </c>
    </row>
    <row r="825" spans="26:29" x14ac:dyDescent="0.35">
      <c r="Z825" s="4"/>
      <c r="AA825" s="4"/>
      <c r="AB825" s="4" t="e">
        <f ca="1">_xll.ciqfunctions.udf.CIQ("^SPX", "IQ_PRICEDATE", "3/31/2017")</f>
        <v>#NAME?</v>
      </c>
      <c r="AC825" s="16">
        <v>2362.7182203972998</v>
      </c>
    </row>
    <row r="826" spans="26:29" x14ac:dyDescent="0.35">
      <c r="Z826" s="4"/>
      <c r="AA826" s="4"/>
      <c r="AB826" s="4" t="e">
        <f ca="1">_xll.ciqfunctions.udf.CIQ("^SPX", "IQ_PRICEDATE", "4/3/2017")</f>
        <v>#NAME?</v>
      </c>
      <c r="AC826" s="16">
        <v>2358.8350901079998</v>
      </c>
    </row>
    <row r="827" spans="26:29" x14ac:dyDescent="0.35">
      <c r="Z827" s="4"/>
      <c r="AA827" s="4"/>
      <c r="AB827" s="4" t="e">
        <f ca="1">_xll.ciqfunctions.udf.CIQ("^SPX", "IQ_PRICEDATE", "4/4/2017")</f>
        <v>#NAME?</v>
      </c>
      <c r="AC827" s="16">
        <v>2360.1556906116998</v>
      </c>
    </row>
    <row r="828" spans="26:29" x14ac:dyDescent="0.35">
      <c r="Z828" s="4"/>
      <c r="AA828" s="4"/>
      <c r="AB828" s="4" t="e">
        <f ca="1">_xll.ciqfunctions.udf.CIQ("^SPX", "IQ_PRICEDATE", "4/5/2017")</f>
        <v>#NAME?</v>
      </c>
      <c r="AC828" s="16">
        <v>2352.9481905326002</v>
      </c>
    </row>
    <row r="829" spans="26:29" x14ac:dyDescent="0.35">
      <c r="Z829" s="4"/>
      <c r="AA829" s="4"/>
      <c r="AB829" s="4" t="e">
        <f ca="1">_xll.ciqfunctions.udf.CIQ("^SPX", "IQ_PRICEDATE", "4/6/2017")</f>
        <v>#NAME?</v>
      </c>
      <c r="AC829" s="16">
        <v>2357.4890699420998</v>
      </c>
    </row>
    <row r="830" spans="26:29" x14ac:dyDescent="0.35">
      <c r="Z830" s="4"/>
      <c r="AA830" s="4"/>
      <c r="AB830" s="4" t="e">
        <f ca="1">_xll.ciqfunctions.udf.CIQ("^SPX", "IQ_PRICEDATE", "4/7/2017")</f>
        <v>#NAME?</v>
      </c>
      <c r="AC830" s="16">
        <v>2355.5449917134001</v>
      </c>
    </row>
    <row r="831" spans="26:29" x14ac:dyDescent="0.35">
      <c r="Z831" s="4"/>
      <c r="AA831" s="4"/>
      <c r="AB831" s="4" t="e">
        <f ca="1">_xll.ciqfunctions.udf.CIQ("^SPX", "IQ_PRICEDATE", "4/10/2017")</f>
        <v>#NAME?</v>
      </c>
      <c r="AC831" s="16">
        <v>2357.1633808413999</v>
      </c>
    </row>
    <row r="832" spans="26:29" x14ac:dyDescent="0.35">
      <c r="Z832" s="4"/>
      <c r="AA832" s="4"/>
      <c r="AB832" s="4" t="e">
        <f ca="1">_xll.ciqfunctions.udf.CIQ("^SPX", "IQ_PRICEDATE", "4/11/2017")</f>
        <v>#NAME?</v>
      </c>
      <c r="AC832" s="16">
        <v>2353.7769915017998</v>
      </c>
    </row>
    <row r="833" spans="26:29" x14ac:dyDescent="0.35">
      <c r="Z833" s="4"/>
      <c r="AA833" s="4"/>
      <c r="AB833" s="4" t="e">
        <f ca="1">_xll.ciqfunctions.udf.CIQ("^SPX", "IQ_PRICEDATE", "4/12/2017")</f>
        <v>#NAME?</v>
      </c>
      <c r="AC833" s="16">
        <v>2344.926332342</v>
      </c>
    </row>
    <row r="834" spans="26:29" x14ac:dyDescent="0.35">
      <c r="Z834" s="4"/>
      <c r="AA834" s="4"/>
      <c r="AB834" s="4" t="e">
        <f ca="1">_xll.ciqfunctions.udf.CIQ("^SPX", "IQ_PRICEDATE", "4/13/2017")</f>
        <v>#NAME?</v>
      </c>
      <c r="AC834" s="16">
        <v>2328.9533474916002</v>
      </c>
    </row>
    <row r="835" spans="26:29" x14ac:dyDescent="0.35">
      <c r="Z835" s="4"/>
      <c r="AA835" s="4"/>
      <c r="AB835" s="4" t="e">
        <f ca="1">_xll.ciqfunctions.udf.CIQ("^SPX", "IQ_PRICEDATE", "4/17/2017")</f>
        <v>#NAME?</v>
      </c>
      <c r="AC835" s="16">
        <v>2349.0102206680999</v>
      </c>
    </row>
    <row r="836" spans="26:29" x14ac:dyDescent="0.35">
      <c r="Z836" s="4"/>
      <c r="AA836" s="4"/>
      <c r="AB836" s="4" t="e">
        <f ca="1">_xll.ciqfunctions.udf.CIQ("^SPX", "IQ_PRICEDATE", "4/18/2017")</f>
        <v>#NAME?</v>
      </c>
      <c r="AC836" s="16">
        <v>2342.1878312869999</v>
      </c>
    </row>
    <row r="837" spans="26:29" x14ac:dyDescent="0.35">
      <c r="Z837" s="4"/>
      <c r="AA837" s="4"/>
      <c r="AB837" s="4" t="e">
        <f ca="1">_xll.ciqfunctions.udf.CIQ("^SPX", "IQ_PRICEDATE", "4/19/2017")</f>
        <v>#NAME?</v>
      </c>
      <c r="AC837" s="16">
        <v>2338.16598759</v>
      </c>
    </row>
    <row r="838" spans="26:29" x14ac:dyDescent="0.35">
      <c r="Z838" s="4"/>
      <c r="AA838" s="4"/>
      <c r="AB838" s="4" t="e">
        <f ca="1">_xll.ciqfunctions.udf.CIQ("^SPX", "IQ_PRICEDATE", "4/20/2017")</f>
        <v>#NAME?</v>
      </c>
      <c r="AC838" s="16">
        <v>2355.8440804402999</v>
      </c>
    </row>
    <row r="839" spans="26:29" x14ac:dyDescent="0.35">
      <c r="Z839" s="4"/>
      <c r="AA839" s="4"/>
      <c r="AB839" s="4" t="e">
        <f ca="1">_xll.ciqfunctions.udf.CIQ("^SPX", "IQ_PRICEDATE", "4/21/2017")</f>
        <v>#NAME?</v>
      </c>
      <c r="AC839" s="16">
        <v>2348.6949580619998</v>
      </c>
    </row>
    <row r="840" spans="26:29" x14ac:dyDescent="0.35">
      <c r="Z840" s="4"/>
      <c r="AA840" s="4"/>
      <c r="AB840" s="4" t="e">
        <f ca="1">_xll.ciqfunctions.udf.CIQ("^SPX", "IQ_PRICEDATE", "4/24/2017")</f>
        <v>#NAME?</v>
      </c>
      <c r="AC840" s="16">
        <v>2374.1506911319002</v>
      </c>
    </row>
    <row r="841" spans="26:29" x14ac:dyDescent="0.35">
      <c r="Z841" s="4"/>
      <c r="AA841" s="4"/>
      <c r="AB841" s="4" t="e">
        <f ca="1">_xll.ciqfunctions.udf.CIQ("^SPX", "IQ_PRICEDATE", "4/25/2017")</f>
        <v>#NAME?</v>
      </c>
      <c r="AC841" s="16">
        <v>2388.6149249553</v>
      </c>
    </row>
    <row r="842" spans="26:29" x14ac:dyDescent="0.35">
      <c r="Z842" s="4"/>
      <c r="AA842" s="4"/>
      <c r="AB842" s="4" t="e">
        <f ca="1">_xll.ciqfunctions.udf.CIQ("^SPX", "IQ_PRICEDATE", "4/26/2017")</f>
        <v>#NAME?</v>
      </c>
      <c r="AC842" s="16">
        <v>2387.4479308863001</v>
      </c>
    </row>
    <row r="843" spans="26:29" x14ac:dyDescent="0.35">
      <c r="Z843" s="4"/>
      <c r="AA843" s="4"/>
      <c r="AB843" s="4" t="e">
        <f ca="1">_xll.ciqfunctions.udf.CIQ("^SPX", "IQ_PRICEDATE", "4/27/2017")</f>
        <v>#NAME?</v>
      </c>
      <c r="AC843" s="16">
        <v>2388.7688361317</v>
      </c>
    </row>
    <row r="844" spans="26:29" x14ac:dyDescent="0.35">
      <c r="Z844" s="4"/>
      <c r="AA844" s="4"/>
      <c r="AB844" s="4" t="e">
        <f ca="1">_xll.ciqfunctions.udf.CIQ("^SPX", "IQ_PRICEDATE", "4/28/2017")</f>
        <v>#NAME?</v>
      </c>
      <c r="AC844" s="16">
        <v>2384.1955178138001</v>
      </c>
    </row>
    <row r="845" spans="26:29" x14ac:dyDescent="0.35">
      <c r="Z845" s="4"/>
      <c r="AA845" s="4"/>
      <c r="AB845" s="4" t="e">
        <f ca="1">_xll.ciqfunctions.udf.CIQ("^SPX", "IQ_PRICEDATE", "5/1/2017")</f>
        <v>#NAME?</v>
      </c>
      <c r="AC845" s="16">
        <v>2388.3271850824999</v>
      </c>
    </row>
    <row r="846" spans="26:29" x14ac:dyDescent="0.35">
      <c r="Z846" s="4"/>
      <c r="AA846" s="4"/>
      <c r="AB846" s="4" t="e">
        <f ca="1">_xll.ciqfunctions.udf.CIQ("^SPX", "IQ_PRICEDATE", "5/2/2017")</f>
        <v>#NAME?</v>
      </c>
      <c r="AC846" s="16">
        <v>2391.1659415048998</v>
      </c>
    </row>
    <row r="847" spans="26:29" x14ac:dyDescent="0.35">
      <c r="Z847" s="4"/>
      <c r="AA847" s="4"/>
      <c r="AB847" s="4" t="e">
        <f ca="1">_xll.ciqfunctions.udf.CIQ("^SPX", "IQ_PRICEDATE", "5/3/2017")</f>
        <v>#NAME?</v>
      </c>
      <c r="AC847" s="16">
        <v>2388.1348932934002</v>
      </c>
    </row>
    <row r="848" spans="26:29" x14ac:dyDescent="0.35">
      <c r="Z848" s="4"/>
      <c r="AA848" s="4"/>
      <c r="AB848" s="4" t="e">
        <f ca="1">_xll.ciqfunctions.udf.CIQ("^SPX", "IQ_PRICEDATE", "5/4/2017")</f>
        <v>#NAME?</v>
      </c>
      <c r="AC848" s="16">
        <v>2389.5216607773</v>
      </c>
    </row>
    <row r="849" spans="26:29" x14ac:dyDescent="0.35">
      <c r="Z849" s="4"/>
      <c r="AA849" s="4"/>
      <c r="AB849" s="4" t="e">
        <f ca="1">_xll.ciqfunctions.udf.CIQ("^SPX", "IQ_PRICEDATE", "5/5/2017")</f>
        <v>#NAME?</v>
      </c>
      <c r="AC849" s="16">
        <v>2399.2857104250002</v>
      </c>
    </row>
    <row r="850" spans="26:29" x14ac:dyDescent="0.35">
      <c r="Z850" s="4"/>
      <c r="AA850" s="4"/>
      <c r="AB850" s="4" t="e">
        <f ca="1">_xll.ciqfunctions.udf.CIQ("^SPX", "IQ_PRICEDATE", "5/8/2017")</f>
        <v>#NAME?</v>
      </c>
      <c r="AC850" s="16">
        <v>2399.3773292577998</v>
      </c>
    </row>
    <row r="851" spans="26:29" x14ac:dyDescent="0.35">
      <c r="Z851" s="4"/>
      <c r="AA851" s="4"/>
      <c r="AB851" s="4" t="e">
        <f ca="1">_xll.ciqfunctions.udf.CIQ("^SPX", "IQ_PRICEDATE", "5/9/2017")</f>
        <v>#NAME?</v>
      </c>
      <c r="AC851" s="16">
        <v>2396.9194242874</v>
      </c>
    </row>
    <row r="852" spans="26:29" x14ac:dyDescent="0.35">
      <c r="Z852" s="4"/>
      <c r="AA852" s="4"/>
      <c r="AB852" s="4" t="e">
        <f ca="1">_xll.ciqfunctions.udf.CIQ("^SPX", "IQ_PRICEDATE", "5/10/2017")</f>
        <v>#NAME?</v>
      </c>
      <c r="AC852" s="16">
        <v>2399.6299593671001</v>
      </c>
    </row>
    <row r="853" spans="26:29" x14ac:dyDescent="0.35">
      <c r="Z853" s="4"/>
      <c r="AA853" s="4"/>
      <c r="AB853" s="4" t="e">
        <f ca="1">_xll.ciqfunctions.udf.CIQ("^SPX", "IQ_PRICEDATE", "5/11/2017")</f>
        <v>#NAME?</v>
      </c>
      <c r="AC853" s="16">
        <v>2394.4397979863002</v>
      </c>
    </row>
    <row r="854" spans="26:29" x14ac:dyDescent="0.35">
      <c r="Z854" s="4"/>
      <c r="AA854" s="4"/>
      <c r="AB854" s="4" t="e">
        <f ca="1">_xll.ciqfunctions.udf.CIQ("^SPX", "IQ_PRICEDATE", "5/12/2017")</f>
        <v>#NAME?</v>
      </c>
      <c r="AC854" s="16">
        <v>2390.8972261383001</v>
      </c>
    </row>
    <row r="855" spans="26:29" x14ac:dyDescent="0.35">
      <c r="Z855" s="4"/>
      <c r="AA855" s="4"/>
      <c r="AB855" s="4" t="e">
        <f ca="1">_xll.ciqfunctions.udf.CIQ("^SPX", "IQ_PRICEDATE", "5/15/2017")</f>
        <v>#NAME?</v>
      </c>
      <c r="AC855" s="16">
        <v>2402.3202821682999</v>
      </c>
    </row>
    <row r="856" spans="26:29" x14ac:dyDescent="0.35">
      <c r="Z856" s="4"/>
      <c r="AA856" s="4"/>
      <c r="AB856" s="4" t="e">
        <f ca="1">_xll.ciqfunctions.udf.CIQ("^SPX", "IQ_PRICEDATE", "5/16/2017")</f>
        <v>#NAME?</v>
      </c>
      <c r="AC856" s="16">
        <v>2400.6741690949998</v>
      </c>
    </row>
    <row r="857" spans="26:29" x14ac:dyDescent="0.35">
      <c r="Z857" s="4"/>
      <c r="AA857" s="4"/>
      <c r="AB857" s="4" t="e">
        <f ca="1">_xll.ciqfunctions.udf.CIQ("^SPX", "IQ_PRICEDATE", "5/17/2017")</f>
        <v>#NAME?</v>
      </c>
      <c r="AC857" s="16">
        <v>2357.0321672037999</v>
      </c>
    </row>
    <row r="858" spans="26:29" x14ac:dyDescent="0.35">
      <c r="Z858" s="4"/>
      <c r="AA858" s="4"/>
      <c r="AB858" s="4" t="e">
        <f ca="1">_xll.ciqfunctions.udf.CIQ("^SPX", "IQ_PRICEDATE", "5/18/2017")</f>
        <v>#NAME?</v>
      </c>
      <c r="AC858" s="16">
        <v>2365.7239626676001</v>
      </c>
    </row>
    <row r="859" spans="26:29" x14ac:dyDescent="0.35">
      <c r="Z859" s="4"/>
      <c r="AA859" s="4"/>
      <c r="AB859" s="4" t="e">
        <f ca="1">_xll.ciqfunctions.udf.CIQ("^SPX", "IQ_PRICEDATE", "5/19/2017")</f>
        <v>#NAME?</v>
      </c>
      <c r="AC859" s="16">
        <v>2381.7267041675</v>
      </c>
    </row>
    <row r="860" spans="26:29" x14ac:dyDescent="0.35">
      <c r="Z860" s="4"/>
      <c r="AA860" s="4"/>
      <c r="AB860" s="4" t="e">
        <f ca="1">_xll.ciqfunctions.udf.CIQ("^SPX", "IQ_PRICEDATE", "5/22/2017")</f>
        <v>#NAME?</v>
      </c>
      <c r="AC860" s="16">
        <v>2394.0240765692001</v>
      </c>
    </row>
    <row r="861" spans="26:29" x14ac:dyDescent="0.35">
      <c r="Z861" s="4"/>
      <c r="AA861" s="4"/>
      <c r="AB861" s="4" t="e">
        <f ca="1">_xll.ciqfunctions.udf.CIQ("^SPX", "IQ_PRICEDATE", "5/23/2017")</f>
        <v>#NAME?</v>
      </c>
      <c r="AC861" s="16">
        <v>2398.4186023841999</v>
      </c>
    </row>
    <row r="862" spans="26:29" x14ac:dyDescent="0.35">
      <c r="Z862" s="4"/>
      <c r="AA862" s="4"/>
      <c r="AB862" s="4" t="e">
        <f ca="1">_xll.ciqfunctions.udf.CIQ("^SPX", "IQ_PRICEDATE", "5/24/2017")</f>
        <v>#NAME?</v>
      </c>
      <c r="AC862" s="16">
        <v>2404.3870216977998</v>
      </c>
    </row>
    <row r="863" spans="26:29" x14ac:dyDescent="0.35">
      <c r="Z863" s="4"/>
      <c r="AA863" s="4"/>
      <c r="AB863" s="4" t="e">
        <f ca="1">_xll.ciqfunctions.udf.CIQ("^SPX", "IQ_PRICEDATE", "5/25/2017")</f>
        <v>#NAME?</v>
      </c>
      <c r="AC863" s="16">
        <v>2415.0657027404</v>
      </c>
    </row>
    <row r="864" spans="26:29" x14ac:dyDescent="0.35">
      <c r="Z864" s="4"/>
      <c r="AA864" s="4"/>
      <c r="AB864" s="4" t="e">
        <f ca="1">_xll.ciqfunctions.udf.CIQ("^SPX", "IQ_PRICEDATE", "5/26/2017")</f>
        <v>#NAME?</v>
      </c>
      <c r="AC864" s="16">
        <v>2415.8224803902999</v>
      </c>
    </row>
    <row r="865" spans="26:29" x14ac:dyDescent="0.35">
      <c r="Z865" s="4"/>
      <c r="AA865" s="4"/>
      <c r="AB865" s="4" t="e">
        <f ca="1">_xll.ciqfunctions.udf.CIQ("^SPX", "IQ_PRICEDATE", "5/30/2017")</f>
        <v>#NAME?</v>
      </c>
      <c r="AC865" s="16">
        <v>2412.9065671479998</v>
      </c>
    </row>
    <row r="866" spans="26:29" x14ac:dyDescent="0.35">
      <c r="Z866" s="4"/>
      <c r="AA866" s="4"/>
      <c r="AB866" s="4" t="e">
        <f ca="1">_xll.ciqfunctions.udf.CIQ("^SPX", "IQ_PRICEDATE", "5/31/2017")</f>
        <v>#NAME?</v>
      </c>
      <c r="AC866" s="16">
        <v>2411.7973242573999</v>
      </c>
    </row>
    <row r="867" spans="26:29" x14ac:dyDescent="0.35">
      <c r="Z867" s="4"/>
      <c r="AA867" s="4"/>
      <c r="AB867" s="4" t="e">
        <f ca="1">_xll.ciqfunctions.udf.CIQ("^SPX", "IQ_PRICEDATE", "6/1/2017")</f>
        <v>#NAME?</v>
      </c>
      <c r="AC867" s="16">
        <v>2430.0610709493999</v>
      </c>
    </row>
    <row r="868" spans="26:29" x14ac:dyDescent="0.35">
      <c r="Z868" s="4"/>
      <c r="AA868" s="4"/>
      <c r="AB868" s="4" t="e">
        <f ca="1">_xll.ciqfunctions.udf.CIQ("^SPX", "IQ_PRICEDATE", "6/2/2017")</f>
        <v>#NAME?</v>
      </c>
      <c r="AC868" s="16">
        <v>2439.0702499803001</v>
      </c>
    </row>
    <row r="869" spans="26:29" x14ac:dyDescent="0.35">
      <c r="Z869" s="4"/>
      <c r="AA869" s="4"/>
      <c r="AB869" s="4" t="e">
        <f ca="1">_xll.ciqfunctions.udf.CIQ("^SPX", "IQ_PRICEDATE", "6/5/2017")</f>
        <v>#NAME?</v>
      </c>
      <c r="AC869" s="16">
        <v>2436.0961957703998</v>
      </c>
    </row>
    <row r="870" spans="26:29" x14ac:dyDescent="0.35">
      <c r="Z870" s="4"/>
      <c r="AA870" s="4"/>
      <c r="AB870" s="4" t="e">
        <f ca="1">_xll.ciqfunctions.udf.CIQ("^SPX", "IQ_PRICEDATE", "6/6/2017")</f>
        <v>#NAME?</v>
      </c>
      <c r="AC870" s="16">
        <v>2429.3272573536001</v>
      </c>
    </row>
    <row r="871" spans="26:29" x14ac:dyDescent="0.35">
      <c r="Z871" s="4"/>
      <c r="AA871" s="4"/>
      <c r="AB871" s="4" t="e">
        <f ca="1">_xll.ciqfunctions.udf.CIQ("^SPX", "IQ_PRICEDATE", "6/7/2017")</f>
        <v>#NAME?</v>
      </c>
      <c r="AC871" s="16">
        <v>2433.1374300828002</v>
      </c>
    </row>
    <row r="872" spans="26:29" x14ac:dyDescent="0.35">
      <c r="Z872" s="4"/>
      <c r="AA872" s="4"/>
      <c r="AB872" s="4" t="e">
        <f ca="1">_xll.ciqfunctions.udf.CIQ("^SPX", "IQ_PRICEDATE", "6/8/2017")</f>
        <v>#NAME?</v>
      </c>
      <c r="AC872" s="16">
        <v>2433.7906309395999</v>
      </c>
    </row>
    <row r="873" spans="26:29" x14ac:dyDescent="0.35">
      <c r="Z873" s="4"/>
      <c r="AA873" s="4"/>
      <c r="AB873" s="4" t="e">
        <f ca="1">_xll.ciqfunctions.udf.CIQ("^SPX", "IQ_PRICEDATE", "6/9/2017")</f>
        <v>#NAME?</v>
      </c>
      <c r="AC873" s="16">
        <v>2431.7723650030998</v>
      </c>
    </row>
    <row r="874" spans="26:29" x14ac:dyDescent="0.35">
      <c r="Z874" s="4"/>
      <c r="AA874" s="4"/>
      <c r="AB874" s="4" t="e">
        <f ca="1">_xll.ciqfunctions.udf.CIQ("^SPX", "IQ_PRICEDATE", "6/12/2017")</f>
        <v>#NAME?</v>
      </c>
      <c r="AC874" s="16">
        <v>2429.3912557921999</v>
      </c>
    </row>
    <row r="875" spans="26:29" x14ac:dyDescent="0.35">
      <c r="Z875" s="4"/>
      <c r="AA875" s="4"/>
      <c r="AB875" s="4" t="e">
        <f ca="1">_xll.ciqfunctions.udf.CIQ("^SPX", "IQ_PRICEDATE", "6/13/2017")</f>
        <v>#NAME?</v>
      </c>
      <c r="AC875" s="16">
        <v>2440.3474964374</v>
      </c>
    </row>
    <row r="876" spans="26:29" x14ac:dyDescent="0.35">
      <c r="Z876" s="4"/>
      <c r="AA876" s="4"/>
      <c r="AB876" s="4" t="e">
        <f ca="1">_xll.ciqfunctions.udf.CIQ("^SPX", "IQ_PRICEDATE", "6/14/2017")</f>
        <v>#NAME?</v>
      </c>
      <c r="AC876" s="16">
        <v>2437.9204812496</v>
      </c>
    </row>
    <row r="877" spans="26:29" x14ac:dyDescent="0.35">
      <c r="Z877" s="4"/>
      <c r="AA877" s="4"/>
      <c r="AB877" s="4" t="e">
        <f ca="1">_xll.ciqfunctions.udf.CIQ("^SPX", "IQ_PRICEDATE", "6/15/2017")</f>
        <v>#NAME?</v>
      </c>
      <c r="AC877" s="16">
        <v>2432.4591271283002</v>
      </c>
    </row>
    <row r="878" spans="26:29" x14ac:dyDescent="0.35">
      <c r="Z878" s="4"/>
      <c r="AA878" s="4"/>
      <c r="AB878" s="4" t="e">
        <f ca="1">_xll.ciqfunctions.udf.CIQ("^SPX", "IQ_PRICEDATE", "6/16/2017")</f>
        <v>#NAME?</v>
      </c>
      <c r="AC878" s="16">
        <v>2433.1508288614</v>
      </c>
    </row>
    <row r="879" spans="26:29" x14ac:dyDescent="0.35">
      <c r="Z879" s="4"/>
      <c r="AA879" s="4"/>
      <c r="AB879" s="4" t="e">
        <f ca="1">_xll.ciqfunctions.udf.CIQ("^SPX", "IQ_PRICEDATE", "6/19/2017")</f>
        <v>#NAME?</v>
      </c>
      <c r="AC879" s="16">
        <v>2453.4586037494</v>
      </c>
    </row>
    <row r="880" spans="26:29" x14ac:dyDescent="0.35">
      <c r="Z880" s="4"/>
      <c r="AA880" s="4"/>
      <c r="AB880" s="4" t="e">
        <f ca="1">_xll.ciqfunctions.udf.CIQ("^SPX", "IQ_PRICEDATE", "6/20/2017")</f>
        <v>#NAME?</v>
      </c>
      <c r="AC880" s="16">
        <v>2437.0281337665001</v>
      </c>
    </row>
    <row r="881" spans="26:29" x14ac:dyDescent="0.35">
      <c r="Z881" s="4"/>
      <c r="AA881" s="4"/>
      <c r="AB881" s="4" t="e">
        <f ca="1">_xll.ciqfunctions.udf.CIQ("^SPX", "IQ_PRICEDATE", "6/21/2017")</f>
        <v>#NAME?</v>
      </c>
      <c r="AC881" s="16">
        <v>2435.6116850599001</v>
      </c>
    </row>
    <row r="882" spans="26:29" x14ac:dyDescent="0.35">
      <c r="Z882" s="4"/>
      <c r="AA882" s="4"/>
      <c r="AB882" s="4" t="e">
        <f ca="1">_xll.ciqfunctions.udf.CIQ("^SPX", "IQ_PRICEDATE", "6/22/2017")</f>
        <v>#NAME?</v>
      </c>
      <c r="AC882" s="16">
        <v>2434.4974087685</v>
      </c>
    </row>
    <row r="883" spans="26:29" x14ac:dyDescent="0.35">
      <c r="Z883" s="4"/>
      <c r="AA883" s="4"/>
      <c r="AB883" s="4" t="e">
        <f ca="1">_xll.ciqfunctions.udf.CIQ("^SPX", "IQ_PRICEDATE", "6/23/2017")</f>
        <v>#NAME?</v>
      </c>
      <c r="AC883" s="16">
        <v>2438.2969118630999</v>
      </c>
    </row>
    <row r="884" spans="26:29" x14ac:dyDescent="0.35">
      <c r="Z884" s="4"/>
      <c r="AA884" s="4"/>
      <c r="AB884" s="4" t="e">
        <f ca="1">_xll.ciqfunctions.udf.CIQ("^SPX", "IQ_PRICEDATE", "6/26/2017")</f>
        <v>#NAME?</v>
      </c>
      <c r="AC884" s="16">
        <v>2439.0654771775999</v>
      </c>
    </row>
    <row r="885" spans="26:29" x14ac:dyDescent="0.35">
      <c r="Z885" s="4"/>
      <c r="AA885" s="4"/>
      <c r="AB885" s="4" t="e">
        <f ca="1">_xll.ciqfunctions.udf.CIQ("^SPX", "IQ_PRICEDATE", "6/27/2017")</f>
        <v>#NAME?</v>
      </c>
      <c r="AC885" s="16">
        <v>2419.3758615268998</v>
      </c>
    </row>
    <row r="886" spans="26:29" x14ac:dyDescent="0.35">
      <c r="Z886" s="4"/>
      <c r="AA886" s="4"/>
      <c r="AB886" s="4" t="e">
        <f ca="1">_xll.ciqfunctions.udf.CIQ("^SPX", "IQ_PRICEDATE", "6/28/2017")</f>
        <v>#NAME?</v>
      </c>
      <c r="AC886" s="16">
        <v>2440.6903289911002</v>
      </c>
    </row>
    <row r="887" spans="26:29" x14ac:dyDescent="0.35">
      <c r="Z887" s="4"/>
      <c r="AA887" s="4"/>
      <c r="AB887" s="4" t="e">
        <f ca="1">_xll.ciqfunctions.udf.CIQ("^SPX", "IQ_PRICEDATE", "6/29/2017")</f>
        <v>#NAME?</v>
      </c>
      <c r="AC887" s="16">
        <v>2419.6971113274999</v>
      </c>
    </row>
    <row r="888" spans="26:29" x14ac:dyDescent="0.35">
      <c r="Z888" s="4"/>
      <c r="AA888" s="4"/>
      <c r="AB888" s="4" t="e">
        <f ca="1">_xll.ciqfunctions.udf.CIQ("^SPX", "IQ_PRICEDATE", "6/30/2017")</f>
        <v>#NAME?</v>
      </c>
      <c r="AC888" s="16">
        <v>2423.4088910629998</v>
      </c>
    </row>
    <row r="889" spans="26:29" x14ac:dyDescent="0.35">
      <c r="Z889" s="4"/>
      <c r="AA889" s="4"/>
      <c r="AB889" s="4" t="e">
        <f ca="1">_xll.ciqfunctions.udf.CIQ("^SPX", "IQ_PRICEDATE", "7/3/2017")</f>
        <v>#NAME?</v>
      </c>
      <c r="AC889" s="16">
        <v>2429.0148792035002</v>
      </c>
    </row>
    <row r="890" spans="26:29" x14ac:dyDescent="0.35">
      <c r="Z890" s="4"/>
      <c r="AA890" s="4"/>
      <c r="AB890" s="4" t="e">
        <f ca="1">_xll.ciqfunctions.udf.CIQ("^SPX", "IQ_PRICEDATE", "7/5/2017")</f>
        <v>#NAME?</v>
      </c>
      <c r="AC890" s="16">
        <v>2432.5423402270999</v>
      </c>
    </row>
    <row r="891" spans="26:29" x14ac:dyDescent="0.35">
      <c r="Z891" s="4"/>
      <c r="AA891" s="4"/>
      <c r="AB891" s="4" t="e">
        <f ca="1">_xll.ciqfunctions.udf.CIQ("^SPX", "IQ_PRICEDATE", "7/6/2017")</f>
        <v>#NAME?</v>
      </c>
      <c r="AC891" s="16">
        <v>2409.7497799244002</v>
      </c>
    </row>
    <row r="892" spans="26:29" x14ac:dyDescent="0.35">
      <c r="Z892" s="4"/>
      <c r="AA892" s="4"/>
      <c r="AB892" s="4" t="e">
        <f ca="1">_xll.ciqfunctions.udf.CIQ("^SPX", "IQ_PRICEDATE", "7/7/2017")</f>
        <v>#NAME?</v>
      </c>
      <c r="AC892" s="16">
        <v>2425.1769614262998</v>
      </c>
    </row>
    <row r="893" spans="26:29" x14ac:dyDescent="0.35">
      <c r="Z893" s="4"/>
      <c r="AA893" s="4"/>
      <c r="AB893" s="4" t="e">
        <f ca="1">_xll.ciqfunctions.udf.CIQ("^SPX", "IQ_PRICEDATE", "7/10/2017")</f>
        <v>#NAME?</v>
      </c>
      <c r="AC893" s="16">
        <v>2427.4344884965999</v>
      </c>
    </row>
    <row r="894" spans="26:29" x14ac:dyDescent="0.35">
      <c r="Z894" s="4"/>
      <c r="AA894" s="4"/>
      <c r="AB894" s="4" t="e">
        <f ca="1">_xll.ciqfunctions.udf.CIQ("^SPX", "IQ_PRICEDATE", "7/11/2017")</f>
        <v>#NAME?</v>
      </c>
      <c r="AC894" s="16">
        <v>2425.5262141653998</v>
      </c>
    </row>
    <row r="895" spans="26:29" x14ac:dyDescent="0.35">
      <c r="Z895" s="4"/>
      <c r="AA895" s="4"/>
      <c r="AB895" s="4" t="e">
        <f ca="1">_xll.ciqfunctions.udf.CIQ("^SPX", "IQ_PRICEDATE", "7/12/2017")</f>
        <v>#NAME?</v>
      </c>
      <c r="AC895" s="16">
        <v>2443.2511766420998</v>
      </c>
    </row>
    <row r="896" spans="26:29" x14ac:dyDescent="0.35">
      <c r="Z896" s="4"/>
      <c r="AA896" s="4"/>
      <c r="AB896" s="4" t="e">
        <f ca="1">_xll.ciqfunctions.udf.CIQ("^SPX", "IQ_PRICEDATE", "7/13/2017")</f>
        <v>#NAME?</v>
      </c>
      <c r="AC896" s="16">
        <v>2447.8342759661</v>
      </c>
    </row>
    <row r="897" spans="26:29" x14ac:dyDescent="0.35">
      <c r="Z897" s="4"/>
      <c r="AA897" s="4"/>
      <c r="AB897" s="4" t="e">
        <f ca="1">_xll.ciqfunctions.udf.CIQ("^SPX", "IQ_PRICEDATE", "7/14/2017")</f>
        <v>#NAME?</v>
      </c>
      <c r="AC897" s="16">
        <v>2459.2709908214001</v>
      </c>
    </row>
    <row r="898" spans="26:29" x14ac:dyDescent="0.35">
      <c r="Z898" s="4"/>
      <c r="AA898" s="4"/>
      <c r="AB898" s="4" t="e">
        <f ca="1">_xll.ciqfunctions.udf.CIQ("^SPX", "IQ_PRICEDATE", "7/17/2017")</f>
        <v>#NAME?</v>
      </c>
      <c r="AC898" s="16">
        <v>2459.1407192176998</v>
      </c>
    </row>
    <row r="899" spans="26:29" x14ac:dyDescent="0.35">
      <c r="Z899" s="4"/>
      <c r="AA899" s="4"/>
      <c r="AB899" s="4" t="e">
        <f ca="1">_xll.ciqfunctions.udf.CIQ("^SPX", "IQ_PRICEDATE", "7/18/2017")</f>
        <v>#NAME?</v>
      </c>
      <c r="AC899" s="16">
        <v>2460.6104434094</v>
      </c>
    </row>
    <row r="900" spans="26:29" x14ac:dyDescent="0.35">
      <c r="Z900" s="4"/>
      <c r="AA900" s="4"/>
      <c r="AB900" s="4" t="e">
        <f ca="1">_xll.ciqfunctions.udf.CIQ("^SPX", "IQ_PRICEDATE", "7/19/2017")</f>
        <v>#NAME?</v>
      </c>
      <c r="AC900" s="16">
        <v>2473.8277852738001</v>
      </c>
    </row>
    <row r="901" spans="26:29" x14ac:dyDescent="0.35">
      <c r="Z901" s="4"/>
      <c r="AA901" s="4"/>
      <c r="AB901" s="4" t="e">
        <f ca="1">_xll.ciqfunctions.udf.CIQ("^SPX", "IQ_PRICEDATE", "7/20/2017")</f>
        <v>#NAME?</v>
      </c>
      <c r="AC901" s="16">
        <v>2473.4493827199999</v>
      </c>
    </row>
    <row r="902" spans="26:29" x14ac:dyDescent="0.35">
      <c r="Z902" s="4"/>
      <c r="AA902" s="4"/>
      <c r="AB902" s="4" t="e">
        <f ca="1">_xll.ciqfunctions.udf.CIQ("^SPX", "IQ_PRICEDATE", "7/21/2017")</f>
        <v>#NAME?</v>
      </c>
      <c r="AC902" s="16">
        <v>2472.5358544521</v>
      </c>
    </row>
    <row r="903" spans="26:29" x14ac:dyDescent="0.35">
      <c r="Z903" s="4"/>
      <c r="AA903" s="4"/>
      <c r="AB903" s="4" t="e">
        <f ca="1">_xll.ciqfunctions.udf.CIQ("^SPX", "IQ_PRICEDATE", "7/24/2017")</f>
        <v>#NAME?</v>
      </c>
      <c r="AC903" s="16">
        <v>2469.9119171232001</v>
      </c>
    </row>
    <row r="904" spans="26:29" x14ac:dyDescent="0.35">
      <c r="Z904" s="4"/>
      <c r="AA904" s="4"/>
      <c r="AB904" s="4" t="e">
        <f ca="1">_xll.ciqfunctions.udf.CIQ("^SPX", "IQ_PRICEDATE", "7/25/2017")</f>
        <v>#NAME?</v>
      </c>
      <c r="AC904" s="16">
        <v>2477.1253697525999</v>
      </c>
    </row>
    <row r="905" spans="26:29" x14ac:dyDescent="0.35">
      <c r="Z905" s="4"/>
      <c r="AA905" s="4"/>
      <c r="AB905" s="4" t="e">
        <f ca="1">_xll.ciqfunctions.udf.CIQ("^SPX", "IQ_PRICEDATE", "7/26/2017")</f>
        <v>#NAME?</v>
      </c>
      <c r="AC905" s="16">
        <v>2477.8305107064998</v>
      </c>
    </row>
    <row r="906" spans="26:29" x14ac:dyDescent="0.35">
      <c r="Z906" s="4"/>
      <c r="AA906" s="4"/>
      <c r="AB906" s="4" t="e">
        <f ca="1">_xll.ciqfunctions.udf.CIQ("^SPX", "IQ_PRICEDATE", "7/27/2017")</f>
        <v>#NAME?</v>
      </c>
      <c r="AC906" s="16">
        <v>2475.420890931</v>
      </c>
    </row>
    <row r="907" spans="26:29" x14ac:dyDescent="0.35">
      <c r="Z907" s="4"/>
      <c r="AA907" s="4"/>
      <c r="AB907" s="4" t="e">
        <f ca="1">_xll.ciqfunctions.udf.CIQ("^SPX", "IQ_PRICEDATE", "7/28/2017")</f>
        <v>#NAME?</v>
      </c>
      <c r="AC907" s="16">
        <v>2472.0985372059999</v>
      </c>
    </row>
    <row r="908" spans="26:29" x14ac:dyDescent="0.35">
      <c r="Z908" s="4"/>
      <c r="AA908" s="4"/>
      <c r="AB908" s="4" t="e">
        <f ca="1">_xll.ciqfunctions.udf.CIQ("^SPX", "IQ_PRICEDATE", "7/31/2017")</f>
        <v>#NAME?</v>
      </c>
      <c r="AC908" s="16">
        <v>2470.3000252602001</v>
      </c>
    </row>
    <row r="909" spans="26:29" x14ac:dyDescent="0.35">
      <c r="Z909" s="4"/>
      <c r="AA909" s="4"/>
      <c r="AB909" s="4" t="e">
        <f ca="1">_xll.ciqfunctions.udf.CIQ("^SPX", "IQ_PRICEDATE", "8/1/2017")</f>
        <v>#NAME?</v>
      </c>
      <c r="AC909" s="16">
        <v>2476.3472099536002</v>
      </c>
    </row>
    <row r="910" spans="26:29" x14ac:dyDescent="0.35">
      <c r="Z910" s="4"/>
      <c r="AA910" s="4"/>
      <c r="AB910" s="4" t="e">
        <f ca="1">_xll.ciqfunctions.udf.CIQ("^SPX", "IQ_PRICEDATE", "8/2/2017")</f>
        <v>#NAME?</v>
      </c>
      <c r="AC910" s="16">
        <v>2477.5680969176001</v>
      </c>
    </row>
    <row r="911" spans="26:29" x14ac:dyDescent="0.35">
      <c r="Z911" s="4"/>
      <c r="AA911" s="4"/>
      <c r="AB911" s="4" t="e">
        <f ca="1">_xll.ciqfunctions.udf.CIQ("^SPX", "IQ_PRICEDATE", "8/3/2017")</f>
        <v>#NAME?</v>
      </c>
      <c r="AC911" s="16">
        <v>2472.1576280376999</v>
      </c>
    </row>
    <row r="912" spans="26:29" x14ac:dyDescent="0.35">
      <c r="Z912" s="4"/>
      <c r="AA912" s="4"/>
      <c r="AB912" s="4" t="e">
        <f ca="1">_xll.ciqfunctions.udf.CIQ("^SPX", "IQ_PRICEDATE", "8/4/2017")</f>
        <v>#NAME?</v>
      </c>
      <c r="AC912" s="16">
        <v>2476.8309965460999</v>
      </c>
    </row>
    <row r="913" spans="26:29" x14ac:dyDescent="0.35">
      <c r="Z913" s="4"/>
      <c r="AA913" s="4"/>
      <c r="AB913" s="4" t="e">
        <f ca="1">_xll.ciqfunctions.udf.CIQ("^SPX", "IQ_PRICEDATE", "8/7/2017")</f>
        <v>#NAME?</v>
      </c>
      <c r="AC913" s="16">
        <v>2480.9120213837</v>
      </c>
    </row>
    <row r="914" spans="26:29" x14ac:dyDescent="0.35">
      <c r="Z914" s="4"/>
      <c r="AA914" s="4"/>
      <c r="AB914" s="4" t="e">
        <f ca="1">_xll.ciqfunctions.udf.CIQ("^SPX", "IQ_PRICEDATE", "8/8/2017")</f>
        <v>#NAME?</v>
      </c>
      <c r="AC914" s="16">
        <v>2474.9188409218</v>
      </c>
    </row>
    <row r="915" spans="26:29" x14ac:dyDescent="0.35">
      <c r="Z915" s="4"/>
      <c r="AA915" s="4"/>
      <c r="AB915" s="4" t="e">
        <f ca="1">_xll.ciqfunctions.udf.CIQ("^SPX", "IQ_PRICEDATE", "8/9/2017")</f>
        <v>#NAME?</v>
      </c>
      <c r="AC915" s="16">
        <v>2474.0170798125</v>
      </c>
    </row>
    <row r="916" spans="26:29" x14ac:dyDescent="0.35">
      <c r="Z916" s="4"/>
      <c r="AA916" s="4"/>
      <c r="AB916" s="4" t="e">
        <f ca="1">_xll.ciqfunctions.udf.CIQ("^SPX", "IQ_PRICEDATE", "8/10/2017")</f>
        <v>#NAME?</v>
      </c>
      <c r="AC916" s="16">
        <v>2438.2097100884998</v>
      </c>
    </row>
    <row r="917" spans="26:29" x14ac:dyDescent="0.35">
      <c r="Z917" s="4"/>
      <c r="AA917" s="4"/>
      <c r="AB917" s="4" t="e">
        <f ca="1">_xll.ciqfunctions.udf.CIQ("^SPX", "IQ_PRICEDATE", "8/11/2017")</f>
        <v>#NAME?</v>
      </c>
      <c r="AC917" s="16">
        <v>2441.3202405644001</v>
      </c>
    </row>
    <row r="918" spans="26:29" x14ac:dyDescent="0.35">
      <c r="Z918" s="4"/>
      <c r="AA918" s="4"/>
      <c r="AB918" s="4" t="e">
        <f ca="1">_xll.ciqfunctions.udf.CIQ("^SPX", "IQ_PRICEDATE", "8/14/2017")</f>
        <v>#NAME?</v>
      </c>
      <c r="AC918" s="16">
        <v>2465.8358122222999</v>
      </c>
    </row>
    <row r="919" spans="26:29" x14ac:dyDescent="0.35">
      <c r="Z919" s="4"/>
      <c r="AA919" s="4"/>
      <c r="AB919" s="4" t="e">
        <f ca="1">_xll.ciqfunctions.udf.CIQ("^SPX", "IQ_PRICEDATE", "8/15/2017")</f>
        <v>#NAME?</v>
      </c>
      <c r="AC919" s="16">
        <v>2464.6099933352998</v>
      </c>
    </row>
    <row r="920" spans="26:29" x14ac:dyDescent="0.35">
      <c r="Z920" s="4"/>
      <c r="AA920" s="4"/>
      <c r="AB920" s="4" t="e">
        <f ca="1">_xll.ciqfunctions.udf.CIQ("^SPX", "IQ_PRICEDATE", "8/16/2017")</f>
        <v>#NAME?</v>
      </c>
      <c r="AC920" s="16">
        <v>2468.1072601102001</v>
      </c>
    </row>
    <row r="921" spans="26:29" x14ac:dyDescent="0.35">
      <c r="Z921" s="4"/>
      <c r="AA921" s="4"/>
      <c r="AB921" s="4" t="e">
        <f ca="1">_xll.ciqfunctions.udf.CIQ("^SPX", "IQ_PRICEDATE", "8/17/2017")</f>
        <v>#NAME?</v>
      </c>
      <c r="AC921" s="16">
        <v>2430.0078784775001</v>
      </c>
    </row>
    <row r="922" spans="26:29" x14ac:dyDescent="0.35">
      <c r="Z922" s="4"/>
      <c r="AA922" s="4"/>
      <c r="AB922" s="4" t="e">
        <f ca="1">_xll.ciqfunctions.udf.CIQ("^SPX", "IQ_PRICEDATE", "8/18/2017")</f>
        <v>#NAME?</v>
      </c>
      <c r="AC922" s="16">
        <v>2425.5521696646001</v>
      </c>
    </row>
    <row r="923" spans="26:29" x14ac:dyDescent="0.35">
      <c r="Z923" s="4"/>
      <c r="AA923" s="4"/>
      <c r="AB923" s="4" t="e">
        <f ca="1">_xll.ciqfunctions.udf.CIQ("^SPX", "IQ_PRICEDATE", "8/21/2017")</f>
        <v>#NAME?</v>
      </c>
      <c r="AC923" s="16">
        <v>2428.3679855597002</v>
      </c>
    </row>
    <row r="924" spans="26:29" x14ac:dyDescent="0.35">
      <c r="Z924" s="4"/>
      <c r="AA924" s="4"/>
      <c r="AB924" s="4" t="e">
        <f ca="1">_xll.ciqfunctions.udf.CIQ("^SPX", "IQ_PRICEDATE", "8/22/2017")</f>
        <v>#NAME?</v>
      </c>
      <c r="AC924" s="16">
        <v>2452.5102728912998</v>
      </c>
    </row>
    <row r="925" spans="26:29" x14ac:dyDescent="0.35">
      <c r="Z925" s="4"/>
      <c r="AA925" s="4"/>
      <c r="AB925" s="4" t="e">
        <f ca="1">_xll.ciqfunctions.udf.CIQ("^SPX", "IQ_PRICEDATE", "8/23/2017")</f>
        <v>#NAME?</v>
      </c>
      <c r="AC925" s="16">
        <v>2444.0432453390999</v>
      </c>
    </row>
    <row r="926" spans="26:29" x14ac:dyDescent="0.35">
      <c r="Z926" s="4"/>
      <c r="AA926" s="4"/>
      <c r="AB926" s="4" t="e">
        <f ca="1">_xll.ciqfunctions.udf.CIQ("^SPX", "IQ_PRICEDATE", "8/24/2017")</f>
        <v>#NAME?</v>
      </c>
      <c r="AC926" s="16">
        <v>2438.9681198158</v>
      </c>
    </row>
    <row r="927" spans="26:29" x14ac:dyDescent="0.35">
      <c r="Z927" s="4"/>
      <c r="AA927" s="4"/>
      <c r="AB927" s="4" t="e">
        <f ca="1">_xll.ciqfunctions.udf.CIQ("^SPX", "IQ_PRICEDATE", "8/25/2017")</f>
        <v>#NAME?</v>
      </c>
      <c r="AC927" s="16">
        <v>2443.0457983411002</v>
      </c>
    </row>
    <row r="928" spans="26:29" x14ac:dyDescent="0.35">
      <c r="Z928" s="4"/>
      <c r="AA928" s="4"/>
      <c r="AB928" s="4" t="e">
        <f ca="1">_xll.ciqfunctions.udf.CIQ("^SPX", "IQ_PRICEDATE", "8/28/2017")</f>
        <v>#NAME?</v>
      </c>
      <c r="AC928" s="16">
        <v>2444.2403151729</v>
      </c>
    </row>
    <row r="929" spans="26:29" x14ac:dyDescent="0.35">
      <c r="Z929" s="4"/>
      <c r="AA929" s="4"/>
      <c r="AB929" s="4" t="e">
        <f ca="1">_xll.ciqfunctions.udf.CIQ("^SPX", "IQ_PRICEDATE", "8/29/2017")</f>
        <v>#NAME?</v>
      </c>
      <c r="AC929" s="16">
        <v>2446.2955235941999</v>
      </c>
    </row>
    <row r="930" spans="26:29" x14ac:dyDescent="0.35">
      <c r="Z930" s="4"/>
      <c r="AA930" s="4"/>
      <c r="AB930" s="4" t="e">
        <f ca="1">_xll.ciqfunctions.udf.CIQ("^SPX", "IQ_PRICEDATE", "8/30/2017")</f>
        <v>#NAME?</v>
      </c>
      <c r="AC930" s="16">
        <v>2457.5858115205001</v>
      </c>
    </row>
    <row r="931" spans="26:29" x14ac:dyDescent="0.35">
      <c r="Z931" s="4"/>
      <c r="AA931" s="4"/>
      <c r="AB931" s="4" t="e">
        <f ca="1">_xll.ciqfunctions.udf.CIQ("^SPX", "IQ_PRICEDATE", "8/31/2017")</f>
        <v>#NAME?</v>
      </c>
      <c r="AC931" s="16">
        <v>2471.6502079420002</v>
      </c>
    </row>
    <row r="932" spans="26:29" x14ac:dyDescent="0.35">
      <c r="Z932" s="4"/>
      <c r="AA932" s="4"/>
      <c r="AB932" s="4" t="e">
        <f ca="1">_xll.ciqfunctions.udf.CIQ("^SPX", "IQ_PRICEDATE", "9/1/2017")</f>
        <v>#NAME?</v>
      </c>
      <c r="AC932" s="16">
        <v>2476.5523893887998</v>
      </c>
    </row>
    <row r="933" spans="26:29" x14ac:dyDescent="0.35">
      <c r="Z933" s="4"/>
      <c r="AA933" s="4"/>
      <c r="AB933" s="4" t="e">
        <f ca="1">_xll.ciqfunctions.udf.CIQ("^SPX", "IQ_PRICEDATE", "9/5/2017")</f>
        <v>#NAME?</v>
      </c>
      <c r="AC933" s="16">
        <v>2457.8498705637999</v>
      </c>
    </row>
    <row r="934" spans="26:29" x14ac:dyDescent="0.35">
      <c r="Z934" s="4"/>
      <c r="AA934" s="4"/>
      <c r="AB934" s="4" t="e">
        <f ca="1">_xll.ciqfunctions.udf.CIQ("^SPX", "IQ_PRICEDATE", "9/6/2017")</f>
        <v>#NAME?</v>
      </c>
      <c r="AC934" s="16">
        <v>2465.5436228673002</v>
      </c>
    </row>
    <row r="935" spans="26:29" x14ac:dyDescent="0.35">
      <c r="Z935" s="4"/>
      <c r="AA935" s="4"/>
      <c r="AB935" s="4" t="e">
        <f ca="1">_xll.ciqfunctions.udf.CIQ("^SPX", "IQ_PRICEDATE", "9/7/2017")</f>
        <v>#NAME?</v>
      </c>
      <c r="AC935" s="16">
        <v>2465.1021359574002</v>
      </c>
    </row>
    <row r="936" spans="26:29" x14ac:dyDescent="0.35">
      <c r="Z936" s="4"/>
      <c r="AA936" s="4"/>
      <c r="AB936" s="4" t="e">
        <f ca="1">_xll.ciqfunctions.udf.CIQ("^SPX", "IQ_PRICEDATE", "9/8/2017")</f>
        <v>#NAME?</v>
      </c>
      <c r="AC936" s="16">
        <v>2461.4336439222002</v>
      </c>
    </row>
    <row r="937" spans="26:29" x14ac:dyDescent="0.35">
      <c r="Z937" s="4"/>
      <c r="AA937" s="4"/>
      <c r="AB937" s="4" t="e">
        <f ca="1">_xll.ciqfunctions.udf.CIQ("^SPX", "IQ_PRICEDATE", "9/11/2017")</f>
        <v>#NAME?</v>
      </c>
      <c r="AC937" s="16">
        <v>2488.1079650554002</v>
      </c>
    </row>
    <row r="938" spans="26:29" x14ac:dyDescent="0.35">
      <c r="Z938" s="4"/>
      <c r="AA938" s="4"/>
      <c r="AB938" s="4" t="e">
        <f ca="1">_xll.ciqfunctions.udf.CIQ("^SPX", "IQ_PRICEDATE", "9/12/2017")</f>
        <v>#NAME?</v>
      </c>
      <c r="AC938" s="16">
        <v>2496.4836195681</v>
      </c>
    </row>
    <row r="939" spans="26:29" x14ac:dyDescent="0.35">
      <c r="Z939" s="4"/>
      <c r="AA939" s="4"/>
      <c r="AB939" s="4" t="e">
        <f ca="1">_xll.ciqfunctions.udf.CIQ("^SPX", "IQ_PRICEDATE", "9/13/2017")</f>
        <v>#NAME?</v>
      </c>
      <c r="AC939" s="16">
        <v>2498.3708154599999</v>
      </c>
    </row>
    <row r="940" spans="26:29" x14ac:dyDescent="0.35">
      <c r="Z940" s="4"/>
      <c r="AA940" s="4"/>
      <c r="AB940" s="4" t="e">
        <f ca="1">_xll.ciqfunctions.udf.CIQ("^SPX", "IQ_PRICEDATE", "9/14/2017")</f>
        <v>#NAME?</v>
      </c>
      <c r="AC940" s="16">
        <v>2495.6191538507001</v>
      </c>
    </row>
    <row r="941" spans="26:29" x14ac:dyDescent="0.35">
      <c r="Z941" s="4"/>
      <c r="AA941" s="4"/>
      <c r="AB941" s="4" t="e">
        <f ca="1">_xll.ciqfunctions.udf.CIQ("^SPX", "IQ_PRICEDATE", "9/15/2017")</f>
        <v>#NAME?</v>
      </c>
      <c r="AC941" s="16">
        <v>2500.2258576201998</v>
      </c>
    </row>
    <row r="942" spans="26:29" x14ac:dyDescent="0.35">
      <c r="Z942" s="4"/>
      <c r="AA942" s="4"/>
      <c r="AB942" s="4" t="e">
        <f ca="1">_xll.ciqfunctions.udf.CIQ("^SPX", "IQ_PRICEDATE", "9/18/2017")</f>
        <v>#NAME?</v>
      </c>
      <c r="AC942" s="16">
        <v>2503.8695562620001</v>
      </c>
    </row>
    <row r="943" spans="26:29" x14ac:dyDescent="0.35">
      <c r="Z943" s="4"/>
      <c r="AA943" s="4"/>
      <c r="AB943" s="4" t="e">
        <f ca="1">_xll.ciqfunctions.udf.CIQ("^SPX", "IQ_PRICEDATE", "9/19/2017")</f>
        <v>#NAME?</v>
      </c>
      <c r="AC943" s="16">
        <v>2506.6479354336002</v>
      </c>
    </row>
    <row r="944" spans="26:29" x14ac:dyDescent="0.35">
      <c r="Z944" s="4"/>
      <c r="AA944" s="4"/>
      <c r="AB944" s="4" t="e">
        <f ca="1">_xll.ciqfunctions.udf.CIQ("^SPX", "IQ_PRICEDATE", "9/20/2017")</f>
        <v>#NAME?</v>
      </c>
      <c r="AC944" s="16">
        <v>2508.2360483629</v>
      </c>
    </row>
    <row r="945" spans="26:29" x14ac:dyDescent="0.35">
      <c r="Z945" s="4"/>
      <c r="AA945" s="4"/>
      <c r="AB945" s="4" t="e">
        <f ca="1">_xll.ciqfunctions.udf.CIQ("^SPX", "IQ_PRICEDATE", "9/21/2017")</f>
        <v>#NAME?</v>
      </c>
      <c r="AC945" s="16">
        <v>2500.6026174977001</v>
      </c>
    </row>
    <row r="946" spans="26:29" x14ac:dyDescent="0.35">
      <c r="Z946" s="4"/>
      <c r="AA946" s="4"/>
      <c r="AB946" s="4" t="e">
        <f ca="1">_xll.ciqfunctions.udf.CIQ("^SPX", "IQ_PRICEDATE", "9/22/2017")</f>
        <v>#NAME?</v>
      </c>
      <c r="AC946" s="16">
        <v>2502.2222245405001</v>
      </c>
    </row>
    <row r="947" spans="26:29" x14ac:dyDescent="0.35">
      <c r="Z947" s="4"/>
      <c r="AA947" s="4"/>
      <c r="AB947" s="4" t="e">
        <f ca="1">_xll.ciqfunctions.udf.CIQ("^SPX", "IQ_PRICEDATE", "9/25/2017")</f>
        <v>#NAME?</v>
      </c>
      <c r="AC947" s="16">
        <v>2496.6605903076002</v>
      </c>
    </row>
    <row r="948" spans="26:29" x14ac:dyDescent="0.35">
      <c r="Z948" s="4"/>
      <c r="AA948" s="4"/>
      <c r="AB948" s="4" t="e">
        <f ca="1">_xll.ciqfunctions.udf.CIQ("^SPX", "IQ_PRICEDATE", "9/26/2017")</f>
        <v>#NAME?</v>
      </c>
      <c r="AC948" s="16">
        <v>2496.8408940905001</v>
      </c>
    </row>
    <row r="949" spans="26:29" x14ac:dyDescent="0.35">
      <c r="Z949" s="4"/>
      <c r="AA949" s="4"/>
      <c r="AB949" s="4" t="e">
        <f ca="1">_xll.ciqfunctions.udf.CIQ("^SPX", "IQ_PRICEDATE", "9/27/2017")</f>
        <v>#NAME?</v>
      </c>
      <c r="AC949" s="16">
        <v>2507.0432811582</v>
      </c>
    </row>
    <row r="950" spans="26:29" x14ac:dyDescent="0.35">
      <c r="Z950" s="4"/>
      <c r="AA950" s="4"/>
      <c r="AB950" s="4" t="e">
        <f ca="1">_xll.ciqfunctions.udf.CIQ("^SPX", "IQ_PRICEDATE", "9/28/2017")</f>
        <v>#NAME?</v>
      </c>
      <c r="AC950" s="16">
        <v>2510.0619918303</v>
      </c>
    </row>
    <row r="951" spans="26:29" x14ac:dyDescent="0.35">
      <c r="Z951" s="4"/>
      <c r="AA951" s="4"/>
      <c r="AB951" s="4" t="e">
        <f ca="1">_xll.ciqfunctions.udf.CIQ("^SPX", "IQ_PRICEDATE", "9/29/2017")</f>
        <v>#NAME?</v>
      </c>
      <c r="AC951" s="16">
        <v>2519.3596719061002</v>
      </c>
    </row>
    <row r="952" spans="26:29" x14ac:dyDescent="0.35">
      <c r="Z952" s="4"/>
      <c r="AA952" s="4"/>
      <c r="AB952" s="4" t="e">
        <f ca="1">_xll.ciqfunctions.udf.CIQ("^SPX", "IQ_PRICEDATE", "10/2/2017")</f>
        <v>#NAME?</v>
      </c>
      <c r="AC952" s="16">
        <v>2529.1152990602</v>
      </c>
    </row>
    <row r="953" spans="26:29" x14ac:dyDescent="0.35">
      <c r="Z953" s="4"/>
      <c r="AA953" s="4"/>
      <c r="AB953" s="4" t="e">
        <f ca="1">_xll.ciqfunctions.udf.CIQ("^SPX", "IQ_PRICEDATE", "10/3/2017")</f>
        <v>#NAME?</v>
      </c>
      <c r="AC953" s="16">
        <v>2534.5796830441</v>
      </c>
    </row>
    <row r="954" spans="26:29" x14ac:dyDescent="0.35">
      <c r="Z954" s="4"/>
      <c r="AA954" s="4"/>
      <c r="AB954" s="4" t="e">
        <f ca="1">_xll.ciqfunctions.udf.CIQ("^SPX", "IQ_PRICEDATE", "10/4/2017")</f>
        <v>#NAME?</v>
      </c>
      <c r="AC954" s="16">
        <v>2537.7412400060002</v>
      </c>
    </row>
    <row r="955" spans="26:29" x14ac:dyDescent="0.35">
      <c r="Z955" s="4"/>
      <c r="AA955" s="4"/>
      <c r="AB955" s="4" t="e">
        <f ca="1">_xll.ciqfunctions.udf.CIQ("^SPX", "IQ_PRICEDATE", "10/5/2017")</f>
        <v>#NAME?</v>
      </c>
      <c r="AC955" s="16">
        <v>2552.0653990719002</v>
      </c>
    </row>
    <row r="956" spans="26:29" x14ac:dyDescent="0.35">
      <c r="Z956" s="4"/>
      <c r="AA956" s="4"/>
      <c r="AB956" s="4" t="e">
        <f ca="1">_xll.ciqfunctions.udf.CIQ("^SPX", "IQ_PRICEDATE", "10/6/2017")</f>
        <v>#NAME?</v>
      </c>
      <c r="AC956" s="16">
        <v>2549.3315089020998</v>
      </c>
    </row>
    <row r="957" spans="26:29" x14ac:dyDescent="0.35">
      <c r="Z957" s="4"/>
      <c r="AA957" s="4"/>
      <c r="AB957" s="4" t="e">
        <f ca="1">_xll.ciqfunctions.udf.CIQ("^SPX", "IQ_PRICEDATE", "10/9/2017")</f>
        <v>#NAME?</v>
      </c>
      <c r="AC957" s="16">
        <v>2544.7285771562001</v>
      </c>
    </row>
    <row r="958" spans="26:29" x14ac:dyDescent="0.35">
      <c r="Z958" s="4"/>
      <c r="AA958" s="4"/>
      <c r="AB958" s="4" t="e">
        <f ca="1">_xll.ciqfunctions.udf.CIQ("^SPX", "IQ_PRICEDATE", "10/10/2017")</f>
        <v>#NAME?</v>
      </c>
      <c r="AC958" s="16">
        <v>2550.6424334051999</v>
      </c>
    </row>
    <row r="959" spans="26:29" x14ac:dyDescent="0.35">
      <c r="Z959" s="4"/>
      <c r="AA959" s="4"/>
      <c r="AB959" s="4" t="e">
        <f ca="1">_xll.ciqfunctions.udf.CIQ("^SPX", "IQ_PRICEDATE", "10/11/2017")</f>
        <v>#NAME?</v>
      </c>
      <c r="AC959" s="16">
        <v>2555.2407886845999</v>
      </c>
    </row>
    <row r="960" spans="26:29" x14ac:dyDescent="0.35">
      <c r="Z960" s="4"/>
      <c r="AA960" s="4"/>
      <c r="AB960" s="4" t="e">
        <f ca="1">_xll.ciqfunctions.udf.CIQ("^SPX", "IQ_PRICEDATE", "10/12/2017")</f>
        <v>#NAME?</v>
      </c>
      <c r="AC960" s="16">
        <v>2550.9330093848998</v>
      </c>
    </row>
    <row r="961" spans="26:29" x14ac:dyDescent="0.35">
      <c r="Z961" s="4"/>
      <c r="AA961" s="4"/>
      <c r="AB961" s="4" t="e">
        <f ca="1">_xll.ciqfunctions.udf.CIQ("^SPX", "IQ_PRICEDATE", "10/13/2017")</f>
        <v>#NAME?</v>
      </c>
      <c r="AC961" s="16">
        <v>2553.1693728503001</v>
      </c>
    </row>
    <row r="962" spans="26:29" x14ac:dyDescent="0.35">
      <c r="Z962" s="4"/>
      <c r="AA962" s="4"/>
      <c r="AB962" s="4" t="e">
        <f ca="1">_xll.ciqfunctions.udf.CIQ("^SPX", "IQ_PRICEDATE", "10/16/2017")</f>
        <v>#NAME?</v>
      </c>
      <c r="AC962" s="16">
        <v>2557.6397377800999</v>
      </c>
    </row>
    <row r="963" spans="26:29" x14ac:dyDescent="0.35">
      <c r="Z963" s="4"/>
      <c r="AA963" s="4"/>
      <c r="AB963" s="4" t="e">
        <f ca="1">_xll.ciqfunctions.udf.CIQ("^SPX", "IQ_PRICEDATE", "10/17/2017")</f>
        <v>#NAME?</v>
      </c>
      <c r="AC963" s="16">
        <v>2559.3563108588</v>
      </c>
    </row>
    <row r="964" spans="26:29" x14ac:dyDescent="0.35">
      <c r="Z964" s="4"/>
      <c r="AA964" s="4"/>
      <c r="AB964" s="4" t="e">
        <f ca="1">_xll.ciqfunctions.udf.CIQ("^SPX", "IQ_PRICEDATE", "10/18/2017")</f>
        <v>#NAME?</v>
      </c>
      <c r="AC964" s="16">
        <v>2561.2644527327998</v>
      </c>
    </row>
    <row r="965" spans="26:29" x14ac:dyDescent="0.35">
      <c r="Z965" s="4"/>
      <c r="AA965" s="4"/>
      <c r="AB965" s="4" t="e">
        <f ca="1">_xll.ciqfunctions.udf.CIQ("^SPX", "IQ_PRICEDATE", "10/19/2017")</f>
        <v>#NAME?</v>
      </c>
      <c r="AC965" s="16">
        <v>2562.1037547780002</v>
      </c>
    </row>
    <row r="966" spans="26:29" x14ac:dyDescent="0.35">
      <c r="Z966" s="4"/>
      <c r="AA966" s="4"/>
      <c r="AB966" s="4" t="e">
        <f ca="1">_xll.ciqfunctions.udf.CIQ("^SPX", "IQ_PRICEDATE", "10/20/2017")</f>
        <v>#NAME?</v>
      </c>
      <c r="AC966" s="16">
        <v>2575.2058778891001</v>
      </c>
    </row>
    <row r="967" spans="26:29" x14ac:dyDescent="0.35">
      <c r="Z967" s="4"/>
      <c r="AA967" s="4"/>
      <c r="AB967" s="4" t="e">
        <f ca="1">_xll.ciqfunctions.udf.CIQ("^SPX", "IQ_PRICEDATE", "10/23/2017")</f>
        <v>#NAME?</v>
      </c>
      <c r="AC967" s="16">
        <v>2564.9785238794998</v>
      </c>
    </row>
    <row r="968" spans="26:29" x14ac:dyDescent="0.35">
      <c r="Z968" s="4"/>
      <c r="AA968" s="4"/>
      <c r="AB968" s="4" t="e">
        <f ca="1">_xll.ciqfunctions.udf.CIQ("^SPX", "IQ_PRICEDATE", "10/24/2017")</f>
        <v>#NAME?</v>
      </c>
      <c r="AC968" s="16">
        <v>2569.1342599453001</v>
      </c>
    </row>
    <row r="969" spans="26:29" x14ac:dyDescent="0.35">
      <c r="Z969" s="4"/>
      <c r="AA969" s="4"/>
      <c r="AB969" s="4" t="e">
        <f ca="1">_xll.ciqfunctions.udf.CIQ("^SPX", "IQ_PRICEDATE", "10/25/2017")</f>
        <v>#NAME?</v>
      </c>
      <c r="AC969" s="16">
        <v>2557.1509845873002</v>
      </c>
    </row>
    <row r="970" spans="26:29" x14ac:dyDescent="0.35">
      <c r="Z970" s="4"/>
      <c r="AA970" s="4"/>
      <c r="AB970" s="4" t="e">
        <f ca="1">_xll.ciqfunctions.udf.CIQ("^SPX", "IQ_PRICEDATE", "10/26/2017")</f>
        <v>#NAME?</v>
      </c>
      <c r="AC970" s="16">
        <v>2560.3991945194002</v>
      </c>
    </row>
    <row r="971" spans="26:29" x14ac:dyDescent="0.35">
      <c r="Z971" s="4"/>
      <c r="AA971" s="4"/>
      <c r="AB971" s="4" t="e">
        <f ca="1">_xll.ciqfunctions.udf.CIQ("^SPX", "IQ_PRICEDATE", "10/27/2017")</f>
        <v>#NAME?</v>
      </c>
      <c r="AC971" s="16">
        <v>2581.0657031342998</v>
      </c>
    </row>
    <row r="972" spans="26:29" x14ac:dyDescent="0.35">
      <c r="Z972" s="4"/>
      <c r="AA972" s="4"/>
      <c r="AB972" s="4" t="e">
        <f ca="1">_xll.ciqfunctions.udf.CIQ("^SPX", "IQ_PRICEDATE", "10/30/2017")</f>
        <v>#NAME?</v>
      </c>
      <c r="AC972" s="16">
        <v>2572.8336032472998</v>
      </c>
    </row>
    <row r="973" spans="26:29" x14ac:dyDescent="0.35">
      <c r="Z973" s="4"/>
      <c r="AA973" s="4"/>
      <c r="AB973" s="4" t="e">
        <f ca="1">_xll.ciqfunctions.udf.CIQ("^SPX", "IQ_PRICEDATE", "10/31/2017")</f>
        <v>#NAME?</v>
      </c>
      <c r="AC973" s="16">
        <v>2575.2638304521001</v>
      </c>
    </row>
    <row r="974" spans="26:29" x14ac:dyDescent="0.35">
      <c r="Z974" s="4"/>
      <c r="AA974" s="4"/>
      <c r="AB974" s="4" t="e">
        <f ca="1">_xll.ciqfunctions.udf.CIQ("^SPX", "IQ_PRICEDATE", "11/1/2017")</f>
        <v>#NAME?</v>
      </c>
      <c r="AC974" s="16">
        <v>2579.3558498933999</v>
      </c>
    </row>
    <row r="975" spans="26:29" x14ac:dyDescent="0.35">
      <c r="Z975" s="4"/>
      <c r="AA975" s="4"/>
      <c r="AB975" s="4" t="e">
        <f ca="1">_xll.ciqfunctions.udf.CIQ("^SPX", "IQ_PRICEDATE", "11/2/2017")</f>
        <v>#NAME?</v>
      </c>
      <c r="AC975" s="16">
        <v>2579.8516516144</v>
      </c>
    </row>
    <row r="976" spans="26:29" x14ac:dyDescent="0.35">
      <c r="Z976" s="4"/>
      <c r="AA976" s="4"/>
      <c r="AB976" s="4" t="e">
        <f ca="1">_xll.ciqfunctions.udf.CIQ("^SPX", "IQ_PRICEDATE", "11/3/2017")</f>
        <v>#NAME?</v>
      </c>
      <c r="AC976" s="16">
        <v>2587.8360570379</v>
      </c>
    </row>
    <row r="977" spans="26:29" x14ac:dyDescent="0.35">
      <c r="Z977" s="4"/>
      <c r="AA977" s="4"/>
      <c r="AB977" s="4" t="e">
        <f ca="1">_xll.ciqfunctions.udf.CIQ("^SPX", "IQ_PRICEDATE", "11/6/2017")</f>
        <v>#NAME?</v>
      </c>
      <c r="AC977" s="16">
        <v>2591.1284424032001</v>
      </c>
    </row>
    <row r="978" spans="26:29" x14ac:dyDescent="0.35">
      <c r="Z978" s="4"/>
      <c r="AA978" s="4"/>
      <c r="AB978" s="4" t="e">
        <f ca="1">_xll.ciqfunctions.udf.CIQ("^SPX", "IQ_PRICEDATE", "11/7/2017")</f>
        <v>#NAME?</v>
      </c>
      <c r="AC978" s="16">
        <v>2590.6417566441</v>
      </c>
    </row>
    <row r="979" spans="26:29" x14ac:dyDescent="0.35">
      <c r="Z979" s="4"/>
      <c r="AA979" s="4"/>
      <c r="AB979" s="4" t="e">
        <f ca="1">_xll.ciqfunctions.udf.CIQ("^SPX", "IQ_PRICEDATE", "11/8/2017")</f>
        <v>#NAME?</v>
      </c>
      <c r="AC979" s="16">
        <v>2594.3752091488</v>
      </c>
    </row>
    <row r="980" spans="26:29" x14ac:dyDescent="0.35">
      <c r="Z980" s="4"/>
      <c r="AA980" s="4"/>
      <c r="AB980" s="4" t="e">
        <f ca="1">_xll.ciqfunctions.udf.CIQ("^SPX", "IQ_PRICEDATE", "11/9/2017")</f>
        <v>#NAME?</v>
      </c>
      <c r="AC980" s="16">
        <v>2584.6212738756999</v>
      </c>
    </row>
    <row r="981" spans="26:29" x14ac:dyDescent="0.35">
      <c r="Z981" s="4"/>
      <c r="AA981" s="4"/>
      <c r="AB981" s="4" t="e">
        <f ca="1">_xll.ciqfunctions.udf.CIQ("^SPX", "IQ_PRICEDATE", "11/10/2017")</f>
        <v>#NAME?</v>
      </c>
      <c r="AC981" s="16">
        <v>2582.3000392549002</v>
      </c>
    </row>
    <row r="982" spans="26:29" x14ac:dyDescent="0.35">
      <c r="Z982" s="4"/>
      <c r="AA982" s="4"/>
      <c r="AB982" s="4" t="e">
        <f ca="1">_xll.ciqfunctions.udf.CIQ("^SPX", "IQ_PRICEDATE", "11/13/2017")</f>
        <v>#NAME?</v>
      </c>
      <c r="AC982" s="16">
        <v>2584.844826306</v>
      </c>
    </row>
    <row r="983" spans="26:29" x14ac:dyDescent="0.35">
      <c r="Z983" s="4"/>
      <c r="AA983" s="4"/>
      <c r="AB983" s="4" t="e">
        <f ca="1">_xll.ciqfunctions.udf.CIQ("^SPX", "IQ_PRICEDATE", "11/14/2017")</f>
        <v>#NAME?</v>
      </c>
      <c r="AC983" s="16">
        <v>2578.8718241124998</v>
      </c>
    </row>
    <row r="984" spans="26:29" x14ac:dyDescent="0.35">
      <c r="Z984" s="4"/>
      <c r="AA984" s="4"/>
      <c r="AB984" s="4" t="e">
        <f ca="1">_xll.ciqfunctions.udf.CIQ("^SPX", "IQ_PRICEDATE", "11/15/2017")</f>
        <v>#NAME?</v>
      </c>
      <c r="AC984" s="16">
        <v>2564.6205095055998</v>
      </c>
    </row>
    <row r="985" spans="26:29" x14ac:dyDescent="0.35">
      <c r="Z985" s="4"/>
      <c r="AA985" s="4"/>
      <c r="AB985" s="4" t="e">
        <f ca="1">_xll.ciqfunctions.udf.CIQ("^SPX", "IQ_PRICEDATE", "11/16/2017")</f>
        <v>#NAME?</v>
      </c>
      <c r="AC985" s="16">
        <v>2585.6431638326999</v>
      </c>
    </row>
    <row r="986" spans="26:29" x14ac:dyDescent="0.35">
      <c r="Z986" s="4"/>
      <c r="AA986" s="4"/>
      <c r="AB986" s="4" t="e">
        <f ca="1">_xll.ciqfunctions.udf.CIQ("^SPX", "IQ_PRICEDATE", "11/17/2017")</f>
        <v>#NAME?</v>
      </c>
      <c r="AC986" s="16">
        <v>2578.8543239638002</v>
      </c>
    </row>
    <row r="987" spans="26:29" x14ac:dyDescent="0.35">
      <c r="Z987" s="4"/>
      <c r="AA987" s="4"/>
      <c r="AB987" s="4" t="e">
        <f ca="1">_xll.ciqfunctions.udf.CIQ("^SPX", "IQ_PRICEDATE", "11/20/2017")</f>
        <v>#NAME?</v>
      </c>
      <c r="AC987" s="16">
        <v>2582.1415887037001</v>
      </c>
    </row>
    <row r="988" spans="26:29" x14ac:dyDescent="0.35">
      <c r="Z988" s="4"/>
      <c r="AA988" s="4"/>
      <c r="AB988" s="4" t="e">
        <f ca="1">_xll.ciqfunctions.udf.CIQ("^SPX", "IQ_PRICEDATE", "11/21/2017")</f>
        <v>#NAME?</v>
      </c>
      <c r="AC988" s="16">
        <v>2599.0291929053001</v>
      </c>
    </row>
    <row r="989" spans="26:29" x14ac:dyDescent="0.35">
      <c r="Z989" s="4"/>
      <c r="AA989" s="4"/>
      <c r="AB989" s="4" t="e">
        <f ca="1">_xll.ciqfunctions.udf.CIQ("^SPX", "IQ_PRICEDATE", "11/22/2017")</f>
        <v>#NAME?</v>
      </c>
      <c r="AC989" s="16">
        <v>2597.0772026103</v>
      </c>
    </row>
    <row r="990" spans="26:29" x14ac:dyDescent="0.35">
      <c r="Z990" s="4"/>
      <c r="AA990" s="4"/>
      <c r="AB990" s="4" t="e">
        <f ca="1">_xll.ciqfunctions.udf.CIQ("^SPX", "IQ_PRICEDATE", "11/24/2017")</f>
        <v>#NAME?</v>
      </c>
      <c r="AC990" s="16">
        <v>2602.4247078124999</v>
      </c>
    </row>
    <row r="991" spans="26:29" x14ac:dyDescent="0.35">
      <c r="Z991" s="4"/>
      <c r="AA991" s="4"/>
      <c r="AB991" s="4" t="e">
        <f ca="1">_xll.ciqfunctions.udf.CIQ("^SPX", "IQ_PRICEDATE", "11/27/2017")</f>
        <v>#NAME?</v>
      </c>
      <c r="AC991" s="16">
        <v>2601.4238908288999</v>
      </c>
    </row>
    <row r="992" spans="26:29" x14ac:dyDescent="0.35">
      <c r="Z992" s="4"/>
      <c r="AA992" s="4"/>
      <c r="AB992" s="4" t="e">
        <f ca="1">_xll.ciqfunctions.udf.CIQ("^SPX", "IQ_PRICEDATE", "11/28/2017")</f>
        <v>#NAME?</v>
      </c>
      <c r="AC992" s="16">
        <v>2627.0440254405999</v>
      </c>
    </row>
    <row r="993" spans="26:29" x14ac:dyDescent="0.35">
      <c r="Z993" s="4"/>
      <c r="AA993" s="4"/>
      <c r="AB993" s="4" t="e">
        <f ca="1">_xll.ciqfunctions.udf.CIQ("^SPX", "IQ_PRICEDATE", "11/29/2017")</f>
        <v>#NAME?</v>
      </c>
      <c r="AC993" s="16">
        <v>2626.0661946542</v>
      </c>
    </row>
    <row r="994" spans="26:29" x14ac:dyDescent="0.35">
      <c r="Z994" s="4"/>
      <c r="AA994" s="4"/>
      <c r="AB994" s="4" t="e">
        <f ca="1">_xll.ciqfunctions.udf.CIQ("^SPX", "IQ_PRICEDATE", "11/30/2017")</f>
        <v>#NAME?</v>
      </c>
      <c r="AC994" s="16">
        <v>2647.5799274831002</v>
      </c>
    </row>
    <row r="995" spans="26:29" x14ac:dyDescent="0.35">
      <c r="Z995" s="4"/>
      <c r="AA995" s="4"/>
      <c r="AB995" s="4" t="e">
        <f ca="1">_xll.ciqfunctions.udf.CIQ("^SPX", "IQ_PRICEDATE", "12/1/2017")</f>
        <v>#NAME?</v>
      </c>
      <c r="AC995" s="16">
        <v>2642.2157647466001</v>
      </c>
    </row>
    <row r="996" spans="26:29" x14ac:dyDescent="0.35">
      <c r="Z996" s="4"/>
      <c r="AA996" s="4"/>
      <c r="AB996" s="4" t="e">
        <f ca="1">_xll.ciqfunctions.udf.CIQ("^SPX", "IQ_PRICEDATE", "12/4/2017")</f>
        <v>#NAME?</v>
      </c>
      <c r="AC996" s="16">
        <v>2639.4370480450002</v>
      </c>
    </row>
    <row r="997" spans="26:29" x14ac:dyDescent="0.35">
      <c r="Z997" s="4"/>
      <c r="AA997" s="4"/>
      <c r="AB997" s="4" t="e">
        <f ca="1">_xll.ciqfunctions.udf.CIQ("^SPX", "IQ_PRICEDATE", "12/5/2017")</f>
        <v>#NAME?</v>
      </c>
      <c r="AC997" s="16">
        <v>2629.5708449898002</v>
      </c>
    </row>
    <row r="998" spans="26:29" x14ac:dyDescent="0.35">
      <c r="Z998" s="4"/>
      <c r="AA998" s="4"/>
      <c r="AB998" s="4" t="e">
        <f ca="1">_xll.ciqfunctions.udf.CIQ("^SPX", "IQ_PRICEDATE", "12/6/2017")</f>
        <v>#NAME?</v>
      </c>
      <c r="AC998" s="16">
        <v>2629.2669138668002</v>
      </c>
    </row>
    <row r="999" spans="26:29" x14ac:dyDescent="0.35">
      <c r="Z999" s="4"/>
      <c r="AA999" s="4"/>
      <c r="AB999" s="4" t="e">
        <f ca="1">_xll.ciqfunctions.udf.CIQ("^SPX", "IQ_PRICEDATE", "12/7/2017")</f>
        <v>#NAME?</v>
      </c>
      <c r="AC999" s="16">
        <v>2636.9764936510001</v>
      </c>
    </row>
    <row r="1000" spans="26:29" x14ac:dyDescent="0.35">
      <c r="Z1000" s="4"/>
      <c r="AA1000" s="4"/>
      <c r="AB1000" s="4" t="e">
        <f ca="1">_xll.ciqfunctions.udf.CIQ("^SPX", "IQ_PRICEDATE", "12/8/2017")</f>
        <v>#NAME?</v>
      </c>
      <c r="AC1000" s="16">
        <v>2651.5010002734002</v>
      </c>
    </row>
    <row r="1001" spans="26:29" x14ac:dyDescent="0.35">
      <c r="Z1001" s="4"/>
      <c r="AA1001" s="4"/>
      <c r="AB1001" s="4" t="e">
        <f ca="1">_xll.ciqfunctions.udf.CIQ("^SPX", "IQ_PRICEDATE", "12/11/2017")</f>
        <v>#NAME?</v>
      </c>
      <c r="AC1001" s="16">
        <v>2659.9896497108002</v>
      </c>
    </row>
    <row r="1002" spans="26:29" x14ac:dyDescent="0.35">
      <c r="Z1002" s="4"/>
      <c r="AA1002" s="4"/>
      <c r="AB1002" s="4" t="e">
        <f ca="1">_xll.ciqfunctions.udf.CIQ("^SPX", "IQ_PRICEDATE", "12/12/2017")</f>
        <v>#NAME?</v>
      </c>
      <c r="AC1002" s="16">
        <v>2664.1057286303999</v>
      </c>
    </row>
    <row r="1003" spans="26:29" x14ac:dyDescent="0.35">
      <c r="Z1003" s="4"/>
      <c r="AA1003" s="4"/>
      <c r="AB1003" s="4" t="e">
        <f ca="1">_xll.ciqfunctions.udf.CIQ("^SPX", "IQ_PRICEDATE", "12/13/2017")</f>
        <v>#NAME?</v>
      </c>
      <c r="AC1003" s="16">
        <v>2662.8451882638001</v>
      </c>
    </row>
    <row r="1004" spans="26:29" x14ac:dyDescent="0.35">
      <c r="Z1004" s="4"/>
      <c r="AA1004" s="4"/>
      <c r="AB1004" s="4" t="e">
        <f ca="1">_xll.ciqfunctions.udf.CIQ("^SPX", "IQ_PRICEDATE", "12/14/2017")</f>
        <v>#NAME?</v>
      </c>
      <c r="AC1004" s="16">
        <v>2652.0124436092001</v>
      </c>
    </row>
    <row r="1005" spans="26:29" x14ac:dyDescent="0.35">
      <c r="Z1005" s="4"/>
      <c r="AA1005" s="4"/>
      <c r="AB1005" s="4" t="e">
        <f ca="1">_xll.ciqfunctions.udf.CIQ("^SPX", "IQ_PRICEDATE", "12/15/2017")</f>
        <v>#NAME?</v>
      </c>
      <c r="AC1005" s="16">
        <v>2675.8079812269998</v>
      </c>
    </row>
    <row r="1006" spans="26:29" x14ac:dyDescent="0.35">
      <c r="Z1006" s="4"/>
      <c r="AA1006" s="4"/>
      <c r="AB1006" s="4" t="e">
        <f ca="1">_xll.ciqfunctions.udf.CIQ("^SPX", "IQ_PRICEDATE", "12/18/2017")</f>
        <v>#NAME?</v>
      </c>
      <c r="AC1006" s="16">
        <v>2690.1582514102001</v>
      </c>
    </row>
    <row r="1007" spans="26:29" x14ac:dyDescent="0.35">
      <c r="Z1007" s="4"/>
      <c r="AA1007" s="4"/>
      <c r="AB1007" s="4" t="e">
        <f ca="1">_xll.ciqfunctions.udf.CIQ("^SPX", "IQ_PRICEDATE", "12/19/2017")</f>
        <v>#NAME?</v>
      </c>
      <c r="AC1007" s="16">
        <v>2681.4736294856998</v>
      </c>
    </row>
    <row r="1008" spans="26:29" x14ac:dyDescent="0.35">
      <c r="Z1008" s="4"/>
      <c r="AA1008" s="4"/>
      <c r="AB1008" s="4" t="e">
        <f ca="1">_xll.ciqfunctions.udf.CIQ("^SPX", "IQ_PRICEDATE", "12/20/2017")</f>
        <v>#NAME?</v>
      </c>
      <c r="AC1008" s="16">
        <v>2679.2480845041</v>
      </c>
    </row>
    <row r="1009" spans="26:29" x14ac:dyDescent="0.35">
      <c r="Z1009" s="4"/>
      <c r="AA1009" s="4"/>
      <c r="AB1009" s="4" t="e">
        <f ca="1">_xll.ciqfunctions.udf.CIQ("^SPX", "IQ_PRICEDATE", "12/21/2017")</f>
        <v>#NAME?</v>
      </c>
      <c r="AC1009" s="16">
        <v>2684.5691760676</v>
      </c>
    </row>
    <row r="1010" spans="26:29" x14ac:dyDescent="0.35">
      <c r="Z1010" s="4"/>
      <c r="AA1010" s="4"/>
      <c r="AB1010" s="4" t="e">
        <f ca="1">_xll.ciqfunctions.udf.CIQ("^SPX", "IQ_PRICEDATE", "12/22/2017")</f>
        <v>#NAME?</v>
      </c>
      <c r="AC1010" s="16">
        <v>2683.3372743313998</v>
      </c>
    </row>
    <row r="1011" spans="26:29" x14ac:dyDescent="0.35">
      <c r="Z1011" s="4"/>
      <c r="AA1011" s="4"/>
      <c r="AB1011" s="4" t="e">
        <f ca="1">_xll.ciqfunctions.udf.CIQ("^SPX", "IQ_PRICEDATE", "12/26/2017")</f>
        <v>#NAME?</v>
      </c>
      <c r="AC1011" s="16">
        <v>2680.5044863251001</v>
      </c>
    </row>
    <row r="1012" spans="26:29" x14ac:dyDescent="0.35">
      <c r="Z1012" s="4"/>
      <c r="AA1012" s="4"/>
      <c r="AB1012" s="4" t="e">
        <f ca="1">_xll.ciqfunctions.udf.CIQ("^SPX", "IQ_PRICEDATE", "12/27/2017")</f>
        <v>#NAME?</v>
      </c>
      <c r="AC1012" s="16">
        <v>2682.6199232041999</v>
      </c>
    </row>
    <row r="1013" spans="26:29" x14ac:dyDescent="0.35">
      <c r="Z1013" s="4"/>
      <c r="AA1013" s="4"/>
      <c r="AB1013" s="4" t="e">
        <f ca="1">_xll.ciqfunctions.udf.CIQ("^SPX", "IQ_PRICEDATE", "12/28/2017")</f>
        <v>#NAME?</v>
      </c>
      <c r="AC1013" s="16">
        <v>2687.5378291884999</v>
      </c>
    </row>
    <row r="1014" spans="26:29" x14ac:dyDescent="0.35">
      <c r="Z1014" s="4"/>
      <c r="AA1014" s="4"/>
      <c r="AB1014" s="4" t="e">
        <f ca="1">_xll.ciqfunctions.udf.CIQ("^SPX", "IQ_PRICEDATE", "12/29/2017")</f>
        <v>#NAME?</v>
      </c>
      <c r="AC1014" s="16">
        <v>2673.6105231516999</v>
      </c>
    </row>
    <row r="1015" spans="26:29" x14ac:dyDescent="0.35">
      <c r="Z1015" s="4"/>
      <c r="AA1015" s="4"/>
      <c r="AB1015" s="4" t="e">
        <f ca="1">_xll.ciqfunctions.udf.CIQ("^SPX", "IQ_PRICEDATE", "1/2/2018")</f>
        <v>#NAME?</v>
      </c>
      <c r="AC1015" s="16">
        <v>2695.8097718087001</v>
      </c>
    </row>
    <row r="1016" spans="26:29" x14ac:dyDescent="0.35">
      <c r="Z1016" s="4"/>
      <c r="AA1016" s="4"/>
      <c r="AB1016" s="4" t="e">
        <f ca="1">_xll.ciqfunctions.udf.CIQ("^SPX", "IQ_PRICEDATE", "1/3/2018")</f>
        <v>#NAME?</v>
      </c>
      <c r="AC1016" s="16">
        <v>2713.0610059947999</v>
      </c>
    </row>
    <row r="1017" spans="26:29" x14ac:dyDescent="0.35">
      <c r="Z1017" s="4"/>
      <c r="AA1017" s="4"/>
      <c r="AB1017" s="4" t="e">
        <f ca="1">_xll.ciqfunctions.udf.CIQ("^SPX", "IQ_PRICEDATE", "1/4/2018")</f>
        <v>#NAME?</v>
      </c>
      <c r="AC1017" s="16">
        <v>2723.9925953636998</v>
      </c>
    </row>
    <row r="1018" spans="26:29" x14ac:dyDescent="0.35">
      <c r="Z1018" s="4"/>
      <c r="AA1018" s="4"/>
      <c r="AB1018" s="4" t="e">
        <f ca="1">_xll.ciqfunctions.udf.CIQ("^SPX", "IQ_PRICEDATE", "1/5/2018")</f>
        <v>#NAME?</v>
      </c>
      <c r="AC1018" s="16">
        <v>2743.1477732975</v>
      </c>
    </row>
    <row r="1019" spans="26:29" x14ac:dyDescent="0.35">
      <c r="Z1019" s="4"/>
      <c r="AA1019" s="4"/>
      <c r="AB1019" s="4" t="e">
        <f ca="1">_xll.ciqfunctions.udf.CIQ("^SPX", "IQ_PRICEDATE", "1/8/2018")</f>
        <v>#NAME?</v>
      </c>
      <c r="AC1019" s="16">
        <v>2747.7102333489001</v>
      </c>
    </row>
    <row r="1020" spans="26:29" x14ac:dyDescent="0.35">
      <c r="Z1020" s="4"/>
      <c r="AA1020" s="4"/>
      <c r="AB1020" s="4" t="e">
        <f ca="1">_xll.ciqfunctions.udf.CIQ("^SPX", "IQ_PRICEDATE", "1/9/2018")</f>
        <v>#NAME?</v>
      </c>
      <c r="AC1020" s="16">
        <v>2751.2852488919998</v>
      </c>
    </row>
    <row r="1021" spans="26:29" x14ac:dyDescent="0.35">
      <c r="Z1021" s="4"/>
      <c r="AA1021" s="4"/>
      <c r="AB1021" s="4" t="e">
        <f ca="1">_xll.ciqfunctions.udf.CIQ("^SPX", "IQ_PRICEDATE", "1/10/2018")</f>
        <v>#NAME?</v>
      </c>
      <c r="AC1021" s="16">
        <v>2748.2254899627001</v>
      </c>
    </row>
    <row r="1022" spans="26:29" x14ac:dyDescent="0.35">
      <c r="Z1022" s="4"/>
      <c r="AA1022" s="4"/>
      <c r="AB1022" s="4" t="e">
        <f ca="1">_xll.ciqfunctions.udf.CIQ("^SPX", "IQ_PRICEDATE", "1/11/2018")</f>
        <v>#NAME?</v>
      </c>
      <c r="AC1022" s="16">
        <v>2767.5581418168999</v>
      </c>
    </row>
    <row r="1023" spans="26:29" x14ac:dyDescent="0.35">
      <c r="Z1023" s="4"/>
      <c r="AA1023" s="4"/>
      <c r="AB1023" s="4" t="e">
        <f ca="1">_xll.ciqfunctions.udf.CIQ("^SPX", "IQ_PRICEDATE", "1/12/2018")</f>
        <v>#NAME?</v>
      </c>
      <c r="AC1023" s="16">
        <v>2786.2441431866</v>
      </c>
    </row>
    <row r="1024" spans="26:29" x14ac:dyDescent="0.35">
      <c r="Z1024" s="4"/>
      <c r="AA1024" s="4"/>
      <c r="AB1024" s="4" t="e">
        <f ca="1">_xll.ciqfunctions.udf.CIQ("^SPX", "IQ_PRICEDATE", "1/16/2018")</f>
        <v>#NAME?</v>
      </c>
      <c r="AC1024" s="16">
        <v>2776.4200235751</v>
      </c>
    </row>
    <row r="1025" spans="26:29" x14ac:dyDescent="0.35">
      <c r="Z1025" s="4"/>
      <c r="AA1025" s="4"/>
      <c r="AB1025" s="4" t="e">
        <f ca="1">_xll.ciqfunctions.udf.CIQ("^SPX", "IQ_PRICEDATE", "1/17/2018")</f>
        <v>#NAME?</v>
      </c>
      <c r="AC1025" s="16">
        <v>2802.5555741929002</v>
      </c>
    </row>
    <row r="1026" spans="26:29" x14ac:dyDescent="0.35">
      <c r="Z1026" s="4"/>
      <c r="AA1026" s="4"/>
      <c r="AB1026" s="4" t="e">
        <f ca="1">_xll.ciqfunctions.udf.CIQ("^SPX", "IQ_PRICEDATE", "1/18/2018")</f>
        <v>#NAME?</v>
      </c>
      <c r="AC1026" s="16">
        <v>2798.0302570590002</v>
      </c>
    </row>
    <row r="1027" spans="26:29" x14ac:dyDescent="0.35">
      <c r="Z1027" s="4"/>
      <c r="AA1027" s="4"/>
      <c r="AB1027" s="4" t="e">
        <f ca="1">_xll.ciqfunctions.udf.CIQ("^SPX", "IQ_PRICEDATE", "1/19/2018")</f>
        <v>#NAME?</v>
      </c>
      <c r="AC1027" s="16">
        <v>2810.3026834920001</v>
      </c>
    </row>
    <row r="1028" spans="26:29" x14ac:dyDescent="0.35">
      <c r="Z1028" s="4"/>
      <c r="AA1028" s="4"/>
      <c r="AB1028" s="4" t="e">
        <f ca="1">_xll.ciqfunctions.udf.CIQ("^SPX", "IQ_PRICEDATE", "1/22/2018")</f>
        <v>#NAME?</v>
      </c>
      <c r="AC1028" s="16">
        <v>2832.9740997724998</v>
      </c>
    </row>
    <row r="1029" spans="26:29" x14ac:dyDescent="0.35">
      <c r="Z1029" s="4"/>
      <c r="AA1029" s="4"/>
      <c r="AB1029" s="4" t="e">
        <f ca="1">_xll.ciqfunctions.udf.CIQ("^SPX", "IQ_PRICEDATE", "1/23/2018")</f>
        <v>#NAME?</v>
      </c>
      <c r="AC1029" s="16">
        <v>2839.1303619554001</v>
      </c>
    </row>
    <row r="1030" spans="26:29" x14ac:dyDescent="0.35">
      <c r="Z1030" s="4"/>
      <c r="AA1030" s="4"/>
      <c r="AB1030" s="4" t="e">
        <f ca="1">_xll.ciqfunctions.udf.CIQ("^SPX", "IQ_PRICEDATE", "1/24/2018")</f>
        <v>#NAME?</v>
      </c>
      <c r="AC1030" s="16">
        <v>2837.5440076131999</v>
      </c>
    </row>
    <row r="1031" spans="26:29" x14ac:dyDescent="0.35">
      <c r="Z1031" s="4"/>
      <c r="AA1031" s="4"/>
      <c r="AB1031" s="4" t="e">
        <f ca="1">_xll.ciqfunctions.udf.CIQ("^SPX", "IQ_PRICEDATE", "1/25/2018")</f>
        <v>#NAME?</v>
      </c>
      <c r="AC1031" s="16">
        <v>2839.2530312105</v>
      </c>
    </row>
    <row r="1032" spans="26:29" x14ac:dyDescent="0.35">
      <c r="Z1032" s="4"/>
      <c r="AA1032" s="4"/>
      <c r="AB1032" s="4" t="e">
        <f ca="1">_xll.ciqfunctions.udf.CIQ("^SPX", "IQ_PRICEDATE", "1/26/2018")</f>
        <v>#NAME?</v>
      </c>
      <c r="AC1032" s="16">
        <v>2872.8678392431002</v>
      </c>
    </row>
    <row r="1033" spans="26:29" x14ac:dyDescent="0.35">
      <c r="Z1033" s="4"/>
      <c r="AA1033" s="4"/>
      <c r="AB1033" s="4" t="e">
        <f ca="1">_xll.ciqfunctions.udf.CIQ("^SPX", "IQ_PRICEDATE", "1/29/2018")</f>
        <v>#NAME?</v>
      </c>
      <c r="AC1033" s="16">
        <v>2853.5284110404</v>
      </c>
    </row>
    <row r="1034" spans="26:29" x14ac:dyDescent="0.35">
      <c r="Z1034" s="4"/>
      <c r="AA1034" s="4"/>
      <c r="AB1034" s="4" t="e">
        <f ca="1">_xll.ciqfunctions.udf.CIQ("^SPX", "IQ_PRICEDATE", "1/30/2018")</f>
        <v>#NAME?</v>
      </c>
      <c r="AC1034" s="16">
        <v>2822.4339480164999</v>
      </c>
    </row>
    <row r="1035" spans="26:29" x14ac:dyDescent="0.35">
      <c r="Z1035" s="4"/>
      <c r="AA1035" s="4"/>
      <c r="AB1035" s="4" t="e">
        <f ca="1">_xll.ciqfunctions.udf.CIQ("^SPX", "IQ_PRICEDATE", "1/31/2018")</f>
        <v>#NAME?</v>
      </c>
      <c r="AC1035" s="16">
        <v>2823.8099373554001</v>
      </c>
    </row>
    <row r="1036" spans="26:29" x14ac:dyDescent="0.35">
      <c r="Z1036" s="4"/>
      <c r="AA1036" s="4"/>
      <c r="AB1036" s="4" t="e">
        <f ca="1">_xll.ciqfunctions.udf.CIQ("^SPX", "IQ_PRICEDATE", "2/1/2018")</f>
        <v>#NAME?</v>
      </c>
      <c r="AC1036" s="16">
        <v>2821.975892767</v>
      </c>
    </row>
    <row r="1037" spans="26:29" x14ac:dyDescent="0.35">
      <c r="Z1037" s="4"/>
      <c r="AA1037" s="4"/>
      <c r="AB1037" s="4" t="e">
        <f ca="1">_xll.ciqfunctions.udf.CIQ("^SPX", "IQ_PRICEDATE", "2/2/2018")</f>
        <v>#NAME?</v>
      </c>
      <c r="AC1037" s="16">
        <v>2762.1253342727</v>
      </c>
    </row>
    <row r="1038" spans="26:29" x14ac:dyDescent="0.35">
      <c r="Z1038" s="4"/>
      <c r="AA1038" s="4"/>
      <c r="AB1038" s="4" t="e">
        <f ca="1">_xll.ciqfunctions.udf.CIQ("^SPX", "IQ_PRICEDATE", "2/5/2018")</f>
        <v>#NAME?</v>
      </c>
      <c r="AC1038" s="16">
        <v>2648.9390824826</v>
      </c>
    </row>
    <row r="1039" spans="26:29" x14ac:dyDescent="0.35">
      <c r="Z1039" s="4"/>
      <c r="AA1039" s="4"/>
      <c r="AB1039" s="4" t="e">
        <f ca="1">_xll.ciqfunctions.udf.CIQ("^SPX", "IQ_PRICEDATE", "2/6/2018")</f>
        <v>#NAME?</v>
      </c>
      <c r="AC1039" s="16">
        <v>2695.1442389796998</v>
      </c>
    </row>
    <row r="1040" spans="26:29" x14ac:dyDescent="0.35">
      <c r="Z1040" s="4"/>
      <c r="AA1040" s="4"/>
      <c r="AB1040" s="4" t="e">
        <f ca="1">_xll.ciqfunctions.udf.CIQ("^SPX", "IQ_PRICEDATE", "2/7/2018")</f>
        <v>#NAME?</v>
      </c>
      <c r="AC1040" s="16">
        <v>2681.6601351724998</v>
      </c>
    </row>
    <row r="1041" spans="26:29" x14ac:dyDescent="0.35">
      <c r="Z1041" s="4"/>
      <c r="AA1041" s="4"/>
      <c r="AB1041" s="4" t="e">
        <f ca="1">_xll.ciqfunctions.udf.CIQ("^SPX", "IQ_PRICEDATE", "2/8/2018")</f>
        <v>#NAME?</v>
      </c>
      <c r="AC1041" s="16">
        <v>2580.9994808281999</v>
      </c>
    </row>
    <row r="1042" spans="26:29" x14ac:dyDescent="0.35">
      <c r="Z1042" s="4"/>
      <c r="AA1042" s="4"/>
      <c r="AB1042" s="4" t="e">
        <f ca="1">_xll.ciqfunctions.udf.CIQ("^SPX", "IQ_PRICEDATE", "2/9/2018")</f>
        <v>#NAME?</v>
      </c>
      <c r="AC1042" s="16">
        <v>2619.5455949231</v>
      </c>
    </row>
    <row r="1043" spans="26:29" x14ac:dyDescent="0.35">
      <c r="Z1043" s="4"/>
      <c r="AA1043" s="4"/>
      <c r="AB1043" s="4" t="e">
        <f ca="1">_xll.ciqfunctions.udf.CIQ("^SPX", "IQ_PRICEDATE", "2/12/2018")</f>
        <v>#NAME?</v>
      </c>
      <c r="AC1043" s="16">
        <v>2655.9975272689999</v>
      </c>
    </row>
    <row r="1044" spans="26:29" x14ac:dyDescent="0.35">
      <c r="Z1044" s="4"/>
      <c r="AA1044" s="4"/>
      <c r="AB1044" s="4" t="e">
        <f ca="1">_xll.ciqfunctions.udf.CIQ("^SPX", "IQ_PRICEDATE", "2/13/2018")</f>
        <v>#NAME?</v>
      </c>
      <c r="AC1044" s="16">
        <v>2662.9429033240999</v>
      </c>
    </row>
    <row r="1045" spans="26:29" x14ac:dyDescent="0.35">
      <c r="Z1045" s="4"/>
      <c r="AA1045" s="4"/>
      <c r="AB1045" s="4" t="e">
        <f ca="1">_xll.ciqfunctions.udf.CIQ("^SPX", "IQ_PRICEDATE", "2/14/2018")</f>
        <v>#NAME?</v>
      </c>
      <c r="AC1045" s="16">
        <v>2698.6336625295999</v>
      </c>
    </row>
    <row r="1046" spans="26:29" x14ac:dyDescent="0.35">
      <c r="Z1046" s="4"/>
      <c r="AA1046" s="4"/>
      <c r="AB1046" s="4" t="e">
        <f ca="1">_xll.ciqfunctions.udf.CIQ("^SPX", "IQ_PRICEDATE", "2/15/2018")</f>
        <v>#NAME?</v>
      </c>
      <c r="AC1046" s="16">
        <v>2731.2041407155002</v>
      </c>
    </row>
    <row r="1047" spans="26:29" x14ac:dyDescent="0.35">
      <c r="Z1047" s="4"/>
      <c r="AA1047" s="4"/>
      <c r="AB1047" s="4" t="e">
        <f ca="1">_xll.ciqfunctions.udf.CIQ("^SPX", "IQ_PRICEDATE", "2/16/2018")</f>
        <v>#NAME?</v>
      </c>
      <c r="AC1047" s="16">
        <v>2732.2198367972001</v>
      </c>
    </row>
    <row r="1048" spans="26:29" x14ac:dyDescent="0.35">
      <c r="Z1048" s="4"/>
      <c r="AA1048" s="4"/>
      <c r="AB1048" s="4" t="e">
        <f ca="1">_xll.ciqfunctions.udf.CIQ("^SPX", "IQ_PRICEDATE", "2/20/2018")</f>
        <v>#NAME?</v>
      </c>
      <c r="AC1048" s="16">
        <v>2716.2555424986999</v>
      </c>
    </row>
    <row r="1049" spans="26:29" x14ac:dyDescent="0.35">
      <c r="Z1049" s="4"/>
      <c r="AA1049" s="4"/>
      <c r="AB1049" s="4" t="e">
        <f ca="1">_xll.ciqfunctions.udf.CIQ("^SPX", "IQ_PRICEDATE", "2/21/2018")</f>
        <v>#NAME?</v>
      </c>
      <c r="AC1049" s="16">
        <v>2701.328793314</v>
      </c>
    </row>
    <row r="1050" spans="26:29" x14ac:dyDescent="0.35">
      <c r="Z1050" s="4"/>
      <c r="AA1050" s="4"/>
      <c r="AB1050" s="4" t="e">
        <f ca="1">_xll.ciqfunctions.udf.CIQ("^SPX", "IQ_PRICEDATE", "2/22/2018")</f>
        <v>#NAME?</v>
      </c>
      <c r="AC1050" s="16">
        <v>2703.9612574600001</v>
      </c>
    </row>
    <row r="1051" spans="26:29" x14ac:dyDescent="0.35">
      <c r="Z1051" s="4"/>
      <c r="AA1051" s="4"/>
      <c r="AB1051" s="4" t="e">
        <f ca="1">_xll.ciqfunctions.udf.CIQ("^SPX", "IQ_PRICEDATE", "2/23/2018")</f>
        <v>#NAME?</v>
      </c>
      <c r="AC1051" s="16">
        <v>2747.2985491692998</v>
      </c>
    </row>
    <row r="1052" spans="26:29" x14ac:dyDescent="0.35">
      <c r="Z1052" s="4"/>
      <c r="AA1052" s="4"/>
      <c r="AB1052" s="4" t="e">
        <f ca="1">_xll.ciqfunctions.udf.CIQ("^SPX", "IQ_PRICEDATE", "2/26/2018")</f>
        <v>#NAME?</v>
      </c>
      <c r="AC1052" s="16">
        <v>2779.5959744897</v>
      </c>
    </row>
    <row r="1053" spans="26:29" x14ac:dyDescent="0.35">
      <c r="Z1053" s="4"/>
      <c r="AA1053" s="4"/>
      <c r="AB1053" s="4" t="e">
        <f ca="1">_xll.ciqfunctions.udf.CIQ("^SPX", "IQ_PRICEDATE", "2/27/2018")</f>
        <v>#NAME?</v>
      </c>
      <c r="AC1053" s="16">
        <v>2744.2806905071002</v>
      </c>
    </row>
    <row r="1054" spans="26:29" x14ac:dyDescent="0.35">
      <c r="Z1054" s="4"/>
      <c r="AA1054" s="4"/>
      <c r="AB1054" s="4" t="e">
        <f ca="1">_xll.ciqfunctions.udf.CIQ("^SPX", "IQ_PRICEDATE", "2/28/2018")</f>
        <v>#NAME?</v>
      </c>
      <c r="AC1054" s="16">
        <v>2713.8305387238001</v>
      </c>
    </row>
    <row r="1055" spans="26:29" x14ac:dyDescent="0.35">
      <c r="Z1055" s="4"/>
      <c r="AA1055" s="4"/>
      <c r="AB1055" s="4" t="e">
        <f ca="1">_xll.ciqfunctions.udf.CIQ("^SPX", "IQ_PRICEDATE", "3/1/2018")</f>
        <v>#NAME?</v>
      </c>
      <c r="AC1055" s="16">
        <v>2677.6709360935001</v>
      </c>
    </row>
    <row r="1056" spans="26:29" x14ac:dyDescent="0.35">
      <c r="Z1056" s="4"/>
      <c r="AA1056" s="4"/>
      <c r="AB1056" s="4" t="e">
        <f ca="1">_xll.ciqfunctions.udf.CIQ("^SPX", "IQ_PRICEDATE", "3/2/2018")</f>
        <v>#NAME?</v>
      </c>
      <c r="AC1056" s="16">
        <v>2691.2527686766002</v>
      </c>
    </row>
    <row r="1057" spans="26:29" x14ac:dyDescent="0.35">
      <c r="Z1057" s="4"/>
      <c r="AA1057" s="4"/>
      <c r="AB1057" s="4" t="e">
        <f ca="1">_xll.ciqfunctions.udf.CIQ("^SPX", "IQ_PRICEDATE", "3/5/2018")</f>
        <v>#NAME?</v>
      </c>
      <c r="AC1057" s="16">
        <v>2720.9408972913998</v>
      </c>
    </row>
    <row r="1058" spans="26:29" x14ac:dyDescent="0.35">
      <c r="Z1058" s="4"/>
      <c r="AA1058" s="4"/>
      <c r="AB1058" s="4" t="e">
        <f ca="1">_xll.ciqfunctions.udf.CIQ("^SPX", "IQ_PRICEDATE", "3/6/2018")</f>
        <v>#NAME?</v>
      </c>
      <c r="AC1058" s="16">
        <v>2728.1219997834</v>
      </c>
    </row>
    <row r="1059" spans="26:29" x14ac:dyDescent="0.35">
      <c r="Z1059" s="4"/>
      <c r="AA1059" s="4"/>
      <c r="AB1059" s="4" t="e">
        <f ca="1">_xll.ciqfunctions.udf.CIQ("^SPX", "IQ_PRICEDATE", "3/7/2018")</f>
        <v>#NAME?</v>
      </c>
      <c r="AC1059" s="16">
        <v>2726.8013692489999</v>
      </c>
    </row>
    <row r="1060" spans="26:29" x14ac:dyDescent="0.35">
      <c r="Z1060" s="4"/>
      <c r="AA1060" s="4"/>
      <c r="AB1060" s="4" t="e">
        <f ca="1">_xll.ciqfunctions.udf.CIQ("^SPX", "IQ_PRICEDATE", "3/8/2018")</f>
        <v>#NAME?</v>
      </c>
      <c r="AC1060" s="16">
        <v>2738.9694301486002</v>
      </c>
    </row>
    <row r="1061" spans="26:29" x14ac:dyDescent="0.35">
      <c r="Z1061" s="4"/>
      <c r="AA1061" s="4"/>
      <c r="AB1061" s="4" t="e">
        <f ca="1">_xll.ciqfunctions.udf.CIQ("^SPX", "IQ_PRICEDATE", "3/9/2018")</f>
        <v>#NAME?</v>
      </c>
      <c r="AC1061" s="16">
        <v>2786.5651027531999</v>
      </c>
    </row>
    <row r="1062" spans="26:29" x14ac:dyDescent="0.35">
      <c r="Z1062" s="4"/>
      <c r="AA1062" s="4"/>
      <c r="AB1062" s="4" t="e">
        <f ca="1">_xll.ciqfunctions.udf.CIQ("^SPX", "IQ_PRICEDATE", "3/12/2018")</f>
        <v>#NAME?</v>
      </c>
      <c r="AC1062" s="16">
        <v>2783.0192629327998</v>
      </c>
    </row>
    <row r="1063" spans="26:29" x14ac:dyDescent="0.35">
      <c r="Z1063" s="4"/>
      <c r="AA1063" s="4"/>
      <c r="AB1063" s="4" t="e">
        <f ca="1">_xll.ciqfunctions.udf.CIQ("^SPX", "IQ_PRICEDATE", "3/13/2018")</f>
        <v>#NAME?</v>
      </c>
      <c r="AC1063" s="16">
        <v>2765.3094530812</v>
      </c>
    </row>
    <row r="1064" spans="26:29" x14ac:dyDescent="0.35">
      <c r="Z1064" s="4"/>
      <c r="AA1064" s="4"/>
      <c r="AB1064" s="4" t="e">
        <f ca="1">_xll.ciqfunctions.udf.CIQ("^SPX", "IQ_PRICEDATE", "3/14/2018")</f>
        <v>#NAME?</v>
      </c>
      <c r="AC1064" s="16">
        <v>2749.4822693171</v>
      </c>
    </row>
    <row r="1065" spans="26:29" x14ac:dyDescent="0.35">
      <c r="Z1065" s="4"/>
      <c r="AA1065" s="4"/>
      <c r="AB1065" s="4" t="e">
        <f ca="1">_xll.ciqfunctions.udf.CIQ("^SPX", "IQ_PRICEDATE", "3/15/2018")</f>
        <v>#NAME?</v>
      </c>
      <c r="AC1065" s="16">
        <v>2747.3298499872999</v>
      </c>
    </row>
    <row r="1066" spans="26:29" x14ac:dyDescent="0.35">
      <c r="Z1066" s="4"/>
      <c r="AA1066" s="4"/>
      <c r="AB1066" s="4" t="e">
        <f ca="1">_xll.ciqfunctions.udf.CIQ("^SPX", "IQ_PRICEDATE", "3/16/2018")</f>
        <v>#NAME?</v>
      </c>
      <c r="AC1066" s="16">
        <v>2752.0117875495998</v>
      </c>
    </row>
    <row r="1067" spans="26:29" x14ac:dyDescent="0.35">
      <c r="Z1067" s="4"/>
      <c r="AA1067" s="4"/>
      <c r="AB1067" s="4" t="e">
        <f ca="1">_xll.ciqfunctions.udf.CIQ("^SPX", "IQ_PRICEDATE", "3/19/2018")</f>
        <v>#NAME?</v>
      </c>
      <c r="AC1067" s="16">
        <v>2712.9173684696998</v>
      </c>
    </row>
    <row r="1068" spans="26:29" x14ac:dyDescent="0.35">
      <c r="Z1068" s="4"/>
      <c r="AA1068" s="4"/>
      <c r="AB1068" s="4" t="e">
        <f ca="1">_xll.ciqfunctions.udf.CIQ("^SPX", "IQ_PRICEDATE", "3/20/2018")</f>
        <v>#NAME?</v>
      </c>
      <c r="AC1068" s="16">
        <v>2716.9422346931001</v>
      </c>
    </row>
    <row r="1069" spans="26:29" x14ac:dyDescent="0.35">
      <c r="Z1069" s="4"/>
      <c r="AA1069" s="4"/>
      <c r="AB1069" s="4" t="e">
        <f ca="1">_xll.ciqfunctions.udf.CIQ("^SPX", "IQ_PRICEDATE", "3/21/2018")</f>
        <v>#NAME?</v>
      </c>
      <c r="AC1069" s="16">
        <v>2711.9280882306998</v>
      </c>
    </row>
    <row r="1070" spans="26:29" x14ac:dyDescent="0.35">
      <c r="Z1070" s="4"/>
      <c r="AA1070" s="4"/>
      <c r="AB1070" s="4" t="e">
        <f ca="1">_xll.ciqfunctions.udf.CIQ("^SPX", "IQ_PRICEDATE", "3/22/2018")</f>
        <v>#NAME?</v>
      </c>
      <c r="AC1070" s="16">
        <v>2643.6921823736002</v>
      </c>
    </row>
    <row r="1071" spans="26:29" x14ac:dyDescent="0.35">
      <c r="Z1071" s="4"/>
      <c r="AA1071" s="4"/>
      <c r="AB1071" s="4" t="e">
        <f ca="1">_xll.ciqfunctions.udf.CIQ("^SPX", "IQ_PRICEDATE", "3/23/2018")</f>
        <v>#NAME?</v>
      </c>
      <c r="AC1071" s="16">
        <v>2588.2627920513</v>
      </c>
    </row>
    <row r="1072" spans="26:29" x14ac:dyDescent="0.35">
      <c r="Z1072" s="4"/>
      <c r="AA1072" s="4"/>
      <c r="AB1072" s="4" t="e">
        <f ca="1">_xll.ciqfunctions.udf.CIQ("^SPX", "IQ_PRICEDATE", "3/26/2018")</f>
        <v>#NAME?</v>
      </c>
      <c r="AC1072" s="16">
        <v>2658.5541823533999</v>
      </c>
    </row>
    <row r="1073" spans="26:29" x14ac:dyDescent="0.35">
      <c r="Z1073" s="4"/>
      <c r="AA1073" s="4"/>
      <c r="AB1073" s="4" t="e">
        <f ca="1">_xll.ciqfunctions.udf.CIQ("^SPX", "IQ_PRICEDATE", "3/27/2018")</f>
        <v>#NAME?</v>
      </c>
      <c r="AC1073" s="16">
        <v>2612.6245972403999</v>
      </c>
    </row>
    <row r="1074" spans="26:29" x14ac:dyDescent="0.35">
      <c r="Z1074" s="4"/>
      <c r="AA1074" s="4"/>
      <c r="AB1074" s="4" t="e">
        <f ca="1">_xll.ciqfunctions.udf.CIQ("^SPX", "IQ_PRICEDATE", "3/28/2018")</f>
        <v>#NAME?</v>
      </c>
      <c r="AC1074" s="16">
        <v>2604.9974974954998</v>
      </c>
    </row>
    <row r="1075" spans="26:29" x14ac:dyDescent="0.35">
      <c r="Z1075" s="4"/>
      <c r="AA1075" s="4"/>
      <c r="AB1075" s="4" t="e">
        <f ca="1">_xll.ciqfunctions.udf.CIQ("^SPX", "IQ_PRICEDATE", "3/29/2018")</f>
        <v>#NAME?</v>
      </c>
      <c r="AC1075" s="16">
        <v>2640.8659903293001</v>
      </c>
    </row>
    <row r="1076" spans="26:29" x14ac:dyDescent="0.35">
      <c r="Z1076" s="4"/>
      <c r="AA1076" s="4"/>
      <c r="AB1076" s="4" t="e">
        <f ca="1">_xll.ciqfunctions.udf.CIQ("^SPX", "IQ_PRICEDATE", "4/2/2018")</f>
        <v>#NAME?</v>
      </c>
      <c r="AC1076" s="16">
        <v>2581.881609651</v>
      </c>
    </row>
    <row r="1077" spans="26:29" x14ac:dyDescent="0.35">
      <c r="Z1077" s="4"/>
      <c r="AA1077" s="4"/>
      <c r="AB1077" s="4" t="e">
        <f ca="1">_xll.ciqfunctions.udf.CIQ("^SPX", "IQ_PRICEDATE", "4/3/2018")</f>
        <v>#NAME?</v>
      </c>
      <c r="AC1077" s="16">
        <v>2614.4456710448999</v>
      </c>
    </row>
    <row r="1078" spans="26:29" x14ac:dyDescent="0.35">
      <c r="Z1078" s="4"/>
      <c r="AA1078" s="4"/>
      <c r="AB1078" s="4" t="e">
        <f ca="1">_xll.ciqfunctions.udf.CIQ("^SPX", "IQ_PRICEDATE", "4/4/2018")</f>
        <v>#NAME?</v>
      </c>
      <c r="AC1078" s="16">
        <v>2644.6879610989999</v>
      </c>
    </row>
    <row r="1079" spans="26:29" x14ac:dyDescent="0.35">
      <c r="Z1079" s="4"/>
      <c r="AA1079" s="4"/>
      <c r="AB1079" s="4" t="e">
        <f ca="1">_xll.ciqfunctions.udf.CIQ("^SPX", "IQ_PRICEDATE", "4/5/2018")</f>
        <v>#NAME?</v>
      </c>
      <c r="AC1079" s="16">
        <v>2662.8362421788001</v>
      </c>
    </row>
    <row r="1080" spans="26:29" x14ac:dyDescent="0.35">
      <c r="Z1080" s="4"/>
      <c r="AA1080" s="4"/>
      <c r="AB1080" s="4" t="e">
        <f ca="1">_xll.ciqfunctions.udf.CIQ("^SPX", "IQ_PRICEDATE", "4/6/2018")</f>
        <v>#NAME?</v>
      </c>
      <c r="AC1080" s="16">
        <v>2604.4693845293</v>
      </c>
    </row>
    <row r="1081" spans="26:29" x14ac:dyDescent="0.35">
      <c r="Z1081" s="4"/>
      <c r="AA1081" s="4"/>
      <c r="AB1081" s="4" t="e">
        <f ca="1">_xll.ciqfunctions.udf.CIQ("^SPX", "IQ_PRICEDATE", "4/9/2018")</f>
        <v>#NAME?</v>
      </c>
      <c r="AC1081" s="16">
        <v>2613.158838761</v>
      </c>
    </row>
    <row r="1082" spans="26:29" x14ac:dyDescent="0.35">
      <c r="Z1082" s="4"/>
      <c r="AA1082" s="4"/>
      <c r="AB1082" s="4" t="e">
        <f ca="1">_xll.ciqfunctions.udf.CIQ("^SPX", "IQ_PRICEDATE", "4/10/2018")</f>
        <v>#NAME?</v>
      </c>
      <c r="AC1082" s="16">
        <v>2656.8679807192998</v>
      </c>
    </row>
    <row r="1083" spans="26:29" x14ac:dyDescent="0.35">
      <c r="Z1083" s="4"/>
      <c r="AA1083" s="4"/>
      <c r="AB1083" s="4" t="e">
        <f ca="1">_xll.ciqfunctions.udf.CIQ("^SPX", "IQ_PRICEDATE", "4/11/2018")</f>
        <v>#NAME?</v>
      </c>
      <c r="AC1083" s="16">
        <v>2642.1902114466002</v>
      </c>
    </row>
    <row r="1084" spans="26:29" x14ac:dyDescent="0.35">
      <c r="Z1084" s="4"/>
      <c r="AA1084" s="4"/>
      <c r="AB1084" s="4" t="e">
        <f ca="1">_xll.ciqfunctions.udf.CIQ("^SPX", "IQ_PRICEDATE", "4/12/2018")</f>
        <v>#NAME?</v>
      </c>
      <c r="AC1084" s="16">
        <v>2663.9948004537</v>
      </c>
    </row>
    <row r="1085" spans="26:29" x14ac:dyDescent="0.35">
      <c r="Z1085" s="4"/>
      <c r="AA1085" s="4"/>
      <c r="AB1085" s="4" t="e">
        <f ca="1">_xll.ciqfunctions.udf.CIQ("^SPX", "IQ_PRICEDATE", "4/13/2018")</f>
        <v>#NAME?</v>
      </c>
      <c r="AC1085" s="16">
        <v>2656.2969056536999</v>
      </c>
    </row>
    <row r="1086" spans="26:29" x14ac:dyDescent="0.35">
      <c r="Z1086" s="4"/>
      <c r="AA1086" s="4"/>
      <c r="AB1086" s="4" t="e">
        <f ca="1">_xll.ciqfunctions.udf.CIQ("^SPX", "IQ_PRICEDATE", "4/16/2018")</f>
        <v>#NAME?</v>
      </c>
      <c r="AC1086" s="16">
        <v>2677.8395628404</v>
      </c>
    </row>
    <row r="1087" spans="26:29" x14ac:dyDescent="0.35">
      <c r="Z1087" s="4"/>
      <c r="AA1087" s="4"/>
      <c r="AB1087" s="4" t="e">
        <f ca="1">_xll.ciqfunctions.udf.CIQ("^SPX", "IQ_PRICEDATE", "4/17/2018")</f>
        <v>#NAME?</v>
      </c>
      <c r="AC1087" s="16">
        <v>2706.3850873186998</v>
      </c>
    </row>
    <row r="1088" spans="26:29" x14ac:dyDescent="0.35">
      <c r="Z1088" s="4"/>
      <c r="AA1088" s="4"/>
      <c r="AB1088" s="4" t="e">
        <f ca="1">_xll.ciqfunctions.udf.CIQ("^SPX", "IQ_PRICEDATE", "4/18/2018")</f>
        <v>#NAME?</v>
      </c>
      <c r="AC1088" s="16">
        <v>2708.6389528643999</v>
      </c>
    </row>
    <row r="1089" spans="26:29" x14ac:dyDescent="0.35">
      <c r="Z1089" s="4"/>
      <c r="AA1089" s="4"/>
      <c r="AB1089" s="4" t="e">
        <f ca="1">_xll.ciqfunctions.udf.CIQ("^SPX", "IQ_PRICEDATE", "4/19/2018")</f>
        <v>#NAME?</v>
      </c>
      <c r="AC1089" s="16">
        <v>2693.1257302322001</v>
      </c>
    </row>
    <row r="1090" spans="26:29" x14ac:dyDescent="0.35">
      <c r="Z1090" s="4"/>
      <c r="AA1090" s="4"/>
      <c r="AB1090" s="4" t="e">
        <f ca="1">_xll.ciqfunctions.udf.CIQ("^SPX", "IQ_PRICEDATE", "4/20/2018")</f>
        <v>#NAME?</v>
      </c>
      <c r="AC1090" s="16">
        <v>2670.1417556473998</v>
      </c>
    </row>
    <row r="1091" spans="26:29" x14ac:dyDescent="0.35">
      <c r="Z1091" s="4"/>
      <c r="AA1091" s="4"/>
      <c r="AB1091" s="4" t="e">
        <f ca="1">_xll.ciqfunctions.udf.CIQ("^SPX", "IQ_PRICEDATE", "4/23/2018")</f>
        <v>#NAME?</v>
      </c>
      <c r="AC1091" s="16">
        <v>2670.2904815958</v>
      </c>
    </row>
    <row r="1092" spans="26:29" x14ac:dyDescent="0.35">
      <c r="Z1092" s="4"/>
      <c r="AA1092" s="4"/>
      <c r="AB1092" s="4" t="e">
        <f ca="1">_xll.ciqfunctions.udf.CIQ("^SPX", "IQ_PRICEDATE", "4/24/2018")</f>
        <v>#NAME?</v>
      </c>
      <c r="AC1092" s="16">
        <v>2634.5564523615999</v>
      </c>
    </row>
    <row r="1093" spans="26:29" x14ac:dyDescent="0.35">
      <c r="Z1093" s="4"/>
      <c r="AA1093" s="4"/>
      <c r="AB1093" s="4" t="e">
        <f ca="1">_xll.ciqfunctions.udf.CIQ("^SPX", "IQ_PRICEDATE", "4/25/2018")</f>
        <v>#NAME?</v>
      </c>
      <c r="AC1093" s="16">
        <v>2639.3950272385</v>
      </c>
    </row>
    <row r="1094" spans="26:29" x14ac:dyDescent="0.35">
      <c r="Z1094" s="4"/>
      <c r="AA1094" s="4"/>
      <c r="AB1094" s="4" t="e">
        <f ca="1">_xll.ciqfunctions.udf.CIQ("^SPX", "IQ_PRICEDATE", "4/26/2018")</f>
        <v>#NAME?</v>
      </c>
      <c r="AC1094" s="16">
        <v>2666.9427838322999</v>
      </c>
    </row>
    <row r="1095" spans="26:29" x14ac:dyDescent="0.35">
      <c r="Z1095" s="4"/>
      <c r="AA1095" s="4"/>
      <c r="AB1095" s="4" t="e">
        <f ca="1">_xll.ciqfunctions.udf.CIQ("^SPX", "IQ_PRICEDATE", "4/27/2018")</f>
        <v>#NAME?</v>
      </c>
      <c r="AC1095" s="16">
        <v>2669.906271715</v>
      </c>
    </row>
    <row r="1096" spans="26:29" x14ac:dyDescent="0.35">
      <c r="Z1096" s="4"/>
      <c r="AA1096" s="4"/>
      <c r="AB1096" s="4" t="e">
        <f ca="1">_xll.ciqfunctions.udf.CIQ("^SPX", "IQ_PRICEDATE", "4/30/2018")</f>
        <v>#NAME?</v>
      </c>
      <c r="AC1096" s="16">
        <v>2648.0493647087001</v>
      </c>
    </row>
    <row r="1097" spans="26:29" x14ac:dyDescent="0.35">
      <c r="Z1097" s="4"/>
      <c r="AA1097" s="4"/>
      <c r="AB1097" s="4" t="e">
        <f ca="1">_xll.ciqfunctions.udf.CIQ("^SPX", "IQ_PRICEDATE", "5/1/2018")</f>
        <v>#NAME?</v>
      </c>
      <c r="AC1097" s="16">
        <v>2654.8006518471998</v>
      </c>
    </row>
    <row r="1098" spans="26:29" x14ac:dyDescent="0.35">
      <c r="Z1098" s="4"/>
      <c r="AA1098" s="4"/>
      <c r="AB1098" s="4" t="e">
        <f ca="1">_xll.ciqfunctions.udf.CIQ("^SPX", "IQ_PRICEDATE", "5/2/2018")</f>
        <v>#NAME?</v>
      </c>
      <c r="AC1098" s="16">
        <v>2635.6685473995999</v>
      </c>
    </row>
    <row r="1099" spans="26:29" x14ac:dyDescent="0.35">
      <c r="Z1099" s="4"/>
      <c r="AA1099" s="4"/>
      <c r="AB1099" s="4" t="e">
        <f ca="1">_xll.ciqfunctions.udf.CIQ("^SPX", "IQ_PRICEDATE", "5/3/2018")</f>
        <v>#NAME?</v>
      </c>
      <c r="AC1099" s="16">
        <v>2629.7256154840002</v>
      </c>
    </row>
    <row r="1100" spans="26:29" x14ac:dyDescent="0.35">
      <c r="Z1100" s="4"/>
      <c r="AA1100" s="4"/>
      <c r="AB1100" s="4" t="e">
        <f ca="1">_xll.ciqfunctions.udf.CIQ("^SPX", "IQ_PRICEDATE", "5/4/2018")</f>
        <v>#NAME?</v>
      </c>
      <c r="AC1100" s="16">
        <v>2663.4203373004002</v>
      </c>
    </row>
    <row r="1101" spans="26:29" x14ac:dyDescent="0.35">
      <c r="Z1101" s="4"/>
      <c r="AA1101" s="4"/>
      <c r="AB1101" s="4" t="e">
        <f ca="1">_xll.ciqfunctions.udf.CIQ("^SPX", "IQ_PRICEDATE", "5/7/2018")</f>
        <v>#NAME?</v>
      </c>
      <c r="AC1101" s="16">
        <v>2672.6284981829999</v>
      </c>
    </row>
    <row r="1102" spans="26:29" x14ac:dyDescent="0.35">
      <c r="Z1102" s="4"/>
      <c r="AA1102" s="4"/>
      <c r="AB1102" s="4" t="e">
        <f ca="1">_xll.ciqfunctions.udf.CIQ("^SPX", "IQ_PRICEDATE", "5/8/2018")</f>
        <v>#NAME?</v>
      </c>
      <c r="AC1102" s="16">
        <v>2671.9182617050001</v>
      </c>
    </row>
    <row r="1103" spans="26:29" x14ac:dyDescent="0.35">
      <c r="Z1103" s="4"/>
      <c r="AA1103" s="4"/>
      <c r="AB1103" s="4" t="e">
        <f ca="1">_xll.ciqfunctions.udf.CIQ("^SPX", "IQ_PRICEDATE", "5/9/2018")</f>
        <v>#NAME?</v>
      </c>
      <c r="AC1103" s="16">
        <v>2697.7915487847999</v>
      </c>
    </row>
    <row r="1104" spans="26:29" x14ac:dyDescent="0.35">
      <c r="Z1104" s="4"/>
      <c r="AA1104" s="4"/>
      <c r="AB1104" s="4" t="e">
        <f ca="1">_xll.ciqfunctions.udf.CIQ("^SPX", "IQ_PRICEDATE", "5/10/2018")</f>
        <v>#NAME?</v>
      </c>
      <c r="AC1104" s="16">
        <v>2723.0689028173001</v>
      </c>
    </row>
    <row r="1105" spans="26:29" x14ac:dyDescent="0.35">
      <c r="Z1105" s="4"/>
      <c r="AA1105" s="4"/>
      <c r="AB1105" s="4" t="e">
        <f ca="1">_xll.ciqfunctions.udf.CIQ("^SPX", "IQ_PRICEDATE", "5/11/2018")</f>
        <v>#NAME?</v>
      </c>
      <c r="AC1105" s="16">
        <v>2727.7159275558001</v>
      </c>
    </row>
    <row r="1106" spans="26:29" x14ac:dyDescent="0.35">
      <c r="Z1106" s="4"/>
      <c r="AA1106" s="4"/>
      <c r="AB1106" s="4" t="e">
        <f ca="1">_xll.ciqfunctions.udf.CIQ("^SPX", "IQ_PRICEDATE", "5/14/2018")</f>
        <v>#NAME?</v>
      </c>
      <c r="AC1106" s="16">
        <v>2730.1324574028999</v>
      </c>
    </row>
    <row r="1107" spans="26:29" x14ac:dyDescent="0.35">
      <c r="Z1107" s="4"/>
      <c r="AA1107" s="4"/>
      <c r="AB1107" s="4" t="e">
        <f ca="1">_xll.ciqfunctions.udf.CIQ("^SPX", "IQ_PRICEDATE", "5/15/2018")</f>
        <v>#NAME?</v>
      </c>
      <c r="AC1107" s="16">
        <v>2711.4455236237</v>
      </c>
    </row>
    <row r="1108" spans="26:29" x14ac:dyDescent="0.35">
      <c r="Z1108" s="4"/>
      <c r="AA1108" s="4"/>
      <c r="AB1108" s="4" t="e">
        <f ca="1">_xll.ciqfunctions.udf.CIQ("^SPX", "IQ_PRICEDATE", "5/16/2018")</f>
        <v>#NAME?</v>
      </c>
      <c r="AC1108" s="16">
        <v>2722.4622972534999</v>
      </c>
    </row>
    <row r="1109" spans="26:29" x14ac:dyDescent="0.35">
      <c r="Z1109" s="4"/>
      <c r="AA1109" s="4"/>
      <c r="AB1109" s="4" t="e">
        <f ca="1">_xll.ciqfunctions.udf.CIQ("^SPX", "IQ_PRICEDATE", "5/17/2018")</f>
        <v>#NAME?</v>
      </c>
      <c r="AC1109" s="16">
        <v>2720.1272067587001</v>
      </c>
    </row>
    <row r="1110" spans="26:29" x14ac:dyDescent="0.35">
      <c r="Z1110" s="4"/>
      <c r="AA1110" s="4"/>
      <c r="AB1110" s="4" t="e">
        <f ca="1">_xll.ciqfunctions.udf.CIQ("^SPX", "IQ_PRICEDATE", "5/18/2018")</f>
        <v>#NAME?</v>
      </c>
      <c r="AC1110" s="16">
        <v>2712.9747135605999</v>
      </c>
    </row>
    <row r="1111" spans="26:29" x14ac:dyDescent="0.35">
      <c r="Z1111" s="4"/>
      <c r="AA1111" s="4"/>
      <c r="AB1111" s="4" t="e">
        <f ca="1">_xll.ciqfunctions.udf.CIQ("^SPX", "IQ_PRICEDATE", "5/21/2018")</f>
        <v>#NAME?</v>
      </c>
      <c r="AC1111" s="16">
        <v>2733.0108196046999</v>
      </c>
    </row>
    <row r="1112" spans="26:29" x14ac:dyDescent="0.35">
      <c r="Z1112" s="4"/>
      <c r="AA1112" s="4"/>
      <c r="AB1112" s="4" t="e">
        <f ca="1">_xll.ciqfunctions.udf.CIQ("^SPX", "IQ_PRICEDATE", "5/22/2018")</f>
        <v>#NAME?</v>
      </c>
      <c r="AC1112" s="16">
        <v>2724.4440411118999</v>
      </c>
    </row>
    <row r="1113" spans="26:29" x14ac:dyDescent="0.35">
      <c r="Z1113" s="4"/>
      <c r="AA1113" s="4"/>
      <c r="AB1113" s="4" t="e">
        <f ca="1">_xll.ciqfunctions.udf.CIQ("^SPX", "IQ_PRICEDATE", "5/23/2018")</f>
        <v>#NAME?</v>
      </c>
      <c r="AC1113" s="16">
        <v>2733.2892688342999</v>
      </c>
    </row>
    <row r="1114" spans="26:29" x14ac:dyDescent="0.35">
      <c r="Z1114" s="4"/>
      <c r="AA1114" s="4"/>
      <c r="AB1114" s="4" t="e">
        <f ca="1">_xll.ciqfunctions.udf.CIQ("^SPX", "IQ_PRICEDATE", "5/24/2018")</f>
        <v>#NAME?</v>
      </c>
      <c r="AC1114" s="16">
        <v>2727.7631947084001</v>
      </c>
    </row>
    <row r="1115" spans="26:29" x14ac:dyDescent="0.35">
      <c r="Z1115" s="4"/>
      <c r="AA1115" s="4"/>
      <c r="AB1115" s="4" t="e">
        <f ca="1">_xll.ciqfunctions.udf.CIQ("^SPX", "IQ_PRICEDATE", "5/25/2018")</f>
        <v>#NAME?</v>
      </c>
      <c r="AC1115" s="16">
        <v>2721.3279562726002</v>
      </c>
    </row>
    <row r="1116" spans="26:29" x14ac:dyDescent="0.35">
      <c r="Z1116" s="4"/>
      <c r="AA1116" s="4"/>
      <c r="AB1116" s="4" t="e">
        <f ca="1">_xll.ciqfunctions.udf.CIQ("^SPX", "IQ_PRICEDATE", "5/29/2018")</f>
        <v>#NAME?</v>
      </c>
      <c r="AC1116" s="16">
        <v>2689.8572489476001</v>
      </c>
    </row>
    <row r="1117" spans="26:29" x14ac:dyDescent="0.35">
      <c r="Z1117" s="4"/>
      <c r="AA1117" s="4"/>
      <c r="AB1117" s="4" t="e">
        <f ca="1">_xll.ciqfunctions.udf.CIQ("^SPX", "IQ_PRICEDATE", "5/30/2018")</f>
        <v>#NAME?</v>
      </c>
      <c r="AC1117" s="16">
        <v>2724.0099112322</v>
      </c>
    </row>
    <row r="1118" spans="26:29" x14ac:dyDescent="0.35">
      <c r="Z1118" s="4"/>
      <c r="AA1118" s="4"/>
      <c r="AB1118" s="4" t="e">
        <f ca="1">_xll.ciqfunctions.udf.CIQ("^SPX", "IQ_PRICEDATE", "5/31/2018")</f>
        <v>#NAME?</v>
      </c>
      <c r="AC1118" s="16">
        <v>2705.2747516248</v>
      </c>
    </row>
    <row r="1119" spans="26:29" x14ac:dyDescent="0.35">
      <c r="Z1119" s="4"/>
      <c r="AA1119" s="4"/>
      <c r="AB1119" s="4" t="e">
        <f ca="1">_xll.ciqfunctions.udf.CIQ("^SPX", "IQ_PRICEDATE", "6/1/2018")</f>
        <v>#NAME?</v>
      </c>
      <c r="AC1119" s="16">
        <v>2734.6188550041002</v>
      </c>
    </row>
    <row r="1120" spans="26:29" x14ac:dyDescent="0.35">
      <c r="Z1120" s="4"/>
      <c r="AA1120" s="4"/>
      <c r="AB1120" s="4" t="e">
        <f ca="1">_xll.ciqfunctions.udf.CIQ("^SPX", "IQ_PRICEDATE", "6/4/2018")</f>
        <v>#NAME?</v>
      </c>
      <c r="AC1120" s="16">
        <v>2746.8711136748998</v>
      </c>
    </row>
    <row r="1121" spans="26:29" x14ac:dyDescent="0.35">
      <c r="Z1121" s="4"/>
      <c r="AA1121" s="4"/>
      <c r="AB1121" s="4" t="e">
        <f ca="1">_xll.ciqfunctions.udf.CIQ("^SPX", "IQ_PRICEDATE", "6/5/2018")</f>
        <v>#NAME?</v>
      </c>
      <c r="AC1121" s="16">
        <v>2748.7951858796</v>
      </c>
    </row>
    <row r="1122" spans="26:29" x14ac:dyDescent="0.35">
      <c r="Z1122" s="4"/>
      <c r="AA1122" s="4"/>
      <c r="AB1122" s="4" t="e">
        <f ca="1">_xll.ciqfunctions.udf.CIQ("^SPX", "IQ_PRICEDATE", "6/6/2018")</f>
        <v>#NAME?</v>
      </c>
      <c r="AC1122" s="16">
        <v>2772.3457853834002</v>
      </c>
    </row>
    <row r="1123" spans="26:29" x14ac:dyDescent="0.35">
      <c r="Z1123" s="4"/>
      <c r="AA1123" s="4"/>
      <c r="AB1123" s="4" t="e">
        <f ca="1">_xll.ciqfunctions.udf.CIQ("^SPX", "IQ_PRICEDATE", "6/7/2018")</f>
        <v>#NAME?</v>
      </c>
      <c r="AC1123" s="16">
        <v>2770.3720468904999</v>
      </c>
    </row>
    <row r="1124" spans="26:29" x14ac:dyDescent="0.35">
      <c r="Z1124" s="4"/>
      <c r="AA1124" s="4"/>
      <c r="AB1124" s="4" t="e">
        <f ca="1">_xll.ciqfunctions.udf.CIQ("^SPX", "IQ_PRICEDATE", "6/8/2018")</f>
        <v>#NAME?</v>
      </c>
      <c r="AC1124" s="16">
        <v>2779.0285906191002</v>
      </c>
    </row>
    <row r="1125" spans="26:29" x14ac:dyDescent="0.35">
      <c r="Z1125" s="4"/>
      <c r="AA1125" s="4"/>
      <c r="AB1125" s="4" t="e">
        <f ca="1">_xll.ciqfunctions.udf.CIQ("^SPX", "IQ_PRICEDATE", "6/11/2018")</f>
        <v>#NAME?</v>
      </c>
      <c r="AC1125" s="16">
        <v>2782.0048600648001</v>
      </c>
    </row>
    <row r="1126" spans="26:29" x14ac:dyDescent="0.35">
      <c r="Z1126" s="4"/>
      <c r="AA1126" s="4"/>
      <c r="AB1126" s="4" t="e">
        <f ca="1">_xll.ciqfunctions.udf.CIQ("^SPX", "IQ_PRICEDATE", "6/12/2018")</f>
        <v>#NAME?</v>
      </c>
      <c r="AC1126" s="16">
        <v>2786.8524730265999</v>
      </c>
    </row>
    <row r="1127" spans="26:29" x14ac:dyDescent="0.35">
      <c r="Z1127" s="4"/>
      <c r="AA1127" s="4"/>
      <c r="AB1127" s="4" t="e">
        <f ca="1">_xll.ciqfunctions.udf.CIQ("^SPX", "IQ_PRICEDATE", "6/13/2018")</f>
        <v>#NAME?</v>
      </c>
      <c r="AC1127" s="16">
        <v>2775.6267511489</v>
      </c>
    </row>
    <row r="1128" spans="26:29" x14ac:dyDescent="0.35">
      <c r="Z1128" s="4"/>
      <c r="AA1128" s="4"/>
      <c r="AB1128" s="4" t="e">
        <f ca="1">_xll.ciqfunctions.udf.CIQ("^SPX", "IQ_PRICEDATE", "6/14/2018")</f>
        <v>#NAME?</v>
      </c>
      <c r="AC1128" s="16">
        <v>2782.4894063784</v>
      </c>
    </row>
    <row r="1129" spans="26:29" x14ac:dyDescent="0.35">
      <c r="Z1129" s="4"/>
      <c r="AA1129" s="4"/>
      <c r="AB1129" s="4" t="e">
        <f ca="1">_xll.ciqfunctions.udf.CIQ("^SPX", "IQ_PRICEDATE", "6/15/2018")</f>
        <v>#NAME?</v>
      </c>
      <c r="AC1129" s="16">
        <v>2779.6630272875</v>
      </c>
    </row>
    <row r="1130" spans="26:29" x14ac:dyDescent="0.35">
      <c r="Z1130" s="4"/>
      <c r="AA1130" s="4"/>
      <c r="AB1130" s="4" t="e">
        <f ca="1">_xll.ciqfunctions.udf.CIQ("^SPX", "IQ_PRICEDATE", "6/18/2018")</f>
        <v>#NAME?</v>
      </c>
      <c r="AC1130" s="16">
        <v>2773.7450408555001</v>
      </c>
    </row>
    <row r="1131" spans="26:29" x14ac:dyDescent="0.35">
      <c r="Z1131" s="4"/>
      <c r="AA1131" s="4"/>
      <c r="AB1131" s="4" t="e">
        <f ca="1">_xll.ciqfunctions.udf.CIQ("^SPX", "IQ_PRICEDATE", "6/19/2018")</f>
        <v>#NAME?</v>
      </c>
      <c r="AC1131" s="16">
        <v>2762.5946469127998</v>
      </c>
    </row>
    <row r="1132" spans="26:29" x14ac:dyDescent="0.35">
      <c r="Z1132" s="4"/>
      <c r="AA1132" s="4"/>
      <c r="AB1132" s="4" t="e">
        <f ca="1">_xll.ciqfunctions.udf.CIQ("^SPX", "IQ_PRICEDATE", "6/20/2018")</f>
        <v>#NAME?</v>
      </c>
      <c r="AC1132" s="16">
        <v>2767.3179049554001</v>
      </c>
    </row>
    <row r="1133" spans="26:29" x14ac:dyDescent="0.35">
      <c r="Z1133" s="4"/>
      <c r="AA1133" s="4"/>
      <c r="AB1133" s="4" t="e">
        <f ca="1">_xll.ciqfunctions.udf.CIQ("^SPX", "IQ_PRICEDATE", "6/21/2018")</f>
        <v>#NAME?</v>
      </c>
      <c r="AC1133" s="16">
        <v>2749.7579690309999</v>
      </c>
    </row>
    <row r="1134" spans="26:29" x14ac:dyDescent="0.35">
      <c r="Z1134" s="4"/>
      <c r="AA1134" s="4"/>
      <c r="AB1134" s="4" t="e">
        <f ca="1">_xll.ciqfunctions.udf.CIQ("^SPX", "IQ_PRICEDATE", "6/22/2018")</f>
        <v>#NAME?</v>
      </c>
      <c r="AC1134" s="16">
        <v>2754.8769951096001</v>
      </c>
    </row>
    <row r="1135" spans="26:29" x14ac:dyDescent="0.35">
      <c r="Z1135" s="4"/>
      <c r="AA1135" s="4"/>
      <c r="AB1135" s="4" t="e">
        <f ca="1">_xll.ciqfunctions.udf.CIQ("^SPX", "IQ_PRICEDATE", "6/25/2018")</f>
        <v>#NAME?</v>
      </c>
      <c r="AC1135" s="16">
        <v>2717.0742184511</v>
      </c>
    </row>
    <row r="1136" spans="26:29" x14ac:dyDescent="0.35">
      <c r="Z1136" s="4"/>
      <c r="AA1136" s="4"/>
      <c r="AB1136" s="4" t="e">
        <f ca="1">_xll.ciqfunctions.udf.CIQ("^SPX", "IQ_PRICEDATE", "6/26/2018")</f>
        <v>#NAME?</v>
      </c>
      <c r="AC1136" s="16">
        <v>2723.0588856282002</v>
      </c>
    </row>
    <row r="1137" spans="26:29" x14ac:dyDescent="0.35">
      <c r="Z1137" s="4"/>
      <c r="AA1137" s="4"/>
      <c r="AB1137" s="4" t="e">
        <f ca="1">_xll.ciqfunctions.udf.CIQ("^SPX", "IQ_PRICEDATE", "6/27/2018")</f>
        <v>#NAME?</v>
      </c>
      <c r="AC1137" s="16">
        <v>2699.6262029689001</v>
      </c>
    </row>
    <row r="1138" spans="26:29" x14ac:dyDescent="0.35">
      <c r="Z1138" s="4"/>
      <c r="AA1138" s="4"/>
      <c r="AB1138" s="4" t="e">
        <f ca="1">_xll.ciqfunctions.udf.CIQ("^SPX", "IQ_PRICEDATE", "6/28/2018")</f>
        <v>#NAME?</v>
      </c>
      <c r="AC1138" s="16">
        <v>2716.3099359139001</v>
      </c>
    </row>
    <row r="1139" spans="26:29" x14ac:dyDescent="0.35">
      <c r="Z1139" s="4"/>
      <c r="AA1139" s="4"/>
      <c r="AB1139" s="4" t="e">
        <f ca="1">_xll.ciqfunctions.udf.CIQ("^SPX", "IQ_PRICEDATE", "6/29/2018")</f>
        <v>#NAME?</v>
      </c>
      <c r="AC1139" s="16">
        <v>2718.3734650222</v>
      </c>
    </row>
    <row r="1140" spans="26:29" x14ac:dyDescent="0.35">
      <c r="Z1140" s="4"/>
      <c r="AA1140" s="4"/>
      <c r="AB1140" s="4" t="e">
        <f ca="1">_xll.ciqfunctions.udf.CIQ("^SPX", "IQ_PRICEDATE", "7/2/2018")</f>
        <v>#NAME?</v>
      </c>
      <c r="AC1140" s="16">
        <v>2726.7137643404999</v>
      </c>
    </row>
    <row r="1141" spans="26:29" x14ac:dyDescent="0.35">
      <c r="Z1141" s="4"/>
      <c r="AA1141" s="4"/>
      <c r="AB1141" s="4" t="e">
        <f ca="1">_xll.ciqfunctions.udf.CIQ("^SPX", "IQ_PRICEDATE", "7/3/2018")</f>
        <v>#NAME?</v>
      </c>
      <c r="AC1141" s="16">
        <v>2713.220886397</v>
      </c>
    </row>
    <row r="1142" spans="26:29" x14ac:dyDescent="0.35">
      <c r="Z1142" s="4"/>
      <c r="AA1142" s="4"/>
      <c r="AB1142" s="4" t="e">
        <f ca="1">_xll.ciqfunctions.udf.CIQ("^SPX", "IQ_PRICEDATE", "7/5/2018")</f>
        <v>#NAME?</v>
      </c>
      <c r="AC1142" s="16">
        <v>2736.612571228</v>
      </c>
    </row>
    <row r="1143" spans="26:29" x14ac:dyDescent="0.35">
      <c r="Z1143" s="4"/>
      <c r="AA1143" s="4"/>
      <c r="AB1143" s="4" t="e">
        <f ca="1">_xll.ciqfunctions.udf.CIQ("^SPX", "IQ_PRICEDATE", "7/6/2018")</f>
        <v>#NAME?</v>
      </c>
      <c r="AC1143" s="16">
        <v>2759.8219158252</v>
      </c>
    </row>
    <row r="1144" spans="26:29" x14ac:dyDescent="0.35">
      <c r="Z1144" s="4"/>
      <c r="AA1144" s="4"/>
      <c r="AB1144" s="4" t="e">
        <f ca="1">_xll.ciqfunctions.udf.CIQ("^SPX", "IQ_PRICEDATE", "7/9/2018")</f>
        <v>#NAME?</v>
      </c>
      <c r="AC1144" s="16">
        <v>2784.1732403668998</v>
      </c>
    </row>
    <row r="1145" spans="26:29" x14ac:dyDescent="0.35">
      <c r="Z1145" s="4"/>
      <c r="AA1145" s="4"/>
      <c r="AB1145" s="4" t="e">
        <f ca="1">_xll.ciqfunctions.udf.CIQ("^SPX", "IQ_PRICEDATE", "7/10/2018")</f>
        <v>#NAME?</v>
      </c>
      <c r="AC1145" s="16">
        <v>2793.8391511653999</v>
      </c>
    </row>
    <row r="1146" spans="26:29" x14ac:dyDescent="0.35">
      <c r="Z1146" s="4"/>
      <c r="AA1146" s="4"/>
      <c r="AB1146" s="4" t="e">
        <f ca="1">_xll.ciqfunctions.udf.CIQ("^SPX", "IQ_PRICEDATE", "7/11/2018")</f>
        <v>#NAME?</v>
      </c>
      <c r="AC1146" s="16">
        <v>2774.0174783796001</v>
      </c>
    </row>
    <row r="1147" spans="26:29" x14ac:dyDescent="0.35">
      <c r="Z1147" s="4"/>
      <c r="AA1147" s="4"/>
      <c r="AB1147" s="4" t="e">
        <f ca="1">_xll.ciqfunctions.udf.CIQ("^SPX", "IQ_PRICEDATE", "7/12/2018")</f>
        <v>#NAME?</v>
      </c>
      <c r="AC1147" s="16">
        <v>2798.2869223869002</v>
      </c>
    </row>
    <row r="1148" spans="26:29" x14ac:dyDescent="0.35">
      <c r="Z1148" s="4"/>
      <c r="AA1148" s="4"/>
      <c r="AB1148" s="4" t="e">
        <f ca="1">_xll.ciqfunctions.udf.CIQ("^SPX", "IQ_PRICEDATE", "7/13/2018")</f>
        <v>#NAME?</v>
      </c>
      <c r="AC1148" s="16">
        <v>2801.3113726616998</v>
      </c>
    </row>
    <row r="1149" spans="26:29" x14ac:dyDescent="0.35">
      <c r="Z1149" s="4"/>
      <c r="AA1149" s="4"/>
      <c r="AB1149" s="4" t="e">
        <f ca="1">_xll.ciqfunctions.udf.CIQ("^SPX", "IQ_PRICEDATE", "7/16/2018")</f>
        <v>#NAME?</v>
      </c>
      <c r="AC1149" s="16">
        <v>2798.4346041356998</v>
      </c>
    </row>
    <row r="1150" spans="26:29" x14ac:dyDescent="0.35">
      <c r="Z1150" s="4"/>
      <c r="AA1150" s="4"/>
      <c r="AB1150" s="4" t="e">
        <f ca="1">_xll.ciqfunctions.udf.CIQ("^SPX", "IQ_PRICEDATE", "7/17/2018")</f>
        <v>#NAME?</v>
      </c>
      <c r="AC1150" s="16">
        <v>2809.5516223514001</v>
      </c>
    </row>
    <row r="1151" spans="26:29" x14ac:dyDescent="0.35">
      <c r="Z1151" s="4"/>
      <c r="AA1151" s="4"/>
      <c r="AB1151" s="4" t="e">
        <f ca="1">_xll.ciqfunctions.udf.CIQ("^SPX", "IQ_PRICEDATE", "7/18/2018")</f>
        <v>#NAME?</v>
      </c>
      <c r="AC1151" s="16">
        <v>2815.6197843404002</v>
      </c>
    </row>
    <row r="1152" spans="26:29" x14ac:dyDescent="0.35">
      <c r="Z1152" s="4"/>
      <c r="AA1152" s="4"/>
      <c r="AB1152" s="4" t="e">
        <f ca="1">_xll.ciqfunctions.udf.CIQ("^SPX", "IQ_PRICEDATE", "7/19/2018")</f>
        <v>#NAME?</v>
      </c>
      <c r="AC1152" s="16">
        <v>2804.4934139565999</v>
      </c>
    </row>
    <row r="1153" spans="26:29" x14ac:dyDescent="0.35">
      <c r="Z1153" s="4"/>
      <c r="AA1153" s="4"/>
      <c r="AB1153" s="4" t="e">
        <f ca="1">_xll.ciqfunctions.udf.CIQ("^SPX", "IQ_PRICEDATE", "7/20/2018")</f>
        <v>#NAME?</v>
      </c>
      <c r="AC1153" s="16">
        <v>2801.8280880917</v>
      </c>
    </row>
    <row r="1154" spans="26:29" x14ac:dyDescent="0.35">
      <c r="Z1154" s="4"/>
      <c r="AA1154" s="4"/>
      <c r="AB1154" s="4" t="e">
        <f ca="1">_xll.ciqfunctions.udf.CIQ("^SPX", "IQ_PRICEDATE", "7/23/2018")</f>
        <v>#NAME?</v>
      </c>
      <c r="AC1154" s="16">
        <v>2806.9828988651002</v>
      </c>
    </row>
    <row r="1155" spans="26:29" x14ac:dyDescent="0.35">
      <c r="Z1155" s="4"/>
      <c r="AA1155" s="4"/>
      <c r="AB1155" s="4" t="e">
        <f ca="1">_xll.ciqfunctions.udf.CIQ("^SPX", "IQ_PRICEDATE", "7/24/2018")</f>
        <v>#NAME?</v>
      </c>
      <c r="AC1155" s="16">
        <v>2820.4041297202998</v>
      </c>
    </row>
    <row r="1156" spans="26:29" x14ac:dyDescent="0.35">
      <c r="Z1156" s="4"/>
      <c r="AA1156" s="4"/>
      <c r="AB1156" s="4" t="e">
        <f ca="1">_xll.ciqfunctions.udf.CIQ("^SPX", "IQ_PRICEDATE", "7/25/2018")</f>
        <v>#NAME?</v>
      </c>
      <c r="AC1156" s="16">
        <v>2846.0670433640998</v>
      </c>
    </row>
    <row r="1157" spans="26:29" x14ac:dyDescent="0.35">
      <c r="Z1157" s="4"/>
      <c r="AA1157" s="4"/>
      <c r="AB1157" s="4" t="e">
        <f ca="1">_xll.ciqfunctions.udf.CIQ("^SPX", "IQ_PRICEDATE", "7/26/2018")</f>
        <v>#NAME?</v>
      </c>
      <c r="AC1157" s="16">
        <v>2837.4399856340001</v>
      </c>
    </row>
    <row r="1158" spans="26:29" x14ac:dyDescent="0.35">
      <c r="Z1158" s="4"/>
      <c r="AA1158" s="4"/>
      <c r="AB1158" s="4" t="e">
        <f ca="1">_xll.ciqfunctions.udf.CIQ("^SPX", "IQ_PRICEDATE", "7/27/2018")</f>
        <v>#NAME?</v>
      </c>
      <c r="AC1158" s="16">
        <v>2818.8176262962002</v>
      </c>
    </row>
    <row r="1159" spans="26:29" x14ac:dyDescent="0.35">
      <c r="Z1159" s="4"/>
      <c r="AA1159" s="4"/>
      <c r="AB1159" s="4" t="e">
        <f ca="1">_xll.ciqfunctions.udf.CIQ("^SPX", "IQ_PRICEDATE", "7/30/2018")</f>
        <v>#NAME?</v>
      </c>
      <c r="AC1159" s="16">
        <v>2802.601445843</v>
      </c>
    </row>
    <row r="1160" spans="26:29" x14ac:dyDescent="0.35">
      <c r="Z1160" s="4"/>
      <c r="AA1160" s="4"/>
      <c r="AB1160" s="4" t="e">
        <f ca="1">_xll.ciqfunctions.udf.CIQ("^SPX", "IQ_PRICEDATE", "7/31/2018")</f>
        <v>#NAME?</v>
      </c>
      <c r="AC1160" s="16">
        <v>2816.2886310910999</v>
      </c>
    </row>
    <row r="1161" spans="26:29" x14ac:dyDescent="0.35">
      <c r="Z1161" s="4"/>
      <c r="AA1161" s="4"/>
      <c r="AB1161" s="4" t="e">
        <f ca="1">_xll.ciqfunctions.udf.CIQ("^SPX", "IQ_PRICEDATE", "8/1/2018")</f>
        <v>#NAME?</v>
      </c>
      <c r="AC1161" s="16">
        <v>2813.3649089529999</v>
      </c>
    </row>
    <row r="1162" spans="26:29" x14ac:dyDescent="0.35">
      <c r="Z1162" s="4"/>
      <c r="AA1162" s="4"/>
      <c r="AB1162" s="4" t="e">
        <f ca="1">_xll.ciqfunctions.udf.CIQ("^SPX", "IQ_PRICEDATE", "8/2/2018")</f>
        <v>#NAME?</v>
      </c>
      <c r="AC1162" s="16">
        <v>2827.2182583862</v>
      </c>
    </row>
    <row r="1163" spans="26:29" x14ac:dyDescent="0.35">
      <c r="Z1163" s="4"/>
      <c r="AA1163" s="4"/>
      <c r="AB1163" s="4" t="e">
        <f ca="1">_xll.ciqfunctions.udf.CIQ("^SPX", "IQ_PRICEDATE", "8/3/2018")</f>
        <v>#NAME?</v>
      </c>
      <c r="AC1163" s="16">
        <v>2840.3535543807998</v>
      </c>
    </row>
    <row r="1164" spans="26:29" x14ac:dyDescent="0.35">
      <c r="Z1164" s="4"/>
      <c r="AA1164" s="4"/>
      <c r="AB1164" s="4" t="e">
        <f ca="1">_xll.ciqfunctions.udf.CIQ("^SPX", "IQ_PRICEDATE", "8/6/2018")</f>
        <v>#NAME?</v>
      </c>
      <c r="AC1164" s="16">
        <v>2850.3965780045</v>
      </c>
    </row>
    <row r="1165" spans="26:29" x14ac:dyDescent="0.35">
      <c r="Z1165" s="4"/>
      <c r="AA1165" s="4"/>
      <c r="AB1165" s="4" t="e">
        <f ca="1">_xll.ciqfunctions.udf.CIQ("^SPX", "IQ_PRICEDATE", "8/7/2018")</f>
        <v>#NAME?</v>
      </c>
      <c r="AC1165" s="16">
        <v>2858.4515094494</v>
      </c>
    </row>
    <row r="1166" spans="26:29" x14ac:dyDescent="0.35">
      <c r="Z1166" s="4"/>
      <c r="AA1166" s="4"/>
      <c r="AB1166" s="4" t="e">
        <f ca="1">_xll.ciqfunctions.udf.CIQ("^SPX", "IQ_PRICEDATE", "8/8/2018")</f>
        <v>#NAME?</v>
      </c>
      <c r="AC1166" s="16">
        <v>2857.7044950281002</v>
      </c>
    </row>
    <row r="1167" spans="26:29" x14ac:dyDescent="0.35">
      <c r="Z1167" s="4"/>
      <c r="AA1167" s="4"/>
      <c r="AB1167" s="4" t="e">
        <f ca="1">_xll.ciqfunctions.udf.CIQ("^SPX", "IQ_PRICEDATE", "8/9/2018")</f>
        <v>#NAME?</v>
      </c>
      <c r="AC1167" s="16">
        <v>2853.5839477989998</v>
      </c>
    </row>
    <row r="1168" spans="26:29" x14ac:dyDescent="0.35">
      <c r="Z1168" s="4"/>
      <c r="AA1168" s="4"/>
      <c r="AB1168" s="4" t="e">
        <f ca="1">_xll.ciqfunctions.udf.CIQ("^SPX", "IQ_PRICEDATE", "8/10/2018")</f>
        <v>#NAME?</v>
      </c>
      <c r="AC1168" s="16">
        <v>2833.2836316821999</v>
      </c>
    </row>
    <row r="1169" spans="26:29" x14ac:dyDescent="0.35">
      <c r="Z1169" s="4"/>
      <c r="AA1169" s="4"/>
      <c r="AB1169" s="4" t="e">
        <f ca="1">_xll.ciqfunctions.udf.CIQ("^SPX", "IQ_PRICEDATE", "8/13/2018")</f>
        <v>#NAME?</v>
      </c>
      <c r="AC1169" s="16">
        <v>2821.9282342060001</v>
      </c>
    </row>
    <row r="1170" spans="26:29" x14ac:dyDescent="0.35">
      <c r="Z1170" s="4"/>
      <c r="AA1170" s="4"/>
      <c r="AB1170" s="4" t="e">
        <f ca="1">_xll.ciqfunctions.udf.CIQ("^SPX", "IQ_PRICEDATE", "8/14/2018")</f>
        <v>#NAME?</v>
      </c>
      <c r="AC1170" s="16">
        <v>2839.955390868</v>
      </c>
    </row>
    <row r="1171" spans="26:29" x14ac:dyDescent="0.35">
      <c r="Z1171" s="4"/>
      <c r="AA1171" s="4"/>
      <c r="AB1171" s="4" t="e">
        <f ca="1">_xll.ciqfunctions.udf.CIQ("^SPX", "IQ_PRICEDATE", "8/15/2018")</f>
        <v>#NAME?</v>
      </c>
      <c r="AC1171" s="16">
        <v>2818.3730198970002</v>
      </c>
    </row>
    <row r="1172" spans="26:29" x14ac:dyDescent="0.35">
      <c r="Z1172" s="4"/>
      <c r="AA1172" s="4"/>
      <c r="AB1172" s="4" t="e">
        <f ca="1">_xll.ciqfunctions.udf.CIQ("^SPX", "IQ_PRICEDATE", "8/16/2018")</f>
        <v>#NAME?</v>
      </c>
      <c r="AC1172" s="16">
        <v>2840.6879724707001</v>
      </c>
    </row>
    <row r="1173" spans="26:29" x14ac:dyDescent="0.35">
      <c r="Z1173" s="4"/>
      <c r="AA1173" s="4"/>
      <c r="AB1173" s="4" t="e">
        <f ca="1">_xll.ciqfunctions.udf.CIQ("^SPX", "IQ_PRICEDATE", "8/17/2018")</f>
        <v>#NAME?</v>
      </c>
      <c r="AC1173" s="16">
        <v>2850.1316116040998</v>
      </c>
    </row>
    <row r="1174" spans="26:29" x14ac:dyDescent="0.35">
      <c r="Z1174" s="4"/>
      <c r="AA1174" s="4"/>
      <c r="AB1174" s="4" t="e">
        <f ca="1">_xll.ciqfunctions.udf.CIQ("^SPX", "IQ_PRICEDATE", "8/20/2018")</f>
        <v>#NAME?</v>
      </c>
      <c r="AC1174" s="16">
        <v>2857.0540072342001</v>
      </c>
    </row>
    <row r="1175" spans="26:29" x14ac:dyDescent="0.35">
      <c r="Z1175" s="4"/>
      <c r="AA1175" s="4"/>
      <c r="AB1175" s="4" t="e">
        <f ca="1">_xll.ciqfunctions.udf.CIQ("^SPX", "IQ_PRICEDATE", "8/21/2018")</f>
        <v>#NAME?</v>
      </c>
      <c r="AC1175" s="16">
        <v>2862.9569880949002</v>
      </c>
    </row>
    <row r="1176" spans="26:29" x14ac:dyDescent="0.35">
      <c r="Z1176" s="4"/>
      <c r="AA1176" s="4"/>
      <c r="AB1176" s="4" t="e">
        <f ca="1">_xll.ciqfunctions.udf.CIQ("^SPX", "IQ_PRICEDATE", "8/22/2018")</f>
        <v>#NAME?</v>
      </c>
      <c r="AC1176" s="16">
        <v>2861.8246299142002</v>
      </c>
    </row>
    <row r="1177" spans="26:29" x14ac:dyDescent="0.35">
      <c r="Z1177" s="4"/>
      <c r="AA1177" s="4"/>
      <c r="AB1177" s="4" t="e">
        <f ca="1">_xll.ciqfunctions.udf.CIQ("^SPX", "IQ_PRICEDATE", "8/23/2018")</f>
        <v>#NAME?</v>
      </c>
      <c r="AC1177" s="16">
        <v>2856.9805412893002</v>
      </c>
    </row>
    <row r="1178" spans="26:29" x14ac:dyDescent="0.35">
      <c r="Z1178" s="4"/>
      <c r="AA1178" s="4"/>
      <c r="AB1178" s="4" t="e">
        <f ca="1">_xll.ciqfunctions.udf.CIQ("^SPX", "IQ_PRICEDATE", "8/24/2018")</f>
        <v>#NAME?</v>
      </c>
      <c r="AC1178" s="16">
        <v>2874.6891438910998</v>
      </c>
    </row>
    <row r="1179" spans="26:29" x14ac:dyDescent="0.35">
      <c r="Z1179" s="4"/>
      <c r="AA1179" s="4"/>
      <c r="AB1179" s="4" t="e">
        <f ca="1">_xll.ciqfunctions.udf.CIQ("^SPX", "IQ_PRICEDATE", "8/27/2018")</f>
        <v>#NAME?</v>
      </c>
      <c r="AC1179" s="16">
        <v>2896.7356353035002</v>
      </c>
    </row>
    <row r="1180" spans="26:29" x14ac:dyDescent="0.35">
      <c r="Z1180" s="4"/>
      <c r="AA1180" s="4"/>
      <c r="AB1180" s="4" t="e">
        <f ca="1">_xll.ciqfunctions.udf.CIQ("^SPX", "IQ_PRICEDATE", "8/28/2018")</f>
        <v>#NAME?</v>
      </c>
      <c r="AC1180" s="16">
        <v>2897.5220448636001</v>
      </c>
    </row>
    <row r="1181" spans="26:29" x14ac:dyDescent="0.35">
      <c r="Z1181" s="4"/>
      <c r="AA1181" s="4"/>
      <c r="AB1181" s="4" t="e">
        <f ca="1">_xll.ciqfunctions.udf.CIQ("^SPX", "IQ_PRICEDATE", "8/29/2018")</f>
        <v>#NAME?</v>
      </c>
      <c r="AC1181" s="16">
        <v>2914.0413654341</v>
      </c>
    </row>
    <row r="1182" spans="26:29" x14ac:dyDescent="0.35">
      <c r="Z1182" s="4"/>
      <c r="AA1182" s="4"/>
      <c r="AB1182" s="4" t="e">
        <f ca="1">_xll.ciqfunctions.udf.CIQ("^SPX", "IQ_PRICEDATE", "8/30/2018")</f>
        <v>#NAME?</v>
      </c>
      <c r="AC1182" s="16">
        <v>2901.1265962030002</v>
      </c>
    </row>
    <row r="1183" spans="26:29" x14ac:dyDescent="0.35">
      <c r="Z1183" s="4"/>
      <c r="AA1183" s="4"/>
      <c r="AB1183" s="4" t="e">
        <f ca="1">_xll.ciqfunctions.udf.CIQ("^SPX", "IQ_PRICEDATE", "8/31/2018")</f>
        <v>#NAME?</v>
      </c>
      <c r="AC1183" s="16">
        <v>2901.5176770405001</v>
      </c>
    </row>
    <row r="1184" spans="26:29" x14ac:dyDescent="0.35">
      <c r="Z1184" s="4"/>
      <c r="AA1184" s="4"/>
      <c r="AB1184" s="4" t="e">
        <f ca="1">_xll.ciqfunctions.udf.CIQ("^SPX", "IQ_PRICEDATE", "9/4/2018")</f>
        <v>#NAME?</v>
      </c>
      <c r="AC1184" s="16">
        <v>2896.7232861861999</v>
      </c>
    </row>
    <row r="1185" spans="26:29" x14ac:dyDescent="0.35">
      <c r="Z1185" s="4"/>
      <c r="AA1185" s="4"/>
      <c r="AB1185" s="4" t="e">
        <f ca="1">_xll.ciqfunctions.udf.CIQ("^SPX", "IQ_PRICEDATE", "9/5/2018")</f>
        <v>#NAME?</v>
      </c>
      <c r="AC1185" s="16">
        <v>2888.6017988977001</v>
      </c>
    </row>
    <row r="1186" spans="26:29" x14ac:dyDescent="0.35">
      <c r="Z1186" s="4"/>
      <c r="AA1186" s="4"/>
      <c r="AB1186" s="4" t="e">
        <f ca="1">_xll.ciqfunctions.udf.CIQ("^SPX", "IQ_PRICEDATE", "9/6/2018")</f>
        <v>#NAME?</v>
      </c>
      <c r="AC1186" s="16">
        <v>2878.0524329330001</v>
      </c>
    </row>
    <row r="1187" spans="26:29" x14ac:dyDescent="0.35">
      <c r="Z1187" s="4"/>
      <c r="AA1187" s="4"/>
      <c r="AB1187" s="4" t="e">
        <f ca="1">_xll.ciqfunctions.udf.CIQ("^SPX", "IQ_PRICEDATE", "9/7/2018")</f>
        <v>#NAME?</v>
      </c>
      <c r="AC1187" s="16">
        <v>2871.6815283021001</v>
      </c>
    </row>
    <row r="1188" spans="26:29" x14ac:dyDescent="0.35">
      <c r="Z1188" s="4"/>
      <c r="AA1188" s="4"/>
      <c r="AB1188" s="4" t="e">
        <f ca="1">_xll.ciqfunctions.udf.CIQ("^SPX", "IQ_PRICEDATE", "9/10/2018")</f>
        <v>#NAME?</v>
      </c>
      <c r="AC1188" s="16">
        <v>2877.1261459303</v>
      </c>
    </row>
    <row r="1189" spans="26:29" x14ac:dyDescent="0.35">
      <c r="Z1189" s="4"/>
      <c r="AA1189" s="4"/>
      <c r="AB1189" s="4" t="e">
        <f ca="1">_xll.ciqfunctions.udf.CIQ("^SPX", "IQ_PRICEDATE", "9/11/2018")</f>
        <v>#NAME?</v>
      </c>
      <c r="AC1189" s="16">
        <v>2887.8937973604002</v>
      </c>
    </row>
    <row r="1190" spans="26:29" x14ac:dyDescent="0.35">
      <c r="Z1190" s="4"/>
      <c r="AA1190" s="4"/>
      <c r="AB1190" s="4" t="e">
        <f ca="1">_xll.ciqfunctions.udf.CIQ("^SPX", "IQ_PRICEDATE", "9/12/2018")</f>
        <v>#NAME?</v>
      </c>
      <c r="AC1190" s="16">
        <v>2888.9166550290001</v>
      </c>
    </row>
    <row r="1191" spans="26:29" x14ac:dyDescent="0.35">
      <c r="Z1191" s="4"/>
      <c r="AA1191" s="4"/>
      <c r="AB1191" s="4" t="e">
        <f ca="1">_xll.ciqfunctions.udf.CIQ("^SPX", "IQ_PRICEDATE", "9/13/2018")</f>
        <v>#NAME?</v>
      </c>
      <c r="AC1191" s="16">
        <v>2904.183860264</v>
      </c>
    </row>
    <row r="1192" spans="26:29" x14ac:dyDescent="0.35">
      <c r="Z1192" s="4"/>
      <c r="AA1192" s="4"/>
      <c r="AB1192" s="4" t="e">
        <f ca="1">_xll.ciqfunctions.udf.CIQ("^SPX", "IQ_PRICEDATE", "9/14/2018")</f>
        <v>#NAME?</v>
      </c>
      <c r="AC1192" s="16">
        <v>2904.9753853013999</v>
      </c>
    </row>
    <row r="1193" spans="26:29" x14ac:dyDescent="0.35">
      <c r="Z1193" s="4"/>
      <c r="AA1193" s="4"/>
      <c r="AB1193" s="4" t="e">
        <f ca="1">_xll.ciqfunctions.udf.CIQ("^SPX", "IQ_PRICEDATE", "9/17/2018")</f>
        <v>#NAME?</v>
      </c>
      <c r="AC1193" s="16">
        <v>2888.8011449655</v>
      </c>
    </row>
    <row r="1194" spans="26:29" x14ac:dyDescent="0.35">
      <c r="Z1194" s="4"/>
      <c r="AA1194" s="4"/>
      <c r="AB1194" s="4" t="e">
        <f ca="1">_xll.ciqfunctions.udf.CIQ("^SPX", "IQ_PRICEDATE", "9/18/2018")</f>
        <v>#NAME?</v>
      </c>
      <c r="AC1194" s="16">
        <v>2904.3106462578999</v>
      </c>
    </row>
    <row r="1195" spans="26:29" x14ac:dyDescent="0.35">
      <c r="Z1195" s="4"/>
      <c r="AA1195" s="4"/>
      <c r="AB1195" s="4" t="e">
        <f ca="1">_xll.ciqfunctions.udf.CIQ("^SPX", "IQ_PRICEDATE", "9/19/2018")</f>
        <v>#NAME?</v>
      </c>
      <c r="AC1195" s="16">
        <v>2907.9453942373002</v>
      </c>
    </row>
    <row r="1196" spans="26:29" x14ac:dyDescent="0.35">
      <c r="Z1196" s="4"/>
      <c r="AA1196" s="4"/>
      <c r="AB1196" s="4" t="e">
        <f ca="1">_xll.ciqfunctions.udf.CIQ("^SPX", "IQ_PRICEDATE", "9/20/2018")</f>
        <v>#NAME?</v>
      </c>
      <c r="AC1196" s="16">
        <v>2930.7461520994998</v>
      </c>
    </row>
    <row r="1197" spans="26:29" x14ac:dyDescent="0.35">
      <c r="Z1197" s="4"/>
      <c r="AA1197" s="4"/>
      <c r="AB1197" s="4" t="e">
        <f ca="1">_xll.ciqfunctions.udf.CIQ("^SPX", "IQ_PRICEDATE", "9/21/2018")</f>
        <v>#NAME?</v>
      </c>
      <c r="AC1197" s="16">
        <v>2929.6671956252999</v>
      </c>
    </row>
    <row r="1198" spans="26:29" x14ac:dyDescent="0.35">
      <c r="Z1198" s="4"/>
      <c r="AA1198" s="4"/>
      <c r="AB1198" s="4" t="e">
        <f ca="1">_xll.ciqfunctions.udf.CIQ("^SPX", "IQ_PRICEDATE", "9/24/2018")</f>
        <v>#NAME?</v>
      </c>
      <c r="AC1198" s="16">
        <v>2919.3731493785999</v>
      </c>
    </row>
    <row r="1199" spans="26:29" x14ac:dyDescent="0.35">
      <c r="Z1199" s="4"/>
      <c r="AA1199" s="4"/>
      <c r="AB1199" s="4" t="e">
        <f ca="1">_xll.ciqfunctions.udf.CIQ("^SPX", "IQ_PRICEDATE", "9/25/2018")</f>
        <v>#NAME?</v>
      </c>
      <c r="AC1199" s="16">
        <v>2915.5642837762998</v>
      </c>
    </row>
    <row r="1200" spans="26:29" x14ac:dyDescent="0.35">
      <c r="Z1200" s="4"/>
      <c r="AA1200" s="4"/>
      <c r="AB1200" s="4" t="e">
        <f ca="1">_xll.ciqfunctions.udf.CIQ("^SPX", "IQ_PRICEDATE", "9/26/2018")</f>
        <v>#NAME?</v>
      </c>
      <c r="AC1200" s="16">
        <v>2905.9655876406</v>
      </c>
    </row>
    <row r="1201" spans="26:29" x14ac:dyDescent="0.35">
      <c r="Z1201" s="4"/>
      <c r="AA1201" s="4"/>
      <c r="AB1201" s="4" t="e">
        <f ca="1">_xll.ciqfunctions.udf.CIQ("^SPX", "IQ_PRICEDATE", "9/27/2018")</f>
        <v>#NAME?</v>
      </c>
      <c r="AC1201" s="16">
        <v>2913.9981861058</v>
      </c>
    </row>
    <row r="1202" spans="26:29" x14ac:dyDescent="0.35">
      <c r="Z1202" s="4"/>
      <c r="AA1202" s="4"/>
      <c r="AB1202" s="4" t="e">
        <f ca="1">_xll.ciqfunctions.udf.CIQ("^SPX", "IQ_PRICEDATE", "9/28/2018")</f>
        <v>#NAME?</v>
      </c>
      <c r="AC1202" s="16">
        <v>2913.978139886</v>
      </c>
    </row>
    <row r="1203" spans="26:29" x14ac:dyDescent="0.35">
      <c r="Z1203" s="4"/>
      <c r="AA1203" s="4"/>
      <c r="AB1203" s="4" t="e">
        <f ca="1">_xll.ciqfunctions.udf.CIQ("^SPX", "IQ_PRICEDATE", "10/1/2018")</f>
        <v>#NAME?</v>
      </c>
      <c r="AC1203" s="16">
        <v>2924.5909370456002</v>
      </c>
    </row>
    <row r="1204" spans="26:29" x14ac:dyDescent="0.35">
      <c r="Z1204" s="4"/>
      <c r="AA1204" s="4"/>
      <c r="AB1204" s="4" t="e">
        <f ca="1">_xll.ciqfunctions.udf.CIQ("^SPX", "IQ_PRICEDATE", "10/2/2018")</f>
        <v>#NAME?</v>
      </c>
      <c r="AC1204" s="16">
        <v>2923.4334526643001</v>
      </c>
    </row>
    <row r="1205" spans="26:29" x14ac:dyDescent="0.35">
      <c r="Z1205" s="4"/>
      <c r="AA1205" s="4"/>
      <c r="AB1205" s="4" t="e">
        <f ca="1">_xll.ciqfunctions.udf.CIQ("^SPX", "IQ_PRICEDATE", "10/3/2018")</f>
        <v>#NAME?</v>
      </c>
      <c r="AC1205" s="16">
        <v>2925.5130376727998</v>
      </c>
    </row>
    <row r="1206" spans="26:29" x14ac:dyDescent="0.35">
      <c r="Z1206" s="4"/>
      <c r="AA1206" s="4"/>
      <c r="AB1206" s="4" t="e">
        <f ca="1">_xll.ciqfunctions.udf.CIQ("^SPX", "IQ_PRICEDATE", "10/4/2018")</f>
        <v>#NAME?</v>
      </c>
      <c r="AC1206" s="16">
        <v>2901.6114880516998</v>
      </c>
    </row>
    <row r="1207" spans="26:29" x14ac:dyDescent="0.35">
      <c r="Z1207" s="4"/>
      <c r="AA1207" s="4"/>
      <c r="AB1207" s="4" t="e">
        <f ca="1">_xll.ciqfunctions.udf.CIQ("^SPX", "IQ_PRICEDATE", "10/5/2018")</f>
        <v>#NAME?</v>
      </c>
      <c r="AC1207" s="16">
        <v>2885.5662522712</v>
      </c>
    </row>
    <row r="1208" spans="26:29" x14ac:dyDescent="0.35">
      <c r="Z1208" s="4"/>
      <c r="AA1208" s="4"/>
      <c r="AB1208" s="4" t="e">
        <f ca="1">_xll.ciqfunctions.udf.CIQ("^SPX", "IQ_PRICEDATE", "10/8/2018")</f>
        <v>#NAME?</v>
      </c>
      <c r="AC1208" s="16">
        <v>2884.4326743419001</v>
      </c>
    </row>
    <row r="1209" spans="26:29" x14ac:dyDescent="0.35">
      <c r="Z1209" s="4"/>
      <c r="AA1209" s="4"/>
      <c r="AB1209" s="4" t="e">
        <f ca="1">_xll.ciqfunctions.udf.CIQ("^SPX", "IQ_PRICEDATE", "10/9/2018")</f>
        <v>#NAME?</v>
      </c>
      <c r="AC1209" s="16">
        <v>2880.3437116677001</v>
      </c>
    </row>
    <row r="1210" spans="26:29" x14ac:dyDescent="0.35">
      <c r="Z1210" s="4"/>
      <c r="AA1210" s="4"/>
      <c r="AB1210" s="4" t="e">
        <f ca="1">_xll.ciqfunctions.udf.CIQ("^SPX", "IQ_PRICEDATE", "10/10/2018")</f>
        <v>#NAME?</v>
      </c>
      <c r="AC1210" s="16">
        <v>2785.6791790991001</v>
      </c>
    </row>
    <row r="1211" spans="26:29" x14ac:dyDescent="0.35">
      <c r="Z1211" s="4"/>
      <c r="AA1211" s="4"/>
      <c r="AB1211" s="4" t="e">
        <f ca="1">_xll.ciqfunctions.udf.CIQ("^SPX", "IQ_PRICEDATE", "10/11/2018")</f>
        <v>#NAME?</v>
      </c>
      <c r="AC1211" s="16">
        <v>2728.3662914993001</v>
      </c>
    </row>
    <row r="1212" spans="26:29" x14ac:dyDescent="0.35">
      <c r="Z1212" s="4"/>
      <c r="AA1212" s="4"/>
      <c r="AB1212" s="4" t="e">
        <f ca="1">_xll.ciqfunctions.udf.CIQ("^SPX", "IQ_PRICEDATE", "10/12/2018")</f>
        <v>#NAME?</v>
      </c>
      <c r="AC1212" s="16">
        <v>2767.1260181809998</v>
      </c>
    </row>
    <row r="1213" spans="26:29" x14ac:dyDescent="0.35">
      <c r="Z1213" s="4"/>
      <c r="AA1213" s="4"/>
      <c r="AB1213" s="4" t="e">
        <f ca="1">_xll.ciqfunctions.udf.CIQ("^SPX", "IQ_PRICEDATE", "10/15/2018")</f>
        <v>#NAME?</v>
      </c>
      <c r="AC1213" s="16">
        <v>2750.7860409097998</v>
      </c>
    </row>
    <row r="1214" spans="26:29" x14ac:dyDescent="0.35">
      <c r="AB1214" s="4" t="e">
        <f ca="1">_xll.ciqfunctions.udf.CIQ("^SPX", "IQ_PRICEDATE", "10/16/2018")</f>
        <v>#NAME?</v>
      </c>
      <c r="AC1214" s="16">
        <v>2809.9156707527</v>
      </c>
    </row>
    <row r="1215" spans="26:29" x14ac:dyDescent="0.35">
      <c r="AB1215" s="4" t="e">
        <f ca="1">_xll.ciqfunctions.udf.CIQ("^SPX", "IQ_PRICEDATE", "10/17/2018")</f>
        <v>#NAME?</v>
      </c>
      <c r="AC1215" s="16">
        <v>2809.2090822675</v>
      </c>
    </row>
  </sheetData>
  <mergeCells count="8">
    <mergeCell ref="D1:F1"/>
    <mergeCell ref="N4:Y4"/>
    <mergeCell ref="N5:O5"/>
    <mergeCell ref="P5:Q5"/>
    <mergeCell ref="R5:S5"/>
    <mergeCell ref="T5:U5"/>
    <mergeCell ref="V5:W5"/>
    <mergeCell ref="X5:Y5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efreshMacro_Verti1">
                <anchor moveWithCells="1" sizeWithCells="1">
                  <from>
                    <xdr:col>4</xdr:col>
                    <xdr:colOff>400050</xdr:colOff>
                    <xdr:row>2</xdr:row>
                    <xdr:rowOff>76200</xdr:rowOff>
                  </from>
                  <to>
                    <xdr:col>5</xdr:col>
                    <xdr:colOff>279400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  (5)</vt:lpstr>
      <vt:lpstr>Sheet1 </vt:lpstr>
      <vt:lpstr>Sheet1  (2)</vt:lpstr>
      <vt:lpstr>Sheet1  (3)</vt:lpstr>
      <vt:lpstr>Sheet1  (4)</vt:lpstr>
      <vt:lpstr>Sheet1  (6)</vt:lpstr>
    </vt:vector>
  </TitlesOfParts>
  <Company>The McGraw-Hill Companies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 Upputuri</dc:creator>
  <cp:lastModifiedBy>Graf</cp:lastModifiedBy>
  <dcterms:created xsi:type="dcterms:W3CDTF">2018-10-18T06:16:01Z</dcterms:created>
  <dcterms:modified xsi:type="dcterms:W3CDTF">2018-10-20T15:27:15Z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2acdc1e9-b383-44df-b632-bcf4f4cbcf69</vt:lpwstr>
  </property>
</Properties>
</file>